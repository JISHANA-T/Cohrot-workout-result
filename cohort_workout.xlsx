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sha\OneDrive\Attachments\Desktop\Sib\"/>
    </mc:Choice>
  </mc:AlternateContent>
  <xr:revisionPtr revIDLastSave="0" documentId="13_ncr:1_{26E0F884-DBBF-4D6F-BCA4-0C27733F5D8E}" xr6:coauthVersionLast="47" xr6:coauthVersionMax="47" xr10:uidLastSave="{00000000-0000-0000-0000-000000000000}"/>
  <bookViews>
    <workbookView xWindow="-110" yWindow="-110" windowWidth="19420" windowHeight="10300" activeTab="3" xr2:uid="{6E149105-422C-4509-994D-6B573D64F094}"/>
  </bookViews>
  <sheets>
    <sheet name="Sheet1" sheetId="1" r:id="rId1"/>
    <sheet name="PIVOT 1YR" sheetId="4" r:id="rId2"/>
    <sheet name="PIVOT 2 Yr" sheetId="5" r:id="rId3"/>
    <sheet name="Smoothened odr" sheetId="6" r:id="rId4"/>
    <sheet name="Conditional" sheetId="7" r:id="rId5"/>
    <sheet name="PIT PD TM" sheetId="9" r:id="rId6"/>
    <sheet name="Mobility Index" sheetId="8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7" l="1"/>
  <c r="E2" i="7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F2" i="7"/>
  <c r="G2" i="7"/>
  <c r="F3" i="7"/>
  <c r="G3" i="7"/>
  <c r="F4" i="7"/>
  <c r="G4" i="7"/>
  <c r="F5" i="7"/>
  <c r="G5" i="7"/>
  <c r="F6" i="7"/>
  <c r="G6" i="7"/>
  <c r="F7" i="7"/>
  <c r="G7" i="7"/>
  <c r="F8" i="7"/>
  <c r="G8" i="7"/>
  <c r="F9" i="7"/>
  <c r="C33" i="9"/>
  <c r="C32" i="9"/>
  <c r="C31" i="9"/>
  <c r="C30" i="9"/>
  <c r="C29" i="9"/>
  <c r="C28" i="9"/>
  <c r="C27" i="9"/>
  <c r="C26" i="9"/>
  <c r="B9" i="9"/>
  <c r="B5" i="9"/>
  <c r="B11" i="9"/>
  <c r="B7" i="9"/>
  <c r="N6" i="8"/>
  <c r="N15" i="8"/>
  <c r="N19" i="8"/>
  <c r="N18" i="8" a="1"/>
  <c r="N18" i="8"/>
  <c r="N13" i="8" a="1"/>
  <c r="N13" i="8"/>
  <c r="N14" i="8"/>
  <c r="N10" i="8"/>
  <c r="N9" i="8"/>
  <c r="N4" i="8"/>
  <c r="N3" i="8"/>
  <c r="L3" i="7"/>
  <c r="L4" i="7" s="1"/>
  <c r="L2" i="7"/>
  <c r="K3" i="6" a="1"/>
  <c r="K3" i="6" s="1"/>
  <c r="K14" i="6" s="1" a="1"/>
  <c r="K14" i="6" s="1"/>
  <c r="P21" i="4"/>
  <c r="Q21" i="4"/>
  <c r="R21" i="4"/>
  <c r="S21" i="4"/>
  <c r="T21" i="4"/>
  <c r="U21" i="4"/>
  <c r="V21" i="4"/>
  <c r="O21" i="4"/>
  <c r="W21" i="4"/>
  <c r="X14" i="5"/>
  <c r="X15" i="5"/>
  <c r="X16" i="5"/>
  <c r="X17" i="5"/>
  <c r="X18" i="5"/>
  <c r="X19" i="5"/>
  <c r="X13" i="5"/>
  <c r="W14" i="5"/>
  <c r="W15" i="5"/>
  <c r="W16" i="5"/>
  <c r="W17" i="5"/>
  <c r="W18" i="5"/>
  <c r="W19" i="5"/>
  <c r="W13" i="5"/>
  <c r="V14" i="5"/>
  <c r="V15" i="5"/>
  <c r="V16" i="5"/>
  <c r="V17" i="5"/>
  <c r="V18" i="5"/>
  <c r="V19" i="5"/>
  <c r="V13" i="5"/>
  <c r="U14" i="5"/>
  <c r="U15" i="5"/>
  <c r="U16" i="5"/>
  <c r="U17" i="5"/>
  <c r="U18" i="5"/>
  <c r="U19" i="5"/>
  <c r="U13" i="5"/>
  <c r="T14" i="5"/>
  <c r="T15" i="5"/>
  <c r="T16" i="5"/>
  <c r="T17" i="5"/>
  <c r="T18" i="5"/>
  <c r="T19" i="5"/>
  <c r="T13" i="5"/>
  <c r="S14" i="5"/>
  <c r="S15" i="5"/>
  <c r="S16" i="5"/>
  <c r="S17" i="5"/>
  <c r="S18" i="5"/>
  <c r="S19" i="5"/>
  <c r="S13" i="5"/>
  <c r="R14" i="5"/>
  <c r="R15" i="5"/>
  <c r="R16" i="5"/>
  <c r="R17" i="5"/>
  <c r="R18" i="5"/>
  <c r="R19" i="5"/>
  <c r="R13" i="5"/>
  <c r="Q14" i="5"/>
  <c r="Y14" i="5"/>
  <c r="Y15" i="5"/>
  <c r="Y16" i="5"/>
  <c r="Y17" i="5"/>
  <c r="Y18" i="5"/>
  <c r="Y19" i="5"/>
  <c r="Q15" i="5"/>
  <c r="Q16" i="5"/>
  <c r="Q17" i="5"/>
  <c r="Q18" i="5"/>
  <c r="Q19" i="5"/>
  <c r="Q13" i="5"/>
  <c r="Y13" i="5"/>
  <c r="O15" i="4"/>
  <c r="Y4" i="5"/>
  <c r="Y5" i="5"/>
  <c r="Y6" i="5"/>
  <c r="Y7" i="5"/>
  <c r="Y8" i="5"/>
  <c r="Y9" i="5"/>
  <c r="Y10" i="5"/>
  <c r="Y3" i="5"/>
  <c r="X4" i="5"/>
  <c r="X5" i="5"/>
  <c r="X6" i="5"/>
  <c r="X7" i="5"/>
  <c r="X8" i="5"/>
  <c r="X9" i="5"/>
  <c r="X10" i="5"/>
  <c r="X3" i="5"/>
  <c r="W4" i="5"/>
  <c r="W5" i="5"/>
  <c r="W6" i="5"/>
  <c r="W7" i="5"/>
  <c r="W8" i="5"/>
  <c r="W9" i="5"/>
  <c r="W10" i="5"/>
  <c r="W3" i="5"/>
  <c r="V4" i="5"/>
  <c r="V5" i="5"/>
  <c r="V6" i="5"/>
  <c r="V7" i="5"/>
  <c r="V8" i="5"/>
  <c r="V9" i="5"/>
  <c r="V10" i="5"/>
  <c r="V3" i="5"/>
  <c r="U4" i="5"/>
  <c r="U5" i="5"/>
  <c r="U6" i="5"/>
  <c r="U7" i="5"/>
  <c r="U8" i="5"/>
  <c r="U9" i="5"/>
  <c r="U10" i="5"/>
  <c r="U3" i="5"/>
  <c r="T4" i="5"/>
  <c r="T5" i="5"/>
  <c r="T6" i="5"/>
  <c r="T7" i="5"/>
  <c r="T8" i="5"/>
  <c r="T9" i="5"/>
  <c r="T10" i="5"/>
  <c r="T3" i="5"/>
  <c r="S4" i="5"/>
  <c r="S5" i="5"/>
  <c r="S6" i="5"/>
  <c r="S7" i="5"/>
  <c r="S8" i="5"/>
  <c r="S9" i="5"/>
  <c r="S10" i="5"/>
  <c r="S3" i="5"/>
  <c r="R4" i="5"/>
  <c r="R5" i="5"/>
  <c r="R6" i="5"/>
  <c r="R7" i="5"/>
  <c r="R8" i="5"/>
  <c r="R9" i="5"/>
  <c r="R10" i="5"/>
  <c r="R3" i="5"/>
  <c r="Q3" i="5"/>
  <c r="Q4" i="5"/>
  <c r="Q5" i="5"/>
  <c r="Q6" i="5"/>
  <c r="Q7" i="5"/>
  <c r="Q8" i="5"/>
  <c r="Q9" i="5"/>
  <c r="Q10" i="5"/>
  <c r="V15" i="4"/>
  <c r="V16" i="4"/>
  <c r="V17" i="4"/>
  <c r="V18" i="4"/>
  <c r="V19" i="4"/>
  <c r="V20" i="4"/>
  <c r="V14" i="4"/>
  <c r="U15" i="4"/>
  <c r="U16" i="4"/>
  <c r="U17" i="4"/>
  <c r="U18" i="4"/>
  <c r="U19" i="4"/>
  <c r="U20" i="4"/>
  <c r="U14" i="4"/>
  <c r="T15" i="4"/>
  <c r="T16" i="4"/>
  <c r="T17" i="4"/>
  <c r="T18" i="4"/>
  <c r="T19" i="4"/>
  <c r="T20" i="4"/>
  <c r="T14" i="4"/>
  <c r="S15" i="4"/>
  <c r="S16" i="4"/>
  <c r="S17" i="4"/>
  <c r="S18" i="4"/>
  <c r="S19" i="4"/>
  <c r="S20" i="4"/>
  <c r="S14" i="4"/>
  <c r="R15" i="4"/>
  <c r="R16" i="4"/>
  <c r="R17" i="4"/>
  <c r="R18" i="4"/>
  <c r="R19" i="4"/>
  <c r="R20" i="4"/>
  <c r="R14" i="4"/>
  <c r="O14" i="4"/>
  <c r="Q15" i="4"/>
  <c r="Q16" i="4"/>
  <c r="Q17" i="4"/>
  <c r="Q18" i="4"/>
  <c r="Q19" i="4"/>
  <c r="Q20" i="4"/>
  <c r="Q14" i="4"/>
  <c r="P15" i="4"/>
  <c r="P16" i="4"/>
  <c r="P17" i="4"/>
  <c r="P18" i="4"/>
  <c r="P19" i="4"/>
  <c r="P20" i="4"/>
  <c r="P14" i="4"/>
  <c r="O16" i="4"/>
  <c r="O17" i="4"/>
  <c r="O18" i="4"/>
  <c r="O19" i="4"/>
  <c r="O20" i="4"/>
  <c r="W15" i="4"/>
  <c r="W16" i="4"/>
  <c r="W17" i="4"/>
  <c r="W18" i="4"/>
  <c r="W19" i="4"/>
  <c r="W20" i="4"/>
  <c r="W14" i="4"/>
  <c r="W5" i="4"/>
  <c r="W6" i="4"/>
  <c r="W7" i="4"/>
  <c r="W8" i="4"/>
  <c r="W9" i="4"/>
  <c r="W10" i="4"/>
  <c r="W11" i="4"/>
  <c r="W4" i="4"/>
  <c r="V5" i="4"/>
  <c r="V6" i="4"/>
  <c r="V7" i="4"/>
  <c r="V8" i="4"/>
  <c r="V9" i="4"/>
  <c r="V10" i="4"/>
  <c r="V11" i="4"/>
  <c r="V4" i="4"/>
  <c r="U4" i="4"/>
  <c r="T5" i="4"/>
  <c r="T6" i="4"/>
  <c r="T7" i="4"/>
  <c r="T8" i="4"/>
  <c r="T9" i="4"/>
  <c r="T10" i="4"/>
  <c r="T11" i="4"/>
  <c r="U5" i="4"/>
  <c r="U6" i="4"/>
  <c r="U7" i="4"/>
  <c r="U8" i="4"/>
  <c r="U9" i="4"/>
  <c r="U10" i="4"/>
  <c r="U11" i="4"/>
  <c r="T4" i="4"/>
  <c r="S5" i="4"/>
  <c r="S6" i="4"/>
  <c r="S7" i="4"/>
  <c r="S8" i="4"/>
  <c r="S9" i="4"/>
  <c r="S10" i="4"/>
  <c r="S11" i="4"/>
  <c r="S4" i="4"/>
  <c r="R5" i="4"/>
  <c r="R6" i="4"/>
  <c r="R7" i="4"/>
  <c r="R8" i="4"/>
  <c r="R9" i="4"/>
  <c r="R10" i="4"/>
  <c r="R11" i="4"/>
  <c r="R4" i="4"/>
  <c r="Q5" i="4"/>
  <c r="Q6" i="4"/>
  <c r="Q7" i="4"/>
  <c r="Q8" i="4"/>
  <c r="Q9" i="4"/>
  <c r="Q10" i="4"/>
  <c r="Q11" i="4"/>
  <c r="Q4" i="4"/>
  <c r="P5" i="4"/>
  <c r="P6" i="4"/>
  <c r="P7" i="4"/>
  <c r="P8" i="4"/>
  <c r="P9" i="4"/>
  <c r="P10" i="4"/>
  <c r="P11" i="4"/>
  <c r="P4" i="4"/>
  <c r="O5" i="4"/>
  <c r="O6" i="4"/>
  <c r="O7" i="4"/>
  <c r="O8" i="4"/>
  <c r="O9" i="4"/>
  <c r="O10" i="4"/>
  <c r="O11" i="4"/>
  <c r="O4" i="4"/>
  <c r="L3" i="1" a="1"/>
  <c r="L3" i="1" s="1"/>
  <c r="M3" i="1" s="1" a="1"/>
  <c r="M3" i="1" s="1"/>
  <c r="L4" i="1" a="1"/>
  <c r="L4" i="1" s="1"/>
  <c r="M4" i="1" s="1" a="1"/>
  <c r="M4" i="1" s="1"/>
  <c r="L5" i="1" a="1"/>
  <c r="L5" i="1" s="1"/>
  <c r="M5" i="1" s="1" a="1"/>
  <c r="M5" i="1" s="1"/>
  <c r="L6" i="1" a="1"/>
  <c r="L6" i="1" s="1"/>
  <c r="M6" i="1" s="1" a="1"/>
  <c r="M6" i="1" s="1"/>
  <c r="L7" i="1" a="1"/>
  <c r="L7" i="1" s="1"/>
  <c r="M7" i="1" s="1" a="1"/>
  <c r="M7" i="1" s="1"/>
  <c r="L8" i="1" a="1"/>
  <c r="L8" i="1" s="1"/>
  <c r="M8" i="1" s="1" a="1"/>
  <c r="M8" i="1" s="1"/>
  <c r="L9" i="1" a="1"/>
  <c r="L9" i="1" s="1"/>
  <c r="M9" i="1" s="1" a="1"/>
  <c r="M9" i="1" s="1"/>
  <c r="L10" i="1" a="1"/>
  <c r="L10" i="1" s="1"/>
  <c r="M10" i="1" s="1" a="1"/>
  <c r="M10" i="1" s="1"/>
  <c r="L11" i="1" a="1"/>
  <c r="L11" i="1" s="1"/>
  <c r="M11" i="1" s="1" a="1"/>
  <c r="M11" i="1" s="1"/>
  <c r="L12" i="1" a="1"/>
  <c r="L12" i="1"/>
  <c r="L13" i="1" a="1"/>
  <c r="L13" i="1" s="1"/>
  <c r="M13" i="1" s="1" a="1"/>
  <c r="M13" i="1" s="1"/>
  <c r="L14" i="1" a="1"/>
  <c r="L14" i="1" s="1"/>
  <c r="M14" i="1" s="1" a="1"/>
  <c r="M14" i="1" s="1"/>
  <c r="L15" i="1" a="1"/>
  <c r="L15" i="1" s="1"/>
  <c r="M15" i="1" s="1" a="1"/>
  <c r="M15" i="1" s="1"/>
  <c r="L16" i="1" a="1"/>
  <c r="L16" i="1" s="1"/>
  <c r="M16" i="1" s="1" a="1"/>
  <c r="M16" i="1" s="1"/>
  <c r="L17" i="1" a="1"/>
  <c r="L17" i="1" s="1"/>
  <c r="M17" i="1" s="1" a="1"/>
  <c r="M17" i="1" s="1"/>
  <c r="L18" i="1" a="1"/>
  <c r="L18" i="1" s="1"/>
  <c r="M18" i="1" s="1" a="1"/>
  <c r="M18" i="1" s="1"/>
  <c r="L19" i="1" a="1"/>
  <c r="L19" i="1" s="1"/>
  <c r="M19" i="1" s="1" a="1"/>
  <c r="M19" i="1" s="1"/>
  <c r="L20" i="1" a="1"/>
  <c r="L20" i="1" s="1"/>
  <c r="M20" i="1" s="1" a="1"/>
  <c r="M20" i="1" s="1"/>
  <c r="L21" i="1" a="1"/>
  <c r="L21" i="1" s="1"/>
  <c r="M21" i="1" s="1" a="1"/>
  <c r="M21" i="1" s="1"/>
  <c r="L22" i="1" a="1"/>
  <c r="L22" i="1" s="1"/>
  <c r="M22" i="1" s="1" a="1"/>
  <c r="M22" i="1" s="1"/>
  <c r="L23" i="1" a="1"/>
  <c r="L23" i="1" s="1"/>
  <c r="M23" i="1" s="1" a="1"/>
  <c r="M23" i="1" s="1"/>
  <c r="L24" i="1" a="1"/>
  <c r="L24" i="1" s="1"/>
  <c r="M24" i="1" s="1" a="1"/>
  <c r="M24" i="1" s="1"/>
  <c r="L25" i="1" a="1"/>
  <c r="L25" i="1" s="1"/>
  <c r="M25" i="1" s="1" a="1"/>
  <c r="M25" i="1" s="1"/>
  <c r="L26" i="1" a="1"/>
  <c r="L26" i="1" s="1"/>
  <c r="M26" i="1" s="1" a="1"/>
  <c r="M26" i="1" s="1"/>
  <c r="L27" i="1" a="1"/>
  <c r="L27" i="1" s="1"/>
  <c r="M27" i="1" s="1" a="1"/>
  <c r="M27" i="1" s="1"/>
  <c r="L28" i="1" a="1"/>
  <c r="L28" i="1"/>
  <c r="L29" i="1" a="1"/>
  <c r="L29" i="1" s="1"/>
  <c r="M29" i="1" s="1" a="1"/>
  <c r="M29" i="1" s="1"/>
  <c r="L30" i="1" a="1"/>
  <c r="L30" i="1" s="1"/>
  <c r="M30" i="1" s="1" a="1"/>
  <c r="M30" i="1" s="1"/>
  <c r="L31" i="1" a="1"/>
  <c r="L31" i="1" s="1"/>
  <c r="M31" i="1" s="1" a="1"/>
  <c r="M31" i="1" s="1"/>
  <c r="L32" i="1" a="1"/>
  <c r="L32" i="1" s="1"/>
  <c r="M32" i="1" s="1" a="1"/>
  <c r="M32" i="1" s="1"/>
  <c r="L33" i="1" a="1"/>
  <c r="L33" i="1" s="1"/>
  <c r="M33" i="1" s="1" a="1"/>
  <c r="M33" i="1" s="1"/>
  <c r="L34" i="1" a="1"/>
  <c r="L34" i="1" s="1"/>
  <c r="M34" i="1" s="1" a="1"/>
  <c r="M34" i="1" s="1"/>
  <c r="L35" i="1" a="1"/>
  <c r="L35" i="1" s="1"/>
  <c r="L36" i="1" a="1"/>
  <c r="L36" i="1" s="1"/>
  <c r="M36" i="1" s="1" a="1"/>
  <c r="M36" i="1" s="1"/>
  <c r="L37" i="1" a="1"/>
  <c r="L37" i="1" s="1"/>
  <c r="M37" i="1" s="1" a="1"/>
  <c r="M37" i="1" s="1"/>
  <c r="L38" i="1" a="1"/>
  <c r="L38" i="1" s="1"/>
  <c r="M38" i="1" s="1" a="1"/>
  <c r="M38" i="1" s="1"/>
  <c r="L39" i="1" a="1"/>
  <c r="L39" i="1" s="1"/>
  <c r="L40" i="1" a="1"/>
  <c r="L40" i="1" s="1"/>
  <c r="M40" i="1" s="1" a="1"/>
  <c r="M40" i="1" s="1"/>
  <c r="L41" i="1" a="1"/>
  <c r="L41" i="1" s="1"/>
  <c r="M41" i="1" s="1" a="1"/>
  <c r="M41" i="1" s="1"/>
  <c r="L42" i="1" a="1"/>
  <c r="L42" i="1" s="1"/>
  <c r="M42" i="1" s="1" a="1"/>
  <c r="M42" i="1" s="1"/>
  <c r="L43" i="1" a="1"/>
  <c r="L43" i="1" s="1"/>
  <c r="L44" i="1" a="1"/>
  <c r="L44" i="1" s="1"/>
  <c r="M44" i="1" s="1" a="1"/>
  <c r="M44" i="1" s="1"/>
  <c r="L45" i="1" a="1"/>
  <c r="L45" i="1" s="1"/>
  <c r="M45" i="1" s="1" a="1"/>
  <c r="M45" i="1" s="1"/>
  <c r="L46" i="1" a="1"/>
  <c r="L46" i="1" s="1"/>
  <c r="M46" i="1" s="1" a="1"/>
  <c r="M46" i="1" s="1"/>
  <c r="L47" i="1" a="1"/>
  <c r="L47" i="1" s="1"/>
  <c r="L48" i="1" a="1"/>
  <c r="L48" i="1" s="1"/>
  <c r="M48" i="1" s="1" a="1"/>
  <c r="M48" i="1" s="1"/>
  <c r="L49" i="1" a="1"/>
  <c r="L49" i="1" s="1"/>
  <c r="M49" i="1" s="1" a="1"/>
  <c r="M49" i="1" s="1"/>
  <c r="L50" i="1" a="1"/>
  <c r="L50" i="1" s="1"/>
  <c r="L51" i="1" a="1"/>
  <c r="L51" i="1" s="1"/>
  <c r="M51" i="1" s="1" a="1"/>
  <c r="M51" i="1" s="1"/>
  <c r="L52" i="1" a="1"/>
  <c r="L52" i="1"/>
  <c r="L53" i="1" a="1"/>
  <c r="L53" i="1" s="1"/>
  <c r="L54" i="1" a="1"/>
  <c r="L54" i="1" s="1"/>
  <c r="M54" i="1" s="1" a="1"/>
  <c r="M54" i="1" s="1"/>
  <c r="L55" i="1" a="1"/>
  <c r="L55" i="1" s="1"/>
  <c r="M55" i="1" s="1" a="1"/>
  <c r="M55" i="1" s="1"/>
  <c r="L56" i="1" a="1"/>
  <c r="L56" i="1" s="1"/>
  <c r="L57" i="1" a="1"/>
  <c r="L57" i="1" s="1"/>
  <c r="M57" i="1" s="1" a="1"/>
  <c r="M57" i="1" s="1"/>
  <c r="L58" i="1" a="1"/>
  <c r="L58" i="1" s="1"/>
  <c r="M58" i="1" s="1" a="1"/>
  <c r="M58" i="1" s="1"/>
  <c r="L59" i="1" a="1"/>
  <c r="L59" i="1" s="1"/>
  <c r="L60" i="1" a="1"/>
  <c r="L60" i="1" s="1"/>
  <c r="M60" i="1" s="1" a="1"/>
  <c r="M60" i="1" s="1"/>
  <c r="L61" i="1" a="1"/>
  <c r="L61" i="1" s="1"/>
  <c r="M61" i="1" s="1" a="1"/>
  <c r="M61" i="1" s="1"/>
  <c r="L62" i="1" a="1"/>
  <c r="L62" i="1" s="1"/>
  <c r="M62" i="1" s="1" a="1"/>
  <c r="M62" i="1" s="1"/>
  <c r="L63" i="1" a="1"/>
  <c r="L63" i="1" s="1"/>
  <c r="L64" i="1" a="1"/>
  <c r="L64" i="1" s="1"/>
  <c r="M64" i="1" s="1" a="1"/>
  <c r="M64" i="1" s="1"/>
  <c r="L65" i="1" a="1"/>
  <c r="L65" i="1" s="1"/>
  <c r="M65" i="1" s="1" a="1"/>
  <c r="M65" i="1" s="1"/>
  <c r="L66" i="1" a="1"/>
  <c r="L66" i="1" s="1"/>
  <c r="L67" i="1" a="1"/>
  <c r="L67" i="1" s="1"/>
  <c r="M67" i="1" s="1" a="1"/>
  <c r="M67" i="1" s="1"/>
  <c r="L68" i="1" a="1"/>
  <c r="L68" i="1" s="1"/>
  <c r="M68" i="1" s="1" a="1"/>
  <c r="M68" i="1" s="1"/>
  <c r="L69" i="1" a="1"/>
  <c r="L69" i="1"/>
  <c r="L70" i="1" a="1"/>
  <c r="L70" i="1" s="1"/>
  <c r="M70" i="1" s="1" a="1"/>
  <c r="M70" i="1" s="1"/>
  <c r="L71" i="1" a="1"/>
  <c r="L71" i="1" s="1"/>
  <c r="M71" i="1" s="1" a="1"/>
  <c r="M71" i="1" s="1"/>
  <c r="L72" i="1" a="1"/>
  <c r="L72" i="1" s="1"/>
  <c r="M72" i="1" s="1" a="1"/>
  <c r="M72" i="1" s="1"/>
  <c r="L73" i="1" a="1"/>
  <c r="L73" i="1" s="1"/>
  <c r="M73" i="1" s="1" a="1"/>
  <c r="M73" i="1" s="1"/>
  <c r="L74" i="1" a="1"/>
  <c r="L74" i="1" s="1"/>
  <c r="M74" i="1" s="1" a="1"/>
  <c r="M74" i="1" s="1"/>
  <c r="L75" i="1" a="1"/>
  <c r="L75" i="1" s="1"/>
  <c r="M75" i="1" s="1" a="1"/>
  <c r="M75" i="1" s="1"/>
  <c r="L76" i="1" a="1"/>
  <c r="L76" i="1" s="1"/>
  <c r="M76" i="1" s="1" a="1"/>
  <c r="M76" i="1" s="1"/>
  <c r="L77" i="1" a="1"/>
  <c r="L77" i="1" s="1"/>
  <c r="M77" i="1" s="1" a="1"/>
  <c r="M77" i="1" s="1"/>
  <c r="L78" i="1" a="1"/>
  <c r="L78" i="1" s="1"/>
  <c r="M78" i="1" s="1" a="1"/>
  <c r="M78" i="1" s="1"/>
  <c r="L79" i="1" a="1"/>
  <c r="L79" i="1" s="1"/>
  <c r="M79" i="1" s="1" a="1"/>
  <c r="M79" i="1" s="1"/>
  <c r="L80" i="1" a="1"/>
  <c r="L80" i="1" s="1"/>
  <c r="M80" i="1" s="1" a="1"/>
  <c r="M80" i="1" s="1"/>
  <c r="L81" i="1" a="1"/>
  <c r="L81" i="1" s="1"/>
  <c r="M81" i="1" s="1" a="1"/>
  <c r="M81" i="1" s="1"/>
  <c r="L82" i="1" a="1"/>
  <c r="L82" i="1" s="1"/>
  <c r="M82" i="1" s="1" a="1"/>
  <c r="M82" i="1" s="1"/>
  <c r="L83" i="1" a="1"/>
  <c r="L83" i="1" s="1"/>
  <c r="M83" i="1" s="1" a="1"/>
  <c r="M83" i="1" s="1"/>
  <c r="L84" i="1" a="1"/>
  <c r="L84" i="1" s="1"/>
  <c r="M84" i="1" s="1" a="1"/>
  <c r="M84" i="1" s="1"/>
  <c r="L85" i="1" a="1"/>
  <c r="L85" i="1" s="1"/>
  <c r="M85" i="1" s="1" a="1"/>
  <c r="M85" i="1" s="1"/>
  <c r="L86" i="1" a="1"/>
  <c r="L86" i="1" s="1"/>
  <c r="M86" i="1" s="1" a="1"/>
  <c r="M86" i="1" s="1"/>
  <c r="L87" i="1" a="1"/>
  <c r="L87" i="1" s="1"/>
  <c r="M87" i="1" s="1" a="1"/>
  <c r="M87" i="1" s="1"/>
  <c r="L88" i="1" a="1"/>
  <c r="L88" i="1" s="1"/>
  <c r="M88" i="1" s="1" a="1"/>
  <c r="M88" i="1" s="1"/>
  <c r="L89" i="1" a="1"/>
  <c r="L89" i="1" s="1"/>
  <c r="M89" i="1" s="1" a="1"/>
  <c r="M89" i="1" s="1"/>
  <c r="L90" i="1" a="1"/>
  <c r="L90" i="1" s="1"/>
  <c r="M90" i="1" s="1" a="1"/>
  <c r="M90" i="1" s="1"/>
  <c r="L91" i="1" a="1"/>
  <c r="L91" i="1" s="1"/>
  <c r="M91" i="1" s="1" a="1"/>
  <c r="M91" i="1" s="1"/>
  <c r="L92" i="1" a="1"/>
  <c r="L92" i="1" s="1"/>
  <c r="M92" i="1" s="1" a="1"/>
  <c r="M92" i="1" s="1"/>
  <c r="L93" i="1" a="1"/>
  <c r="L93" i="1" s="1"/>
  <c r="M93" i="1" s="1" a="1"/>
  <c r="M93" i="1" s="1"/>
  <c r="L94" i="1" a="1"/>
  <c r="L94" i="1" s="1"/>
  <c r="M94" i="1" s="1" a="1"/>
  <c r="M94" i="1" s="1"/>
  <c r="L95" i="1" a="1"/>
  <c r="L95" i="1" s="1"/>
  <c r="M95" i="1" s="1" a="1"/>
  <c r="M95" i="1" s="1"/>
  <c r="L96" i="1" a="1"/>
  <c r="L96" i="1" s="1"/>
  <c r="M96" i="1" s="1" a="1"/>
  <c r="M96" i="1" s="1"/>
  <c r="L97" i="1" a="1"/>
  <c r="L97" i="1" s="1"/>
  <c r="M97" i="1" s="1" a="1"/>
  <c r="M97" i="1" s="1"/>
  <c r="L98" i="1" a="1"/>
  <c r="L98" i="1" s="1"/>
  <c r="M98" i="1" s="1" a="1"/>
  <c r="M98" i="1" s="1"/>
  <c r="L99" i="1" a="1"/>
  <c r="L99" i="1" s="1"/>
  <c r="M99" i="1" s="1" a="1"/>
  <c r="M99" i="1" s="1"/>
  <c r="L100" i="1" a="1"/>
  <c r="L100" i="1" s="1"/>
  <c r="M100" i="1" s="1" a="1"/>
  <c r="M100" i="1" s="1"/>
  <c r="L101" i="1" a="1"/>
  <c r="L101" i="1" s="1"/>
  <c r="M101" i="1" s="1" a="1"/>
  <c r="M101" i="1" s="1"/>
  <c r="L102" i="1" a="1"/>
  <c r="L102" i="1" s="1"/>
  <c r="M102" i="1" s="1" a="1"/>
  <c r="M102" i="1" s="1"/>
  <c r="L103" i="1" a="1"/>
  <c r="L103" i="1" s="1"/>
  <c r="M103" i="1" s="1" a="1"/>
  <c r="M103" i="1" s="1"/>
  <c r="L104" i="1" a="1"/>
  <c r="L104" i="1" s="1"/>
  <c r="M104" i="1" s="1" a="1"/>
  <c r="M104" i="1" s="1"/>
  <c r="L105" i="1" a="1"/>
  <c r="L105" i="1" s="1"/>
  <c r="M105" i="1" s="1" a="1"/>
  <c r="M105" i="1" s="1"/>
  <c r="L106" i="1" a="1"/>
  <c r="L106" i="1" s="1"/>
  <c r="M106" i="1" s="1" a="1"/>
  <c r="M106" i="1" s="1"/>
  <c r="L107" i="1" a="1"/>
  <c r="L107" i="1" s="1"/>
  <c r="M107" i="1" s="1" a="1"/>
  <c r="M107" i="1" s="1"/>
  <c r="L108" i="1" a="1"/>
  <c r="L108" i="1" s="1"/>
  <c r="M108" i="1" s="1" a="1"/>
  <c r="M108" i="1" s="1"/>
  <c r="L109" i="1" a="1"/>
  <c r="L109" i="1" s="1"/>
  <c r="M109" i="1" s="1" a="1"/>
  <c r="M109" i="1" s="1"/>
  <c r="L110" i="1" a="1"/>
  <c r="L110" i="1" s="1"/>
  <c r="M110" i="1" s="1" a="1"/>
  <c r="M110" i="1" s="1"/>
  <c r="L111" i="1" a="1"/>
  <c r="L111" i="1" s="1"/>
  <c r="M111" i="1" s="1" a="1"/>
  <c r="M111" i="1" s="1"/>
  <c r="L112" i="1" a="1"/>
  <c r="L112" i="1" s="1"/>
  <c r="M112" i="1" s="1" a="1"/>
  <c r="M112" i="1" s="1"/>
  <c r="L113" i="1" a="1"/>
  <c r="L113" i="1" s="1"/>
  <c r="M113" i="1" s="1" a="1"/>
  <c r="M113" i="1" s="1"/>
  <c r="L114" i="1" a="1"/>
  <c r="L114" i="1" s="1"/>
  <c r="M114" i="1" s="1" a="1"/>
  <c r="M114" i="1" s="1"/>
  <c r="L115" i="1" a="1"/>
  <c r="L115" i="1" s="1"/>
  <c r="M115" i="1" s="1" a="1"/>
  <c r="M115" i="1" s="1"/>
  <c r="L116" i="1" a="1"/>
  <c r="L116" i="1" s="1"/>
  <c r="M116" i="1" s="1" a="1"/>
  <c r="M116" i="1" s="1"/>
  <c r="L117" i="1" a="1"/>
  <c r="L117" i="1" s="1"/>
  <c r="M117" i="1" s="1" a="1"/>
  <c r="M117" i="1" s="1"/>
  <c r="L118" i="1" a="1"/>
  <c r="L118" i="1" s="1"/>
  <c r="M118" i="1" s="1" a="1"/>
  <c r="M118" i="1" s="1"/>
  <c r="L119" i="1" a="1"/>
  <c r="L119" i="1" s="1"/>
  <c r="M119" i="1" s="1" a="1"/>
  <c r="M119" i="1" s="1"/>
  <c r="L120" i="1" a="1"/>
  <c r="L120" i="1" s="1"/>
  <c r="M120" i="1" s="1" a="1"/>
  <c r="M120" i="1" s="1"/>
  <c r="L121" i="1" a="1"/>
  <c r="L121" i="1" s="1"/>
  <c r="M121" i="1" s="1" a="1"/>
  <c r="M121" i="1" s="1"/>
  <c r="L122" i="1" a="1"/>
  <c r="L122" i="1" s="1"/>
  <c r="M122" i="1" s="1" a="1"/>
  <c r="M122" i="1" s="1"/>
  <c r="L123" i="1" a="1"/>
  <c r="L123" i="1" s="1"/>
  <c r="M123" i="1" s="1" a="1"/>
  <c r="M123" i="1" s="1"/>
  <c r="L124" i="1" a="1"/>
  <c r="L124" i="1" s="1"/>
  <c r="M124" i="1" s="1" a="1"/>
  <c r="M124" i="1" s="1"/>
  <c r="L125" i="1" a="1"/>
  <c r="L125" i="1" s="1"/>
  <c r="M125" i="1" s="1" a="1"/>
  <c r="M125" i="1" s="1"/>
  <c r="L126" i="1" a="1"/>
  <c r="L126" i="1" s="1"/>
  <c r="M126" i="1" s="1" a="1"/>
  <c r="M126" i="1" s="1"/>
  <c r="L127" i="1" a="1"/>
  <c r="L127" i="1" s="1"/>
  <c r="M127" i="1" s="1" a="1"/>
  <c r="M127" i="1" s="1"/>
  <c r="L128" i="1" a="1"/>
  <c r="L128" i="1" s="1"/>
  <c r="M128" i="1" s="1" a="1"/>
  <c r="M128" i="1" s="1"/>
  <c r="L129" i="1" a="1"/>
  <c r="L129" i="1" s="1"/>
  <c r="M129" i="1" s="1" a="1"/>
  <c r="M129" i="1" s="1"/>
  <c r="L130" i="1" a="1"/>
  <c r="L130" i="1" s="1"/>
  <c r="M130" i="1" s="1" a="1"/>
  <c r="M130" i="1" s="1"/>
  <c r="L131" i="1" a="1"/>
  <c r="L131" i="1" s="1"/>
  <c r="M131" i="1" s="1" a="1"/>
  <c r="M131" i="1" s="1"/>
  <c r="L132" i="1" a="1"/>
  <c r="L132" i="1" s="1"/>
  <c r="M132" i="1" s="1" a="1"/>
  <c r="M132" i="1" s="1"/>
  <c r="L133" i="1" a="1"/>
  <c r="L133" i="1" s="1"/>
  <c r="M133" i="1" s="1" a="1"/>
  <c r="M133" i="1" s="1"/>
  <c r="L134" i="1" a="1"/>
  <c r="L134" i="1" s="1"/>
  <c r="M134" i="1" s="1" a="1"/>
  <c r="M134" i="1" s="1"/>
  <c r="L135" i="1" a="1"/>
  <c r="L135" i="1" s="1"/>
  <c r="M135" i="1" s="1" a="1"/>
  <c r="M135" i="1" s="1"/>
  <c r="L136" i="1" a="1"/>
  <c r="L136" i="1" s="1"/>
  <c r="M136" i="1" s="1" a="1"/>
  <c r="M136" i="1" s="1"/>
  <c r="L137" i="1" a="1"/>
  <c r="L137" i="1" s="1"/>
  <c r="M137" i="1" s="1" a="1"/>
  <c r="M137" i="1" s="1"/>
  <c r="L138" i="1" a="1"/>
  <c r="L138" i="1" s="1"/>
  <c r="M138" i="1" s="1" a="1"/>
  <c r="M138" i="1" s="1"/>
  <c r="L139" i="1" a="1"/>
  <c r="L139" i="1" s="1"/>
  <c r="M139" i="1" s="1" a="1"/>
  <c r="M139" i="1" s="1"/>
  <c r="L140" i="1" a="1"/>
  <c r="L140" i="1" s="1"/>
  <c r="M140" i="1" s="1" a="1"/>
  <c r="M140" i="1" s="1"/>
  <c r="L141" i="1" a="1"/>
  <c r="L141" i="1" s="1"/>
  <c r="M141" i="1" s="1" a="1"/>
  <c r="M141" i="1" s="1"/>
  <c r="L142" i="1" a="1"/>
  <c r="L142" i="1" s="1"/>
  <c r="M142" i="1" s="1" a="1"/>
  <c r="M142" i="1" s="1"/>
  <c r="L143" i="1" a="1"/>
  <c r="L143" i="1" s="1"/>
  <c r="M143" i="1" s="1" a="1"/>
  <c r="M143" i="1" s="1"/>
  <c r="L144" i="1" a="1"/>
  <c r="L144" i="1" s="1"/>
  <c r="M144" i="1" s="1" a="1"/>
  <c r="M144" i="1" s="1"/>
  <c r="L145" i="1" a="1"/>
  <c r="L145" i="1" s="1"/>
  <c r="M145" i="1" s="1" a="1"/>
  <c r="M145" i="1" s="1"/>
  <c r="L146" i="1" a="1"/>
  <c r="L146" i="1" s="1"/>
  <c r="M146" i="1" s="1" a="1"/>
  <c r="M146" i="1" s="1"/>
  <c r="L147" i="1" a="1"/>
  <c r="L147" i="1" s="1"/>
  <c r="M147" i="1" s="1" a="1"/>
  <c r="M147" i="1" s="1"/>
  <c r="L148" i="1" a="1"/>
  <c r="L148" i="1" s="1"/>
  <c r="M148" i="1" s="1" a="1"/>
  <c r="M148" i="1" s="1"/>
  <c r="L149" i="1" a="1"/>
  <c r="L149" i="1" s="1"/>
  <c r="M149" i="1" s="1" a="1"/>
  <c r="M149" i="1" s="1"/>
  <c r="L150" i="1" a="1"/>
  <c r="L150" i="1" s="1"/>
  <c r="M150" i="1" s="1" a="1"/>
  <c r="M150" i="1" s="1"/>
  <c r="L151" i="1" a="1"/>
  <c r="L151" i="1" s="1"/>
  <c r="M151" i="1" s="1" a="1"/>
  <c r="M151" i="1" s="1"/>
  <c r="L152" i="1" a="1"/>
  <c r="L152" i="1" s="1"/>
  <c r="M152" i="1" s="1" a="1"/>
  <c r="M152" i="1" s="1"/>
  <c r="L153" i="1" a="1"/>
  <c r="L153" i="1" s="1"/>
  <c r="M153" i="1" s="1" a="1"/>
  <c r="M153" i="1" s="1"/>
  <c r="L154" i="1" a="1"/>
  <c r="L154" i="1" s="1"/>
  <c r="M154" i="1" s="1" a="1"/>
  <c r="M154" i="1" s="1"/>
  <c r="L155" i="1" a="1"/>
  <c r="L155" i="1" s="1"/>
  <c r="M155" i="1" s="1" a="1"/>
  <c r="M155" i="1" s="1"/>
  <c r="L156" i="1" a="1"/>
  <c r="L156" i="1" s="1"/>
  <c r="M156" i="1" s="1" a="1"/>
  <c r="M156" i="1" s="1"/>
  <c r="L157" i="1" a="1"/>
  <c r="L157" i="1" s="1"/>
  <c r="M157" i="1" s="1" a="1"/>
  <c r="M157" i="1" s="1"/>
  <c r="L158" i="1" a="1"/>
  <c r="L158" i="1" s="1"/>
  <c r="M158" i="1" s="1" a="1"/>
  <c r="M158" i="1" s="1"/>
  <c r="L159" i="1" a="1"/>
  <c r="L159" i="1" s="1"/>
  <c r="M159" i="1" s="1" a="1"/>
  <c r="M159" i="1" s="1"/>
  <c r="L160" i="1" a="1"/>
  <c r="L160" i="1" s="1"/>
  <c r="M160" i="1" s="1" a="1"/>
  <c r="M160" i="1" s="1"/>
  <c r="L161" i="1" a="1"/>
  <c r="L161" i="1" s="1"/>
  <c r="M161" i="1" s="1" a="1"/>
  <c r="M161" i="1" s="1"/>
  <c r="L162" i="1" a="1"/>
  <c r="L162" i="1" s="1"/>
  <c r="M162" i="1" s="1" a="1"/>
  <c r="M162" i="1" s="1"/>
  <c r="L163" i="1" a="1"/>
  <c r="L163" i="1" s="1"/>
  <c r="M163" i="1" s="1" a="1"/>
  <c r="M163" i="1" s="1"/>
  <c r="L164" i="1" a="1"/>
  <c r="L164" i="1" s="1"/>
  <c r="M164" i="1" s="1" a="1"/>
  <c r="M164" i="1" s="1"/>
  <c r="L165" i="1" a="1"/>
  <c r="L165" i="1" s="1"/>
  <c r="M165" i="1" s="1" a="1"/>
  <c r="M165" i="1" s="1"/>
  <c r="L166" i="1" a="1"/>
  <c r="L166" i="1" s="1"/>
  <c r="M166" i="1" s="1" a="1"/>
  <c r="M166" i="1" s="1"/>
  <c r="L167" i="1" a="1"/>
  <c r="L167" i="1" s="1"/>
  <c r="M167" i="1" s="1" a="1"/>
  <c r="M167" i="1" s="1"/>
  <c r="L168" i="1" a="1"/>
  <c r="L168" i="1" s="1"/>
  <c r="M168" i="1" s="1" a="1"/>
  <c r="M168" i="1" s="1"/>
  <c r="L169" i="1" a="1"/>
  <c r="L169" i="1" s="1"/>
  <c r="M169" i="1" s="1" a="1"/>
  <c r="M169" i="1" s="1"/>
  <c r="L170" i="1" a="1"/>
  <c r="L170" i="1" s="1"/>
  <c r="M170" i="1" s="1" a="1"/>
  <c r="M170" i="1" s="1"/>
  <c r="L171" i="1" a="1"/>
  <c r="L171" i="1" s="1"/>
  <c r="M171" i="1" s="1" a="1"/>
  <c r="M171" i="1" s="1"/>
  <c r="L172" i="1" a="1"/>
  <c r="L172" i="1" s="1"/>
  <c r="M172" i="1" s="1" a="1"/>
  <c r="M172" i="1" s="1"/>
  <c r="L173" i="1" a="1"/>
  <c r="L173" i="1" s="1"/>
  <c r="M173" i="1" s="1" a="1"/>
  <c r="M173" i="1" s="1"/>
  <c r="L174" i="1" a="1"/>
  <c r="L174" i="1" s="1"/>
  <c r="M174" i="1" s="1" a="1"/>
  <c r="M174" i="1" s="1"/>
  <c r="L175" i="1" a="1"/>
  <c r="L175" i="1" s="1"/>
  <c r="M175" i="1" s="1" a="1"/>
  <c r="M175" i="1" s="1"/>
  <c r="L176" i="1" a="1"/>
  <c r="L176" i="1" s="1"/>
  <c r="M176" i="1" s="1" a="1"/>
  <c r="M176" i="1" s="1"/>
  <c r="L177" i="1" a="1"/>
  <c r="L177" i="1" s="1"/>
  <c r="M177" i="1" s="1" a="1"/>
  <c r="M177" i="1" s="1"/>
  <c r="L178" i="1" a="1"/>
  <c r="L178" i="1" s="1"/>
  <c r="M178" i="1" s="1" a="1"/>
  <c r="M178" i="1" s="1"/>
  <c r="L179" i="1" a="1"/>
  <c r="L179" i="1"/>
  <c r="L180" i="1" a="1"/>
  <c r="L180" i="1" s="1"/>
  <c r="L181" i="1" a="1"/>
  <c r="L181" i="1" s="1"/>
  <c r="M181" i="1" s="1" a="1"/>
  <c r="M181" i="1" s="1"/>
  <c r="L182" i="1" a="1"/>
  <c r="L182" i="1" s="1"/>
  <c r="M182" i="1" s="1" a="1"/>
  <c r="M182" i="1" s="1"/>
  <c r="L183" i="1" a="1"/>
  <c r="L183" i="1" s="1"/>
  <c r="L184" i="1" a="1"/>
  <c r="L184" i="1" s="1"/>
  <c r="M184" i="1" s="1" a="1"/>
  <c r="M184" i="1" s="1"/>
  <c r="L185" i="1" a="1"/>
  <c r="L185" i="1" s="1"/>
  <c r="M185" i="1" s="1" a="1"/>
  <c r="M185" i="1" s="1"/>
  <c r="L186" i="1" a="1"/>
  <c r="L186" i="1" s="1"/>
  <c r="M186" i="1" s="1" a="1"/>
  <c r="M186" i="1" s="1"/>
  <c r="L187" i="1" a="1"/>
  <c r="L187" i="1" s="1"/>
  <c r="L188" i="1" a="1"/>
  <c r="L188" i="1" s="1"/>
  <c r="M188" i="1" s="1" a="1"/>
  <c r="M188" i="1" s="1"/>
  <c r="L189" i="1" a="1"/>
  <c r="L189" i="1" s="1"/>
  <c r="M189" i="1" s="1" a="1"/>
  <c r="M189" i="1" s="1"/>
  <c r="L190" i="1" a="1"/>
  <c r="L190" i="1" s="1"/>
  <c r="M190" i="1" s="1" a="1"/>
  <c r="M190" i="1" s="1"/>
  <c r="L191" i="1" a="1"/>
  <c r="L191" i="1" s="1"/>
  <c r="M191" i="1" s="1" a="1"/>
  <c r="M191" i="1" s="1"/>
  <c r="L192" i="1" a="1"/>
  <c r="L192" i="1" s="1"/>
  <c r="M192" i="1" s="1" a="1"/>
  <c r="M192" i="1" s="1"/>
  <c r="L193" i="1" a="1"/>
  <c r="L193" i="1" s="1"/>
  <c r="M193" i="1" s="1" a="1"/>
  <c r="M193" i="1" s="1"/>
  <c r="L194" i="1" a="1"/>
  <c r="L194" i="1" s="1"/>
  <c r="M194" i="1" s="1" a="1"/>
  <c r="M194" i="1" s="1"/>
  <c r="L195" i="1" a="1"/>
  <c r="L195" i="1" s="1"/>
  <c r="M195" i="1" s="1" a="1"/>
  <c r="M195" i="1" s="1"/>
  <c r="L196" i="1" a="1"/>
  <c r="L196" i="1" s="1"/>
  <c r="M196" i="1" s="1" a="1"/>
  <c r="M196" i="1" s="1"/>
  <c r="L197" i="1" a="1"/>
  <c r="L197" i="1" s="1"/>
  <c r="M197" i="1" s="1" a="1"/>
  <c r="M197" i="1" s="1"/>
  <c r="L198" i="1" a="1"/>
  <c r="L198" i="1" s="1"/>
  <c r="M198" i="1" s="1" a="1"/>
  <c r="M198" i="1" s="1"/>
  <c r="L199" i="1" a="1"/>
  <c r="L199" i="1" s="1"/>
  <c r="M199" i="1" s="1" a="1"/>
  <c r="M199" i="1" s="1"/>
  <c r="L200" i="1" a="1"/>
  <c r="L200" i="1" s="1"/>
  <c r="M200" i="1" s="1" a="1"/>
  <c r="M200" i="1" s="1"/>
  <c r="L201" i="1" a="1"/>
  <c r="L201" i="1" s="1"/>
  <c r="M201" i="1" s="1" a="1"/>
  <c r="M201" i="1" s="1"/>
  <c r="L202" i="1" a="1"/>
  <c r="L202" i="1" s="1"/>
  <c r="M202" i="1" s="1" a="1"/>
  <c r="M202" i="1" s="1"/>
  <c r="L203" i="1" a="1"/>
  <c r="L203" i="1" s="1"/>
  <c r="M203" i="1" s="1" a="1"/>
  <c r="M203" i="1" s="1"/>
  <c r="L204" i="1" a="1"/>
  <c r="L204" i="1" s="1"/>
  <c r="M204" i="1" s="1" a="1"/>
  <c r="M204" i="1" s="1"/>
  <c r="L205" i="1" a="1"/>
  <c r="L205" i="1" s="1"/>
  <c r="M205" i="1" s="1" a="1"/>
  <c r="M205" i="1" s="1"/>
  <c r="L206" i="1" a="1"/>
  <c r="L206" i="1" s="1"/>
  <c r="M206" i="1" s="1" a="1"/>
  <c r="M206" i="1" s="1"/>
  <c r="L207" i="1" a="1"/>
  <c r="L207" i="1" s="1"/>
  <c r="M207" i="1" s="1" a="1"/>
  <c r="M207" i="1" s="1"/>
  <c r="L208" i="1" a="1"/>
  <c r="L208" i="1" s="1"/>
  <c r="M208" i="1" s="1" a="1"/>
  <c r="M208" i="1" s="1"/>
  <c r="L209" i="1" a="1"/>
  <c r="L209" i="1" s="1"/>
  <c r="M209" i="1" s="1" a="1"/>
  <c r="M209" i="1" s="1"/>
  <c r="L210" i="1" a="1"/>
  <c r="L210" i="1" s="1"/>
  <c r="M210" i="1" s="1" a="1"/>
  <c r="M210" i="1" s="1"/>
  <c r="L211" i="1" a="1"/>
  <c r="L211" i="1" s="1"/>
  <c r="M211" i="1" s="1" a="1"/>
  <c r="M211" i="1" s="1"/>
  <c r="L212" i="1" a="1"/>
  <c r="L212" i="1" s="1"/>
  <c r="M212" i="1" s="1" a="1"/>
  <c r="M212" i="1" s="1"/>
  <c r="L213" i="1" a="1"/>
  <c r="L213" i="1" s="1"/>
  <c r="M213" i="1" s="1" a="1"/>
  <c r="M213" i="1" s="1"/>
  <c r="L214" i="1" a="1"/>
  <c r="L214" i="1" s="1"/>
  <c r="M214" i="1" s="1" a="1"/>
  <c r="M214" i="1" s="1"/>
  <c r="L215" i="1" a="1"/>
  <c r="L215" i="1" s="1"/>
  <c r="M215" i="1" s="1" a="1"/>
  <c r="M215" i="1" s="1"/>
  <c r="L216" i="1" a="1"/>
  <c r="L216" i="1" s="1"/>
  <c r="M216" i="1" s="1" a="1"/>
  <c r="M216" i="1" s="1"/>
  <c r="L217" i="1" a="1"/>
  <c r="L217" i="1" s="1"/>
  <c r="M217" i="1" s="1" a="1"/>
  <c r="M217" i="1" s="1"/>
  <c r="L218" i="1" a="1"/>
  <c r="L218" i="1" s="1"/>
  <c r="M218" i="1" s="1" a="1"/>
  <c r="M218" i="1" s="1"/>
  <c r="L219" i="1" a="1"/>
  <c r="L219" i="1" s="1"/>
  <c r="M219" i="1" s="1" a="1"/>
  <c r="M219" i="1" s="1"/>
  <c r="L220" i="1" a="1"/>
  <c r="L220" i="1" s="1"/>
  <c r="M220" i="1" s="1" a="1"/>
  <c r="M220" i="1" s="1"/>
  <c r="L221" i="1" a="1"/>
  <c r="L221" i="1" s="1"/>
  <c r="M221" i="1" s="1" a="1"/>
  <c r="M221" i="1" s="1"/>
  <c r="L222" i="1" a="1"/>
  <c r="L222" i="1" s="1"/>
  <c r="M222" i="1" s="1" a="1"/>
  <c r="M222" i="1" s="1"/>
  <c r="L223" i="1" a="1"/>
  <c r="L223" i="1" s="1"/>
  <c r="M223" i="1" s="1" a="1"/>
  <c r="M223" i="1" s="1"/>
  <c r="L224" i="1" a="1"/>
  <c r="L224" i="1" s="1"/>
  <c r="M224" i="1" s="1" a="1"/>
  <c r="M224" i="1" s="1"/>
  <c r="L225" i="1" a="1"/>
  <c r="L225" i="1" s="1"/>
  <c r="L226" i="1" a="1"/>
  <c r="L226" i="1" s="1"/>
  <c r="M226" i="1" s="1" a="1"/>
  <c r="M226" i="1" s="1"/>
  <c r="L227" i="1" a="1"/>
  <c r="L227" i="1" s="1"/>
  <c r="M227" i="1" s="1" a="1"/>
  <c r="M227" i="1" s="1"/>
  <c r="L228" i="1" a="1"/>
  <c r="L228" i="1" s="1"/>
  <c r="L229" i="1" a="1"/>
  <c r="L229" i="1" s="1"/>
  <c r="M229" i="1" s="1" a="1"/>
  <c r="M229" i="1" s="1"/>
  <c r="L230" i="1" a="1"/>
  <c r="L230" i="1" s="1"/>
  <c r="M230" i="1" s="1" a="1"/>
  <c r="M230" i="1" s="1"/>
  <c r="L231" i="1" a="1"/>
  <c r="L231" i="1" s="1"/>
  <c r="M231" i="1" s="1" a="1"/>
  <c r="M231" i="1" s="1"/>
  <c r="L232" i="1" a="1"/>
  <c r="L232" i="1" s="1"/>
  <c r="M232" i="1" s="1" a="1"/>
  <c r="M232" i="1" s="1"/>
  <c r="L233" i="1" a="1"/>
  <c r="L233" i="1" s="1"/>
  <c r="L234" i="1" a="1"/>
  <c r="L234" i="1" s="1"/>
  <c r="M234" i="1" s="1" a="1"/>
  <c r="M234" i="1" s="1"/>
  <c r="L235" i="1" a="1"/>
  <c r="L235" i="1" s="1"/>
  <c r="L236" i="1" a="1"/>
  <c r="L236" i="1" s="1"/>
  <c r="M236" i="1" s="1" a="1"/>
  <c r="M236" i="1" s="1"/>
  <c r="L237" i="1" a="1"/>
  <c r="L237" i="1" s="1"/>
  <c r="L238" i="1" a="1"/>
  <c r="L238" i="1" s="1"/>
  <c r="M238" i="1" s="1" a="1"/>
  <c r="M238" i="1" s="1"/>
  <c r="L239" i="1" a="1"/>
  <c r="L239" i="1" s="1"/>
  <c r="M239" i="1" s="1" a="1"/>
  <c r="M239" i="1" s="1"/>
  <c r="L240" i="1" a="1"/>
  <c r="L240" i="1" s="1"/>
  <c r="L241" i="1" a="1"/>
  <c r="L241" i="1" s="1"/>
  <c r="M241" i="1" s="1" a="1"/>
  <c r="M241" i="1" s="1"/>
  <c r="L242" i="1" a="1"/>
  <c r="L242" i="1" s="1"/>
  <c r="M242" i="1" s="1" a="1"/>
  <c r="M242" i="1" s="1"/>
  <c r="L243" i="1" a="1"/>
  <c r="L243" i="1" s="1"/>
  <c r="L244" i="1" a="1"/>
  <c r="L244" i="1"/>
  <c r="L245" i="1" a="1"/>
  <c r="L245" i="1" s="1"/>
  <c r="L246" i="1" a="1"/>
  <c r="L246" i="1" s="1"/>
  <c r="M246" i="1" s="1" a="1"/>
  <c r="M246" i="1" s="1"/>
  <c r="L247" i="1" a="1"/>
  <c r="L247" i="1" s="1"/>
  <c r="L248" i="1" a="1"/>
  <c r="L248" i="1" s="1"/>
  <c r="L249" i="1" a="1"/>
  <c r="L249" i="1" s="1"/>
  <c r="M249" i="1" s="1" a="1"/>
  <c r="M249" i="1" s="1"/>
  <c r="L250" i="1" a="1"/>
  <c r="L250" i="1" s="1"/>
  <c r="L251" i="1" a="1"/>
  <c r="L251" i="1"/>
  <c r="L252" i="1" a="1"/>
  <c r="L252" i="1" s="1"/>
  <c r="M252" i="1" s="1" a="1"/>
  <c r="M252" i="1" s="1"/>
  <c r="L253" i="1" a="1"/>
  <c r="L253" i="1" s="1"/>
  <c r="M253" i="1" s="1" a="1"/>
  <c r="M253" i="1" s="1"/>
  <c r="L254" i="1" a="1"/>
  <c r="L254" i="1" s="1"/>
  <c r="L255" i="1" a="1"/>
  <c r="L255" i="1" s="1"/>
  <c r="M255" i="1" s="1" a="1"/>
  <c r="M255" i="1" s="1"/>
  <c r="L256" i="1" a="1"/>
  <c r="L256" i="1" s="1"/>
  <c r="M256" i="1" s="1" a="1"/>
  <c r="M256" i="1" s="1"/>
  <c r="L257" i="1" a="1"/>
  <c r="L257" i="1" s="1"/>
  <c r="L258" i="1" a="1"/>
  <c r="L258" i="1"/>
  <c r="L259" i="1" a="1"/>
  <c r="L259" i="1" s="1"/>
  <c r="M259" i="1" s="1" a="1"/>
  <c r="M259" i="1" s="1"/>
  <c r="L260" i="1" a="1"/>
  <c r="L260" i="1" s="1"/>
  <c r="M260" i="1" s="1" a="1"/>
  <c r="M260" i="1" s="1"/>
  <c r="L261" i="1" a="1"/>
  <c r="L261" i="1" s="1"/>
  <c r="M261" i="1" s="1" a="1"/>
  <c r="M261" i="1" s="1"/>
  <c r="L262" i="1" a="1"/>
  <c r="L262" i="1" s="1"/>
  <c r="M262" i="1" s="1" a="1"/>
  <c r="M262" i="1" s="1"/>
  <c r="L263" i="1" a="1"/>
  <c r="L263" i="1" s="1"/>
  <c r="M263" i="1" s="1" a="1"/>
  <c r="M263" i="1" s="1"/>
  <c r="L264" i="1" a="1"/>
  <c r="L264" i="1" s="1"/>
  <c r="M264" i="1" s="1" a="1"/>
  <c r="M264" i="1" s="1"/>
  <c r="L265" i="1" a="1"/>
  <c r="L265" i="1" s="1"/>
  <c r="M265" i="1" s="1" a="1"/>
  <c r="M265" i="1" s="1"/>
  <c r="L266" i="1" a="1"/>
  <c r="L266" i="1" s="1"/>
  <c r="M266" i="1" s="1" a="1"/>
  <c r="M266" i="1" s="1"/>
  <c r="L267" i="1" a="1"/>
  <c r="L267" i="1" s="1"/>
  <c r="M267" i="1" s="1" a="1"/>
  <c r="M267" i="1" s="1"/>
  <c r="L268" i="1" a="1"/>
  <c r="L268" i="1" s="1"/>
  <c r="M268" i="1" s="1" a="1"/>
  <c r="M268" i="1" s="1"/>
  <c r="L269" i="1" a="1"/>
  <c r="L269" i="1" s="1"/>
  <c r="M269" i="1" s="1" a="1"/>
  <c r="M269" i="1" s="1"/>
  <c r="L270" i="1" a="1"/>
  <c r="L270" i="1" s="1"/>
  <c r="M270" i="1" s="1" a="1"/>
  <c r="M270" i="1" s="1"/>
  <c r="L271" i="1" a="1"/>
  <c r="L271" i="1" s="1"/>
  <c r="M271" i="1" s="1" a="1"/>
  <c r="M271" i="1" s="1"/>
  <c r="L272" i="1" a="1"/>
  <c r="L272" i="1" s="1"/>
  <c r="M272" i="1" s="1" a="1"/>
  <c r="M272" i="1" s="1"/>
  <c r="L273" i="1" a="1"/>
  <c r="L273" i="1" s="1"/>
  <c r="M273" i="1" s="1" a="1"/>
  <c r="M273" i="1" s="1"/>
  <c r="L274" i="1" a="1"/>
  <c r="L274" i="1" s="1"/>
  <c r="M274" i="1" s="1" a="1"/>
  <c r="M274" i="1" s="1"/>
  <c r="L275" i="1" a="1"/>
  <c r="L275" i="1" s="1"/>
  <c r="M275" i="1" s="1" a="1"/>
  <c r="M275" i="1" s="1"/>
  <c r="L276" i="1" a="1"/>
  <c r="L276" i="1" s="1"/>
  <c r="M276" i="1" s="1" a="1"/>
  <c r="M276" i="1" s="1"/>
  <c r="L277" i="1" a="1"/>
  <c r="L277" i="1" s="1"/>
  <c r="M277" i="1" s="1" a="1"/>
  <c r="M277" i="1" s="1"/>
  <c r="L278" i="1" a="1"/>
  <c r="L278" i="1" s="1"/>
  <c r="M278" i="1" s="1" a="1"/>
  <c r="M278" i="1" s="1"/>
  <c r="L279" i="1" a="1"/>
  <c r="L279" i="1" s="1"/>
  <c r="M279" i="1" s="1" a="1"/>
  <c r="M279" i="1" s="1"/>
  <c r="L280" i="1" a="1"/>
  <c r="L280" i="1" s="1"/>
  <c r="M280" i="1" s="1" a="1"/>
  <c r="M280" i="1" s="1"/>
  <c r="L281" i="1" a="1"/>
  <c r="L281" i="1" s="1"/>
  <c r="M281" i="1" s="1" a="1"/>
  <c r="M281" i="1" s="1"/>
  <c r="L282" i="1" a="1"/>
  <c r="L282" i="1" s="1"/>
  <c r="M282" i="1" s="1" a="1"/>
  <c r="M282" i="1" s="1"/>
  <c r="L283" i="1" a="1"/>
  <c r="L283" i="1" s="1"/>
  <c r="M283" i="1" s="1" a="1"/>
  <c r="M283" i="1" s="1"/>
  <c r="L284" i="1" a="1"/>
  <c r="L284" i="1"/>
  <c r="L285" i="1" a="1"/>
  <c r="L285" i="1" s="1"/>
  <c r="L286" i="1" a="1"/>
  <c r="L286" i="1" s="1"/>
  <c r="M286" i="1" s="1" a="1"/>
  <c r="M286" i="1" s="1"/>
  <c r="L287" i="1" a="1"/>
  <c r="L287" i="1" s="1"/>
  <c r="M287" i="1" s="1" a="1"/>
  <c r="M287" i="1" s="1"/>
  <c r="L288" i="1" a="1"/>
  <c r="L288" i="1" s="1"/>
  <c r="L289" i="1" a="1"/>
  <c r="L289" i="1" s="1"/>
  <c r="M289" i="1" s="1" a="1"/>
  <c r="M289" i="1" s="1"/>
  <c r="L290" i="1" a="1"/>
  <c r="L290" i="1" s="1"/>
  <c r="M290" i="1" s="1" a="1"/>
  <c r="M290" i="1" s="1"/>
  <c r="L291" i="1" a="1"/>
  <c r="L291" i="1" s="1"/>
  <c r="L292" i="1" a="1"/>
  <c r="L292" i="1" s="1"/>
  <c r="M292" i="1" s="1" a="1"/>
  <c r="M292" i="1" s="1"/>
  <c r="L293" i="1" a="1"/>
  <c r="L293" i="1" s="1"/>
  <c r="M293" i="1" s="1" a="1"/>
  <c r="M293" i="1" s="1"/>
  <c r="L294" i="1" a="1"/>
  <c r="L294" i="1"/>
  <c r="L295" i="1" a="1"/>
  <c r="L295" i="1" s="1"/>
  <c r="M295" i="1" s="1" a="1"/>
  <c r="M295" i="1" s="1"/>
  <c r="L296" i="1" a="1"/>
  <c r="L296" i="1" s="1"/>
  <c r="M296" i="1" s="1" a="1"/>
  <c r="M296" i="1" s="1"/>
  <c r="L297" i="1" a="1"/>
  <c r="L297" i="1" s="1"/>
  <c r="M297" i="1" s="1" a="1"/>
  <c r="M297" i="1" s="1"/>
  <c r="L298" i="1" a="1"/>
  <c r="L298" i="1" s="1"/>
  <c r="M298" i="1" s="1" a="1"/>
  <c r="M298" i="1" s="1"/>
  <c r="L299" i="1" a="1"/>
  <c r="L299" i="1" s="1"/>
  <c r="M299" i="1" s="1" a="1"/>
  <c r="M299" i="1" s="1"/>
  <c r="L300" i="1" a="1"/>
  <c r="L300" i="1" s="1"/>
  <c r="M300" i="1" s="1" a="1"/>
  <c r="M300" i="1" s="1"/>
  <c r="L301" i="1" a="1"/>
  <c r="L301" i="1" s="1"/>
  <c r="M301" i="1" s="1" a="1"/>
  <c r="M301" i="1" s="1"/>
  <c r="L302" i="1" a="1"/>
  <c r="L302" i="1" s="1"/>
  <c r="M302" i="1" s="1" a="1"/>
  <c r="M302" i="1" s="1"/>
  <c r="L303" i="1" a="1"/>
  <c r="L303" i="1" s="1"/>
  <c r="M303" i="1" s="1" a="1"/>
  <c r="M303" i="1" s="1"/>
  <c r="L304" i="1" a="1"/>
  <c r="L304" i="1" s="1"/>
  <c r="M304" i="1" s="1" a="1"/>
  <c r="M304" i="1" s="1"/>
  <c r="L305" i="1" a="1"/>
  <c r="L305" i="1" s="1"/>
  <c r="M305" i="1" s="1" a="1"/>
  <c r="M305" i="1" s="1"/>
  <c r="L306" i="1" a="1"/>
  <c r="L306" i="1" s="1"/>
  <c r="M306" i="1" s="1" a="1"/>
  <c r="M306" i="1" s="1"/>
  <c r="L307" i="1" a="1"/>
  <c r="L307" i="1" s="1"/>
  <c r="M307" i="1" s="1" a="1"/>
  <c r="M307" i="1" s="1"/>
  <c r="L308" i="1" a="1"/>
  <c r="L308" i="1" s="1"/>
  <c r="M308" i="1" s="1" a="1"/>
  <c r="M308" i="1" s="1"/>
  <c r="L309" i="1" a="1"/>
  <c r="L309" i="1" s="1"/>
  <c r="M309" i="1" s="1" a="1"/>
  <c r="M309" i="1" s="1"/>
  <c r="L310" i="1" a="1"/>
  <c r="L310" i="1" s="1"/>
  <c r="M310" i="1" s="1" a="1"/>
  <c r="M310" i="1" s="1"/>
  <c r="L311" i="1" a="1"/>
  <c r="L311" i="1"/>
  <c r="L312" i="1" a="1"/>
  <c r="L312" i="1" s="1"/>
  <c r="L313" i="1" a="1"/>
  <c r="L313" i="1" s="1"/>
  <c r="M313" i="1" s="1" a="1"/>
  <c r="M313" i="1" s="1"/>
  <c r="L314" i="1" a="1"/>
  <c r="L314" i="1" s="1"/>
  <c r="M314" i="1" s="1" a="1"/>
  <c r="M314" i="1" s="1"/>
  <c r="L315" i="1" a="1"/>
  <c r="L315" i="1" s="1"/>
  <c r="L316" i="1" a="1"/>
  <c r="L316" i="1" s="1"/>
  <c r="M316" i="1" s="1" a="1"/>
  <c r="M316" i="1" s="1"/>
  <c r="L317" i="1" a="1"/>
  <c r="L317" i="1" s="1"/>
  <c r="M317" i="1" s="1" a="1"/>
  <c r="M317" i="1" s="1"/>
  <c r="L318" i="1" a="1"/>
  <c r="L318" i="1" s="1"/>
  <c r="M318" i="1" s="1" a="1"/>
  <c r="M318" i="1" s="1"/>
  <c r="L319" i="1" a="1"/>
  <c r="L319" i="1" s="1"/>
  <c r="M319" i="1" s="1" a="1"/>
  <c r="M319" i="1" s="1"/>
  <c r="L320" i="1" a="1"/>
  <c r="L320" i="1" s="1"/>
  <c r="M320" i="1" s="1" a="1"/>
  <c r="M320" i="1" s="1"/>
  <c r="L321" i="1" a="1"/>
  <c r="L321" i="1" s="1"/>
  <c r="M321" i="1" s="1" a="1"/>
  <c r="M321" i="1" s="1"/>
  <c r="L322" i="1" a="1"/>
  <c r="L322" i="1" s="1"/>
  <c r="M322" i="1" s="1" a="1"/>
  <c r="M322" i="1" s="1"/>
  <c r="L323" i="1" a="1"/>
  <c r="L323" i="1" s="1"/>
  <c r="L324" i="1" a="1"/>
  <c r="L324" i="1"/>
  <c r="L325" i="1" a="1"/>
  <c r="L325" i="1" s="1"/>
  <c r="M325" i="1" s="1" a="1"/>
  <c r="M325" i="1" s="1"/>
  <c r="L326" i="1" a="1"/>
  <c r="L326" i="1" s="1"/>
  <c r="L327" i="1" a="1"/>
  <c r="L327" i="1" s="1"/>
  <c r="L328" i="1" a="1"/>
  <c r="L328" i="1" s="1"/>
  <c r="L329" i="1" a="1"/>
  <c r="L329" i="1" s="1"/>
  <c r="M329" i="1" s="1" a="1"/>
  <c r="M329" i="1" s="1"/>
  <c r="L330" i="1" a="1"/>
  <c r="L330" i="1" s="1"/>
  <c r="L331" i="1" a="1"/>
  <c r="L331" i="1" s="1"/>
  <c r="L332" i="1" a="1"/>
  <c r="L332" i="1" s="1"/>
  <c r="M332" i="1" s="1" a="1"/>
  <c r="M332" i="1" s="1"/>
  <c r="L333" i="1" a="1"/>
  <c r="L333" i="1" s="1"/>
  <c r="L334" i="1" a="1"/>
  <c r="L334" i="1"/>
  <c r="L335" i="1" a="1"/>
  <c r="L335" i="1" s="1"/>
  <c r="M335" i="1" s="1" a="1"/>
  <c r="M335" i="1" s="1"/>
  <c r="L336" i="1" a="1"/>
  <c r="L336" i="1" s="1"/>
  <c r="M336" i="1" s="1" a="1"/>
  <c r="M336" i="1" s="1"/>
  <c r="L337" i="1" a="1"/>
  <c r="L337" i="1" s="1"/>
  <c r="M337" i="1" s="1" a="1"/>
  <c r="M337" i="1" s="1"/>
  <c r="L338" i="1" a="1"/>
  <c r="L338" i="1" s="1"/>
  <c r="M338" i="1" s="1" a="1"/>
  <c r="M338" i="1" s="1"/>
  <c r="L339" i="1" a="1"/>
  <c r="L339" i="1" s="1"/>
  <c r="M339" i="1" s="1" a="1"/>
  <c r="M339" i="1" s="1"/>
  <c r="L340" i="1" a="1"/>
  <c r="L340" i="1" s="1"/>
  <c r="M340" i="1" s="1" a="1"/>
  <c r="M340" i="1" s="1"/>
  <c r="L341" i="1" a="1"/>
  <c r="L341" i="1" s="1"/>
  <c r="M341" i="1" s="1" a="1"/>
  <c r="M341" i="1" s="1"/>
  <c r="L342" i="1" a="1"/>
  <c r="L342" i="1" s="1"/>
  <c r="M342" i="1" s="1" a="1"/>
  <c r="M342" i="1" s="1"/>
  <c r="L343" i="1" a="1"/>
  <c r="L343" i="1" s="1"/>
  <c r="M343" i="1" s="1" a="1"/>
  <c r="M343" i="1" s="1"/>
  <c r="L344" i="1" a="1"/>
  <c r="L344" i="1" s="1"/>
  <c r="M344" i="1" s="1" a="1"/>
  <c r="M344" i="1" s="1"/>
  <c r="L345" i="1" a="1"/>
  <c r="L345" i="1" s="1"/>
  <c r="M345" i="1" s="1" a="1"/>
  <c r="M345" i="1" s="1"/>
  <c r="L346" i="1" a="1"/>
  <c r="L346" i="1" s="1"/>
  <c r="M346" i="1" s="1" a="1"/>
  <c r="M346" i="1" s="1"/>
  <c r="L347" i="1" a="1"/>
  <c r="L347" i="1" s="1"/>
  <c r="M347" i="1" s="1" a="1"/>
  <c r="M347" i="1" s="1"/>
  <c r="L348" i="1" a="1"/>
  <c r="L348" i="1" s="1"/>
  <c r="M348" i="1" s="1" a="1"/>
  <c r="M348" i="1" s="1"/>
  <c r="L349" i="1" a="1"/>
  <c r="L349" i="1" s="1"/>
  <c r="M349" i="1" s="1" a="1"/>
  <c r="M349" i="1" s="1"/>
  <c r="L350" i="1" a="1"/>
  <c r="L350" i="1" s="1"/>
  <c r="M350" i="1" s="1" a="1"/>
  <c r="M350" i="1" s="1"/>
  <c r="L351" i="1" a="1"/>
  <c r="L351" i="1" s="1"/>
  <c r="M351" i="1" s="1" a="1"/>
  <c r="M351" i="1" s="1"/>
  <c r="L352" i="1" a="1"/>
  <c r="L352" i="1" s="1"/>
  <c r="M352" i="1" s="1" a="1"/>
  <c r="M352" i="1" s="1"/>
  <c r="L353" i="1" a="1"/>
  <c r="L353" i="1" s="1"/>
  <c r="M353" i="1" s="1" a="1"/>
  <c r="M353" i="1" s="1"/>
  <c r="L354" i="1" a="1"/>
  <c r="L354" i="1" s="1"/>
  <c r="M354" i="1" s="1" a="1"/>
  <c r="M354" i="1" s="1"/>
  <c r="L355" i="1" a="1"/>
  <c r="L355" i="1" s="1"/>
  <c r="M355" i="1" s="1" a="1"/>
  <c r="M355" i="1" s="1"/>
  <c r="L356" i="1" a="1"/>
  <c r="L356" i="1" s="1"/>
  <c r="M356" i="1" s="1" a="1"/>
  <c r="M356" i="1" s="1"/>
  <c r="L357" i="1" a="1"/>
  <c r="L357" i="1" s="1"/>
  <c r="M357" i="1" s="1" a="1"/>
  <c r="M357" i="1" s="1"/>
  <c r="L358" i="1" a="1"/>
  <c r="L358" i="1" s="1"/>
  <c r="M358" i="1" s="1" a="1"/>
  <c r="M358" i="1" s="1"/>
  <c r="L359" i="1" a="1"/>
  <c r="L359" i="1" s="1"/>
  <c r="M359" i="1" s="1" a="1"/>
  <c r="M359" i="1" s="1"/>
  <c r="L360" i="1" a="1"/>
  <c r="L360" i="1" s="1"/>
  <c r="M360" i="1" s="1" a="1"/>
  <c r="M360" i="1" s="1"/>
  <c r="L361" i="1" a="1"/>
  <c r="L361" i="1" s="1"/>
  <c r="M361" i="1" s="1" a="1"/>
  <c r="M361" i="1" s="1"/>
  <c r="L362" i="1" a="1"/>
  <c r="L362" i="1" s="1"/>
  <c r="M362" i="1" s="1" a="1"/>
  <c r="M362" i="1" s="1"/>
  <c r="L363" i="1" a="1"/>
  <c r="L363" i="1" s="1"/>
  <c r="M363" i="1" s="1" a="1"/>
  <c r="M363" i="1" s="1"/>
  <c r="L364" i="1" a="1"/>
  <c r="L364" i="1" s="1"/>
  <c r="M364" i="1" s="1" a="1"/>
  <c r="M364" i="1" s="1"/>
  <c r="L365" i="1" a="1"/>
  <c r="L365" i="1" s="1"/>
  <c r="M365" i="1" s="1" a="1"/>
  <c r="M365" i="1" s="1"/>
  <c r="L366" i="1" a="1"/>
  <c r="L366" i="1" s="1"/>
  <c r="M366" i="1" s="1" a="1"/>
  <c r="M366" i="1" s="1"/>
  <c r="L367" i="1" a="1"/>
  <c r="L367" i="1" s="1"/>
  <c r="M367" i="1" s="1" a="1"/>
  <c r="M367" i="1" s="1"/>
  <c r="L368" i="1" a="1"/>
  <c r="L368" i="1" s="1"/>
  <c r="M368" i="1" s="1" a="1"/>
  <c r="M368" i="1" s="1"/>
  <c r="L369" i="1" a="1"/>
  <c r="L369" i="1" s="1"/>
  <c r="M369" i="1" s="1" a="1"/>
  <c r="M369" i="1" s="1"/>
  <c r="L370" i="1" a="1"/>
  <c r="L370" i="1" s="1"/>
  <c r="M370" i="1" s="1" a="1"/>
  <c r="M370" i="1" s="1"/>
  <c r="L371" i="1" a="1"/>
  <c r="L371" i="1" s="1"/>
  <c r="M371" i="1" s="1" a="1"/>
  <c r="M371" i="1" s="1"/>
  <c r="L372" i="1" a="1"/>
  <c r="L372" i="1" s="1"/>
  <c r="M372" i="1" s="1" a="1"/>
  <c r="M372" i="1" s="1"/>
  <c r="L373" i="1" a="1"/>
  <c r="L373" i="1" s="1"/>
  <c r="M373" i="1" s="1" a="1"/>
  <c r="M373" i="1" s="1"/>
  <c r="L374" i="1" a="1"/>
  <c r="L374" i="1" s="1"/>
  <c r="M374" i="1" s="1" a="1"/>
  <c r="M374" i="1" s="1"/>
  <c r="L375" i="1" a="1"/>
  <c r="L375" i="1" s="1"/>
  <c r="M375" i="1" s="1" a="1"/>
  <c r="M375" i="1" s="1"/>
  <c r="L376" i="1" a="1"/>
  <c r="L376" i="1" s="1"/>
  <c r="M376" i="1" s="1" a="1"/>
  <c r="M376" i="1" s="1"/>
  <c r="L377" i="1" a="1"/>
  <c r="L377" i="1" s="1"/>
  <c r="M377" i="1" s="1" a="1"/>
  <c r="M377" i="1" s="1"/>
  <c r="L378" i="1" a="1"/>
  <c r="L378" i="1" s="1"/>
  <c r="M378" i="1" s="1" a="1"/>
  <c r="M378" i="1" s="1"/>
  <c r="L379" i="1" a="1"/>
  <c r="L379" i="1" s="1"/>
  <c r="M379" i="1" s="1" a="1"/>
  <c r="M379" i="1" s="1"/>
  <c r="L380" i="1" a="1"/>
  <c r="L380" i="1" s="1"/>
  <c r="M380" i="1" s="1" a="1"/>
  <c r="M380" i="1" s="1"/>
  <c r="L381" i="1" a="1"/>
  <c r="L381" i="1" s="1"/>
  <c r="M381" i="1" s="1" a="1"/>
  <c r="M381" i="1" s="1"/>
  <c r="L382" i="1" a="1"/>
  <c r="L382" i="1" s="1"/>
  <c r="M382" i="1" s="1" a="1"/>
  <c r="M382" i="1" s="1"/>
  <c r="L383" i="1" a="1"/>
  <c r="L383" i="1" s="1"/>
  <c r="M383" i="1" s="1" a="1"/>
  <c r="M383" i="1" s="1"/>
  <c r="L384" i="1" a="1"/>
  <c r="L384" i="1" s="1"/>
  <c r="M384" i="1" s="1" a="1"/>
  <c r="M384" i="1" s="1"/>
  <c r="L385" i="1" a="1"/>
  <c r="L385" i="1" s="1"/>
  <c r="M385" i="1" s="1" a="1"/>
  <c r="M385" i="1" s="1"/>
  <c r="L386" i="1" a="1"/>
  <c r="L386" i="1" s="1"/>
  <c r="M386" i="1" s="1" a="1"/>
  <c r="M386" i="1" s="1"/>
  <c r="L387" i="1" a="1"/>
  <c r="L387" i="1" s="1"/>
  <c r="M387" i="1" s="1" a="1"/>
  <c r="M387" i="1" s="1"/>
  <c r="L388" i="1" a="1"/>
  <c r="L388" i="1" s="1"/>
  <c r="M388" i="1" s="1" a="1"/>
  <c r="M388" i="1" s="1"/>
  <c r="L389" i="1" a="1"/>
  <c r="L389" i="1" s="1"/>
  <c r="M389" i="1" s="1" a="1"/>
  <c r="M389" i="1" s="1"/>
  <c r="L390" i="1" a="1"/>
  <c r="L390" i="1" s="1"/>
  <c r="M390" i="1" s="1" a="1"/>
  <c r="M390" i="1" s="1"/>
  <c r="L391" i="1" a="1"/>
  <c r="L391" i="1" s="1"/>
  <c r="M391" i="1" s="1" a="1"/>
  <c r="M391" i="1" s="1"/>
  <c r="L392" i="1" a="1"/>
  <c r="L392" i="1" s="1"/>
  <c r="M392" i="1" s="1" a="1"/>
  <c r="M392" i="1" s="1"/>
  <c r="L393" i="1" a="1"/>
  <c r="L393" i="1" s="1"/>
  <c r="M393" i="1" s="1" a="1"/>
  <c r="M393" i="1" s="1"/>
  <c r="L394" i="1" a="1"/>
  <c r="L394" i="1" s="1"/>
  <c r="M394" i="1" s="1" a="1"/>
  <c r="M394" i="1" s="1"/>
  <c r="L395" i="1" a="1"/>
  <c r="L395" i="1" s="1"/>
  <c r="M395" i="1" s="1" a="1"/>
  <c r="M395" i="1" s="1"/>
  <c r="L396" i="1" a="1"/>
  <c r="L396" i="1" s="1"/>
  <c r="M396" i="1" s="1" a="1"/>
  <c r="M396" i="1" s="1"/>
  <c r="L397" i="1" a="1"/>
  <c r="L397" i="1" s="1"/>
  <c r="M397" i="1" s="1" a="1"/>
  <c r="M397" i="1" s="1"/>
  <c r="L398" i="1" a="1"/>
  <c r="L398" i="1" s="1"/>
  <c r="M398" i="1" s="1" a="1"/>
  <c r="M398" i="1" s="1"/>
  <c r="L399" i="1" a="1"/>
  <c r="L399" i="1" s="1"/>
  <c r="M399" i="1" s="1" a="1"/>
  <c r="M399" i="1" s="1"/>
  <c r="L400" i="1" a="1"/>
  <c r="L400" i="1" s="1"/>
  <c r="M400" i="1" s="1" a="1"/>
  <c r="M400" i="1" s="1"/>
  <c r="L401" i="1" a="1"/>
  <c r="L401" i="1" s="1"/>
  <c r="M401" i="1" s="1" a="1"/>
  <c r="M401" i="1" s="1"/>
  <c r="L402" i="1" a="1"/>
  <c r="L402" i="1" s="1"/>
  <c r="M402" i="1" s="1" a="1"/>
  <c r="M402" i="1" s="1"/>
  <c r="L403" i="1" a="1"/>
  <c r="L403" i="1" s="1"/>
  <c r="M403" i="1" s="1" a="1"/>
  <c r="M403" i="1" s="1"/>
  <c r="L404" i="1" a="1"/>
  <c r="L404" i="1" s="1"/>
  <c r="M404" i="1" s="1" a="1"/>
  <c r="M404" i="1" s="1"/>
  <c r="L405" i="1" a="1"/>
  <c r="L405" i="1" s="1"/>
  <c r="M405" i="1" s="1" a="1"/>
  <c r="M405" i="1" s="1"/>
  <c r="L406" i="1" a="1"/>
  <c r="L406" i="1" s="1"/>
  <c r="M406" i="1" s="1" a="1"/>
  <c r="M406" i="1" s="1"/>
  <c r="L407" i="1" a="1"/>
  <c r="L407" i="1" s="1"/>
  <c r="M407" i="1" s="1" a="1"/>
  <c r="M407" i="1" s="1"/>
  <c r="L408" i="1" a="1"/>
  <c r="L408" i="1" s="1"/>
  <c r="M408" i="1" s="1" a="1"/>
  <c r="M408" i="1" s="1"/>
  <c r="L409" i="1" a="1"/>
  <c r="L409" i="1" s="1"/>
  <c r="M409" i="1" s="1" a="1"/>
  <c r="M409" i="1" s="1"/>
  <c r="L410" i="1" a="1"/>
  <c r="L410" i="1" s="1"/>
  <c r="M410" i="1" s="1" a="1"/>
  <c r="M410" i="1" s="1"/>
  <c r="L411" i="1" a="1"/>
  <c r="L411" i="1" s="1"/>
  <c r="M411" i="1" s="1" a="1"/>
  <c r="M411" i="1" s="1"/>
  <c r="L412" i="1" a="1"/>
  <c r="L412" i="1" s="1"/>
  <c r="M412" i="1" s="1" a="1"/>
  <c r="M412" i="1" s="1"/>
  <c r="L413" i="1" a="1"/>
  <c r="L413" i="1" s="1"/>
  <c r="M413" i="1" s="1" a="1"/>
  <c r="M413" i="1" s="1"/>
  <c r="L414" i="1" a="1"/>
  <c r="L414" i="1" s="1"/>
  <c r="M414" i="1" s="1" a="1"/>
  <c r="M414" i="1" s="1"/>
  <c r="L415" i="1" a="1"/>
  <c r="L415" i="1" s="1"/>
  <c r="M415" i="1" s="1" a="1"/>
  <c r="M415" i="1" s="1"/>
  <c r="L416" i="1" a="1"/>
  <c r="L416" i="1" s="1"/>
  <c r="M416" i="1" s="1" a="1"/>
  <c r="M416" i="1" s="1"/>
  <c r="L417" i="1" a="1"/>
  <c r="L417" i="1" s="1"/>
  <c r="M417" i="1" s="1" a="1"/>
  <c r="M417" i="1" s="1"/>
  <c r="L418" i="1" a="1"/>
  <c r="L418" i="1" s="1"/>
  <c r="M418" i="1" s="1" a="1"/>
  <c r="M418" i="1" s="1"/>
  <c r="L419" i="1" a="1"/>
  <c r="L419" i="1" s="1"/>
  <c r="M419" i="1" s="1" a="1"/>
  <c r="M419" i="1" s="1"/>
  <c r="L420" i="1" a="1"/>
  <c r="L420" i="1" s="1"/>
  <c r="M420" i="1" s="1" a="1"/>
  <c r="M420" i="1" s="1"/>
  <c r="L421" i="1" a="1"/>
  <c r="L421" i="1" s="1"/>
  <c r="M421" i="1" s="1" a="1"/>
  <c r="M421" i="1" s="1"/>
  <c r="L422" i="1" a="1"/>
  <c r="L422" i="1" s="1"/>
  <c r="M422" i="1" s="1" a="1"/>
  <c r="M422" i="1" s="1"/>
  <c r="L423" i="1" a="1"/>
  <c r="L423" i="1" s="1"/>
  <c r="M423" i="1" s="1" a="1"/>
  <c r="M423" i="1" s="1"/>
  <c r="L424" i="1" a="1"/>
  <c r="L424" i="1" s="1"/>
  <c r="M424" i="1" s="1" a="1"/>
  <c r="M424" i="1" s="1"/>
  <c r="L425" i="1" a="1"/>
  <c r="L425" i="1" s="1"/>
  <c r="M425" i="1" s="1" a="1"/>
  <c r="M425" i="1" s="1"/>
  <c r="L426" i="1" a="1"/>
  <c r="L426" i="1"/>
  <c r="L427" i="1" a="1"/>
  <c r="L427" i="1" s="1"/>
  <c r="M427" i="1" s="1" a="1"/>
  <c r="M427" i="1" s="1"/>
  <c r="L428" i="1" a="1"/>
  <c r="L428" i="1" s="1"/>
  <c r="M428" i="1" s="1" a="1"/>
  <c r="M428" i="1" s="1"/>
  <c r="L429" i="1" a="1"/>
  <c r="L429" i="1" s="1"/>
  <c r="M429" i="1" s="1" a="1"/>
  <c r="M429" i="1" s="1"/>
  <c r="L430" i="1" a="1"/>
  <c r="L430" i="1" s="1"/>
  <c r="M430" i="1" s="1" a="1"/>
  <c r="M430" i="1" s="1"/>
  <c r="L431" i="1" a="1"/>
  <c r="L431" i="1" s="1"/>
  <c r="M431" i="1" s="1" a="1"/>
  <c r="M431" i="1" s="1"/>
  <c r="L432" i="1" a="1"/>
  <c r="L432" i="1" s="1"/>
  <c r="M432" i="1" s="1" a="1"/>
  <c r="M432" i="1" s="1"/>
  <c r="L433" i="1" a="1"/>
  <c r="L433" i="1" s="1"/>
  <c r="M433" i="1" s="1" a="1"/>
  <c r="M433" i="1" s="1"/>
  <c r="L434" i="1" a="1"/>
  <c r="L434" i="1" s="1"/>
  <c r="M434" i="1" s="1" a="1"/>
  <c r="M434" i="1" s="1"/>
  <c r="L435" i="1" a="1"/>
  <c r="L435" i="1" s="1"/>
  <c r="M435" i="1" s="1" a="1"/>
  <c r="M435" i="1" s="1"/>
  <c r="L436" i="1" a="1"/>
  <c r="L436" i="1"/>
  <c r="L437" i="1" a="1"/>
  <c r="L437" i="1" s="1"/>
  <c r="M437" i="1" s="1" a="1"/>
  <c r="M437" i="1" s="1"/>
  <c r="L438" i="1" a="1"/>
  <c r="L438" i="1" s="1"/>
  <c r="L439" i="1" a="1"/>
  <c r="L439" i="1" s="1"/>
  <c r="L440" i="1" a="1"/>
  <c r="L440" i="1" s="1"/>
  <c r="M440" i="1" s="1" a="1"/>
  <c r="M440" i="1" s="1"/>
  <c r="L441" i="1" a="1"/>
  <c r="L441" i="1" s="1"/>
  <c r="L442" i="1" a="1"/>
  <c r="L442" i="1" s="1"/>
  <c r="L443" i="1" a="1"/>
  <c r="L443" i="1"/>
  <c r="L444" i="1" a="1"/>
  <c r="L444" i="1" s="1"/>
  <c r="M444" i="1" s="1" a="1"/>
  <c r="M444" i="1" s="1"/>
  <c r="L445" i="1" a="1"/>
  <c r="L445" i="1" s="1"/>
  <c r="M445" i="1" s="1" a="1"/>
  <c r="M445" i="1" s="1"/>
  <c r="L446" i="1" a="1"/>
  <c r="L446" i="1" s="1"/>
  <c r="M446" i="1" s="1" a="1"/>
  <c r="M446" i="1" s="1"/>
  <c r="L447" i="1" a="1"/>
  <c r="L447" i="1" s="1"/>
  <c r="M447" i="1" s="1" a="1"/>
  <c r="M447" i="1" s="1"/>
  <c r="L448" i="1" a="1"/>
  <c r="L448" i="1" s="1"/>
  <c r="M448" i="1" s="1" a="1"/>
  <c r="M448" i="1" s="1"/>
  <c r="L449" i="1" a="1"/>
  <c r="L449" i="1" s="1"/>
  <c r="L450" i="1" a="1"/>
  <c r="L450" i="1" s="1"/>
  <c r="M450" i="1" s="1" a="1"/>
  <c r="M450" i="1" s="1"/>
  <c r="L451" i="1" a="1"/>
  <c r="L451" i="1" s="1"/>
  <c r="M451" i="1" s="1" a="1"/>
  <c r="M451" i="1" s="1"/>
  <c r="L452" i="1" a="1"/>
  <c r="L452" i="1" s="1"/>
  <c r="M452" i="1" s="1" a="1"/>
  <c r="M452" i="1" s="1"/>
  <c r="L453" i="1" a="1"/>
  <c r="L453" i="1" s="1"/>
  <c r="L454" i="1" a="1"/>
  <c r="L454" i="1" s="1"/>
  <c r="M454" i="1" s="1" a="1"/>
  <c r="M454" i="1" s="1"/>
  <c r="L455" i="1" a="1"/>
  <c r="L455" i="1" s="1"/>
  <c r="M455" i="1" s="1" a="1"/>
  <c r="M455" i="1" s="1"/>
  <c r="L456" i="1" a="1"/>
  <c r="L456" i="1" s="1"/>
  <c r="M456" i="1" s="1" a="1"/>
  <c r="M456" i="1" s="1"/>
  <c r="L457" i="1" a="1"/>
  <c r="L457" i="1" s="1"/>
  <c r="L458" i="1" a="1"/>
  <c r="L458" i="1" s="1"/>
  <c r="M458" i="1" s="1" a="1"/>
  <c r="M458" i="1" s="1"/>
  <c r="L459" i="1" a="1"/>
  <c r="L459" i="1" s="1"/>
  <c r="M459" i="1" s="1" a="1"/>
  <c r="M459" i="1" s="1"/>
  <c r="L460" i="1" a="1"/>
  <c r="L460" i="1" s="1"/>
  <c r="L461" i="1" a="1"/>
  <c r="L461" i="1"/>
  <c r="L462" i="1" a="1"/>
  <c r="L462" i="1" s="1"/>
  <c r="M462" i="1" s="1" a="1"/>
  <c r="M462" i="1" s="1"/>
  <c r="L463" i="1" a="1"/>
  <c r="L463" i="1" s="1"/>
  <c r="M463" i="1" s="1" a="1"/>
  <c r="M463" i="1" s="1"/>
  <c r="L464" i="1" a="1"/>
  <c r="L464" i="1" s="1"/>
  <c r="M464" i="1" s="1" a="1"/>
  <c r="M464" i="1" s="1"/>
  <c r="L465" i="1" a="1"/>
  <c r="L465" i="1" s="1"/>
  <c r="M465" i="1" s="1" a="1"/>
  <c r="M465" i="1" s="1"/>
  <c r="L466" i="1" a="1"/>
  <c r="L466" i="1" s="1"/>
  <c r="M466" i="1" s="1" a="1"/>
  <c r="M466" i="1" s="1"/>
  <c r="L467" i="1" a="1"/>
  <c r="L467" i="1" s="1"/>
  <c r="M467" i="1" s="1" a="1"/>
  <c r="M467" i="1" s="1"/>
  <c r="L468" i="1" a="1"/>
  <c r="L468" i="1" s="1"/>
  <c r="M468" i="1" s="1" a="1"/>
  <c r="M468" i="1" s="1"/>
  <c r="L469" i="1" a="1"/>
  <c r="L469" i="1" s="1"/>
  <c r="M469" i="1" s="1" a="1"/>
  <c r="M469" i="1" s="1"/>
  <c r="L470" i="1" a="1"/>
  <c r="L470" i="1" s="1"/>
  <c r="M470" i="1" s="1" a="1"/>
  <c r="M470" i="1" s="1"/>
  <c r="L471" i="1" a="1"/>
  <c r="L471" i="1" s="1"/>
  <c r="M471" i="1" s="1" a="1"/>
  <c r="M471" i="1" s="1"/>
  <c r="L472" i="1" a="1"/>
  <c r="L472" i="1" s="1"/>
  <c r="M472" i="1" s="1" a="1"/>
  <c r="M472" i="1" s="1"/>
  <c r="L473" i="1" a="1"/>
  <c r="L473" i="1" s="1"/>
  <c r="M473" i="1" s="1" a="1"/>
  <c r="M473" i="1" s="1"/>
  <c r="L474" i="1" a="1"/>
  <c r="L474" i="1" s="1"/>
  <c r="M474" i="1" s="1" a="1"/>
  <c r="M474" i="1" s="1"/>
  <c r="L475" i="1" a="1"/>
  <c r="L475" i="1" s="1"/>
  <c r="M475" i="1" s="1" a="1"/>
  <c r="M475" i="1" s="1"/>
  <c r="L476" i="1" a="1"/>
  <c r="L476" i="1" s="1"/>
  <c r="M476" i="1" s="1" a="1"/>
  <c r="M476" i="1" s="1"/>
  <c r="L477" i="1" a="1"/>
  <c r="L477" i="1" s="1"/>
  <c r="M477" i="1" s="1" a="1"/>
  <c r="M477" i="1" s="1"/>
  <c r="L478" i="1" a="1"/>
  <c r="L478" i="1" s="1"/>
  <c r="M478" i="1" s="1" a="1"/>
  <c r="M478" i="1" s="1"/>
  <c r="L479" i="1" a="1"/>
  <c r="L479" i="1" s="1"/>
  <c r="M479" i="1" s="1" a="1"/>
  <c r="M479" i="1" s="1"/>
  <c r="L480" i="1" a="1"/>
  <c r="L480" i="1" s="1"/>
  <c r="M480" i="1" s="1" a="1"/>
  <c r="M480" i="1" s="1"/>
  <c r="L481" i="1" a="1"/>
  <c r="L481" i="1" s="1"/>
  <c r="M481" i="1" s="1" a="1"/>
  <c r="M481" i="1" s="1"/>
  <c r="L482" i="1" a="1"/>
  <c r="L482" i="1" s="1"/>
  <c r="M482" i="1" s="1" a="1"/>
  <c r="M482" i="1" s="1"/>
  <c r="L483" i="1" a="1"/>
  <c r="L483" i="1" s="1"/>
  <c r="M483" i="1" s="1" a="1"/>
  <c r="M483" i="1" s="1"/>
  <c r="L484" i="1" a="1"/>
  <c r="L484" i="1" s="1"/>
  <c r="M484" i="1" s="1" a="1"/>
  <c r="M484" i="1" s="1"/>
  <c r="L485" i="1" a="1"/>
  <c r="L485" i="1" s="1"/>
  <c r="M485" i="1" s="1" a="1"/>
  <c r="M485" i="1" s="1"/>
  <c r="L486" i="1" a="1"/>
  <c r="L486" i="1" s="1"/>
  <c r="M486" i="1" s="1" a="1"/>
  <c r="M486" i="1" s="1"/>
  <c r="L487" i="1" a="1"/>
  <c r="L487" i="1" s="1"/>
  <c r="M487" i="1" s="1" a="1"/>
  <c r="M487" i="1" s="1"/>
  <c r="L488" i="1" a="1"/>
  <c r="L488" i="1" s="1"/>
  <c r="M488" i="1" s="1" a="1"/>
  <c r="M488" i="1" s="1"/>
  <c r="L489" i="1" a="1"/>
  <c r="L489" i="1" s="1"/>
  <c r="M489" i="1" s="1" a="1"/>
  <c r="M489" i="1" s="1"/>
  <c r="L490" i="1" a="1"/>
  <c r="L490" i="1" s="1"/>
  <c r="M490" i="1" s="1" a="1"/>
  <c r="M490" i="1" s="1"/>
  <c r="L491" i="1" a="1"/>
  <c r="L491" i="1" s="1"/>
  <c r="M491" i="1" s="1" a="1"/>
  <c r="M491" i="1" s="1"/>
  <c r="L492" i="1" a="1"/>
  <c r="L492" i="1" s="1"/>
  <c r="M492" i="1" s="1" a="1"/>
  <c r="M492" i="1" s="1"/>
  <c r="L493" i="1" a="1"/>
  <c r="L493" i="1" s="1"/>
  <c r="M493" i="1" s="1" a="1"/>
  <c r="M493" i="1" s="1"/>
  <c r="L494" i="1" a="1"/>
  <c r="L494" i="1" s="1"/>
  <c r="M494" i="1" s="1" a="1"/>
  <c r="M494" i="1" s="1"/>
  <c r="L495" i="1" a="1"/>
  <c r="L495" i="1" s="1"/>
  <c r="M495" i="1" s="1" a="1"/>
  <c r="M495" i="1" s="1"/>
  <c r="L496" i="1" a="1"/>
  <c r="L496" i="1" s="1"/>
  <c r="M496" i="1" s="1" a="1"/>
  <c r="M496" i="1" s="1"/>
  <c r="L497" i="1" a="1"/>
  <c r="L497" i="1" s="1"/>
  <c r="M497" i="1" s="1" a="1"/>
  <c r="M497" i="1" s="1"/>
  <c r="L498" i="1" a="1"/>
  <c r="L498" i="1" s="1"/>
  <c r="M498" i="1" s="1" a="1"/>
  <c r="M498" i="1" s="1"/>
  <c r="L499" i="1" a="1"/>
  <c r="L499" i="1" s="1"/>
  <c r="M499" i="1" s="1" a="1"/>
  <c r="M499" i="1" s="1"/>
  <c r="L500" i="1" a="1"/>
  <c r="L500" i="1" s="1"/>
  <c r="M500" i="1" s="1" a="1"/>
  <c r="M500" i="1" s="1"/>
  <c r="L501" i="1" a="1"/>
  <c r="L501" i="1" s="1"/>
  <c r="M501" i="1" s="1" a="1"/>
  <c r="M501" i="1" s="1"/>
  <c r="L502" i="1" a="1"/>
  <c r="L502" i="1" s="1"/>
  <c r="M502" i="1" s="1" a="1"/>
  <c r="M502" i="1" s="1"/>
  <c r="L503" i="1" a="1"/>
  <c r="L503" i="1" s="1"/>
  <c r="M503" i="1" s="1" a="1"/>
  <c r="M503" i="1" s="1"/>
  <c r="L504" i="1" a="1"/>
  <c r="L504" i="1" s="1"/>
  <c r="M504" i="1" s="1" a="1"/>
  <c r="M504" i="1" s="1"/>
  <c r="L505" i="1" a="1"/>
  <c r="L505" i="1" s="1"/>
  <c r="M505" i="1" s="1" a="1"/>
  <c r="M505" i="1" s="1"/>
  <c r="L506" i="1" a="1"/>
  <c r="L506" i="1" s="1"/>
  <c r="M506" i="1" s="1" a="1"/>
  <c r="M506" i="1" s="1"/>
  <c r="L507" i="1" a="1"/>
  <c r="L507" i="1" s="1"/>
  <c r="M507" i="1" s="1" a="1"/>
  <c r="M507" i="1" s="1"/>
  <c r="L508" i="1" a="1"/>
  <c r="L508" i="1" s="1"/>
  <c r="M508" i="1" s="1" a="1"/>
  <c r="M508" i="1" s="1"/>
  <c r="L509" i="1" a="1"/>
  <c r="L509" i="1" s="1"/>
  <c r="M509" i="1" s="1" a="1"/>
  <c r="M509" i="1" s="1"/>
  <c r="L510" i="1" a="1"/>
  <c r="L510" i="1" s="1"/>
  <c r="M510" i="1" s="1" a="1"/>
  <c r="M510" i="1" s="1"/>
  <c r="L511" i="1" a="1"/>
  <c r="L511" i="1" s="1"/>
  <c r="M511" i="1" s="1" a="1"/>
  <c r="M511" i="1" s="1"/>
  <c r="L512" i="1" a="1"/>
  <c r="L512" i="1" s="1"/>
  <c r="M512" i="1" s="1" a="1"/>
  <c r="M512" i="1" s="1"/>
  <c r="L513" i="1" a="1"/>
  <c r="L513" i="1" s="1"/>
  <c r="M513" i="1" s="1" a="1"/>
  <c r="M513" i="1" s="1"/>
  <c r="L514" i="1" a="1"/>
  <c r="L514" i="1"/>
  <c r="L515" i="1" a="1"/>
  <c r="L515" i="1" s="1"/>
  <c r="M515" i="1" s="1" a="1"/>
  <c r="M515" i="1" s="1"/>
  <c r="L516" i="1" a="1"/>
  <c r="L516" i="1" s="1"/>
  <c r="L517" i="1" a="1"/>
  <c r="L517" i="1" s="1"/>
  <c r="L518" i="1" a="1"/>
  <c r="L518" i="1" s="1"/>
  <c r="M518" i="1" s="1" a="1"/>
  <c r="M518" i="1" s="1"/>
  <c r="L519" i="1" a="1"/>
  <c r="L519" i="1" s="1"/>
  <c r="L520" i="1" a="1"/>
  <c r="L520" i="1" s="1"/>
  <c r="L521" i="1" a="1"/>
  <c r="L521" i="1" s="1"/>
  <c r="M521" i="1" s="1" a="1"/>
  <c r="M521" i="1" s="1"/>
  <c r="L522" i="1" a="1"/>
  <c r="L522" i="1" s="1"/>
  <c r="L523" i="1" a="1"/>
  <c r="L523" i="1" s="1"/>
  <c r="L524" i="1" a="1"/>
  <c r="L524" i="1" s="1"/>
  <c r="L525" i="1" a="1"/>
  <c r="L525" i="1" s="1"/>
  <c r="M525" i="1" s="1" a="1"/>
  <c r="M525" i="1" s="1"/>
  <c r="L526" i="1" a="1"/>
  <c r="L526" i="1" s="1"/>
  <c r="L527" i="1" a="1"/>
  <c r="L527" i="1" s="1"/>
  <c r="L528" i="1" a="1"/>
  <c r="L528" i="1" s="1"/>
  <c r="M528" i="1" s="1" a="1"/>
  <c r="M528" i="1" s="1"/>
  <c r="L529" i="1" a="1"/>
  <c r="L529" i="1" s="1"/>
  <c r="L530" i="1" a="1"/>
  <c r="L530" i="1" s="1"/>
  <c r="L531" i="1" a="1"/>
  <c r="L531" i="1" s="1"/>
  <c r="L532" i="1" a="1"/>
  <c r="L532" i="1" s="1"/>
  <c r="M532" i="1" s="1" a="1"/>
  <c r="M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M545" i="1" s="1" a="1"/>
  <c r="M545" i="1" s="1"/>
  <c r="L546" i="1" a="1"/>
  <c r="L546" i="1" s="1"/>
  <c r="L547" i="1" a="1"/>
  <c r="L547" i="1" s="1"/>
  <c r="L548" i="1" a="1"/>
  <c r="L548" i="1" s="1"/>
  <c r="L549" i="1" a="1"/>
  <c r="L549" i="1" s="1"/>
  <c r="M549" i="1" s="1" a="1"/>
  <c r="M549" i="1" s="1"/>
  <c r="L550" i="1" a="1"/>
  <c r="L550" i="1" s="1"/>
  <c r="L551" i="1" a="1"/>
  <c r="L551" i="1" s="1"/>
  <c r="L552" i="1" a="1"/>
  <c r="L552" i="1" s="1"/>
  <c r="M552" i="1" s="1" a="1"/>
  <c r="M552" i="1" s="1"/>
  <c r="L553" i="1" a="1"/>
  <c r="L553" i="1" s="1"/>
  <c r="L554" i="1" a="1"/>
  <c r="L554" i="1" s="1"/>
  <c r="M554" i="1" s="1" a="1"/>
  <c r="M554" i="1" s="1"/>
  <c r="L555" i="1" a="1"/>
  <c r="L555" i="1" s="1"/>
  <c r="L556" i="1" a="1"/>
  <c r="L556" i="1" s="1"/>
  <c r="L557" i="1" a="1"/>
  <c r="L557" i="1" s="1"/>
  <c r="L558" i="1" a="1"/>
  <c r="L558" i="1" s="1"/>
  <c r="M558" i="1" s="1" a="1"/>
  <c r="M558" i="1" s="1"/>
  <c r="L559" i="1" a="1"/>
  <c r="L559" i="1" s="1"/>
  <c r="L560" i="1" a="1"/>
  <c r="L560" i="1" s="1"/>
  <c r="L561" i="1" a="1"/>
  <c r="L561" i="1" s="1"/>
  <c r="L562" i="1" a="1"/>
  <c r="L562" i="1" s="1"/>
  <c r="M562" i="1" s="1" a="1"/>
  <c r="M562" i="1" s="1"/>
  <c r="L563" i="1" a="1"/>
  <c r="L563" i="1" s="1"/>
  <c r="L564" i="1" a="1"/>
  <c r="L564" i="1" s="1"/>
  <c r="L565" i="1" a="1"/>
  <c r="L565" i="1" s="1"/>
  <c r="L566" i="1" a="1"/>
  <c r="L566" i="1" s="1"/>
  <c r="M566" i="1" s="1" a="1"/>
  <c r="M566" i="1" s="1"/>
  <c r="L567" i="1" a="1"/>
  <c r="L567" i="1" s="1"/>
  <c r="L568" i="1" a="1"/>
  <c r="L568" i="1" s="1"/>
  <c r="L569" i="1" a="1"/>
  <c r="L569" i="1" s="1"/>
  <c r="L570" i="1" a="1"/>
  <c r="L570" i="1" s="1"/>
  <c r="M570" i="1" s="1" a="1"/>
  <c r="M570" i="1" s="1"/>
  <c r="L571" i="1" a="1"/>
  <c r="L571" i="1" s="1"/>
  <c r="L572" i="1" a="1"/>
  <c r="L572" i="1" s="1"/>
  <c r="L573" i="1" a="1"/>
  <c r="L573" i="1" s="1"/>
  <c r="L574" i="1" a="1"/>
  <c r="L574" i="1" s="1"/>
  <c r="M574" i="1" s="1" a="1"/>
  <c r="M574" i="1" s="1"/>
  <c r="L575" i="1" a="1"/>
  <c r="L575" i="1" s="1"/>
  <c r="L576" i="1" a="1"/>
  <c r="L576" i="1" s="1"/>
  <c r="L577" i="1" a="1"/>
  <c r="L577" i="1" s="1"/>
  <c r="L578" i="1" a="1"/>
  <c r="L578" i="1" s="1"/>
  <c r="M578" i="1" s="1" a="1"/>
  <c r="M578" i="1" s="1"/>
  <c r="L579" i="1" a="1"/>
  <c r="L579" i="1" s="1"/>
  <c r="L580" i="1" a="1"/>
  <c r="L580" i="1" s="1"/>
  <c r="L581" i="1" a="1"/>
  <c r="L581" i="1" s="1"/>
  <c r="L582" i="1" a="1"/>
  <c r="L582" i="1" s="1"/>
  <c r="M582" i="1" s="1" a="1"/>
  <c r="M582" i="1" s="1"/>
  <c r="L583" i="1" a="1"/>
  <c r="L583" i="1" s="1"/>
  <c r="L584" i="1" a="1"/>
  <c r="L584" i="1" s="1"/>
  <c r="L585" i="1" a="1"/>
  <c r="L585" i="1" s="1"/>
  <c r="M585" i="1" s="1" a="1"/>
  <c r="M585" i="1" s="1"/>
  <c r="L586" i="1" a="1"/>
  <c r="L586" i="1" s="1"/>
  <c r="L587" i="1" a="1"/>
  <c r="L587" i="1" s="1"/>
  <c r="L588" i="1" a="1"/>
  <c r="L588" i="1" s="1"/>
  <c r="L589" i="1" a="1"/>
  <c r="L589" i="1" s="1"/>
  <c r="M589" i="1" s="1" a="1"/>
  <c r="M589" i="1" s="1"/>
  <c r="L590" i="1" a="1"/>
  <c r="L590" i="1" s="1"/>
  <c r="L591" i="1" a="1"/>
  <c r="L591" i="1" s="1"/>
  <c r="L592" i="1" a="1"/>
  <c r="L592" i="1" s="1"/>
  <c r="L593" i="1" a="1"/>
  <c r="L593" i="1" s="1"/>
  <c r="M593" i="1" s="1" a="1"/>
  <c r="M593" i="1" s="1"/>
  <c r="L594" i="1" a="1"/>
  <c r="L594" i="1" s="1"/>
  <c r="L595" i="1" a="1"/>
  <c r="L595" i="1" s="1"/>
  <c r="L596" i="1" a="1"/>
  <c r="L596" i="1" s="1"/>
  <c r="L597" i="1" a="1"/>
  <c r="L597" i="1" s="1"/>
  <c r="M597" i="1" s="1" a="1"/>
  <c r="M597" i="1" s="1"/>
  <c r="L598" i="1" a="1"/>
  <c r="L598" i="1" s="1"/>
  <c r="L599" i="1" a="1"/>
  <c r="L599" i="1" s="1"/>
  <c r="L600" i="1" a="1"/>
  <c r="L600" i="1" s="1"/>
  <c r="L601" i="1" a="1"/>
  <c r="L601" i="1" s="1"/>
  <c r="M601" i="1" s="1" a="1"/>
  <c r="M601" i="1" s="1"/>
  <c r="L602" i="1" a="1"/>
  <c r="L602" i="1" s="1"/>
  <c r="L603" i="1" a="1"/>
  <c r="L603" i="1" s="1"/>
  <c r="L604" i="1" a="1"/>
  <c r="L604" i="1" s="1"/>
  <c r="L605" i="1" a="1"/>
  <c r="L605" i="1" s="1"/>
  <c r="M605" i="1" s="1" a="1"/>
  <c r="M605" i="1" s="1"/>
  <c r="L606" i="1" a="1"/>
  <c r="L606" i="1" s="1"/>
  <c r="L607" i="1" a="1"/>
  <c r="L607" i="1" s="1"/>
  <c r="L608" i="1" a="1"/>
  <c r="L608" i="1" s="1"/>
  <c r="M608" i="1" s="1" a="1"/>
  <c r="M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M613" i="1" s="1" a="1"/>
  <c r="M613" i="1" s="1"/>
  <c r="L614" i="1" a="1"/>
  <c r="L614" i="1" s="1"/>
  <c r="L615" i="1" a="1"/>
  <c r="L615" i="1" s="1"/>
  <c r="L616" i="1" a="1"/>
  <c r="L616" i="1" s="1"/>
  <c r="L617" i="1" a="1"/>
  <c r="L617" i="1" s="1"/>
  <c r="M617" i="1" s="1" a="1"/>
  <c r="M617" i="1" s="1"/>
  <c r="L618" i="1" a="1"/>
  <c r="L618" i="1" s="1"/>
  <c r="L619" i="1" a="1"/>
  <c r="L619" i="1" s="1"/>
  <c r="L620" i="1" a="1"/>
  <c r="L620" i="1" s="1"/>
  <c r="L621" i="1" a="1"/>
  <c r="L621" i="1" s="1"/>
  <c r="M621" i="1" s="1" a="1"/>
  <c r="M621" i="1" s="1"/>
  <c r="L622" i="1" a="1"/>
  <c r="L622" i="1" s="1"/>
  <c r="L623" i="1" a="1"/>
  <c r="L623" i="1" s="1"/>
  <c r="L624" i="1" a="1"/>
  <c r="L624" i="1" s="1"/>
  <c r="L625" i="1" a="1"/>
  <c r="L625" i="1" s="1"/>
  <c r="M625" i="1" s="1" a="1"/>
  <c r="M625" i="1" s="1"/>
  <c r="L626" i="1" a="1"/>
  <c r="L626" i="1" s="1"/>
  <c r="L627" i="1" a="1"/>
  <c r="L627" i="1" s="1"/>
  <c r="L628" i="1" a="1"/>
  <c r="L628" i="1" s="1"/>
  <c r="L629" i="1" a="1"/>
  <c r="L629" i="1" s="1"/>
  <c r="M629" i="1" s="1" a="1"/>
  <c r="M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M634" i="1" s="1" a="1"/>
  <c r="M634" i="1" s="1"/>
  <c r="L635" i="1" a="1"/>
  <c r="L635" i="1" s="1"/>
  <c r="L636" i="1" a="1"/>
  <c r="L636" i="1" s="1"/>
  <c r="L637" i="1" a="1"/>
  <c r="L637" i="1" s="1"/>
  <c r="L638" i="1" a="1"/>
  <c r="L638" i="1" s="1"/>
  <c r="M638" i="1" s="1" a="1"/>
  <c r="M638" i="1" s="1"/>
  <c r="L639" i="1" a="1"/>
  <c r="L639" i="1" s="1"/>
  <c r="L640" i="1" a="1"/>
  <c r="L640" i="1" s="1"/>
  <c r="L641" i="1" a="1"/>
  <c r="L641" i="1" s="1"/>
  <c r="L642" i="1" a="1"/>
  <c r="L642" i="1" s="1"/>
  <c r="M642" i="1" s="1" a="1"/>
  <c r="M642" i="1" s="1"/>
  <c r="L643" i="1" a="1"/>
  <c r="L643" i="1" s="1"/>
  <c r="L644" i="1" a="1"/>
  <c r="L644" i="1" s="1"/>
  <c r="L645" i="1" a="1"/>
  <c r="L645" i="1" s="1"/>
  <c r="M645" i="1" s="1" a="1"/>
  <c r="M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M650" i="1" s="1" a="1"/>
  <c r="M650" i="1" s="1"/>
  <c r="L651" i="1" a="1"/>
  <c r="L651" i="1" s="1"/>
  <c r="L652" i="1" a="1"/>
  <c r="L652" i="1" s="1"/>
  <c r="L653" i="1" a="1"/>
  <c r="L653" i="1" s="1"/>
  <c r="L654" i="1" a="1"/>
  <c r="L654" i="1" s="1"/>
  <c r="M654" i="1" s="1" a="1"/>
  <c r="M654" i="1" s="1"/>
  <c r="L655" i="1" a="1"/>
  <c r="L655" i="1" s="1"/>
  <c r="L656" i="1" a="1"/>
  <c r="L656" i="1" s="1"/>
  <c r="L657" i="1" a="1"/>
  <c r="L657" i="1" s="1"/>
  <c r="M657" i="1" s="1" a="1"/>
  <c r="M657" i="1" s="1"/>
  <c r="L658" i="1" a="1"/>
  <c r="L658" i="1" s="1"/>
  <c r="L659" i="1" a="1"/>
  <c r="L659" i="1" s="1"/>
  <c r="L660" i="1" a="1"/>
  <c r="L660" i="1" s="1"/>
  <c r="L661" i="1" a="1"/>
  <c r="L661" i="1" s="1"/>
  <c r="M661" i="1" s="1" a="1"/>
  <c r="M661" i="1" s="1"/>
  <c r="L662" i="1" a="1"/>
  <c r="L662" i="1" s="1"/>
  <c r="L663" i="1" a="1"/>
  <c r="L663" i="1" s="1"/>
  <c r="L664" i="1" a="1"/>
  <c r="L664" i="1" s="1"/>
  <c r="L665" i="1" a="1"/>
  <c r="L665" i="1" s="1"/>
  <c r="M665" i="1" s="1" a="1"/>
  <c r="M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M670" i="1" s="1" a="1"/>
  <c r="M670" i="1" s="1"/>
  <c r="L671" i="1" a="1"/>
  <c r="L671" i="1" s="1"/>
  <c r="L672" i="1" a="1"/>
  <c r="L672" i="1" s="1"/>
  <c r="L673" i="1" a="1"/>
  <c r="L673" i="1" s="1"/>
  <c r="M673" i="1" s="1" a="1"/>
  <c r="M673" i="1" s="1"/>
  <c r="L674" i="1" a="1"/>
  <c r="L674" i="1" s="1"/>
  <c r="L675" i="1" a="1"/>
  <c r="L675" i="1" s="1"/>
  <c r="L676" i="1" a="1"/>
  <c r="L676" i="1" s="1"/>
  <c r="L677" i="1" a="1"/>
  <c r="L677" i="1" s="1"/>
  <c r="M677" i="1" s="1" a="1"/>
  <c r="M677" i="1" s="1"/>
  <c r="L678" i="1" a="1"/>
  <c r="L678" i="1" s="1"/>
  <c r="L679" i="1" a="1"/>
  <c r="L679" i="1" s="1"/>
  <c r="L680" i="1" a="1"/>
  <c r="L680" i="1" s="1"/>
  <c r="L681" i="1" a="1"/>
  <c r="L681" i="1" s="1"/>
  <c r="M681" i="1" s="1" a="1"/>
  <c r="M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M686" i="1" s="1" a="1"/>
  <c r="M686" i="1" s="1"/>
  <c r="L687" i="1" a="1"/>
  <c r="L687" i="1" s="1"/>
  <c r="L688" i="1" a="1"/>
  <c r="L688" i="1" s="1"/>
  <c r="L689" i="1" a="1"/>
  <c r="L689" i="1" s="1"/>
  <c r="L690" i="1" a="1"/>
  <c r="L690" i="1" s="1"/>
  <c r="M690" i="1" s="1" a="1"/>
  <c r="M690" i="1" s="1"/>
  <c r="L691" i="1" a="1"/>
  <c r="L691" i="1" s="1"/>
  <c r="L692" i="1" a="1"/>
  <c r="L692" i="1" s="1"/>
  <c r="L693" i="1" a="1"/>
  <c r="L693" i="1" s="1"/>
  <c r="L694" i="1" a="1"/>
  <c r="L694" i="1" s="1"/>
  <c r="M694" i="1" s="1" a="1"/>
  <c r="M694" i="1" s="1"/>
  <c r="L695" i="1" a="1"/>
  <c r="L695" i="1" s="1"/>
  <c r="L696" i="1" a="1"/>
  <c r="L696" i="1" s="1"/>
  <c r="L697" i="1" a="1"/>
  <c r="L697" i="1" s="1"/>
  <c r="L698" i="1" a="1"/>
  <c r="L698" i="1" s="1"/>
  <c r="M698" i="1" s="1" a="1"/>
  <c r="M698" i="1" s="1"/>
  <c r="L699" i="1" a="1"/>
  <c r="L699" i="1" s="1"/>
  <c r="L700" i="1" a="1"/>
  <c r="L700" i="1" s="1"/>
  <c r="L701" i="1" a="1"/>
  <c r="L701" i="1" s="1"/>
  <c r="L702" i="1" a="1"/>
  <c r="L702" i="1" s="1"/>
  <c r="M702" i="1" s="1" a="1"/>
  <c r="M702" i="1" s="1"/>
  <c r="L703" i="1" a="1"/>
  <c r="L703" i="1" s="1"/>
  <c r="L704" i="1" a="1"/>
  <c r="L704" i="1" s="1"/>
  <c r="L705" i="1" a="1"/>
  <c r="L705" i="1" s="1"/>
  <c r="L706" i="1" a="1"/>
  <c r="L706" i="1" s="1"/>
  <c r="M706" i="1" s="1" a="1"/>
  <c r="M706" i="1" s="1"/>
  <c r="L707" i="1" a="1"/>
  <c r="L707" i="1" s="1"/>
  <c r="L708" i="1" a="1"/>
  <c r="L708" i="1" s="1"/>
  <c r="L709" i="1" a="1"/>
  <c r="L709" i="1" s="1"/>
  <c r="L710" i="1" a="1"/>
  <c r="L710" i="1" s="1"/>
  <c r="M710" i="1" s="1" a="1"/>
  <c r="M710" i="1" s="1"/>
  <c r="L711" i="1" a="1"/>
  <c r="L711" i="1" s="1"/>
  <c r="L712" i="1" a="1"/>
  <c r="L712" i="1" s="1"/>
  <c r="L713" i="1" a="1"/>
  <c r="L713" i="1" s="1"/>
  <c r="L714" i="1" a="1"/>
  <c r="L714" i="1" s="1"/>
  <c r="M714" i="1" s="1" a="1"/>
  <c r="M714" i="1" s="1"/>
  <c r="L715" i="1" a="1"/>
  <c r="L715" i="1" s="1"/>
  <c r="L716" i="1" a="1"/>
  <c r="L716" i="1" s="1"/>
  <c r="L717" i="1" a="1"/>
  <c r="L717" i="1" s="1"/>
  <c r="L718" i="1" a="1"/>
  <c r="L718" i="1" s="1"/>
  <c r="M718" i="1" s="1" a="1"/>
  <c r="M718" i="1" s="1"/>
  <c r="L719" i="1" a="1"/>
  <c r="L719" i="1" s="1"/>
  <c r="L720" i="1" a="1"/>
  <c r="L720" i="1" s="1"/>
  <c r="L721" i="1" a="1"/>
  <c r="L721" i="1" s="1"/>
  <c r="L722" i="1" a="1"/>
  <c r="L722" i="1" s="1"/>
  <c r="M722" i="1" s="1" a="1"/>
  <c r="M722" i="1" s="1"/>
  <c r="L723" i="1" a="1"/>
  <c r="L723" i="1" s="1"/>
  <c r="L724" i="1" a="1"/>
  <c r="L724" i="1" s="1"/>
  <c r="L725" i="1" a="1"/>
  <c r="L725" i="1" s="1"/>
  <c r="L726" i="1" a="1"/>
  <c r="L726" i="1" s="1"/>
  <c r="M726" i="1" s="1" a="1"/>
  <c r="M726" i="1" s="1"/>
  <c r="L727" i="1" a="1"/>
  <c r="L727" i="1" s="1"/>
  <c r="L728" i="1" a="1"/>
  <c r="L728" i="1" s="1"/>
  <c r="L729" i="1" a="1"/>
  <c r="L729" i="1" s="1"/>
  <c r="L730" i="1" a="1"/>
  <c r="L730" i="1" s="1"/>
  <c r="M730" i="1" s="1" a="1"/>
  <c r="M730" i="1" s="1"/>
  <c r="L731" i="1" a="1"/>
  <c r="L731" i="1" s="1"/>
  <c r="L732" i="1" a="1"/>
  <c r="L732" i="1" s="1"/>
  <c r="L733" i="1" a="1"/>
  <c r="L733" i="1" s="1"/>
  <c r="L734" i="1" a="1"/>
  <c r="L734" i="1" s="1"/>
  <c r="M734" i="1" s="1" a="1"/>
  <c r="M734" i="1" s="1"/>
  <c r="L735" i="1" a="1"/>
  <c r="L735" i="1" s="1"/>
  <c r="L736" i="1" a="1"/>
  <c r="L736" i="1" s="1"/>
  <c r="L737" i="1" a="1"/>
  <c r="L737" i="1" s="1"/>
  <c r="L738" i="1" a="1"/>
  <c r="L738" i="1" s="1"/>
  <c r="M738" i="1" s="1" a="1"/>
  <c r="M738" i="1" s="1"/>
  <c r="L739" i="1" a="1"/>
  <c r="L739" i="1" s="1"/>
  <c r="L740" i="1" a="1"/>
  <c r="L740" i="1" s="1"/>
  <c r="L741" i="1" a="1"/>
  <c r="L741" i="1" s="1"/>
  <c r="L742" i="1" a="1"/>
  <c r="L742" i="1" s="1"/>
  <c r="M742" i="1" s="1" a="1"/>
  <c r="M742" i="1" s="1"/>
  <c r="L743" i="1" a="1"/>
  <c r="L743" i="1" s="1"/>
  <c r="L744" i="1" a="1"/>
  <c r="L744" i="1" s="1"/>
  <c r="L745" i="1" a="1"/>
  <c r="L745" i="1" s="1"/>
  <c r="L746" i="1" a="1"/>
  <c r="L746" i="1" s="1"/>
  <c r="M746" i="1" s="1" a="1"/>
  <c r="M746" i="1" s="1"/>
  <c r="L747" i="1" a="1"/>
  <c r="L747" i="1" s="1"/>
  <c r="L748" i="1" a="1"/>
  <c r="L748" i="1" s="1"/>
  <c r="L749" i="1" a="1"/>
  <c r="L749" i="1" s="1"/>
  <c r="L750" i="1" a="1"/>
  <c r="L750" i="1" s="1"/>
  <c r="M750" i="1" s="1" a="1"/>
  <c r="M750" i="1" s="1"/>
  <c r="L751" i="1" a="1"/>
  <c r="L751" i="1" s="1"/>
  <c r="L752" i="1" a="1"/>
  <c r="L752" i="1" s="1"/>
  <c r="L753" i="1" a="1"/>
  <c r="L753" i="1" s="1"/>
  <c r="L754" i="1" a="1"/>
  <c r="L754" i="1" s="1"/>
  <c r="M754" i="1" s="1" a="1"/>
  <c r="M754" i="1" s="1"/>
  <c r="L755" i="1" a="1"/>
  <c r="L755" i="1" s="1"/>
  <c r="L756" i="1" a="1"/>
  <c r="L756" i="1" s="1"/>
  <c r="L757" i="1" a="1"/>
  <c r="L757" i="1" s="1"/>
  <c r="L758" i="1" a="1"/>
  <c r="L758" i="1" s="1"/>
  <c r="M758" i="1" s="1" a="1"/>
  <c r="M758" i="1" s="1"/>
  <c r="L759" i="1" a="1"/>
  <c r="L759" i="1" s="1"/>
  <c r="L760" i="1" a="1"/>
  <c r="L760" i="1" s="1"/>
  <c r="L761" i="1" a="1"/>
  <c r="L761" i="1" s="1"/>
  <c r="L762" i="1" a="1"/>
  <c r="L762" i="1" s="1"/>
  <c r="M762" i="1" s="1" a="1"/>
  <c r="M762" i="1" s="1"/>
  <c r="L763" i="1" a="1"/>
  <c r="L763" i="1" s="1"/>
  <c r="L764" i="1" a="1"/>
  <c r="L764" i="1" s="1"/>
  <c r="L765" i="1" a="1"/>
  <c r="L765" i="1" s="1"/>
  <c r="L766" i="1" a="1"/>
  <c r="L766" i="1" s="1"/>
  <c r="M766" i="1" s="1" a="1"/>
  <c r="M766" i="1" s="1"/>
  <c r="L767" i="1" a="1"/>
  <c r="L767" i="1" s="1"/>
  <c r="L768" i="1" a="1"/>
  <c r="L768" i="1" s="1"/>
  <c r="L769" i="1" a="1"/>
  <c r="L769" i="1" s="1"/>
  <c r="L770" i="1" a="1"/>
  <c r="L770" i="1" s="1"/>
  <c r="M770" i="1" s="1" a="1"/>
  <c r="M770" i="1" s="1"/>
  <c r="L771" i="1" a="1"/>
  <c r="L771" i="1" s="1"/>
  <c r="L772" i="1" a="1"/>
  <c r="L772" i="1" s="1"/>
  <c r="L773" i="1" a="1"/>
  <c r="L773" i="1" s="1"/>
  <c r="M773" i="1" s="1" a="1"/>
  <c r="M773" i="1" s="1"/>
  <c r="L774" i="1" a="1"/>
  <c r="L774" i="1" s="1"/>
  <c r="L775" i="1" a="1"/>
  <c r="L775" i="1" s="1"/>
  <c r="L776" i="1" a="1"/>
  <c r="L776" i="1" s="1"/>
  <c r="L777" i="1" a="1"/>
  <c r="L777" i="1" s="1"/>
  <c r="M777" i="1" s="1" a="1"/>
  <c r="M777" i="1" s="1"/>
  <c r="L778" i="1" a="1"/>
  <c r="L778" i="1" s="1"/>
  <c r="L779" i="1" a="1"/>
  <c r="L779" i="1" s="1"/>
  <c r="L780" i="1" a="1"/>
  <c r="L780" i="1" s="1"/>
  <c r="L781" i="1" a="1"/>
  <c r="L781" i="1" s="1"/>
  <c r="M781" i="1" s="1" a="1"/>
  <c r="M781" i="1" s="1"/>
  <c r="L782" i="1" a="1"/>
  <c r="L782" i="1" s="1"/>
  <c r="L783" i="1" a="1"/>
  <c r="L783" i="1" s="1"/>
  <c r="L784" i="1" a="1"/>
  <c r="L784" i="1" s="1"/>
  <c r="L785" i="1" a="1"/>
  <c r="L785" i="1" s="1"/>
  <c r="M785" i="1" s="1" a="1"/>
  <c r="M785" i="1" s="1"/>
  <c r="L786" i="1" a="1"/>
  <c r="L786" i="1" s="1"/>
  <c r="L787" i="1" a="1"/>
  <c r="L787" i="1" s="1"/>
  <c r="L788" i="1" a="1"/>
  <c r="L788" i="1" s="1"/>
  <c r="M788" i="1" s="1" a="1"/>
  <c r="M788" i="1" s="1"/>
  <c r="L789" i="1" a="1"/>
  <c r="L789" i="1" s="1"/>
  <c r="L790" i="1" a="1"/>
  <c r="L790" i="1" s="1"/>
  <c r="L791" i="1" a="1"/>
  <c r="L791" i="1" s="1"/>
  <c r="L792" i="1" a="1"/>
  <c r="L792" i="1" s="1"/>
  <c r="M792" i="1" s="1" a="1"/>
  <c r="M792" i="1" s="1"/>
  <c r="L793" i="1" a="1"/>
  <c r="L793" i="1" s="1"/>
  <c r="L794" i="1" a="1"/>
  <c r="L794" i="1" s="1"/>
  <c r="L795" i="1" a="1"/>
  <c r="L795" i="1" s="1"/>
  <c r="L796" i="1" a="1"/>
  <c r="L796" i="1" s="1"/>
  <c r="M796" i="1" s="1" a="1"/>
  <c r="M796" i="1" s="1"/>
  <c r="L797" i="1" a="1"/>
  <c r="L797" i="1" s="1"/>
  <c r="L798" i="1" a="1"/>
  <c r="L798" i="1" s="1"/>
  <c r="L799" i="1" a="1"/>
  <c r="L799" i="1" s="1"/>
  <c r="L800" i="1" a="1"/>
  <c r="L800" i="1" s="1"/>
  <c r="M800" i="1" s="1" a="1"/>
  <c r="M800" i="1" s="1"/>
  <c r="L801" i="1" a="1"/>
  <c r="L801" i="1" s="1"/>
  <c r="L802" i="1" a="1"/>
  <c r="L802" i="1" s="1"/>
  <c r="L803" i="1" a="1"/>
  <c r="L803" i="1" s="1"/>
  <c r="L804" i="1" a="1"/>
  <c r="L804" i="1" s="1"/>
  <c r="M804" i="1" s="1" a="1"/>
  <c r="M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M809" i="1" s="1" a="1"/>
  <c r="M809" i="1" s="1"/>
  <c r="L810" i="1" a="1"/>
  <c r="L810" i="1" s="1"/>
  <c r="L811" i="1" a="1"/>
  <c r="L811" i="1" s="1"/>
  <c r="L812" i="1" a="1"/>
  <c r="L812" i="1" s="1"/>
  <c r="L813" i="1" a="1"/>
  <c r="L813" i="1" s="1"/>
  <c r="M813" i="1" s="1" a="1"/>
  <c r="M813" i="1" s="1"/>
  <c r="L814" i="1" a="1"/>
  <c r="L814" i="1" s="1"/>
  <c r="L815" i="1" a="1"/>
  <c r="L815" i="1" s="1"/>
  <c r="L816" i="1" a="1"/>
  <c r="L816" i="1" s="1"/>
  <c r="L817" i="1" a="1"/>
  <c r="L817" i="1" s="1"/>
  <c r="M817" i="1" s="1" a="1"/>
  <c r="M817" i="1" s="1"/>
  <c r="L818" i="1" a="1"/>
  <c r="L818" i="1" s="1"/>
  <c r="L819" i="1" a="1"/>
  <c r="L819" i="1" s="1"/>
  <c r="L820" i="1" a="1"/>
  <c r="L820" i="1" s="1"/>
  <c r="L821" i="1" a="1"/>
  <c r="L821" i="1" s="1"/>
  <c r="M821" i="1" s="1" a="1"/>
  <c r="M821" i="1" s="1"/>
  <c r="L822" i="1" a="1"/>
  <c r="L822" i="1" s="1"/>
  <c r="L823" i="1" a="1"/>
  <c r="L823" i="1" s="1"/>
  <c r="L824" i="1" a="1"/>
  <c r="L824" i="1" s="1"/>
  <c r="L825" i="1" a="1"/>
  <c r="L825" i="1" s="1"/>
  <c r="M825" i="1" s="1" a="1"/>
  <c r="M825" i="1" s="1"/>
  <c r="L826" i="1" a="1"/>
  <c r="L826" i="1" s="1"/>
  <c r="L827" i="1" a="1"/>
  <c r="L827" i="1" s="1"/>
  <c r="L828" i="1" a="1"/>
  <c r="L828" i="1" s="1"/>
  <c r="L829" i="1" a="1"/>
  <c r="L829" i="1" s="1"/>
  <c r="M829" i="1" s="1" a="1"/>
  <c r="M829" i="1" s="1"/>
  <c r="L830" i="1" a="1"/>
  <c r="L830" i="1" s="1"/>
  <c r="L831" i="1" a="1"/>
  <c r="L831" i="1" s="1"/>
  <c r="L832" i="1" a="1"/>
  <c r="L832" i="1" s="1"/>
  <c r="L833" i="1" a="1"/>
  <c r="L833" i="1" s="1"/>
  <c r="M833" i="1" s="1" a="1"/>
  <c r="M833" i="1" s="1"/>
  <c r="L834" i="1" a="1"/>
  <c r="L834" i="1" s="1"/>
  <c r="L835" i="1" a="1"/>
  <c r="L835" i="1" s="1"/>
  <c r="L836" i="1" a="1"/>
  <c r="L836" i="1" s="1"/>
  <c r="M836" i="1" s="1" a="1"/>
  <c r="M836" i="1" s="1"/>
  <c r="L837" i="1" a="1"/>
  <c r="L837" i="1" s="1"/>
  <c r="L838" i="1" a="1"/>
  <c r="L838" i="1" s="1"/>
  <c r="L839" i="1" a="1"/>
  <c r="L839" i="1" s="1"/>
  <c r="L840" i="1" a="1"/>
  <c r="L840" i="1" s="1"/>
  <c r="M840" i="1" s="1" a="1"/>
  <c r="M840" i="1" s="1"/>
  <c r="L841" i="1" a="1"/>
  <c r="L841" i="1" s="1"/>
  <c r="L842" i="1" a="1"/>
  <c r="L842" i="1" s="1"/>
  <c r="L843" i="1" a="1"/>
  <c r="L843" i="1" s="1"/>
  <c r="L844" i="1" a="1"/>
  <c r="L844" i="1" s="1"/>
  <c r="M844" i="1" s="1" a="1"/>
  <c r="M844" i="1" s="1"/>
  <c r="L845" i="1" a="1"/>
  <c r="L845" i="1" s="1"/>
  <c r="L846" i="1" a="1"/>
  <c r="L846" i="1" s="1"/>
  <c r="L847" i="1" a="1"/>
  <c r="L847" i="1" s="1"/>
  <c r="L848" i="1" a="1"/>
  <c r="L848" i="1" s="1"/>
  <c r="M848" i="1" s="1" a="1"/>
  <c r="M848" i="1" s="1"/>
  <c r="L849" i="1" a="1"/>
  <c r="L849" i="1" s="1"/>
  <c r="L850" i="1" a="1"/>
  <c r="L850" i="1" s="1"/>
  <c r="L851" i="1" a="1"/>
  <c r="L851" i="1" s="1"/>
  <c r="L852" i="1" a="1"/>
  <c r="L852" i="1" s="1"/>
  <c r="M852" i="1" s="1" a="1"/>
  <c r="M852" i="1" s="1"/>
  <c r="L853" i="1" a="1"/>
  <c r="L853" i="1" s="1"/>
  <c r="L854" i="1" a="1"/>
  <c r="L854" i="1" s="1"/>
  <c r="L855" i="1" a="1"/>
  <c r="L855" i="1" s="1"/>
  <c r="L856" i="1" a="1"/>
  <c r="L856" i="1" s="1"/>
  <c r="M856" i="1" s="1" a="1"/>
  <c r="M856" i="1" s="1"/>
  <c r="L857" i="1" a="1"/>
  <c r="L857" i="1" s="1"/>
  <c r="L858" i="1" a="1"/>
  <c r="L858" i="1" s="1"/>
  <c r="L859" i="1" a="1"/>
  <c r="L859" i="1" s="1"/>
  <c r="L860" i="1" a="1"/>
  <c r="L860" i="1" s="1"/>
  <c r="M860" i="1" s="1" a="1"/>
  <c r="M860" i="1" s="1"/>
  <c r="L861" i="1" a="1"/>
  <c r="L861" i="1" s="1"/>
  <c r="L862" i="1" a="1"/>
  <c r="L862" i="1" s="1"/>
  <c r="L863" i="1" a="1"/>
  <c r="L863" i="1" s="1"/>
  <c r="L864" i="1" a="1"/>
  <c r="L864" i="1" s="1"/>
  <c r="M864" i="1" s="1" a="1"/>
  <c r="M864" i="1" s="1"/>
  <c r="L865" i="1" a="1"/>
  <c r="L865" i="1" s="1"/>
  <c r="L866" i="1" a="1"/>
  <c r="L866" i="1" s="1"/>
  <c r="L867" i="1" a="1"/>
  <c r="L867" i="1" s="1"/>
  <c r="L868" i="1" a="1"/>
  <c r="L868" i="1" s="1"/>
  <c r="M868" i="1" s="1" a="1"/>
  <c r="M868" i="1" s="1"/>
  <c r="L869" i="1" a="1"/>
  <c r="L869" i="1" s="1"/>
  <c r="L870" i="1" a="1"/>
  <c r="L870" i="1" s="1"/>
  <c r="L871" i="1" a="1"/>
  <c r="L871" i="1" s="1"/>
  <c r="L872" i="1" a="1"/>
  <c r="L872" i="1" s="1"/>
  <c r="M872" i="1" s="1" a="1"/>
  <c r="M872" i="1" s="1"/>
  <c r="L873" i="1" a="1"/>
  <c r="L873" i="1" s="1"/>
  <c r="L874" i="1" a="1"/>
  <c r="L874" i="1" s="1"/>
  <c r="L875" i="1" a="1"/>
  <c r="L875" i="1" s="1"/>
  <c r="L876" i="1" a="1"/>
  <c r="L876" i="1" s="1"/>
  <c r="M876" i="1" s="1" a="1"/>
  <c r="M876" i="1" s="1"/>
  <c r="L877" i="1" a="1"/>
  <c r="L877" i="1" s="1"/>
  <c r="L878" i="1" a="1"/>
  <c r="L878" i="1" s="1"/>
  <c r="L879" i="1" a="1"/>
  <c r="L879" i="1" s="1"/>
  <c r="L880" i="1" a="1"/>
  <c r="L880" i="1" s="1"/>
  <c r="M880" i="1" s="1" a="1"/>
  <c r="M880" i="1" s="1"/>
  <c r="L881" i="1" a="1"/>
  <c r="L881" i="1" s="1"/>
  <c r="L882" i="1" a="1"/>
  <c r="L882" i="1" s="1"/>
  <c r="L883" i="1" a="1"/>
  <c r="L883" i="1" s="1"/>
  <c r="L884" i="1" a="1"/>
  <c r="L884" i="1" s="1"/>
  <c r="M884" i="1" s="1" a="1"/>
  <c r="M884" i="1" s="1"/>
  <c r="L885" i="1" a="1"/>
  <c r="L885" i="1" s="1"/>
  <c r="L886" i="1" a="1"/>
  <c r="L886" i="1" s="1"/>
  <c r="L887" i="1" a="1"/>
  <c r="L887" i="1" s="1"/>
  <c r="L888" i="1" a="1"/>
  <c r="L888" i="1" s="1"/>
  <c r="M888" i="1" s="1" a="1"/>
  <c r="M888" i="1" s="1"/>
  <c r="L889" i="1" a="1"/>
  <c r="L889" i="1" s="1"/>
  <c r="L890" i="1" a="1"/>
  <c r="L890" i="1" s="1"/>
  <c r="L891" i="1" a="1"/>
  <c r="L891" i="1" s="1"/>
  <c r="L892" i="1" a="1"/>
  <c r="L892" i="1" s="1"/>
  <c r="M892" i="1" s="1" a="1"/>
  <c r="M892" i="1" s="1"/>
  <c r="L893" i="1" a="1"/>
  <c r="L893" i="1" s="1"/>
  <c r="L894" i="1" a="1"/>
  <c r="L894" i="1" s="1"/>
  <c r="L895" i="1" a="1"/>
  <c r="L895" i="1" s="1"/>
  <c r="M895" i="1" s="1" a="1"/>
  <c r="M895" i="1" s="1"/>
  <c r="L896" i="1" a="1"/>
  <c r="L896" i="1" s="1"/>
  <c r="L897" i="1" a="1"/>
  <c r="L897" i="1" s="1"/>
  <c r="L898" i="1" a="1"/>
  <c r="L898" i="1" s="1"/>
  <c r="L899" i="1" a="1"/>
  <c r="L899" i="1" s="1"/>
  <c r="M899" i="1" s="1" a="1"/>
  <c r="M899" i="1" s="1"/>
  <c r="L900" i="1" a="1"/>
  <c r="L900" i="1" s="1"/>
  <c r="L901" i="1" a="1"/>
  <c r="L901" i="1" s="1"/>
  <c r="L902" i="1" a="1"/>
  <c r="L902" i="1" s="1"/>
  <c r="L903" i="1" a="1"/>
  <c r="L903" i="1" s="1"/>
  <c r="M903" i="1" s="1" a="1"/>
  <c r="M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M908" i="1" s="1" a="1"/>
  <c r="M908" i="1" s="1"/>
  <c r="L909" i="1" a="1"/>
  <c r="L909" i="1" s="1"/>
  <c r="L910" i="1" a="1"/>
  <c r="L910" i="1" s="1"/>
  <c r="L911" i="1" a="1"/>
  <c r="L911" i="1" s="1"/>
  <c r="L912" i="1" a="1"/>
  <c r="L912" i="1" s="1"/>
  <c r="M912" i="1" s="1" a="1"/>
  <c r="M912" i="1" s="1"/>
  <c r="L913" i="1" a="1"/>
  <c r="L913" i="1" s="1"/>
  <c r="L914" i="1" a="1"/>
  <c r="L914" i="1" s="1"/>
  <c r="L915" i="1" a="1"/>
  <c r="L915" i="1" s="1"/>
  <c r="L916" i="1" a="1"/>
  <c r="L916" i="1" s="1"/>
  <c r="M916" i="1" s="1" a="1"/>
  <c r="M916" i="1" s="1"/>
  <c r="L917" i="1" a="1"/>
  <c r="L917" i="1" s="1"/>
  <c r="L918" i="1" a="1"/>
  <c r="L918" i="1" s="1"/>
  <c r="L919" i="1" a="1"/>
  <c r="L919" i="1" s="1"/>
  <c r="M919" i="1" s="1" a="1"/>
  <c r="M919" i="1" s="1"/>
  <c r="L920" i="1" a="1"/>
  <c r="L920" i="1" s="1"/>
  <c r="L921" i="1" a="1"/>
  <c r="L921" i="1" s="1"/>
  <c r="L922" i="1" a="1"/>
  <c r="L922" i="1" s="1"/>
  <c r="L923" i="1" a="1"/>
  <c r="L923" i="1" s="1"/>
  <c r="M923" i="1" s="1" a="1"/>
  <c r="M923" i="1" s="1"/>
  <c r="L924" i="1" a="1"/>
  <c r="L924" i="1" s="1"/>
  <c r="L925" i="1" a="1"/>
  <c r="L925" i="1" s="1"/>
  <c r="L926" i="1" a="1"/>
  <c r="L926" i="1" s="1"/>
  <c r="L927" i="1" a="1"/>
  <c r="L927" i="1" s="1"/>
  <c r="M927" i="1" s="1" a="1"/>
  <c r="M927" i="1" s="1"/>
  <c r="L928" i="1" a="1"/>
  <c r="L928" i="1" s="1"/>
  <c r="L929" i="1" a="1"/>
  <c r="L929" i="1" s="1"/>
  <c r="L930" i="1" a="1"/>
  <c r="L930" i="1" s="1"/>
  <c r="L931" i="1" a="1"/>
  <c r="L931" i="1" s="1"/>
  <c r="M931" i="1" s="1" a="1"/>
  <c r="M931" i="1" s="1"/>
  <c r="L932" i="1" a="1"/>
  <c r="L932" i="1" s="1"/>
  <c r="L933" i="1" a="1"/>
  <c r="L933" i="1" s="1"/>
  <c r="L934" i="1" a="1"/>
  <c r="L934" i="1" s="1"/>
  <c r="L935" i="1" a="1"/>
  <c r="L935" i="1" s="1"/>
  <c r="M935" i="1" s="1" a="1"/>
  <c r="M935" i="1" s="1"/>
  <c r="L936" i="1" a="1"/>
  <c r="L936" i="1" s="1"/>
  <c r="L937" i="1" a="1"/>
  <c r="L937" i="1" s="1"/>
  <c r="L938" i="1" a="1"/>
  <c r="L938" i="1" s="1"/>
  <c r="L939" i="1" a="1"/>
  <c r="L939" i="1" s="1"/>
  <c r="M939" i="1" s="1" a="1"/>
  <c r="M939" i="1" s="1"/>
  <c r="L940" i="1" a="1"/>
  <c r="L940" i="1" s="1"/>
  <c r="L941" i="1" a="1"/>
  <c r="L941" i="1" s="1"/>
  <c r="L942" i="1" a="1"/>
  <c r="L942" i="1" s="1"/>
  <c r="L943" i="1" a="1"/>
  <c r="L943" i="1" s="1"/>
  <c r="M943" i="1" s="1" a="1"/>
  <c r="M943" i="1" s="1"/>
  <c r="L944" i="1" a="1"/>
  <c r="L944" i="1" s="1"/>
  <c r="L945" i="1" a="1"/>
  <c r="L945" i="1" s="1"/>
  <c r="L946" i="1" a="1"/>
  <c r="L946" i="1" s="1"/>
  <c r="L947" i="1" a="1"/>
  <c r="L947" i="1" s="1"/>
  <c r="M947" i="1" s="1" a="1"/>
  <c r="M947" i="1" s="1"/>
  <c r="L948" i="1" a="1"/>
  <c r="L948" i="1" s="1"/>
  <c r="L949" i="1" a="1"/>
  <c r="L949" i="1" s="1"/>
  <c r="L950" i="1" a="1"/>
  <c r="L950" i="1" s="1"/>
  <c r="L951" i="1" a="1"/>
  <c r="L951" i="1" s="1"/>
  <c r="M951" i="1" s="1" a="1"/>
  <c r="M951" i="1" s="1"/>
  <c r="L952" i="1" a="1"/>
  <c r="L952" i="1" s="1"/>
  <c r="L953" i="1" a="1"/>
  <c r="L953" i="1" s="1"/>
  <c r="L954" i="1" a="1"/>
  <c r="L954" i="1" s="1"/>
  <c r="L955" i="1" a="1"/>
  <c r="L955" i="1" s="1"/>
  <c r="M955" i="1" s="1" a="1"/>
  <c r="M955" i="1" s="1"/>
  <c r="L956" i="1" a="1"/>
  <c r="L956" i="1" s="1"/>
  <c r="L957" i="1" a="1"/>
  <c r="L957" i="1" s="1"/>
  <c r="L958" i="1" a="1"/>
  <c r="L958" i="1" s="1"/>
  <c r="L959" i="1" a="1"/>
  <c r="L959" i="1" s="1"/>
  <c r="M959" i="1" s="1" a="1"/>
  <c r="M959" i="1" s="1"/>
  <c r="L960" i="1" a="1"/>
  <c r="L960" i="1" s="1"/>
  <c r="L961" i="1" a="1"/>
  <c r="L961" i="1" s="1"/>
  <c r="L962" i="1" a="1"/>
  <c r="L962" i="1" s="1"/>
  <c r="L963" i="1" a="1"/>
  <c r="L963" i="1" s="1"/>
  <c r="M963" i="1" s="1" a="1"/>
  <c r="M963" i="1" s="1"/>
  <c r="L964" i="1" a="1"/>
  <c r="L964" i="1" s="1"/>
  <c r="L965" i="1" a="1"/>
  <c r="L965" i="1" s="1"/>
  <c r="L966" i="1" a="1"/>
  <c r="L966" i="1" s="1"/>
  <c r="L967" i="1" a="1"/>
  <c r="L967" i="1" s="1"/>
  <c r="M967" i="1" s="1" a="1"/>
  <c r="M967" i="1" s="1"/>
  <c r="L968" i="1" a="1"/>
  <c r="L968" i="1" s="1"/>
  <c r="L969" i="1" a="1"/>
  <c r="L969" i="1" s="1"/>
  <c r="L970" i="1" a="1"/>
  <c r="L970" i="1" s="1"/>
  <c r="L971" i="1" a="1"/>
  <c r="L971" i="1" s="1"/>
  <c r="M971" i="1" s="1" a="1"/>
  <c r="M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M976" i="1" s="1" a="1"/>
  <c r="M976" i="1" s="1"/>
  <c r="L977" i="1" a="1"/>
  <c r="L977" i="1" s="1"/>
  <c r="L978" i="1" a="1"/>
  <c r="L978" i="1" s="1"/>
  <c r="L979" i="1" a="1"/>
  <c r="L979" i="1" s="1"/>
  <c r="L980" i="1" a="1"/>
  <c r="L980" i="1" s="1"/>
  <c r="M980" i="1" s="1" a="1"/>
  <c r="M980" i="1" s="1"/>
  <c r="L981" i="1" a="1"/>
  <c r="L981" i="1" s="1"/>
  <c r="L982" i="1" a="1"/>
  <c r="L982" i="1" s="1"/>
  <c r="L983" i="1" a="1"/>
  <c r="L983" i="1" s="1"/>
  <c r="L984" i="1" a="1"/>
  <c r="L984" i="1" s="1"/>
  <c r="M984" i="1" s="1" a="1"/>
  <c r="M984" i="1" s="1"/>
  <c r="L985" i="1" a="1"/>
  <c r="L985" i="1" s="1"/>
  <c r="L986" i="1" a="1"/>
  <c r="L986" i="1" s="1"/>
  <c r="L987" i="1" a="1"/>
  <c r="L987" i="1" s="1"/>
  <c r="L988" i="1" a="1"/>
  <c r="L988" i="1" s="1"/>
  <c r="M988" i="1" s="1" a="1"/>
  <c r="M988" i="1" s="1"/>
  <c r="L989" i="1" a="1"/>
  <c r="L989" i="1" s="1"/>
  <c r="L990" i="1" a="1"/>
  <c r="L990" i="1" s="1"/>
  <c r="L991" i="1" a="1"/>
  <c r="L991" i="1" s="1"/>
  <c r="L992" i="1" a="1"/>
  <c r="L992" i="1" s="1"/>
  <c r="M992" i="1" s="1" a="1"/>
  <c r="M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M997" i="1" s="1" a="1"/>
  <c r="M997" i="1" s="1"/>
  <c r="L998" i="1" a="1"/>
  <c r="L998" i="1" s="1"/>
  <c r="L999" i="1" a="1"/>
  <c r="L999" i="1" s="1"/>
  <c r="L1000" i="1" a="1"/>
  <c r="L1000" i="1" s="1"/>
  <c r="M1000" i="1" s="1" a="1"/>
  <c r="M1000" i="1" s="1"/>
  <c r="L1001" i="1" a="1"/>
  <c r="L1001" i="1" s="1"/>
  <c r="L1002" i="1" a="1"/>
  <c r="L1002" i="1" s="1"/>
  <c r="L1003" i="1" a="1"/>
  <c r="L1003" i="1" s="1"/>
  <c r="L1004" i="1" a="1"/>
  <c r="L1004" i="1" s="1"/>
  <c r="M1004" i="1" s="1" a="1"/>
  <c r="M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M1009" i="1" s="1" a="1"/>
  <c r="M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M1014" i="1" s="1" a="1"/>
  <c r="M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M1021" i="1" s="1" a="1"/>
  <c r="M1021" i="1" s="1"/>
  <c r="L1022" i="1" a="1"/>
  <c r="L1022" i="1" s="1"/>
  <c r="L1023" i="1" a="1"/>
  <c r="L1023" i="1" s="1"/>
  <c r="L1024" i="1" a="1"/>
  <c r="L1024" i="1" s="1"/>
  <c r="L1025" i="1" a="1"/>
  <c r="L1025" i="1" s="1"/>
  <c r="M1025" i="1" s="1" a="1"/>
  <c r="M1025" i="1" s="1"/>
  <c r="L1026" i="1" a="1"/>
  <c r="L1026" i="1" s="1"/>
  <c r="L1027" i="1" a="1"/>
  <c r="L1027" i="1" s="1"/>
  <c r="L1028" i="1" a="1"/>
  <c r="L1028" i="1" s="1"/>
  <c r="L1029" i="1" a="1"/>
  <c r="L1029" i="1" s="1"/>
  <c r="M1029" i="1" s="1" a="1"/>
  <c r="M1029" i="1" s="1"/>
  <c r="L1030" i="1" a="1"/>
  <c r="L1030" i="1" s="1"/>
  <c r="L1031" i="1" a="1"/>
  <c r="L1031" i="1" s="1"/>
  <c r="L1032" i="1" a="1"/>
  <c r="L1032" i="1" s="1"/>
  <c r="L1033" i="1" a="1"/>
  <c r="L1033" i="1" s="1"/>
  <c r="M1033" i="1" s="1" a="1"/>
  <c r="M1033" i="1" s="1"/>
  <c r="L1034" i="1" a="1"/>
  <c r="L1034" i="1" s="1"/>
  <c r="L1035" i="1" a="1"/>
  <c r="L1035" i="1" s="1"/>
  <c r="L1036" i="1" a="1"/>
  <c r="L1036" i="1" s="1"/>
  <c r="L1037" i="1" a="1"/>
  <c r="L1037" i="1" s="1"/>
  <c r="M1037" i="1" s="1" a="1"/>
  <c r="M1037" i="1" s="1"/>
  <c r="L1038" i="1" a="1"/>
  <c r="L1038" i="1" s="1"/>
  <c r="L1039" i="1" a="1"/>
  <c r="L1039" i="1" s="1"/>
  <c r="L1040" i="1" a="1"/>
  <c r="L1040" i="1" s="1"/>
  <c r="M1040" i="1" s="1" a="1"/>
  <c r="M1040" i="1" s="1"/>
  <c r="L1041" i="1" a="1"/>
  <c r="L1041" i="1" s="1"/>
  <c r="L1042" i="1" a="1"/>
  <c r="L1042" i="1" s="1"/>
  <c r="L1043" i="1" a="1"/>
  <c r="L1043" i="1" s="1"/>
  <c r="L1044" i="1" a="1"/>
  <c r="L1044" i="1" s="1"/>
  <c r="M1044" i="1" s="1" a="1"/>
  <c r="M1044" i="1" s="1"/>
  <c r="L1045" i="1" a="1"/>
  <c r="L1045" i="1" s="1"/>
  <c r="L1046" i="1" a="1"/>
  <c r="L1046" i="1" s="1"/>
  <c r="L1047" i="1" a="1"/>
  <c r="L1047" i="1" s="1"/>
  <c r="L1048" i="1" a="1"/>
  <c r="L1048" i="1" s="1"/>
  <c r="M1048" i="1" s="1" a="1"/>
  <c r="M1048" i="1" s="1"/>
  <c r="L1049" i="1" a="1"/>
  <c r="L1049" i="1" s="1"/>
  <c r="L1050" i="1" a="1"/>
  <c r="L1050" i="1" s="1"/>
  <c r="L1051" i="1" a="1"/>
  <c r="L1051" i="1" s="1"/>
  <c r="L1052" i="1" a="1"/>
  <c r="L1052" i="1" s="1"/>
  <c r="M1052" i="1" s="1" a="1"/>
  <c r="M1052" i="1" s="1"/>
  <c r="L1053" i="1" a="1"/>
  <c r="L1053" i="1" s="1"/>
  <c r="L1054" i="1" a="1"/>
  <c r="L1054" i="1" s="1"/>
  <c r="L1055" i="1" a="1"/>
  <c r="L1055" i="1" s="1"/>
  <c r="L1056" i="1" a="1"/>
  <c r="L1056" i="1" s="1"/>
  <c r="M1056" i="1" s="1" a="1"/>
  <c r="M1056" i="1" s="1"/>
  <c r="L1057" i="1" a="1"/>
  <c r="L1057" i="1" s="1"/>
  <c r="L1058" i="1" a="1"/>
  <c r="L1058" i="1" s="1"/>
  <c r="L1059" i="1" a="1"/>
  <c r="L1059" i="1" s="1"/>
  <c r="L1060" i="1" a="1"/>
  <c r="L1060" i="1" s="1"/>
  <c r="M1060" i="1" s="1" a="1"/>
  <c r="M1060" i="1" s="1"/>
  <c r="L1061" i="1" a="1"/>
  <c r="L1061" i="1" s="1"/>
  <c r="L1062" i="1" a="1"/>
  <c r="L1062" i="1" s="1"/>
  <c r="L1063" i="1" a="1"/>
  <c r="L1063" i="1" s="1"/>
  <c r="L1064" i="1" a="1"/>
  <c r="L1064" i="1" s="1"/>
  <c r="M1064" i="1" s="1" a="1"/>
  <c r="M1064" i="1" s="1"/>
  <c r="L1065" i="1" a="1"/>
  <c r="L1065" i="1" s="1"/>
  <c r="L1066" i="1" a="1"/>
  <c r="L1066" i="1" s="1"/>
  <c r="L1067" i="1" a="1"/>
  <c r="L1067" i="1" s="1"/>
  <c r="L1068" i="1" a="1"/>
  <c r="L1068" i="1" s="1"/>
  <c r="M1068" i="1" s="1" a="1"/>
  <c r="M1068" i="1" s="1"/>
  <c r="L1069" i="1" a="1"/>
  <c r="L1069" i="1" s="1"/>
  <c r="L1070" i="1" a="1"/>
  <c r="L1070" i="1" s="1"/>
  <c r="L1071" i="1" a="1"/>
  <c r="L1071" i="1" s="1"/>
  <c r="L1072" i="1" a="1"/>
  <c r="L1072" i="1" s="1"/>
  <c r="M1072" i="1" s="1" a="1"/>
  <c r="M1072" i="1" s="1"/>
  <c r="L1073" i="1" a="1"/>
  <c r="L1073" i="1" s="1"/>
  <c r="L1074" i="1" a="1"/>
  <c r="L1074" i="1" s="1"/>
  <c r="L1075" i="1" a="1"/>
  <c r="L1075" i="1" s="1"/>
  <c r="L1076" i="1" a="1"/>
  <c r="L1076" i="1" s="1"/>
  <c r="M1076" i="1" s="1" a="1"/>
  <c r="M1076" i="1" s="1"/>
  <c r="L1077" i="1" a="1"/>
  <c r="L1077" i="1" s="1"/>
  <c r="L1078" i="1" a="1"/>
  <c r="L1078" i="1" s="1"/>
  <c r="L1079" i="1" a="1"/>
  <c r="L1079" i="1" s="1"/>
  <c r="L1080" i="1" a="1"/>
  <c r="L1080" i="1" s="1"/>
  <c r="M1080" i="1" s="1" a="1"/>
  <c r="M1080" i="1" s="1"/>
  <c r="L1081" i="1" a="1"/>
  <c r="L1081" i="1" s="1"/>
  <c r="L1082" i="1" a="1"/>
  <c r="L1082" i="1" s="1"/>
  <c r="L1083" i="1" a="1"/>
  <c r="L1083" i="1" s="1"/>
  <c r="L1084" i="1" a="1"/>
  <c r="L1084" i="1" s="1"/>
  <c r="M1084" i="1" s="1" a="1"/>
  <c r="M1084" i="1" s="1"/>
  <c r="L1085" i="1" a="1"/>
  <c r="L1085" i="1" s="1"/>
  <c r="L1086" i="1" a="1"/>
  <c r="L1086" i="1" s="1"/>
  <c r="L1087" i="1" a="1"/>
  <c r="L1087" i="1" s="1"/>
  <c r="L1088" i="1" a="1"/>
  <c r="L1088" i="1" s="1"/>
  <c r="M1088" i="1" s="1" a="1"/>
  <c r="M1088" i="1" s="1"/>
  <c r="L1089" i="1" a="1"/>
  <c r="L1089" i="1" s="1"/>
  <c r="L1090" i="1" a="1"/>
  <c r="L1090" i="1" s="1"/>
  <c r="L1091" i="1" a="1"/>
  <c r="L1091" i="1" s="1"/>
  <c r="L1092" i="1" a="1"/>
  <c r="L1092" i="1" s="1"/>
  <c r="M1092" i="1" s="1" a="1"/>
  <c r="M1092" i="1" s="1"/>
  <c r="L1093" i="1" a="1"/>
  <c r="L1093" i="1" s="1"/>
  <c r="L1094" i="1" a="1"/>
  <c r="L1094" i="1" s="1"/>
  <c r="L1095" i="1" a="1"/>
  <c r="L1095" i="1" s="1"/>
  <c r="M1095" i="1" s="1" a="1"/>
  <c r="M1095" i="1" s="1"/>
  <c r="L1096" i="1" a="1"/>
  <c r="L1096" i="1" s="1"/>
  <c r="L1097" i="1" a="1"/>
  <c r="L1097" i="1" s="1"/>
  <c r="L1098" i="1" a="1"/>
  <c r="L1098" i="1" s="1"/>
  <c r="L1099" i="1" a="1"/>
  <c r="L1099" i="1" s="1"/>
  <c r="M1099" i="1" s="1" a="1"/>
  <c r="M1099" i="1" s="1"/>
  <c r="L1100" i="1" a="1"/>
  <c r="L1100" i="1" s="1"/>
  <c r="L1101" i="1" a="1"/>
  <c r="L1101" i="1" s="1"/>
  <c r="L1102" i="1" a="1"/>
  <c r="L1102" i="1" s="1"/>
  <c r="L1103" i="1" a="1"/>
  <c r="L1103" i="1" s="1"/>
  <c r="M1103" i="1" s="1" a="1"/>
  <c r="M1103" i="1" s="1"/>
  <c r="L1104" i="1" a="1"/>
  <c r="L1104" i="1" s="1"/>
  <c r="L1105" i="1" a="1"/>
  <c r="L1105" i="1" s="1"/>
  <c r="L1106" i="1" a="1"/>
  <c r="L1106" i="1" s="1"/>
  <c r="L1107" i="1" a="1"/>
  <c r="L1107" i="1" s="1"/>
  <c r="M1107" i="1" s="1" a="1"/>
  <c r="M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M1112" i="1" s="1" a="1"/>
  <c r="M1112" i="1" s="1"/>
  <c r="L1113" i="1" a="1"/>
  <c r="L1113" i="1" s="1"/>
  <c r="L1114" i="1" a="1"/>
  <c r="L1114" i="1" s="1"/>
  <c r="L1115" i="1" a="1"/>
  <c r="L1115" i="1" s="1"/>
  <c r="M1115" i="1" s="1" a="1"/>
  <c r="M1115" i="1" s="1"/>
  <c r="L1116" i="1" a="1"/>
  <c r="L1116" i="1" s="1"/>
  <c r="L1117" i="1" a="1"/>
  <c r="L1117" i="1" s="1"/>
  <c r="L1118" i="1" a="1"/>
  <c r="L1118" i="1" s="1"/>
  <c r="L1119" i="1" a="1"/>
  <c r="L1119" i="1" s="1"/>
  <c r="M1119" i="1" s="1" a="1"/>
  <c r="M1119" i="1" s="1"/>
  <c r="L1120" i="1" a="1"/>
  <c r="L1120" i="1" s="1"/>
  <c r="L1121" i="1" a="1"/>
  <c r="L1121" i="1" s="1"/>
  <c r="L1122" i="1" a="1"/>
  <c r="L1122" i="1" s="1"/>
  <c r="L1123" i="1" a="1"/>
  <c r="L1123" i="1" s="1"/>
  <c r="M1123" i="1" s="1" a="1"/>
  <c r="M1123" i="1" s="1"/>
  <c r="L1124" i="1" a="1"/>
  <c r="L1124" i="1" s="1"/>
  <c r="L1125" i="1" a="1"/>
  <c r="L1125" i="1" s="1"/>
  <c r="L1126" i="1" a="1"/>
  <c r="L1126" i="1" s="1"/>
  <c r="L1127" i="1" a="1"/>
  <c r="L1127" i="1" s="1"/>
  <c r="M1127" i="1" s="1" a="1"/>
  <c r="M1127" i="1" s="1"/>
  <c r="L1128" i="1" a="1"/>
  <c r="L1128" i="1" s="1"/>
  <c r="L1129" i="1" a="1"/>
  <c r="L1129" i="1" s="1"/>
  <c r="L1130" i="1" a="1"/>
  <c r="L1130" i="1" s="1"/>
  <c r="L1131" i="1" a="1"/>
  <c r="L1131" i="1" s="1"/>
  <c r="M1131" i="1" s="1" a="1"/>
  <c r="M1131" i="1" s="1"/>
  <c r="L1132" i="1" a="1"/>
  <c r="L1132" i="1" s="1"/>
  <c r="L1133" i="1" a="1"/>
  <c r="L1133" i="1" s="1"/>
  <c r="L1134" i="1" a="1"/>
  <c r="L1134" i="1" s="1"/>
  <c r="L1135" i="1" a="1"/>
  <c r="L1135" i="1" s="1"/>
  <c r="M1135" i="1" s="1" a="1"/>
  <c r="M1135" i="1" s="1"/>
  <c r="L1136" i="1" a="1"/>
  <c r="L1136" i="1" s="1"/>
  <c r="L1137" i="1" a="1"/>
  <c r="L1137" i="1" s="1"/>
  <c r="L1138" i="1" a="1"/>
  <c r="L1138" i="1" s="1"/>
  <c r="L1139" i="1" a="1"/>
  <c r="L1139" i="1" s="1"/>
  <c r="M1139" i="1" s="1" a="1"/>
  <c r="M1139" i="1" s="1"/>
  <c r="L1140" i="1" a="1"/>
  <c r="L1140" i="1" s="1"/>
  <c r="L1141" i="1" a="1"/>
  <c r="L1141" i="1" s="1"/>
  <c r="L1142" i="1" a="1"/>
  <c r="L1142" i="1" s="1"/>
  <c r="L1143" i="1" a="1"/>
  <c r="L1143" i="1" s="1"/>
  <c r="M1143" i="1" s="1" a="1"/>
  <c r="M1143" i="1" s="1"/>
  <c r="L1144" i="1" a="1"/>
  <c r="L1144" i="1" s="1"/>
  <c r="L1145" i="1" a="1"/>
  <c r="L1145" i="1" s="1"/>
  <c r="L1146" i="1" a="1"/>
  <c r="L1146" i="1" s="1"/>
  <c r="L1147" i="1" a="1"/>
  <c r="L1147" i="1" s="1"/>
  <c r="M1147" i="1" s="1" a="1"/>
  <c r="M1147" i="1" s="1"/>
  <c r="L1148" i="1" a="1"/>
  <c r="L1148" i="1" s="1"/>
  <c r="L1149" i="1" a="1"/>
  <c r="L1149" i="1" s="1"/>
  <c r="L1150" i="1" a="1"/>
  <c r="L1150" i="1" s="1"/>
  <c r="L1151" i="1" a="1"/>
  <c r="L1151" i="1" s="1"/>
  <c r="M1151" i="1" s="1" a="1"/>
  <c r="M1151" i="1" s="1"/>
  <c r="L1152" i="1" a="1"/>
  <c r="L1152" i="1" s="1"/>
  <c r="L1153" i="1" a="1"/>
  <c r="L1153" i="1" s="1"/>
  <c r="L1154" i="1" a="1"/>
  <c r="L1154" i="1" s="1"/>
  <c r="L1155" i="1" a="1"/>
  <c r="L1155" i="1" s="1"/>
  <c r="M1155" i="1" s="1" a="1"/>
  <c r="M1155" i="1" s="1"/>
  <c r="L1156" i="1" a="1"/>
  <c r="L1156" i="1" s="1"/>
  <c r="L1157" i="1" a="1"/>
  <c r="L1157" i="1" s="1"/>
  <c r="L1158" i="1" a="1"/>
  <c r="L1158" i="1" s="1"/>
  <c r="L1159" i="1" a="1"/>
  <c r="L1159" i="1" s="1"/>
  <c r="M1159" i="1" s="1" a="1"/>
  <c r="M1159" i="1" s="1"/>
  <c r="L1160" i="1" a="1"/>
  <c r="L1160" i="1" s="1"/>
  <c r="L1161" i="1" a="1"/>
  <c r="L1161" i="1" s="1"/>
  <c r="L1162" i="1" a="1"/>
  <c r="L1162" i="1" s="1"/>
  <c r="L1163" i="1" a="1"/>
  <c r="L1163" i="1" s="1"/>
  <c r="M1163" i="1" s="1" a="1"/>
  <c r="M1163" i="1" s="1"/>
  <c r="L1164" i="1" a="1"/>
  <c r="L1164" i="1" s="1"/>
  <c r="L1165" i="1" a="1"/>
  <c r="L1165" i="1" s="1"/>
  <c r="L1166" i="1" a="1"/>
  <c r="L1166" i="1" s="1"/>
  <c r="L1167" i="1" a="1"/>
  <c r="L1167" i="1" s="1"/>
  <c r="M1167" i="1" s="1" a="1"/>
  <c r="M1167" i="1" s="1"/>
  <c r="L1168" i="1" a="1"/>
  <c r="L1168" i="1" s="1"/>
  <c r="L1169" i="1" a="1"/>
  <c r="L1169" i="1" s="1"/>
  <c r="L1170" i="1" a="1"/>
  <c r="L1170" i="1" s="1"/>
  <c r="M1170" i="1" s="1" a="1"/>
  <c r="M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M1175" i="1" s="1" a="1"/>
  <c r="M1175" i="1" s="1"/>
  <c r="L1176" i="1" a="1"/>
  <c r="L1176" i="1" s="1"/>
  <c r="L1177" i="1" a="1"/>
  <c r="L1177" i="1" s="1"/>
  <c r="L1178" i="1" a="1"/>
  <c r="L1178" i="1" s="1"/>
  <c r="M1178" i="1" s="1" a="1"/>
  <c r="M1178" i="1" s="1"/>
  <c r="L1179" i="1" a="1"/>
  <c r="L1179" i="1" s="1"/>
  <c r="L1180" i="1" a="1"/>
  <c r="L1180" i="1" s="1"/>
  <c r="L1181" i="1" a="1"/>
  <c r="L1181" i="1" s="1"/>
  <c r="L1182" i="1" a="1"/>
  <c r="L1182" i="1" s="1"/>
  <c r="M1182" i="1" s="1" a="1"/>
  <c r="M1182" i="1" s="1"/>
  <c r="L1183" i="1" a="1"/>
  <c r="L1183" i="1" s="1"/>
  <c r="L1184" i="1" a="1"/>
  <c r="L1184" i="1" s="1"/>
  <c r="L1185" i="1" a="1"/>
  <c r="L1185" i="1" s="1"/>
  <c r="L1186" i="1" a="1"/>
  <c r="L1186" i="1" s="1"/>
  <c r="M1186" i="1" s="1" a="1"/>
  <c r="M1186" i="1" s="1"/>
  <c r="L1187" i="1" a="1"/>
  <c r="L1187" i="1" s="1"/>
  <c r="L1188" i="1" a="1"/>
  <c r="L1188" i="1" s="1"/>
  <c r="L1189" i="1" a="1"/>
  <c r="L1189" i="1" s="1"/>
  <c r="L1190" i="1" a="1"/>
  <c r="L1190" i="1" s="1"/>
  <c r="M1190" i="1" s="1" a="1"/>
  <c r="M1190" i="1" s="1"/>
  <c r="L1191" i="1" a="1"/>
  <c r="L1191" i="1" s="1"/>
  <c r="L1192" i="1" a="1"/>
  <c r="L1192" i="1" s="1"/>
  <c r="L1193" i="1" a="1"/>
  <c r="L1193" i="1" s="1"/>
  <c r="L1194" i="1" a="1"/>
  <c r="L1194" i="1" s="1"/>
  <c r="M1194" i="1" s="1" a="1"/>
  <c r="M1194" i="1" s="1"/>
  <c r="L1195" i="1" a="1"/>
  <c r="L1195" i="1" s="1"/>
  <c r="L1196" i="1" a="1"/>
  <c r="L1196" i="1" s="1"/>
  <c r="L1197" i="1" a="1"/>
  <c r="L1197" i="1" s="1"/>
  <c r="L1198" i="1" a="1"/>
  <c r="L1198" i="1" s="1"/>
  <c r="M1198" i="1" s="1" a="1"/>
  <c r="M1198" i="1" s="1"/>
  <c r="L1199" i="1" a="1"/>
  <c r="L1199" i="1" s="1"/>
  <c r="L1200" i="1" a="1"/>
  <c r="L1200" i="1" s="1"/>
  <c r="L1201" i="1" a="1"/>
  <c r="L1201" i="1" s="1"/>
  <c r="L1202" i="1" a="1"/>
  <c r="L1202" i="1" s="1"/>
  <c r="M1202" i="1" s="1" a="1"/>
  <c r="M1202" i="1" s="1"/>
  <c r="L1203" i="1" a="1"/>
  <c r="L1203" i="1" s="1"/>
  <c r="L1204" i="1" a="1"/>
  <c r="L1204" i="1" s="1"/>
  <c r="L1205" i="1" a="1"/>
  <c r="L1205" i="1" s="1"/>
  <c r="L1206" i="1" a="1"/>
  <c r="L1206" i="1" s="1"/>
  <c r="M1206" i="1" s="1" a="1"/>
  <c r="M1206" i="1" s="1"/>
  <c r="L1207" i="1" a="1"/>
  <c r="L1207" i="1" s="1"/>
  <c r="L1208" i="1" a="1"/>
  <c r="L1208" i="1" s="1"/>
  <c r="L1209" i="1" a="1"/>
  <c r="L1209" i="1" s="1"/>
  <c r="L1210" i="1" a="1"/>
  <c r="L1210" i="1" s="1"/>
  <c r="M1210" i="1" s="1" a="1"/>
  <c r="M1210" i="1" s="1"/>
  <c r="L1211" i="1" a="1"/>
  <c r="L1211" i="1" s="1"/>
  <c r="L1212" i="1" a="1"/>
  <c r="L1212" i="1" s="1"/>
  <c r="L1213" i="1" a="1"/>
  <c r="L1213" i="1" s="1"/>
  <c r="L1214" i="1" a="1"/>
  <c r="L1214" i="1" s="1"/>
  <c r="M1214" i="1" s="1" a="1"/>
  <c r="M1214" i="1" s="1"/>
  <c r="L1215" i="1" a="1"/>
  <c r="L1215" i="1" s="1"/>
  <c r="L1216" i="1" a="1"/>
  <c r="L1216" i="1" s="1"/>
  <c r="L1217" i="1" a="1"/>
  <c r="L1217" i="1" s="1"/>
  <c r="L1218" i="1" a="1"/>
  <c r="L1218" i="1" s="1"/>
  <c r="M1218" i="1" s="1" a="1"/>
  <c r="M1218" i="1" s="1"/>
  <c r="L1219" i="1" a="1"/>
  <c r="L1219" i="1" s="1"/>
  <c r="L1220" i="1" a="1"/>
  <c r="L1220" i="1" s="1"/>
  <c r="L1221" i="1" a="1"/>
  <c r="L1221" i="1" s="1"/>
  <c r="L1222" i="1" a="1"/>
  <c r="L1222" i="1" s="1"/>
  <c r="M1222" i="1" s="1" a="1"/>
  <c r="M1222" i="1" s="1"/>
  <c r="L1223" i="1" a="1"/>
  <c r="L1223" i="1" s="1"/>
  <c r="L1224" i="1" a="1"/>
  <c r="L1224" i="1" s="1"/>
  <c r="L1225" i="1" a="1"/>
  <c r="L1225" i="1" s="1"/>
  <c r="L1226" i="1" a="1"/>
  <c r="L1226" i="1" s="1"/>
  <c r="M1226" i="1" s="1" a="1"/>
  <c r="M1226" i="1" s="1"/>
  <c r="L1227" i="1" a="1"/>
  <c r="L1227" i="1" s="1"/>
  <c r="L1228" i="1" a="1"/>
  <c r="L1228" i="1" s="1"/>
  <c r="L1229" i="1" a="1"/>
  <c r="L1229" i="1" s="1"/>
  <c r="M1229" i="1" s="1" a="1"/>
  <c r="M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M1234" i="1" s="1" a="1"/>
  <c r="M1234" i="1" s="1"/>
  <c r="L1235" i="1" a="1"/>
  <c r="L1235" i="1" s="1"/>
  <c r="L1236" i="1" a="1"/>
  <c r="L1236" i="1" s="1"/>
  <c r="L1237" i="1" a="1"/>
  <c r="L1237" i="1" s="1"/>
  <c r="L1238" i="1" a="1"/>
  <c r="L1238" i="1" s="1"/>
  <c r="M1238" i="1" s="1" a="1"/>
  <c r="M1238" i="1" s="1"/>
  <c r="L1239" i="1" a="1"/>
  <c r="L1239" i="1" s="1"/>
  <c r="L1240" i="1" a="1"/>
  <c r="L1240" i="1" s="1"/>
  <c r="L1241" i="1" a="1"/>
  <c r="L1241" i="1" s="1"/>
  <c r="L1242" i="1" a="1"/>
  <c r="L1242" i="1" s="1"/>
  <c r="M1242" i="1" s="1" a="1"/>
  <c r="M1242" i="1" s="1"/>
  <c r="L1243" i="1" a="1"/>
  <c r="L1243" i="1" s="1"/>
  <c r="L1244" i="1" a="1"/>
  <c r="L1244" i="1" s="1"/>
  <c r="L1245" i="1" a="1"/>
  <c r="L1245" i="1" s="1"/>
  <c r="L1246" i="1" a="1"/>
  <c r="L1246" i="1" s="1"/>
  <c r="M1246" i="1" s="1" a="1"/>
  <c r="M1246" i="1" s="1"/>
  <c r="L1247" i="1" a="1"/>
  <c r="L1247" i="1" s="1"/>
  <c r="L1248" i="1" a="1"/>
  <c r="L1248" i="1" s="1"/>
  <c r="L1249" i="1" a="1"/>
  <c r="L1249" i="1" s="1"/>
  <c r="L1250" i="1" a="1"/>
  <c r="L1250" i="1" s="1"/>
  <c r="M1250" i="1" s="1" a="1"/>
  <c r="M1250" i="1" s="1"/>
  <c r="L1251" i="1" a="1"/>
  <c r="L1251" i="1" s="1"/>
  <c r="L1252" i="1" a="1"/>
  <c r="L1252" i="1" s="1"/>
  <c r="L1253" i="1" a="1"/>
  <c r="L1253" i="1" s="1"/>
  <c r="L1254" i="1" a="1"/>
  <c r="L1254" i="1" s="1"/>
  <c r="M1254" i="1" s="1" a="1"/>
  <c r="M1254" i="1" s="1"/>
  <c r="L1255" i="1" a="1"/>
  <c r="L1255" i="1" s="1"/>
  <c r="L1256" i="1" a="1"/>
  <c r="L1256" i="1" s="1"/>
  <c r="L1257" i="1" a="1"/>
  <c r="L1257" i="1" s="1"/>
  <c r="M1257" i="1" s="1" a="1"/>
  <c r="M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M1262" i="1" s="1" a="1"/>
  <c r="M1262" i="1" s="1"/>
  <c r="L1263" i="1" a="1"/>
  <c r="L1263" i="1" s="1"/>
  <c r="L1264" i="1" a="1"/>
  <c r="L1264" i="1" s="1"/>
  <c r="L1265" i="1" a="1"/>
  <c r="L1265" i="1" s="1"/>
  <c r="L1266" i="1" a="1"/>
  <c r="L1266" i="1" s="1"/>
  <c r="M1266" i="1" s="1" a="1"/>
  <c r="M1266" i="1" s="1"/>
  <c r="L1267" i="1" a="1"/>
  <c r="L1267" i="1" s="1"/>
  <c r="L1268" i="1" a="1"/>
  <c r="L1268" i="1" s="1"/>
  <c r="L1269" i="1" a="1"/>
  <c r="L1269" i="1" s="1"/>
  <c r="L1270" i="1" a="1"/>
  <c r="L1270" i="1" s="1"/>
  <c r="M1270" i="1" s="1" a="1"/>
  <c r="M1270" i="1" s="1"/>
  <c r="L1271" i="1" a="1"/>
  <c r="L1271" i="1" s="1"/>
  <c r="L1272" i="1" a="1"/>
  <c r="L1272" i="1" s="1"/>
  <c r="L1273" i="1" a="1"/>
  <c r="L1273" i="1" s="1"/>
  <c r="M1273" i="1" s="1" a="1"/>
  <c r="M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M1278" i="1" s="1" a="1"/>
  <c r="M1278" i="1" s="1"/>
  <c r="L1279" i="1" a="1"/>
  <c r="L1279" i="1" s="1"/>
  <c r="L1280" i="1" a="1"/>
  <c r="L1280" i="1" s="1"/>
  <c r="L1281" i="1" a="1"/>
  <c r="L1281" i="1" s="1"/>
  <c r="M1281" i="1" s="1" a="1"/>
  <c r="M1281" i="1" s="1"/>
  <c r="L1282" i="1" a="1"/>
  <c r="L1282" i="1" s="1"/>
  <c r="L1283" i="1" a="1"/>
  <c r="L1283" i="1" s="1"/>
  <c r="L1284" i="1" a="1"/>
  <c r="L1284" i="1" s="1"/>
  <c r="L1285" i="1" a="1"/>
  <c r="L1285" i="1" s="1"/>
  <c r="M1285" i="1" s="1" a="1"/>
  <c r="M1285" i="1" s="1"/>
  <c r="L1286" i="1" a="1"/>
  <c r="L1286" i="1" s="1"/>
  <c r="L1287" i="1" a="1"/>
  <c r="L1287" i="1" s="1"/>
  <c r="L1288" i="1" a="1"/>
  <c r="L1288" i="1" s="1"/>
  <c r="L1289" i="1" a="1"/>
  <c r="L1289" i="1" s="1"/>
  <c r="M1289" i="1" s="1" a="1"/>
  <c r="M1289" i="1" s="1"/>
  <c r="L1290" i="1" a="1"/>
  <c r="L1290" i="1" s="1"/>
  <c r="L1291" i="1" a="1"/>
  <c r="L1291" i="1" s="1"/>
  <c r="L1292" i="1" a="1"/>
  <c r="L1292" i="1" s="1"/>
  <c r="L1293" i="1" a="1"/>
  <c r="L1293" i="1" s="1"/>
  <c r="L1294" i="1" a="1"/>
  <c r="L1294" i="1" s="1"/>
  <c r="M1294" i="1" s="1" a="1"/>
  <c r="M1294" i="1" s="1"/>
  <c r="L1295" i="1" a="1"/>
  <c r="L1295" i="1" s="1"/>
  <c r="L1296" i="1" a="1"/>
  <c r="L1296" i="1" s="1"/>
  <c r="L1297" i="1" a="1"/>
  <c r="L1297" i="1" s="1"/>
  <c r="M1297" i="1" s="1" a="1"/>
  <c r="M1297" i="1" s="1"/>
  <c r="L1298" i="1" a="1"/>
  <c r="L1298" i="1" s="1"/>
  <c r="L1299" i="1" a="1"/>
  <c r="L1299" i="1" s="1"/>
  <c r="L1300" i="1" a="1"/>
  <c r="L1300" i="1" s="1"/>
  <c r="L1301" i="1" a="1"/>
  <c r="L1301" i="1" s="1"/>
  <c r="M1301" i="1" s="1" a="1"/>
  <c r="M1301" i="1" s="1"/>
  <c r="L1302" i="1" a="1"/>
  <c r="L1302" i="1" s="1"/>
  <c r="L1303" i="1" a="1"/>
  <c r="L1303" i="1" s="1"/>
  <c r="L1304" i="1" a="1"/>
  <c r="L1304" i="1" s="1"/>
  <c r="L1305" i="1" a="1"/>
  <c r="L1305" i="1" s="1"/>
  <c r="M1305" i="1" s="1" a="1"/>
  <c r="M1305" i="1" s="1"/>
  <c r="L1306" i="1" a="1"/>
  <c r="L1306" i="1" s="1"/>
  <c r="L1307" i="1" a="1"/>
  <c r="L1307" i="1" s="1"/>
  <c r="L1308" i="1" a="1"/>
  <c r="L1308" i="1" s="1"/>
  <c r="L1309" i="1" a="1"/>
  <c r="L1309" i="1" s="1"/>
  <c r="M1309" i="1" s="1" a="1"/>
  <c r="M1309" i="1" s="1"/>
  <c r="L1310" i="1" a="1"/>
  <c r="L1310" i="1" s="1"/>
  <c r="L1311" i="1" a="1"/>
  <c r="L1311" i="1" s="1"/>
  <c r="L1312" i="1" a="1"/>
  <c r="L1312" i="1" s="1"/>
  <c r="L1313" i="1" a="1"/>
  <c r="L1313" i="1" s="1"/>
  <c r="M1313" i="1" s="1" a="1"/>
  <c r="M1313" i="1" s="1"/>
  <c r="L1314" i="1" a="1"/>
  <c r="L1314" i="1" s="1"/>
  <c r="L1315" i="1" a="1"/>
  <c r="L1315" i="1" s="1"/>
  <c r="L1316" i="1" a="1"/>
  <c r="L1316" i="1" s="1"/>
  <c r="L1317" i="1" a="1"/>
  <c r="L1317" i="1" s="1"/>
  <c r="M1317" i="1" s="1" a="1"/>
  <c r="M1317" i="1" s="1"/>
  <c r="L1318" i="1" a="1"/>
  <c r="L1318" i="1" s="1"/>
  <c r="L1319" i="1" a="1"/>
  <c r="L1319" i="1" s="1"/>
  <c r="L1320" i="1" a="1"/>
  <c r="L1320" i="1" s="1"/>
  <c r="L1321" i="1" a="1"/>
  <c r="L1321" i="1" s="1"/>
  <c r="L1322" i="1" a="1"/>
  <c r="L1322" i="1" s="1"/>
  <c r="M1322" i="1" s="1" a="1"/>
  <c r="M1322" i="1" s="1"/>
  <c r="L1323" i="1" a="1"/>
  <c r="L1323" i="1" s="1"/>
  <c r="L1324" i="1" a="1"/>
  <c r="L1324" i="1" s="1"/>
  <c r="L1325" i="1" a="1"/>
  <c r="L1325" i="1" s="1"/>
  <c r="L1326" i="1" a="1"/>
  <c r="L1326" i="1" s="1"/>
  <c r="M1326" i="1" s="1" a="1"/>
  <c r="M1326" i="1" s="1"/>
  <c r="L1327" i="1" a="1"/>
  <c r="L1327" i="1" s="1"/>
  <c r="L1328" i="1" a="1"/>
  <c r="L1328" i="1" s="1"/>
  <c r="L1329" i="1" a="1"/>
  <c r="L1329" i="1" s="1"/>
  <c r="L1330" i="1" a="1"/>
  <c r="L1330" i="1" s="1"/>
  <c r="L1331" i="1" a="1"/>
  <c r="L1331" i="1" s="1"/>
  <c r="M1331" i="1" s="1" a="1"/>
  <c r="M1331" i="1" s="1"/>
  <c r="L1332" i="1" a="1"/>
  <c r="L1332" i="1" s="1"/>
  <c r="L1333" i="1" a="1"/>
  <c r="L1333" i="1" s="1"/>
  <c r="L1334" i="1" a="1"/>
  <c r="L1334" i="1" s="1"/>
  <c r="L1335" i="1" a="1"/>
  <c r="L1335" i="1" s="1"/>
  <c r="M1335" i="1" s="1" a="1"/>
  <c r="M1335" i="1" s="1"/>
  <c r="L1336" i="1" a="1"/>
  <c r="L1336" i="1" s="1"/>
  <c r="L1337" i="1" a="1"/>
  <c r="L1337" i="1" s="1"/>
  <c r="L1338" i="1" a="1"/>
  <c r="L1338" i="1" s="1"/>
  <c r="M1338" i="1" s="1" a="1"/>
  <c r="M1338" i="1" s="1"/>
  <c r="L1339" i="1" a="1"/>
  <c r="L1339" i="1" s="1"/>
  <c r="L1340" i="1" a="1"/>
  <c r="L1340" i="1" s="1"/>
  <c r="L1341" i="1" a="1"/>
  <c r="L1341" i="1" s="1"/>
  <c r="L1342" i="1" a="1"/>
  <c r="L1342" i="1" s="1"/>
  <c r="M1342" i="1" s="1" a="1"/>
  <c r="M1342" i="1" s="1"/>
  <c r="L1343" i="1" a="1"/>
  <c r="L1343" i="1" s="1"/>
  <c r="L1344" i="1" a="1"/>
  <c r="L1344" i="1" s="1"/>
  <c r="L1345" i="1" a="1"/>
  <c r="L1345" i="1" s="1"/>
  <c r="L1346" i="1" a="1"/>
  <c r="L1346" i="1" s="1"/>
  <c r="M1346" i="1" s="1" a="1"/>
  <c r="M1346" i="1" s="1"/>
  <c r="L1347" i="1" a="1"/>
  <c r="L1347" i="1" s="1"/>
  <c r="L1348" i="1" a="1"/>
  <c r="L1348" i="1" s="1"/>
  <c r="L1349" i="1" a="1"/>
  <c r="L1349" i="1" s="1"/>
  <c r="M1349" i="1" s="1" a="1"/>
  <c r="M1349" i="1" s="1"/>
  <c r="L1350" i="1" a="1"/>
  <c r="L1350" i="1" s="1"/>
  <c r="L1351" i="1" a="1"/>
  <c r="L1351" i="1" s="1"/>
  <c r="L1352" i="1" a="1"/>
  <c r="L1352" i="1" s="1"/>
  <c r="L1353" i="1" a="1"/>
  <c r="L1353" i="1" s="1"/>
  <c r="M1353" i="1" s="1" a="1"/>
  <c r="M1353" i="1" s="1"/>
  <c r="L1354" i="1" a="1"/>
  <c r="L1354" i="1" s="1"/>
  <c r="L1355" i="1" a="1"/>
  <c r="L1355" i="1" s="1"/>
  <c r="L1356" i="1" a="1"/>
  <c r="L1356" i="1" s="1"/>
  <c r="L1357" i="1" a="1"/>
  <c r="L1357" i="1" s="1"/>
  <c r="M1357" i="1" s="1" a="1"/>
  <c r="M1357" i="1" s="1"/>
  <c r="L1358" i="1" a="1"/>
  <c r="L1358" i="1" s="1"/>
  <c r="L1359" i="1" a="1"/>
  <c r="L1359" i="1" s="1"/>
  <c r="L1360" i="1" a="1"/>
  <c r="L1360" i="1" s="1"/>
  <c r="L1361" i="1" a="1"/>
  <c r="L1361" i="1" s="1"/>
  <c r="M1361" i="1" s="1" a="1"/>
  <c r="M1361" i="1" s="1"/>
  <c r="L1362" i="1" a="1"/>
  <c r="L1362" i="1" s="1"/>
  <c r="L1363" i="1" a="1"/>
  <c r="L1363" i="1" s="1"/>
  <c r="L1364" i="1" a="1"/>
  <c r="L1364" i="1" s="1"/>
  <c r="L1365" i="1" a="1"/>
  <c r="L1365" i="1" s="1"/>
  <c r="M1365" i="1" s="1" a="1"/>
  <c r="M1365" i="1" s="1"/>
  <c r="L1366" i="1" a="1"/>
  <c r="L1366" i="1" s="1"/>
  <c r="L1367" i="1" a="1"/>
  <c r="L1367" i="1" s="1"/>
  <c r="L1368" i="1" a="1"/>
  <c r="L1368" i="1" s="1"/>
  <c r="L1369" i="1" a="1"/>
  <c r="L1369" i="1" s="1"/>
  <c r="M1369" i="1" s="1" a="1"/>
  <c r="M1369" i="1" s="1"/>
  <c r="L1370" i="1" a="1"/>
  <c r="L1370" i="1" s="1"/>
  <c r="L1371" i="1" a="1"/>
  <c r="L1371" i="1" s="1"/>
  <c r="L1372" i="1" a="1"/>
  <c r="L1372" i="1" s="1"/>
  <c r="L1373" i="1" a="1"/>
  <c r="L1373" i="1" s="1"/>
  <c r="M1373" i="1" s="1" a="1"/>
  <c r="M1373" i="1" s="1"/>
  <c r="L1374" i="1" a="1"/>
  <c r="L1374" i="1" s="1"/>
  <c r="L1375" i="1" a="1"/>
  <c r="L1375" i="1" s="1"/>
  <c r="L1376" i="1" a="1"/>
  <c r="L1376" i="1" s="1"/>
  <c r="L1377" i="1" a="1"/>
  <c r="L1377" i="1" s="1"/>
  <c r="L1378" i="1" a="1"/>
  <c r="L1378" i="1" s="1"/>
  <c r="M1378" i="1" s="1" a="1"/>
  <c r="M1378" i="1" s="1"/>
  <c r="L1379" i="1" a="1"/>
  <c r="L1379" i="1" s="1"/>
  <c r="L1380" i="1" a="1"/>
  <c r="L1380" i="1" s="1"/>
  <c r="L1381" i="1" a="1"/>
  <c r="L1381" i="1" s="1"/>
  <c r="L1382" i="1" a="1"/>
  <c r="L1382" i="1" s="1"/>
  <c r="M1382" i="1" s="1" a="1"/>
  <c r="M1382" i="1" s="1"/>
  <c r="L1383" i="1" a="1"/>
  <c r="L1383" i="1" s="1"/>
  <c r="L1384" i="1" a="1"/>
  <c r="L1384" i="1" s="1"/>
  <c r="L1385" i="1" a="1"/>
  <c r="L1385" i="1" s="1"/>
  <c r="L1386" i="1" a="1"/>
  <c r="L1386" i="1" s="1"/>
  <c r="M1386" i="1" s="1" a="1"/>
  <c r="M1386" i="1" s="1"/>
  <c r="L1387" i="1" a="1"/>
  <c r="L1387" i="1" s="1"/>
  <c r="L1388" i="1" a="1"/>
  <c r="L1388" i="1" s="1"/>
  <c r="L1389" i="1" a="1"/>
  <c r="L1389" i="1" s="1"/>
  <c r="L1390" i="1" a="1"/>
  <c r="L1390" i="1" s="1"/>
  <c r="M1390" i="1" s="1" a="1"/>
  <c r="M1390" i="1" s="1"/>
  <c r="L1391" i="1" a="1"/>
  <c r="L1391" i="1" s="1"/>
  <c r="L1392" i="1" a="1"/>
  <c r="L1392" i="1" s="1"/>
  <c r="L1393" i="1" a="1"/>
  <c r="L1393" i="1" s="1"/>
  <c r="L1394" i="1" a="1"/>
  <c r="L1394" i="1" s="1"/>
  <c r="M1394" i="1" s="1" a="1"/>
  <c r="M1394" i="1" s="1"/>
  <c r="L1395" i="1" a="1"/>
  <c r="L1395" i="1" s="1"/>
  <c r="L1396" i="1" a="1"/>
  <c r="L1396" i="1" s="1"/>
  <c r="L1397" i="1" a="1"/>
  <c r="L1397" i="1" s="1"/>
  <c r="M1397" i="1" s="1" a="1"/>
  <c r="M1397" i="1" s="1"/>
  <c r="L1398" i="1" a="1"/>
  <c r="L1398" i="1" s="1"/>
  <c r="L1399" i="1" a="1"/>
  <c r="L1399" i="1" s="1"/>
  <c r="L1400" i="1" a="1"/>
  <c r="L1400" i="1" s="1"/>
  <c r="L1401" i="1" a="1"/>
  <c r="L1401" i="1" s="1"/>
  <c r="M1401" i="1" s="1" a="1"/>
  <c r="M1401" i="1" s="1"/>
  <c r="L1402" i="1" a="1"/>
  <c r="L1402" i="1" s="1"/>
  <c r="L1403" i="1" a="1"/>
  <c r="L1403" i="1" s="1"/>
  <c r="L1404" i="1" a="1"/>
  <c r="L1404" i="1" s="1"/>
  <c r="L1405" i="1" a="1"/>
  <c r="L1405" i="1" s="1"/>
  <c r="M1405" i="1" s="1" a="1"/>
  <c r="M1405" i="1" s="1"/>
  <c r="L1406" i="1" a="1"/>
  <c r="L1406" i="1" s="1"/>
  <c r="L1407" i="1" a="1"/>
  <c r="L1407" i="1" s="1"/>
  <c r="L1408" i="1" a="1"/>
  <c r="L1408" i="1" s="1"/>
  <c r="L1409" i="1" a="1"/>
  <c r="L1409" i="1" s="1"/>
  <c r="M1409" i="1" s="1" a="1"/>
  <c r="M1409" i="1" s="1"/>
  <c r="L1410" i="1" a="1"/>
  <c r="L1410" i="1" s="1"/>
  <c r="L1411" i="1" a="1"/>
  <c r="L1411" i="1" s="1"/>
  <c r="L1412" i="1" a="1"/>
  <c r="L1412" i="1" s="1"/>
  <c r="L1413" i="1" a="1"/>
  <c r="L1413" i="1" s="1"/>
  <c r="M1413" i="1" s="1" a="1"/>
  <c r="M1413" i="1" s="1"/>
  <c r="L1414" i="1" a="1"/>
  <c r="L1414" i="1" s="1"/>
  <c r="L1415" i="1" a="1"/>
  <c r="L1415" i="1" s="1"/>
  <c r="L1416" i="1" a="1"/>
  <c r="L1416" i="1" s="1"/>
  <c r="L1417" i="1" a="1"/>
  <c r="L1417" i="1" s="1"/>
  <c r="M1417" i="1" s="1" a="1"/>
  <c r="M1417" i="1" s="1"/>
  <c r="L1418" i="1" a="1"/>
  <c r="L1418" i="1" s="1"/>
  <c r="L1419" i="1" a="1"/>
  <c r="L1419" i="1" s="1"/>
  <c r="L1420" i="1" a="1"/>
  <c r="L1420" i="1" s="1"/>
  <c r="L1421" i="1" a="1"/>
  <c r="L1421" i="1" s="1"/>
  <c r="M1421" i="1" s="1" a="1"/>
  <c r="M1421" i="1" s="1"/>
  <c r="L1422" i="1" a="1"/>
  <c r="L1422" i="1" s="1"/>
  <c r="L1423" i="1" a="1"/>
  <c r="L1423" i="1" s="1"/>
  <c r="L1424" i="1" a="1"/>
  <c r="L1424" i="1" s="1"/>
  <c r="L1425" i="1" a="1"/>
  <c r="L1425" i="1" s="1"/>
  <c r="M1425" i="1" s="1" a="1"/>
  <c r="M1425" i="1" s="1"/>
  <c r="L1426" i="1" a="1"/>
  <c r="L1426" i="1" s="1"/>
  <c r="L1427" i="1" a="1"/>
  <c r="L1427" i="1" s="1"/>
  <c r="L1428" i="1" a="1"/>
  <c r="L1428" i="1" s="1"/>
  <c r="L1429" i="1" a="1"/>
  <c r="L1429" i="1" s="1"/>
  <c r="M1429" i="1" s="1" a="1"/>
  <c r="M1429" i="1" s="1"/>
  <c r="L1430" i="1" a="1"/>
  <c r="L1430" i="1" s="1"/>
  <c r="L1431" i="1" a="1"/>
  <c r="L1431" i="1" s="1"/>
  <c r="L1432" i="1" a="1"/>
  <c r="L1432" i="1" s="1"/>
  <c r="L1433" i="1" a="1"/>
  <c r="L1433" i="1" s="1"/>
  <c r="M1433" i="1" s="1" a="1"/>
  <c r="M1433" i="1" s="1"/>
  <c r="L1434" i="1" a="1"/>
  <c r="L1434" i="1" s="1"/>
  <c r="L1435" i="1" a="1"/>
  <c r="L1435" i="1" s="1"/>
  <c r="L1436" i="1" a="1"/>
  <c r="L1436" i="1" s="1"/>
  <c r="L1437" i="1" a="1"/>
  <c r="L1437" i="1" s="1"/>
  <c r="M1437" i="1" s="1" a="1"/>
  <c r="M1437" i="1" s="1"/>
  <c r="L1438" i="1" a="1"/>
  <c r="L1438" i="1" s="1"/>
  <c r="L1439" i="1" a="1"/>
  <c r="L1439" i="1" s="1"/>
  <c r="L1440" i="1" a="1"/>
  <c r="L1440" i="1" s="1"/>
  <c r="L1441" i="1" a="1"/>
  <c r="L1441" i="1" s="1"/>
  <c r="M1441" i="1" s="1" a="1"/>
  <c r="M1441" i="1" s="1"/>
  <c r="L1442" i="1" a="1"/>
  <c r="L1442" i="1" s="1"/>
  <c r="L1443" i="1" a="1"/>
  <c r="L1443" i="1" s="1"/>
  <c r="L1444" i="1" a="1"/>
  <c r="L1444" i="1" s="1"/>
  <c r="L1445" i="1" a="1"/>
  <c r="L1445" i="1" s="1"/>
  <c r="M1445" i="1" s="1" a="1"/>
  <c r="M1445" i="1" s="1"/>
  <c r="L1446" i="1" a="1"/>
  <c r="L1446" i="1" s="1"/>
  <c r="L1447" i="1" a="1"/>
  <c r="L1447" i="1" s="1"/>
  <c r="L1448" i="1" a="1"/>
  <c r="L1448" i="1" s="1"/>
  <c r="L1449" i="1" a="1"/>
  <c r="L1449" i="1" s="1"/>
  <c r="M1449" i="1" s="1" a="1"/>
  <c r="M1449" i="1" s="1"/>
  <c r="L1450" i="1" a="1"/>
  <c r="L1450" i="1" s="1"/>
  <c r="L1451" i="1" a="1"/>
  <c r="L1451" i="1" s="1"/>
  <c r="L1452" i="1" a="1"/>
  <c r="L1452" i="1" s="1"/>
  <c r="L1453" i="1" a="1"/>
  <c r="L1453" i="1" s="1"/>
  <c r="M1453" i="1" s="1" a="1"/>
  <c r="M1453" i="1" s="1"/>
  <c r="L1454" i="1" a="1"/>
  <c r="L1454" i="1" s="1"/>
  <c r="L1455" i="1" a="1"/>
  <c r="L1455" i="1" s="1"/>
  <c r="L1456" i="1" a="1"/>
  <c r="L1456" i="1" s="1"/>
  <c r="L1457" i="1" a="1"/>
  <c r="L1457" i="1" s="1"/>
  <c r="M1457" i="1" s="1" a="1"/>
  <c r="M1457" i="1" s="1"/>
  <c r="L1458" i="1" a="1"/>
  <c r="L1458" i="1" s="1"/>
  <c r="L1459" i="1" a="1"/>
  <c r="L1459" i="1" s="1"/>
  <c r="L1460" i="1" a="1"/>
  <c r="L1460" i="1" s="1"/>
  <c r="L1461" i="1" a="1"/>
  <c r="L1461" i="1" s="1"/>
  <c r="L1462" i="1" a="1"/>
  <c r="L1462" i="1" s="1"/>
  <c r="M1462" i="1" s="1" a="1"/>
  <c r="M1462" i="1" s="1"/>
  <c r="L1463" i="1" a="1"/>
  <c r="L1463" i="1" s="1"/>
  <c r="L1464" i="1" a="1"/>
  <c r="L1464" i="1" s="1"/>
  <c r="L1465" i="1" a="1"/>
  <c r="L1465" i="1" s="1"/>
  <c r="L1466" i="1" a="1"/>
  <c r="L1466" i="1" s="1"/>
  <c r="M1466" i="1" s="1" a="1"/>
  <c r="M1466" i="1" s="1"/>
  <c r="L1467" i="1" a="1"/>
  <c r="L1467" i="1" s="1"/>
  <c r="L1468" i="1" a="1"/>
  <c r="L1468" i="1" s="1"/>
  <c r="L1469" i="1" a="1"/>
  <c r="L1469" i="1" s="1"/>
  <c r="L1470" i="1" a="1"/>
  <c r="L1470" i="1" s="1"/>
  <c r="L1471" i="1" a="1"/>
  <c r="L1471" i="1" s="1"/>
  <c r="M1471" i="1" s="1" a="1"/>
  <c r="M1471" i="1" s="1"/>
  <c r="L1472" i="1" a="1"/>
  <c r="L1472" i="1" s="1"/>
  <c r="L1473" i="1" a="1"/>
  <c r="L1473" i="1" s="1"/>
  <c r="L1474" i="1" a="1"/>
  <c r="L1474" i="1" s="1"/>
  <c r="L1475" i="1" a="1"/>
  <c r="L1475" i="1" s="1"/>
  <c r="M1475" i="1" s="1" a="1"/>
  <c r="M1475" i="1" s="1"/>
  <c r="L1476" i="1" a="1"/>
  <c r="L1476" i="1" s="1"/>
  <c r="L1477" i="1" a="1"/>
  <c r="L1477" i="1" s="1"/>
  <c r="L1478" i="1" a="1"/>
  <c r="L1478" i="1" s="1"/>
  <c r="M1478" i="1" s="1" a="1"/>
  <c r="M1478" i="1" s="1"/>
  <c r="L1479" i="1" a="1"/>
  <c r="L1479" i="1" s="1"/>
  <c r="L1480" i="1" a="1"/>
  <c r="L1480" i="1" s="1"/>
  <c r="L1481" i="1" a="1"/>
  <c r="L1481" i="1" s="1"/>
  <c r="L1482" i="1" a="1"/>
  <c r="L1482" i="1" s="1"/>
  <c r="M1482" i="1" s="1" a="1"/>
  <c r="M1482" i="1" s="1"/>
  <c r="L1483" i="1" a="1"/>
  <c r="L1483" i="1" s="1"/>
  <c r="L1484" i="1" a="1"/>
  <c r="L1484" i="1" s="1"/>
  <c r="L1485" i="1" a="1"/>
  <c r="L1485" i="1" s="1"/>
  <c r="L1486" i="1" a="1"/>
  <c r="L1486" i="1" s="1"/>
  <c r="M1486" i="1" s="1" a="1"/>
  <c r="M1486" i="1" s="1"/>
  <c r="L1487" i="1" a="1"/>
  <c r="L1487" i="1" s="1"/>
  <c r="L1488" i="1" a="1"/>
  <c r="L1488" i="1" s="1"/>
  <c r="L1489" i="1" a="1"/>
  <c r="L1489" i="1" s="1"/>
  <c r="L1490" i="1" a="1"/>
  <c r="L1490" i="1" s="1"/>
  <c r="M1490" i="1" s="1" a="1"/>
  <c r="M1490" i="1" s="1"/>
  <c r="L1491" i="1" a="1"/>
  <c r="L1491" i="1" s="1"/>
  <c r="L1492" i="1" a="1"/>
  <c r="L1492" i="1" s="1"/>
  <c r="L1493" i="1" a="1"/>
  <c r="L1493" i="1" s="1"/>
  <c r="L1494" i="1" a="1"/>
  <c r="L1494" i="1" s="1"/>
  <c r="M1494" i="1" s="1" a="1"/>
  <c r="M1494" i="1" s="1"/>
  <c r="L1495" i="1" a="1"/>
  <c r="L1495" i="1" s="1"/>
  <c r="L1496" i="1" a="1"/>
  <c r="L1496" i="1" s="1"/>
  <c r="L1497" i="1" a="1"/>
  <c r="L1497" i="1" s="1"/>
  <c r="L1498" i="1" a="1"/>
  <c r="L1498" i="1" s="1"/>
  <c r="M1498" i="1" s="1" a="1"/>
  <c r="M1498" i="1" s="1"/>
  <c r="L1499" i="1" a="1"/>
  <c r="L1499" i="1" s="1"/>
  <c r="L1500" i="1" a="1"/>
  <c r="L1500" i="1" s="1"/>
  <c r="L1501" i="1" a="1"/>
  <c r="L1501" i="1" s="1"/>
  <c r="L1502" i="1" a="1"/>
  <c r="L1502" i="1" s="1"/>
  <c r="M1502" i="1" s="1" a="1"/>
  <c r="M1502" i="1" s="1"/>
  <c r="L1503" i="1" a="1"/>
  <c r="L1503" i="1" s="1"/>
  <c r="L1504" i="1" a="1"/>
  <c r="L1504" i="1" s="1"/>
  <c r="L1505" i="1" a="1"/>
  <c r="L1505" i="1" s="1"/>
  <c r="L1506" i="1" a="1"/>
  <c r="L1506" i="1" s="1"/>
  <c r="L1507" i="1" a="1"/>
  <c r="L1507" i="1" s="1"/>
  <c r="M1507" i="1" s="1" a="1"/>
  <c r="M1507" i="1" s="1"/>
  <c r="L1508" i="1" a="1"/>
  <c r="L1508" i="1" s="1"/>
  <c r="L1509" i="1" a="1"/>
  <c r="L1509" i="1" s="1"/>
  <c r="L1510" i="1" a="1"/>
  <c r="L1510" i="1" s="1"/>
  <c r="L1511" i="1" a="1"/>
  <c r="L1511" i="1" s="1"/>
  <c r="M1511" i="1" s="1" a="1"/>
  <c r="M1511" i="1" s="1"/>
  <c r="L1512" i="1" a="1"/>
  <c r="L1512" i="1" s="1"/>
  <c r="L1513" i="1" a="1"/>
  <c r="L1513" i="1" s="1"/>
  <c r="L1514" i="1" a="1"/>
  <c r="L1514" i="1" s="1"/>
  <c r="L1515" i="1" a="1"/>
  <c r="L1515" i="1" s="1"/>
  <c r="M1515" i="1" s="1" a="1"/>
  <c r="M1515" i="1" s="1"/>
  <c r="L1516" i="1" a="1"/>
  <c r="L1516" i="1" s="1"/>
  <c r="L1517" i="1" a="1"/>
  <c r="L1517" i="1" s="1"/>
  <c r="L1518" i="1" a="1"/>
  <c r="L1518" i="1" s="1"/>
  <c r="L1519" i="1" a="1"/>
  <c r="L1519" i="1" s="1"/>
  <c r="M1519" i="1" s="1" a="1"/>
  <c r="M1519" i="1" s="1"/>
  <c r="L1520" i="1" a="1"/>
  <c r="L1520" i="1" s="1"/>
  <c r="L1521" i="1" a="1"/>
  <c r="L1521" i="1" s="1"/>
  <c r="L1522" i="1" a="1"/>
  <c r="L1522" i="1" s="1"/>
  <c r="L1523" i="1" a="1"/>
  <c r="L1523" i="1" s="1"/>
  <c r="M1523" i="1" s="1" a="1"/>
  <c r="M1523" i="1" s="1"/>
  <c r="L1524" i="1" a="1"/>
  <c r="L1524" i="1" s="1"/>
  <c r="L1525" i="1" a="1"/>
  <c r="L1525" i="1" s="1"/>
  <c r="L1526" i="1" a="1"/>
  <c r="L1526" i="1" s="1"/>
  <c r="L1527" i="1" a="1"/>
  <c r="L1527" i="1" s="1"/>
  <c r="M1527" i="1" s="1" a="1"/>
  <c r="M1527" i="1" s="1"/>
  <c r="L1528" i="1" a="1"/>
  <c r="L1528" i="1" s="1"/>
  <c r="L1529" i="1" a="1"/>
  <c r="L1529" i="1" s="1"/>
  <c r="L1530" i="1" a="1"/>
  <c r="L1530" i="1" s="1"/>
  <c r="L1531" i="1" a="1"/>
  <c r="L1531" i="1" s="1"/>
  <c r="M1531" i="1" s="1" a="1"/>
  <c r="M1531" i="1" s="1"/>
  <c r="L1532" i="1" a="1"/>
  <c r="L1532" i="1" s="1"/>
  <c r="L1533" i="1" a="1"/>
  <c r="L1533" i="1" s="1"/>
  <c r="L1534" i="1" a="1"/>
  <c r="L1534" i="1" s="1"/>
  <c r="L1535" i="1" a="1"/>
  <c r="L1535" i="1" s="1"/>
  <c r="M1535" i="1" s="1" a="1"/>
  <c r="M1535" i="1" s="1"/>
  <c r="L1536" i="1" a="1"/>
  <c r="L1536" i="1" s="1"/>
  <c r="L1537" i="1" a="1"/>
  <c r="L1537" i="1" s="1"/>
  <c r="L1538" i="1" a="1"/>
  <c r="L1538" i="1" s="1"/>
  <c r="L1539" i="1" a="1"/>
  <c r="L1539" i="1" s="1"/>
  <c r="M1539" i="1" s="1" a="1"/>
  <c r="M1539" i="1" s="1"/>
  <c r="L1540" i="1" a="1"/>
  <c r="L1540" i="1" s="1"/>
  <c r="L1541" i="1" a="1"/>
  <c r="L1541" i="1" s="1"/>
  <c r="L1542" i="1" a="1"/>
  <c r="L1542" i="1" s="1"/>
  <c r="L1543" i="1" a="1"/>
  <c r="L1543" i="1" s="1"/>
  <c r="M1543" i="1" s="1" a="1"/>
  <c r="M1543" i="1" s="1"/>
  <c r="L1544" i="1" a="1"/>
  <c r="L1544" i="1" s="1"/>
  <c r="L1545" i="1" a="1"/>
  <c r="L1545" i="1" s="1"/>
  <c r="L1546" i="1" a="1"/>
  <c r="L1546" i="1" s="1"/>
  <c r="L1547" i="1" a="1"/>
  <c r="L1547" i="1" s="1"/>
  <c r="M1547" i="1" s="1" a="1"/>
  <c r="M1547" i="1" s="1"/>
  <c r="L1548" i="1" a="1"/>
  <c r="L1548" i="1" s="1"/>
  <c r="L1549" i="1" a="1"/>
  <c r="L1549" i="1" s="1"/>
  <c r="L1550" i="1" a="1"/>
  <c r="L1550" i="1" s="1"/>
  <c r="L1551" i="1" a="1"/>
  <c r="L1551" i="1" s="1"/>
  <c r="M1551" i="1" s="1" a="1"/>
  <c r="M1551" i="1" s="1"/>
  <c r="L1552" i="1" a="1"/>
  <c r="L1552" i="1" s="1"/>
  <c r="L1553" i="1" a="1"/>
  <c r="L1553" i="1" s="1"/>
  <c r="L1554" i="1" a="1"/>
  <c r="L1554" i="1" s="1"/>
  <c r="L1555" i="1" a="1"/>
  <c r="L1555" i="1" s="1"/>
  <c r="M1555" i="1" s="1" a="1"/>
  <c r="M1555" i="1" s="1"/>
  <c r="L1556" i="1" a="1"/>
  <c r="L1556" i="1" s="1"/>
  <c r="L1557" i="1" a="1"/>
  <c r="L1557" i="1" s="1"/>
  <c r="L1558" i="1" a="1"/>
  <c r="L1558" i="1" s="1"/>
  <c r="M1558" i="1" s="1" a="1"/>
  <c r="M1558" i="1" s="1"/>
  <c r="L1559" i="1" a="1"/>
  <c r="L1559" i="1" s="1"/>
  <c r="L1560" i="1" a="1"/>
  <c r="L1560" i="1" s="1"/>
  <c r="L1561" i="1" a="1"/>
  <c r="L1561" i="1" s="1"/>
  <c r="L1562" i="1" a="1"/>
  <c r="L1562" i="1" s="1"/>
  <c r="M1562" i="1" s="1" a="1"/>
  <c r="M1562" i="1" s="1"/>
  <c r="L1563" i="1" a="1"/>
  <c r="L1563" i="1" s="1"/>
  <c r="L1564" i="1" a="1"/>
  <c r="L1564" i="1" s="1"/>
  <c r="L1565" i="1" a="1"/>
  <c r="L1565" i="1" s="1"/>
  <c r="L1566" i="1" a="1"/>
  <c r="L1566" i="1" s="1"/>
  <c r="M1566" i="1" s="1" a="1"/>
  <c r="M1566" i="1" s="1"/>
  <c r="L1567" i="1" a="1"/>
  <c r="L1567" i="1" s="1"/>
  <c r="L1568" i="1" a="1"/>
  <c r="L1568" i="1" s="1"/>
  <c r="L1569" i="1" a="1"/>
  <c r="L1569" i="1" s="1"/>
  <c r="L1570" i="1" a="1"/>
  <c r="L1570" i="1" s="1"/>
  <c r="M1570" i="1" s="1" a="1"/>
  <c r="M1570" i="1" s="1"/>
  <c r="L1571" i="1" a="1"/>
  <c r="L1571" i="1" s="1"/>
  <c r="L1572" i="1" a="1"/>
  <c r="L1572" i="1" s="1"/>
  <c r="L1573" i="1" a="1"/>
  <c r="L1573" i="1" s="1"/>
  <c r="L1574" i="1" a="1"/>
  <c r="L1574" i="1" s="1"/>
  <c r="M1574" i="1" s="1" a="1"/>
  <c r="M1574" i="1" s="1"/>
  <c r="L1575" i="1" a="1"/>
  <c r="L1575" i="1" s="1"/>
  <c r="L1576" i="1" a="1"/>
  <c r="L1576" i="1" s="1"/>
  <c r="L1577" i="1" a="1"/>
  <c r="L1577" i="1" s="1"/>
  <c r="L1578" i="1" a="1"/>
  <c r="L1578" i="1" s="1"/>
  <c r="M1578" i="1" s="1" a="1"/>
  <c r="M1578" i="1" s="1"/>
  <c r="L1579" i="1" a="1"/>
  <c r="L1579" i="1" s="1"/>
  <c r="L1580" i="1" a="1"/>
  <c r="L1580" i="1" s="1"/>
  <c r="L1581" i="1" a="1"/>
  <c r="L1581" i="1" s="1"/>
  <c r="L1582" i="1" a="1"/>
  <c r="L1582" i="1" s="1"/>
  <c r="M1582" i="1" s="1" a="1"/>
  <c r="M1582" i="1" s="1"/>
  <c r="L1583" i="1" a="1"/>
  <c r="L1583" i="1" s="1"/>
  <c r="L1584" i="1" a="1"/>
  <c r="L1584" i="1" s="1"/>
  <c r="L1585" i="1" a="1"/>
  <c r="L1585" i="1" s="1"/>
  <c r="L1586" i="1" a="1"/>
  <c r="L1586" i="1" s="1"/>
  <c r="M1586" i="1" s="1" a="1"/>
  <c r="M1586" i="1" s="1"/>
  <c r="L1587" i="1" a="1"/>
  <c r="L1587" i="1" s="1"/>
  <c r="L1588" i="1" a="1"/>
  <c r="L1588" i="1" s="1"/>
  <c r="L1589" i="1" a="1"/>
  <c r="L1589" i="1" s="1"/>
  <c r="M1589" i="1" s="1" a="1"/>
  <c r="M1589" i="1" s="1"/>
  <c r="L1590" i="1" a="1"/>
  <c r="L1590" i="1" s="1"/>
  <c r="L1591" i="1" a="1"/>
  <c r="L1591" i="1" s="1"/>
  <c r="M1591" i="1" s="1" a="1"/>
  <c r="M1591" i="1" s="1"/>
  <c r="L1592" i="1" a="1"/>
  <c r="L1592" i="1" s="1"/>
  <c r="L1593" i="1" a="1"/>
  <c r="L1593" i="1" s="1"/>
  <c r="M1593" i="1" s="1" a="1"/>
  <c r="M1593" i="1" s="1"/>
  <c r="L1594" i="1" a="1"/>
  <c r="L1594" i="1" s="1"/>
  <c r="L1595" i="1" a="1"/>
  <c r="L1595" i="1" s="1"/>
  <c r="L1596" i="1" a="1"/>
  <c r="L1596" i="1" s="1"/>
  <c r="L1597" i="1" a="1"/>
  <c r="L1597" i="1"/>
  <c r="L1598" i="1" a="1"/>
  <c r="L1598" i="1" s="1"/>
  <c r="L1599" i="1" a="1"/>
  <c r="L1599" i="1" s="1"/>
  <c r="L1600" i="1" a="1"/>
  <c r="L1600" i="1" s="1"/>
  <c r="L1601" i="1" a="1"/>
  <c r="L1601" i="1" s="1"/>
  <c r="L1602" i="1" a="1"/>
  <c r="L1602" i="1" s="1"/>
  <c r="L1603" i="1" a="1"/>
  <c r="L1603" i="1" s="1"/>
  <c r="L1604" i="1" a="1"/>
  <c r="L1604" i="1" s="1"/>
  <c r="L1605" i="1" a="1"/>
  <c r="L1605" i="1" s="1"/>
  <c r="L1606" i="1" a="1"/>
  <c r="L1606" i="1" s="1"/>
  <c r="L1607" i="1" a="1"/>
  <c r="L1607" i="1" s="1"/>
  <c r="L1608" i="1" a="1"/>
  <c r="L1608" i="1" s="1"/>
  <c r="L1609" i="1" a="1"/>
  <c r="L1609" i="1" s="1"/>
  <c r="M1609" i="1" s="1" a="1"/>
  <c r="M1609" i="1" s="1"/>
  <c r="L1610" i="1" a="1"/>
  <c r="L1610" i="1" s="1"/>
  <c r="L1611" i="1" a="1"/>
  <c r="L1611" i="1" s="1"/>
  <c r="L1612" i="1" a="1"/>
  <c r="L1612" i="1" s="1"/>
  <c r="L1613" i="1" a="1"/>
  <c r="L1613" i="1" s="1"/>
  <c r="M1613" i="1" s="1" a="1"/>
  <c r="M1613" i="1" s="1"/>
  <c r="L1614" i="1" a="1"/>
  <c r="L1614" i="1" s="1"/>
  <c r="L1615" i="1" a="1"/>
  <c r="L1615" i="1" s="1"/>
  <c r="L1616" i="1" a="1"/>
  <c r="L1616" i="1" s="1"/>
  <c r="M1616" i="1" s="1" a="1"/>
  <c r="M1616" i="1" s="1"/>
  <c r="L1617" i="1" a="1"/>
  <c r="L1617" i="1" s="1"/>
  <c r="L1618" i="1" a="1"/>
  <c r="L1618" i="1" s="1"/>
  <c r="L1619" i="1" a="1"/>
  <c r="L1619" i="1" s="1"/>
  <c r="M1619" i="1" s="1" a="1"/>
  <c r="M1619" i="1" s="1"/>
  <c r="L1620" i="1" a="1"/>
  <c r="L1620" i="1" s="1"/>
  <c r="L1621" i="1" a="1"/>
  <c r="L1621" i="1" s="1"/>
  <c r="L1622" i="1" a="1"/>
  <c r="L1622" i="1" s="1"/>
  <c r="L1623" i="1" a="1"/>
  <c r="L1623" i="1" s="1"/>
  <c r="M1623" i="1" s="1" a="1"/>
  <c r="M1623" i="1" s="1"/>
  <c r="L1624" i="1" a="1"/>
  <c r="L1624" i="1" s="1"/>
  <c r="L1625" i="1" a="1"/>
  <c r="L1625" i="1" s="1"/>
  <c r="L1626" i="1" a="1"/>
  <c r="L1626" i="1" s="1"/>
  <c r="M1626" i="1" s="1" a="1"/>
  <c r="M1626" i="1" s="1"/>
  <c r="L1627" i="1" a="1"/>
  <c r="L1627" i="1" s="1"/>
  <c r="L1628" i="1" a="1"/>
  <c r="L1628" i="1" s="1"/>
  <c r="L1629" i="1" a="1"/>
  <c r="L1629" i="1" s="1"/>
  <c r="M1629" i="1" s="1" a="1"/>
  <c r="M1629" i="1" s="1"/>
  <c r="L1630" i="1" a="1"/>
  <c r="L1630" i="1" s="1"/>
  <c r="L1631" i="1" a="1"/>
  <c r="L1631" i="1" s="1"/>
  <c r="L1632" i="1" a="1"/>
  <c r="L1632" i="1" s="1"/>
  <c r="L1633" i="1" a="1"/>
  <c r="L1633" i="1" s="1"/>
  <c r="M1633" i="1" s="1" a="1"/>
  <c r="M1633" i="1" s="1"/>
  <c r="L1634" i="1" a="1"/>
  <c r="L1634" i="1" s="1"/>
  <c r="L1635" i="1" a="1"/>
  <c r="L1635" i="1" s="1"/>
  <c r="L1636" i="1" a="1"/>
  <c r="L1636" i="1" s="1"/>
  <c r="M1636" i="1" s="1" a="1"/>
  <c r="M1636" i="1" s="1"/>
  <c r="L1637" i="1" a="1"/>
  <c r="L1637" i="1" s="1"/>
  <c r="L1638" i="1" a="1"/>
  <c r="L1638" i="1" s="1"/>
  <c r="L1639" i="1" a="1"/>
  <c r="L1639" i="1" s="1"/>
  <c r="M1639" i="1" s="1" a="1"/>
  <c r="M1639" i="1" s="1"/>
  <c r="L1640" i="1" a="1"/>
  <c r="L1640" i="1" s="1"/>
  <c r="L1641" i="1" a="1"/>
  <c r="L1641" i="1" s="1"/>
  <c r="M1641" i="1" s="1" a="1"/>
  <c r="M1641" i="1" s="1"/>
  <c r="L1642" i="1" a="1"/>
  <c r="L1642" i="1" s="1"/>
  <c r="L1643" i="1" a="1"/>
  <c r="L1643" i="1" s="1"/>
  <c r="M1643" i="1" s="1" a="1"/>
  <c r="M1643" i="1" s="1"/>
  <c r="L1644" i="1" a="1"/>
  <c r="L1644" i="1" s="1"/>
  <c r="L1645" i="1" a="1"/>
  <c r="L1645" i="1" s="1"/>
  <c r="L1646" i="1" a="1"/>
  <c r="L1646" i="1" s="1"/>
  <c r="M1646" i="1" s="1" a="1"/>
  <c r="M1646" i="1" s="1"/>
  <c r="L1647" i="1" a="1"/>
  <c r="L1647" i="1" s="1"/>
  <c r="L1648" i="1" a="1"/>
  <c r="L1648" i="1" s="1"/>
  <c r="L1649" i="1" a="1"/>
  <c r="L1649" i="1" s="1"/>
  <c r="M1649" i="1" s="1" a="1"/>
  <c r="M1649" i="1" s="1"/>
  <c r="L1650" i="1" a="1"/>
  <c r="L1650" i="1" s="1"/>
  <c r="L1651" i="1" a="1"/>
  <c r="L1651" i="1" s="1"/>
  <c r="L1652" i="1" a="1"/>
  <c r="L1652" i="1" s="1"/>
  <c r="L1653" i="1" a="1"/>
  <c r="L1653" i="1" s="1"/>
  <c r="L1654" i="1" a="1"/>
  <c r="L1654" i="1" s="1"/>
  <c r="L1655" i="1" a="1"/>
  <c r="L1655" i="1" s="1"/>
  <c r="L1656" i="1" a="1"/>
  <c r="L1656" i="1" s="1"/>
  <c r="L1657" i="1" a="1"/>
  <c r="L1657" i="1" s="1"/>
  <c r="L1658" i="1" a="1"/>
  <c r="L1658" i="1" s="1"/>
  <c r="L1659" i="1" a="1"/>
  <c r="L1659" i="1" s="1"/>
  <c r="L1660" i="1" a="1"/>
  <c r="L1660" i="1" s="1"/>
  <c r="L1661" i="1" a="1"/>
  <c r="L1661" i="1" s="1"/>
  <c r="L1662" i="1" a="1"/>
  <c r="L1662" i="1" s="1"/>
  <c r="L1663" i="1" a="1"/>
  <c r="L1663" i="1" s="1"/>
  <c r="L1664" i="1" a="1"/>
  <c r="L1664" i="1" s="1"/>
  <c r="L1665" i="1" a="1"/>
  <c r="L1665" i="1" s="1"/>
  <c r="L1666" i="1" a="1"/>
  <c r="L1666" i="1" s="1"/>
  <c r="L1667" i="1" a="1"/>
  <c r="L1667" i="1" s="1"/>
  <c r="L1668" i="1" a="1"/>
  <c r="L1668" i="1" s="1"/>
  <c r="L1669" i="1" a="1"/>
  <c r="L1669" i="1" s="1"/>
  <c r="L1670" i="1" a="1"/>
  <c r="L1670" i="1" s="1"/>
  <c r="L1671" i="1" a="1"/>
  <c r="L1671" i="1" s="1"/>
  <c r="L1672" i="1" a="1"/>
  <c r="L1672" i="1" s="1"/>
  <c r="L1673" i="1" a="1"/>
  <c r="L1673" i="1" s="1"/>
  <c r="L1674" i="1" a="1"/>
  <c r="L1674" i="1" s="1"/>
  <c r="M1674" i="1" s="1" a="1"/>
  <c r="M1674" i="1" s="1"/>
  <c r="L1675" i="1" a="1"/>
  <c r="L1675" i="1" s="1"/>
  <c r="L1676" i="1" a="1"/>
  <c r="L1676" i="1" s="1"/>
  <c r="L1677" i="1" a="1"/>
  <c r="L1677" i="1" s="1"/>
  <c r="M1677" i="1" s="1" a="1"/>
  <c r="M1677" i="1" s="1"/>
  <c r="L1678" i="1" a="1"/>
  <c r="L1678" i="1" s="1"/>
  <c r="L1679" i="1" a="1"/>
  <c r="L1679" i="1" s="1"/>
  <c r="L1680" i="1" a="1"/>
  <c r="L1680" i="1" s="1"/>
  <c r="M1680" i="1" s="1" a="1"/>
  <c r="M1680" i="1" s="1"/>
  <c r="L1681" i="1" a="1"/>
  <c r="L1681" i="1" s="1"/>
  <c r="L1682" i="1" a="1"/>
  <c r="L1682" i="1" s="1"/>
  <c r="L1683" i="1" a="1"/>
  <c r="L1683" i="1" s="1"/>
  <c r="L1684" i="1" a="1"/>
  <c r="L1684" i="1" s="1"/>
  <c r="M1684" i="1" s="1" a="1"/>
  <c r="M1684" i="1" s="1"/>
  <c r="L1685" i="1" a="1"/>
  <c r="L1685" i="1" s="1"/>
  <c r="L1686" i="1" a="1"/>
  <c r="L1686" i="1" s="1"/>
  <c r="L1687" i="1" a="1"/>
  <c r="L1687" i="1" s="1"/>
  <c r="M1687" i="1" s="1" a="1"/>
  <c r="M1687" i="1" s="1"/>
  <c r="L1688" i="1" a="1"/>
  <c r="L1688" i="1" s="1"/>
  <c r="L1689" i="1" a="1"/>
  <c r="L1689" i="1" s="1"/>
  <c r="L1690" i="1" a="1"/>
  <c r="L1690" i="1" s="1"/>
  <c r="M1690" i="1" s="1" a="1"/>
  <c r="M1690" i="1" s="1"/>
  <c r="L1691" i="1" a="1"/>
  <c r="L1691" i="1"/>
  <c r="L1692" i="1" a="1"/>
  <c r="L1692" i="1" s="1"/>
  <c r="L1693" i="1" a="1"/>
  <c r="L1693" i="1" s="1"/>
  <c r="L1694" i="1" a="1"/>
  <c r="L1694" i="1" s="1"/>
  <c r="M1694" i="1" s="1" a="1"/>
  <c r="M1694" i="1" s="1"/>
  <c r="L1695" i="1" a="1"/>
  <c r="L1695" i="1" s="1"/>
  <c r="L1696" i="1" a="1"/>
  <c r="L1696" i="1" s="1"/>
  <c r="L1697" i="1" a="1"/>
  <c r="L1697" i="1" s="1"/>
  <c r="M1697" i="1" s="1" a="1"/>
  <c r="M1697" i="1" s="1"/>
  <c r="L1698" i="1" a="1"/>
  <c r="L1698" i="1" s="1"/>
  <c r="L1699" i="1" a="1"/>
  <c r="L1699" i="1" s="1"/>
  <c r="L1700" i="1" a="1"/>
  <c r="L1700" i="1" s="1"/>
  <c r="M1700" i="1" s="1" a="1"/>
  <c r="M1700" i="1" s="1"/>
  <c r="L1701" i="1" a="1"/>
  <c r="L1701" i="1" s="1"/>
  <c r="L1702" i="1" a="1"/>
  <c r="L1702" i="1" s="1"/>
  <c r="M1702" i="1" s="1" a="1"/>
  <c r="M1702" i="1" s="1"/>
  <c r="L1703" i="1" a="1"/>
  <c r="L1703" i="1" s="1"/>
  <c r="L1704" i="1" a="1"/>
  <c r="L1704" i="1" s="1"/>
  <c r="M1704" i="1" s="1" a="1"/>
  <c r="M1704" i="1" s="1"/>
  <c r="L1705" i="1" a="1"/>
  <c r="L1705" i="1" s="1"/>
  <c r="L1706" i="1" a="1"/>
  <c r="L1706" i="1" s="1"/>
  <c r="L1707" i="1" a="1"/>
  <c r="L1707" i="1" s="1"/>
  <c r="M1707" i="1" s="1" a="1"/>
  <c r="M1707" i="1" s="1"/>
  <c r="L1708" i="1" a="1"/>
  <c r="L1708" i="1" s="1"/>
  <c r="L1709" i="1" a="1"/>
  <c r="L1709" i="1" s="1"/>
  <c r="M1709" i="1" s="1" a="1"/>
  <c r="M1709" i="1" s="1"/>
  <c r="L1710" i="1" a="1"/>
  <c r="L1710" i="1" s="1"/>
  <c r="L1711" i="1" a="1"/>
  <c r="L1711" i="1" s="1"/>
  <c r="L1712" i="1" a="1"/>
  <c r="L1712" i="1" s="1"/>
  <c r="M1712" i="1" s="1" a="1"/>
  <c r="M1712" i="1" s="1"/>
  <c r="L1713" i="1" a="1"/>
  <c r="L1713" i="1" s="1"/>
  <c r="L1714" i="1" a="1"/>
  <c r="L1714" i="1" s="1"/>
  <c r="M1714" i="1" s="1" a="1"/>
  <c r="M1714" i="1" s="1"/>
  <c r="L1715" i="1" a="1"/>
  <c r="L1715" i="1" s="1"/>
  <c r="L1716" i="1" a="1"/>
  <c r="L1716" i="1" s="1"/>
  <c r="L1717" i="1" a="1"/>
  <c r="L1717" i="1" s="1"/>
  <c r="M1717" i="1" s="1" a="1"/>
  <c r="M1717" i="1" s="1"/>
  <c r="L1718" i="1" a="1"/>
  <c r="L1718" i="1" s="1"/>
  <c r="L1719" i="1" a="1"/>
  <c r="L1719" i="1" s="1"/>
  <c r="L1720" i="1" a="1"/>
  <c r="L1720" i="1" s="1"/>
  <c r="L1721" i="1" a="1"/>
  <c r="L1721" i="1" s="1"/>
  <c r="L1722" i="1" a="1"/>
  <c r="L1722" i="1" s="1"/>
  <c r="L1723" i="1" a="1"/>
  <c r="L1723" i="1" s="1"/>
  <c r="L1724" i="1" a="1"/>
  <c r="L1724" i="1" s="1"/>
  <c r="L1725" i="1" a="1"/>
  <c r="L1725" i="1" s="1"/>
  <c r="L1726" i="1" a="1"/>
  <c r="L1726" i="1" s="1"/>
  <c r="L1727" i="1" a="1"/>
  <c r="L1727" i="1" s="1"/>
  <c r="L1728" i="1" a="1"/>
  <c r="L1728" i="1" s="1"/>
  <c r="M1728" i="1" s="1" a="1"/>
  <c r="M1728" i="1" s="1"/>
  <c r="L1729" i="1" a="1"/>
  <c r="L1729" i="1" s="1"/>
  <c r="L1730" i="1" a="1"/>
  <c r="L1730" i="1" s="1"/>
  <c r="L1731" i="1" a="1"/>
  <c r="L1731" i="1" s="1"/>
  <c r="L1732" i="1" a="1"/>
  <c r="L1732" i="1" s="1"/>
  <c r="M1732" i="1" s="1" a="1"/>
  <c r="M1732" i="1" s="1"/>
  <c r="L1733" i="1" a="1"/>
  <c r="L1733" i="1" s="1"/>
  <c r="L1734" i="1" a="1"/>
  <c r="L1734" i="1" s="1"/>
  <c r="L1735" i="1" a="1"/>
  <c r="L1735" i="1" s="1"/>
  <c r="L1736" i="1" a="1"/>
  <c r="L1736" i="1" s="1"/>
  <c r="M1736" i="1" s="1" a="1"/>
  <c r="M1736" i="1" s="1"/>
  <c r="L1737" i="1" a="1"/>
  <c r="L1737" i="1" s="1"/>
  <c r="L1738" i="1" a="1"/>
  <c r="L1738" i="1" s="1"/>
  <c r="L1739" i="1" a="1"/>
  <c r="L1739" i="1" s="1"/>
  <c r="L1740" i="1" a="1"/>
  <c r="L1740" i="1" s="1"/>
  <c r="M1740" i="1" s="1" a="1"/>
  <c r="M1740" i="1" s="1"/>
  <c r="L1741" i="1" a="1"/>
  <c r="L1741" i="1" s="1"/>
  <c r="L1742" i="1" a="1"/>
  <c r="L1742" i="1" s="1"/>
  <c r="L1743" i="1" a="1"/>
  <c r="L1743" i="1" s="1"/>
  <c r="L1744" i="1" a="1"/>
  <c r="L1744" i="1" s="1"/>
  <c r="M1744" i="1" s="1" a="1"/>
  <c r="M1744" i="1" s="1"/>
  <c r="L1745" i="1" a="1"/>
  <c r="L1745" i="1" s="1"/>
  <c r="L1746" i="1" a="1"/>
  <c r="L1746" i="1" s="1"/>
  <c r="L1747" i="1" a="1"/>
  <c r="L1747" i="1" s="1"/>
  <c r="M1747" i="1" s="1" a="1"/>
  <c r="M1747" i="1" s="1"/>
  <c r="L1748" i="1" a="1"/>
  <c r="L1748" i="1" s="1"/>
  <c r="L1749" i="1" a="1"/>
  <c r="L1749" i="1" s="1"/>
  <c r="M1749" i="1" s="1" a="1"/>
  <c r="M1749" i="1" s="1"/>
  <c r="L1750" i="1" a="1"/>
  <c r="L1750" i="1" s="1"/>
  <c r="L1751" i="1" a="1"/>
  <c r="L1751" i="1" s="1"/>
  <c r="M1751" i="1" s="1" a="1"/>
  <c r="M1751" i="1" s="1"/>
  <c r="L1752" i="1" a="1"/>
  <c r="L1752" i="1" s="1"/>
  <c r="L1753" i="1" a="1"/>
  <c r="L1753" i="1" s="1"/>
  <c r="L1754" i="1" a="1"/>
  <c r="L1754" i="1" s="1"/>
  <c r="M1754" i="1" s="1" a="1"/>
  <c r="M1754" i="1" s="1"/>
  <c r="L1755" i="1" a="1"/>
  <c r="L1755" i="1" s="1"/>
  <c r="L1756" i="1" a="1"/>
  <c r="L1756" i="1" s="1"/>
  <c r="M1756" i="1" s="1" a="1"/>
  <c r="M1756" i="1" s="1"/>
  <c r="L1757" i="1" a="1"/>
  <c r="L1757" i="1" s="1"/>
  <c r="L1758" i="1" a="1"/>
  <c r="L1758" i="1" s="1"/>
  <c r="M1758" i="1" s="1" a="1"/>
  <c r="M1758" i="1" s="1"/>
  <c r="L1759" i="1" a="1"/>
  <c r="L1759" i="1" s="1"/>
  <c r="L1760" i="1" a="1"/>
  <c r="L1760" i="1" s="1"/>
  <c r="L1761" i="1" a="1"/>
  <c r="L1761" i="1" s="1"/>
  <c r="M1761" i="1" s="1" a="1"/>
  <c r="M1761" i="1" s="1"/>
  <c r="L1762" i="1" a="1"/>
  <c r="L1762" i="1" s="1"/>
  <c r="L1763" i="1" a="1"/>
  <c r="L1763" i="1" s="1"/>
  <c r="L1764" i="1" a="1"/>
  <c r="L1764" i="1" s="1"/>
  <c r="M1764" i="1" s="1" a="1"/>
  <c r="M1764" i="1" s="1"/>
  <c r="L1824" i="1" a="1"/>
  <c r="L1824" i="1" s="1"/>
  <c r="L1825" i="1" a="1"/>
  <c r="L1825" i="1" s="1"/>
  <c r="L1826" i="1" a="1"/>
  <c r="L1826" i="1" s="1"/>
  <c r="L1827" i="1" a="1"/>
  <c r="L1827" i="1" s="1"/>
  <c r="L1828" i="1" a="1"/>
  <c r="L1828" i="1" s="1"/>
  <c r="L1829" i="1" a="1"/>
  <c r="L1829" i="1" s="1"/>
  <c r="L1830" i="1" a="1"/>
  <c r="L1830" i="1" s="1"/>
  <c r="L2" i="1" a="1"/>
  <c r="L2" i="1" s="1"/>
  <c r="J3" i="1" a="1"/>
  <c r="J3" i="1" s="1"/>
  <c r="K3" i="1" s="1" a="1"/>
  <c r="K3" i="1" s="1"/>
  <c r="J4" i="1" a="1"/>
  <c r="J4" i="1" s="1"/>
  <c r="K4" i="1" s="1" a="1"/>
  <c r="K4" i="1" s="1"/>
  <c r="J5" i="1" a="1"/>
  <c r="J5" i="1" s="1"/>
  <c r="K5" i="1" s="1" a="1"/>
  <c r="K5" i="1" s="1"/>
  <c r="J6" i="1" a="1"/>
  <c r="J6" i="1" s="1"/>
  <c r="K6" i="1" s="1" a="1"/>
  <c r="K6" i="1" s="1"/>
  <c r="J7" i="1" a="1"/>
  <c r="J7" i="1" s="1"/>
  <c r="K7" i="1" s="1" a="1"/>
  <c r="K7" i="1" s="1"/>
  <c r="J8" i="1" a="1"/>
  <c r="J8" i="1" s="1"/>
  <c r="K8" i="1" s="1" a="1"/>
  <c r="K8" i="1" s="1"/>
  <c r="J9" i="1" a="1"/>
  <c r="J9" i="1" s="1"/>
  <c r="K9" i="1" s="1" a="1"/>
  <c r="K9" i="1" s="1"/>
  <c r="J10" i="1" a="1"/>
  <c r="J10" i="1" s="1"/>
  <c r="K10" i="1" s="1" a="1"/>
  <c r="K10" i="1" s="1"/>
  <c r="J11" i="1" a="1"/>
  <c r="J11" i="1" s="1"/>
  <c r="K11" i="1" s="1" a="1"/>
  <c r="K11" i="1" s="1"/>
  <c r="J12" i="1" a="1"/>
  <c r="J12" i="1"/>
  <c r="K12" i="1" s="1" a="1"/>
  <c r="K12" i="1" s="1"/>
  <c r="M12" i="1" s="1" a="1"/>
  <c r="M12" i="1" s="1"/>
  <c r="J13" i="1" a="1"/>
  <c r="J13" i="1" s="1"/>
  <c r="K13" i="1" s="1" a="1"/>
  <c r="K13" i="1" s="1"/>
  <c r="J14" i="1" a="1"/>
  <c r="J14" i="1" s="1"/>
  <c r="K14" i="1" s="1" a="1"/>
  <c r="K14" i="1" s="1"/>
  <c r="J15" i="1" a="1"/>
  <c r="J15" i="1" s="1"/>
  <c r="K15" i="1" s="1" a="1"/>
  <c r="K15" i="1" s="1"/>
  <c r="J16" i="1" a="1"/>
  <c r="J16" i="1" s="1"/>
  <c r="K16" i="1" s="1" a="1"/>
  <c r="K16" i="1" s="1"/>
  <c r="J17" i="1" a="1"/>
  <c r="J17" i="1" s="1"/>
  <c r="K17" i="1" s="1" a="1"/>
  <c r="K17" i="1" s="1"/>
  <c r="J18" i="1" a="1"/>
  <c r="J18" i="1" s="1"/>
  <c r="K18" i="1" s="1" a="1"/>
  <c r="K18" i="1" s="1"/>
  <c r="J19" i="1" a="1"/>
  <c r="J19" i="1" s="1"/>
  <c r="K19" i="1" s="1" a="1"/>
  <c r="K19" i="1" s="1"/>
  <c r="J20" i="1" a="1"/>
  <c r="J20" i="1" s="1"/>
  <c r="K20" i="1" s="1" a="1"/>
  <c r="K20" i="1" s="1"/>
  <c r="J21" i="1" a="1"/>
  <c r="J21" i="1" s="1"/>
  <c r="K21" i="1" s="1" a="1"/>
  <c r="K21" i="1" s="1"/>
  <c r="J22" i="1" a="1"/>
  <c r="J22" i="1" s="1"/>
  <c r="K22" i="1" s="1" a="1"/>
  <c r="K22" i="1" s="1"/>
  <c r="J23" i="1" a="1"/>
  <c r="J23" i="1" s="1"/>
  <c r="K23" i="1" s="1" a="1"/>
  <c r="K23" i="1" s="1"/>
  <c r="J24" i="1" a="1"/>
  <c r="J24" i="1" s="1"/>
  <c r="K24" i="1" s="1" a="1"/>
  <c r="K24" i="1" s="1"/>
  <c r="J25" i="1" a="1"/>
  <c r="J25" i="1" s="1"/>
  <c r="K25" i="1" s="1" a="1"/>
  <c r="K25" i="1" s="1"/>
  <c r="J26" i="1" a="1"/>
  <c r="J26" i="1" s="1"/>
  <c r="K26" i="1" s="1" a="1"/>
  <c r="K26" i="1" s="1"/>
  <c r="J27" i="1" a="1"/>
  <c r="J27" i="1" s="1"/>
  <c r="K27" i="1" s="1" a="1"/>
  <c r="K27" i="1" s="1"/>
  <c r="J28" i="1" a="1"/>
  <c r="J28" i="1" s="1"/>
  <c r="K28" i="1" s="1" a="1"/>
  <c r="K28" i="1" s="1"/>
  <c r="M28" i="1" s="1" a="1"/>
  <c r="M28" i="1" s="1"/>
  <c r="J29" i="1" a="1"/>
  <c r="J29" i="1" s="1"/>
  <c r="K29" i="1" s="1" a="1"/>
  <c r="K29" i="1" s="1"/>
  <c r="J30" i="1" a="1"/>
  <c r="J30" i="1" s="1"/>
  <c r="K30" i="1" s="1" a="1"/>
  <c r="K30" i="1" s="1"/>
  <c r="J31" i="1" a="1"/>
  <c r="J31" i="1" s="1"/>
  <c r="K31" i="1" s="1" a="1"/>
  <c r="K31" i="1" s="1"/>
  <c r="J32" i="1" a="1"/>
  <c r="J32" i="1" s="1"/>
  <c r="K32" i="1" s="1" a="1"/>
  <c r="K32" i="1" s="1"/>
  <c r="J33" i="1" a="1"/>
  <c r="J33" i="1" s="1"/>
  <c r="K33" i="1" s="1" a="1"/>
  <c r="K33" i="1" s="1"/>
  <c r="J34" i="1" a="1"/>
  <c r="J34" i="1" s="1"/>
  <c r="K34" i="1" s="1" a="1"/>
  <c r="K34" i="1" s="1"/>
  <c r="J35" i="1" a="1"/>
  <c r="J35" i="1" s="1"/>
  <c r="K35" i="1" s="1" a="1"/>
  <c r="K35" i="1" s="1"/>
  <c r="J36" i="1" a="1"/>
  <c r="J36" i="1" s="1"/>
  <c r="K36" i="1" s="1" a="1"/>
  <c r="K36" i="1" s="1"/>
  <c r="J37" i="1" a="1"/>
  <c r="J37" i="1" s="1"/>
  <c r="K37" i="1" s="1" a="1"/>
  <c r="K37" i="1" s="1"/>
  <c r="J38" i="1" a="1"/>
  <c r="J38" i="1" s="1"/>
  <c r="K38" i="1" s="1" a="1"/>
  <c r="K38" i="1" s="1"/>
  <c r="J39" i="1" a="1"/>
  <c r="J39" i="1" s="1"/>
  <c r="K39" i="1" s="1" a="1"/>
  <c r="K39" i="1" s="1"/>
  <c r="J40" i="1" a="1"/>
  <c r="J40" i="1" s="1"/>
  <c r="K40" i="1" s="1" a="1"/>
  <c r="K40" i="1" s="1"/>
  <c r="J41" i="1" a="1"/>
  <c r="J41" i="1" s="1"/>
  <c r="K41" i="1" s="1" a="1"/>
  <c r="K41" i="1" s="1"/>
  <c r="J42" i="1" a="1"/>
  <c r="J42" i="1" s="1"/>
  <c r="K42" i="1" s="1" a="1"/>
  <c r="K42" i="1" s="1"/>
  <c r="J43" i="1" a="1"/>
  <c r="J43" i="1" s="1"/>
  <c r="K43" i="1" s="1" a="1"/>
  <c r="K43" i="1" s="1"/>
  <c r="J44" i="1" a="1"/>
  <c r="J44" i="1" s="1"/>
  <c r="K44" i="1" s="1" a="1"/>
  <c r="K44" i="1" s="1"/>
  <c r="J45" i="1" a="1"/>
  <c r="J45" i="1" s="1"/>
  <c r="K45" i="1" s="1" a="1"/>
  <c r="K45" i="1" s="1"/>
  <c r="J46" i="1" a="1"/>
  <c r="J46" i="1" s="1"/>
  <c r="K46" i="1" s="1" a="1"/>
  <c r="K46" i="1" s="1"/>
  <c r="J47" i="1" a="1"/>
  <c r="J47" i="1" s="1"/>
  <c r="K47" i="1" s="1" a="1"/>
  <c r="K47" i="1" s="1"/>
  <c r="J48" i="1" a="1"/>
  <c r="J48" i="1" s="1"/>
  <c r="K48" i="1" s="1" a="1"/>
  <c r="K48" i="1" s="1"/>
  <c r="J49" i="1" a="1"/>
  <c r="J49" i="1" s="1"/>
  <c r="K49" i="1" s="1" a="1"/>
  <c r="K49" i="1" s="1"/>
  <c r="J50" i="1" a="1"/>
  <c r="J50" i="1" s="1"/>
  <c r="K50" i="1" s="1" a="1"/>
  <c r="K50" i="1" s="1"/>
  <c r="J51" i="1" a="1"/>
  <c r="J51" i="1" s="1"/>
  <c r="K51" i="1" s="1" a="1"/>
  <c r="K51" i="1" s="1"/>
  <c r="J52" i="1" a="1"/>
  <c r="J52" i="1" s="1"/>
  <c r="K52" i="1" s="1" a="1"/>
  <c r="K52" i="1" s="1"/>
  <c r="M52" i="1" s="1" a="1"/>
  <c r="M52" i="1" s="1"/>
  <c r="J53" i="1" a="1"/>
  <c r="J53" i="1" s="1"/>
  <c r="K53" i="1" s="1" a="1"/>
  <c r="K53" i="1" s="1"/>
  <c r="J54" i="1" a="1"/>
  <c r="J54" i="1" s="1"/>
  <c r="K54" i="1" s="1" a="1"/>
  <c r="K54" i="1" s="1"/>
  <c r="J55" i="1" a="1"/>
  <c r="J55" i="1" s="1"/>
  <c r="K55" i="1" s="1" a="1"/>
  <c r="K55" i="1" s="1"/>
  <c r="J56" i="1" a="1"/>
  <c r="J56" i="1" s="1"/>
  <c r="K56" i="1" s="1" a="1"/>
  <c r="K56" i="1" s="1"/>
  <c r="J57" i="1" a="1"/>
  <c r="J57" i="1" s="1"/>
  <c r="K57" i="1" s="1" a="1"/>
  <c r="K57" i="1" s="1"/>
  <c r="J58" i="1" a="1"/>
  <c r="J58" i="1" s="1"/>
  <c r="K58" i="1" s="1" a="1"/>
  <c r="K58" i="1" s="1"/>
  <c r="J59" i="1" a="1"/>
  <c r="J59" i="1" s="1"/>
  <c r="K59" i="1" s="1" a="1"/>
  <c r="K59" i="1" s="1"/>
  <c r="J60" i="1" a="1"/>
  <c r="J60" i="1" s="1"/>
  <c r="K60" i="1" s="1" a="1"/>
  <c r="K60" i="1" s="1"/>
  <c r="J61" i="1" a="1"/>
  <c r="J61" i="1" s="1"/>
  <c r="K61" i="1" s="1" a="1"/>
  <c r="K61" i="1" s="1"/>
  <c r="J62" i="1" a="1"/>
  <c r="J62" i="1" s="1"/>
  <c r="K62" i="1" s="1" a="1"/>
  <c r="K62" i="1" s="1"/>
  <c r="J63" i="1" a="1"/>
  <c r="J63" i="1" s="1"/>
  <c r="K63" i="1" s="1" a="1"/>
  <c r="K63" i="1" s="1"/>
  <c r="J64" i="1" a="1"/>
  <c r="J64" i="1" s="1"/>
  <c r="K64" i="1" s="1" a="1"/>
  <c r="K64" i="1" s="1"/>
  <c r="J65" i="1" a="1"/>
  <c r="J65" i="1" s="1"/>
  <c r="K65" i="1" s="1" a="1"/>
  <c r="K65" i="1" s="1"/>
  <c r="J66" i="1" a="1"/>
  <c r="J66" i="1" s="1"/>
  <c r="K66" i="1" s="1" a="1"/>
  <c r="K66" i="1" s="1"/>
  <c r="J67" i="1" a="1"/>
  <c r="J67" i="1"/>
  <c r="K67" i="1" s="1" a="1"/>
  <c r="K67" i="1" s="1"/>
  <c r="J68" i="1" a="1"/>
  <c r="J68" i="1" s="1"/>
  <c r="K68" i="1" s="1" a="1"/>
  <c r="K68" i="1" s="1"/>
  <c r="J69" i="1" a="1"/>
  <c r="J69" i="1" s="1"/>
  <c r="K69" i="1" s="1" a="1"/>
  <c r="K69" i="1" s="1"/>
  <c r="M69" i="1" s="1" a="1"/>
  <c r="M69" i="1" s="1"/>
  <c r="J70" i="1" a="1"/>
  <c r="J70" i="1" s="1"/>
  <c r="K70" i="1" s="1" a="1"/>
  <c r="K70" i="1" s="1"/>
  <c r="J71" i="1" a="1"/>
  <c r="J71" i="1" s="1"/>
  <c r="K71" i="1" s="1" a="1"/>
  <c r="K71" i="1" s="1"/>
  <c r="J72" i="1" a="1"/>
  <c r="J72" i="1" s="1"/>
  <c r="K72" i="1" s="1" a="1"/>
  <c r="K72" i="1" s="1"/>
  <c r="J73" i="1" a="1"/>
  <c r="J73" i="1" s="1"/>
  <c r="K73" i="1" s="1" a="1"/>
  <c r="K73" i="1" s="1"/>
  <c r="J74" i="1" a="1"/>
  <c r="J74" i="1" s="1"/>
  <c r="K74" i="1" s="1" a="1"/>
  <c r="K74" i="1" s="1"/>
  <c r="J75" i="1" a="1"/>
  <c r="J75" i="1" s="1"/>
  <c r="K75" i="1" s="1" a="1"/>
  <c r="K75" i="1" s="1"/>
  <c r="J76" i="1" a="1"/>
  <c r="J76" i="1" s="1"/>
  <c r="K76" i="1" s="1" a="1"/>
  <c r="K76" i="1" s="1"/>
  <c r="J77" i="1" a="1"/>
  <c r="J77" i="1"/>
  <c r="K77" i="1" s="1" a="1"/>
  <c r="K77" i="1" s="1"/>
  <c r="J78" i="1" a="1"/>
  <c r="J78" i="1" s="1"/>
  <c r="K78" i="1" s="1" a="1"/>
  <c r="K78" i="1" s="1"/>
  <c r="J79" i="1" a="1"/>
  <c r="J79" i="1" s="1"/>
  <c r="K79" i="1" s="1" a="1"/>
  <c r="K79" i="1" s="1"/>
  <c r="J80" i="1" a="1"/>
  <c r="J80" i="1" s="1"/>
  <c r="K80" i="1" s="1" a="1"/>
  <c r="K80" i="1" s="1"/>
  <c r="J81" i="1" a="1"/>
  <c r="J81" i="1" s="1"/>
  <c r="K81" i="1" s="1" a="1"/>
  <c r="K81" i="1" s="1"/>
  <c r="J82" i="1" a="1"/>
  <c r="J82" i="1" s="1"/>
  <c r="K82" i="1" s="1" a="1"/>
  <c r="K82" i="1" s="1"/>
  <c r="J83" i="1" a="1"/>
  <c r="J83" i="1" s="1"/>
  <c r="K83" i="1" s="1" a="1"/>
  <c r="K83" i="1" s="1"/>
  <c r="J84" i="1" a="1"/>
  <c r="J84" i="1" s="1"/>
  <c r="K84" i="1" s="1" a="1"/>
  <c r="K84" i="1" s="1"/>
  <c r="J85" i="1" a="1"/>
  <c r="J85" i="1" s="1"/>
  <c r="K85" i="1" s="1" a="1"/>
  <c r="K85" i="1" s="1"/>
  <c r="J86" i="1" a="1"/>
  <c r="J86" i="1" s="1"/>
  <c r="K86" i="1" s="1" a="1"/>
  <c r="K86" i="1" s="1"/>
  <c r="J87" i="1" a="1"/>
  <c r="J87" i="1" s="1"/>
  <c r="K87" i="1" s="1" a="1"/>
  <c r="K87" i="1" s="1"/>
  <c r="J88" i="1" a="1"/>
  <c r="J88" i="1" s="1"/>
  <c r="K88" i="1" s="1" a="1"/>
  <c r="K88" i="1" s="1"/>
  <c r="J89" i="1" a="1"/>
  <c r="J89" i="1" s="1"/>
  <c r="K89" i="1" s="1" a="1"/>
  <c r="K89" i="1" s="1"/>
  <c r="J90" i="1" a="1"/>
  <c r="J90" i="1" s="1"/>
  <c r="K90" i="1" s="1" a="1"/>
  <c r="K90" i="1" s="1"/>
  <c r="J91" i="1" a="1"/>
  <c r="J91" i="1" s="1"/>
  <c r="K91" i="1" s="1" a="1"/>
  <c r="K91" i="1" s="1"/>
  <c r="J92" i="1" a="1"/>
  <c r="J92" i="1" s="1"/>
  <c r="K92" i="1" s="1" a="1"/>
  <c r="K92" i="1" s="1"/>
  <c r="J93" i="1" a="1"/>
  <c r="J93" i="1" s="1"/>
  <c r="K93" i="1" s="1" a="1"/>
  <c r="K93" i="1" s="1"/>
  <c r="J94" i="1" a="1"/>
  <c r="J94" i="1" s="1"/>
  <c r="K94" i="1" s="1" a="1"/>
  <c r="K94" i="1" s="1"/>
  <c r="J95" i="1" a="1"/>
  <c r="J95" i="1" s="1"/>
  <c r="K95" i="1" s="1" a="1"/>
  <c r="K95" i="1" s="1"/>
  <c r="J96" i="1" a="1"/>
  <c r="J96" i="1" s="1"/>
  <c r="K96" i="1" s="1" a="1"/>
  <c r="K96" i="1" s="1"/>
  <c r="J97" i="1" a="1"/>
  <c r="J97" i="1" s="1"/>
  <c r="K97" i="1" s="1" a="1"/>
  <c r="K97" i="1" s="1"/>
  <c r="J98" i="1" a="1"/>
  <c r="J98" i="1" s="1"/>
  <c r="K98" i="1" s="1" a="1"/>
  <c r="K98" i="1" s="1"/>
  <c r="J99" i="1" a="1"/>
  <c r="J99" i="1"/>
  <c r="K99" i="1" s="1" a="1"/>
  <c r="K99" i="1" s="1"/>
  <c r="J100" i="1" a="1"/>
  <c r="J100" i="1" s="1"/>
  <c r="K100" i="1" s="1" a="1"/>
  <c r="K100" i="1" s="1"/>
  <c r="J101" i="1" a="1"/>
  <c r="J101" i="1" s="1"/>
  <c r="K101" i="1" s="1" a="1"/>
  <c r="K101" i="1" s="1"/>
  <c r="J102" i="1" a="1"/>
  <c r="J102" i="1" s="1"/>
  <c r="K102" i="1" s="1" a="1"/>
  <c r="K102" i="1" s="1"/>
  <c r="J103" i="1" a="1"/>
  <c r="J103" i="1" s="1"/>
  <c r="K103" i="1" s="1" a="1"/>
  <c r="K103" i="1" s="1"/>
  <c r="J104" i="1" a="1"/>
  <c r="J104" i="1" s="1"/>
  <c r="K104" i="1" s="1" a="1"/>
  <c r="K104" i="1" s="1"/>
  <c r="J105" i="1" a="1"/>
  <c r="J105" i="1" s="1"/>
  <c r="K105" i="1" s="1" a="1"/>
  <c r="K105" i="1" s="1"/>
  <c r="J106" i="1" a="1"/>
  <c r="J106" i="1" s="1"/>
  <c r="K106" i="1" s="1" a="1"/>
  <c r="K106" i="1" s="1"/>
  <c r="J107" i="1" a="1"/>
  <c r="J107" i="1" s="1"/>
  <c r="K107" i="1" s="1" a="1"/>
  <c r="K107" i="1" s="1"/>
  <c r="J108" i="1" a="1"/>
  <c r="J108" i="1" s="1"/>
  <c r="K108" i="1" s="1" a="1"/>
  <c r="K108" i="1" s="1"/>
  <c r="J109" i="1" a="1"/>
  <c r="J109" i="1"/>
  <c r="K109" i="1" s="1" a="1"/>
  <c r="K109" i="1" s="1"/>
  <c r="J110" i="1" a="1"/>
  <c r="J110" i="1" s="1"/>
  <c r="K110" i="1" s="1" a="1"/>
  <c r="K110" i="1" s="1"/>
  <c r="J111" i="1" a="1"/>
  <c r="J111" i="1" s="1"/>
  <c r="K111" i="1" s="1" a="1"/>
  <c r="K111" i="1" s="1"/>
  <c r="J112" i="1" a="1"/>
  <c r="J112" i="1" s="1"/>
  <c r="K112" i="1" s="1" a="1"/>
  <c r="K112" i="1" s="1"/>
  <c r="J113" i="1" a="1"/>
  <c r="J113" i="1" s="1"/>
  <c r="K113" i="1" s="1" a="1"/>
  <c r="K113" i="1" s="1"/>
  <c r="J114" i="1" a="1"/>
  <c r="J114" i="1" s="1"/>
  <c r="K114" i="1" s="1" a="1"/>
  <c r="K114" i="1" s="1"/>
  <c r="J115" i="1" a="1"/>
  <c r="J115" i="1" s="1"/>
  <c r="K115" i="1" s="1" a="1"/>
  <c r="K115" i="1" s="1"/>
  <c r="J116" i="1" a="1"/>
  <c r="J116" i="1" s="1"/>
  <c r="K116" i="1" s="1" a="1"/>
  <c r="K116" i="1" s="1"/>
  <c r="J117" i="1" a="1"/>
  <c r="J117" i="1" s="1"/>
  <c r="K117" i="1" s="1" a="1"/>
  <c r="K117" i="1" s="1"/>
  <c r="J118" i="1" a="1"/>
  <c r="J118" i="1" s="1"/>
  <c r="K118" i="1" s="1" a="1"/>
  <c r="K118" i="1" s="1"/>
  <c r="J119" i="1" a="1"/>
  <c r="J119" i="1" s="1"/>
  <c r="K119" i="1" s="1" a="1"/>
  <c r="K119" i="1" s="1"/>
  <c r="J120" i="1" a="1"/>
  <c r="J120" i="1" s="1"/>
  <c r="K120" i="1" s="1" a="1"/>
  <c r="K120" i="1" s="1"/>
  <c r="J121" i="1" a="1"/>
  <c r="J121" i="1" s="1"/>
  <c r="K121" i="1" s="1" a="1"/>
  <c r="K121" i="1" s="1"/>
  <c r="J122" i="1" a="1"/>
  <c r="J122" i="1" s="1"/>
  <c r="K122" i="1" s="1" a="1"/>
  <c r="K122" i="1" s="1"/>
  <c r="J123" i="1" a="1"/>
  <c r="J123" i="1" s="1"/>
  <c r="K123" i="1" s="1" a="1"/>
  <c r="K123" i="1" s="1"/>
  <c r="J124" i="1" a="1"/>
  <c r="J124" i="1" s="1"/>
  <c r="K124" i="1" s="1" a="1"/>
  <c r="K124" i="1" s="1"/>
  <c r="J125" i="1" a="1"/>
  <c r="J125" i="1" s="1"/>
  <c r="K125" i="1" s="1" a="1"/>
  <c r="K125" i="1" s="1"/>
  <c r="J126" i="1" a="1"/>
  <c r="J126" i="1" s="1"/>
  <c r="K126" i="1" s="1" a="1"/>
  <c r="K126" i="1" s="1"/>
  <c r="J127" i="1" a="1"/>
  <c r="J127" i="1" s="1"/>
  <c r="K127" i="1" s="1" a="1"/>
  <c r="K127" i="1" s="1"/>
  <c r="J128" i="1" a="1"/>
  <c r="J128" i="1" s="1"/>
  <c r="K128" i="1" s="1" a="1"/>
  <c r="K128" i="1" s="1"/>
  <c r="J129" i="1" a="1"/>
  <c r="J129" i="1" s="1"/>
  <c r="K129" i="1" s="1" a="1"/>
  <c r="K129" i="1" s="1"/>
  <c r="J130" i="1" a="1"/>
  <c r="J130" i="1" s="1"/>
  <c r="K130" i="1" s="1" a="1"/>
  <c r="K130" i="1" s="1"/>
  <c r="J131" i="1" a="1"/>
  <c r="J131" i="1" s="1"/>
  <c r="K131" i="1" s="1" a="1"/>
  <c r="K131" i="1" s="1"/>
  <c r="J132" i="1" a="1"/>
  <c r="J132" i="1" s="1"/>
  <c r="K132" i="1" s="1" a="1"/>
  <c r="K132" i="1" s="1"/>
  <c r="J133" i="1" a="1"/>
  <c r="J133" i="1" s="1"/>
  <c r="K133" i="1" s="1" a="1"/>
  <c r="K133" i="1" s="1"/>
  <c r="J134" i="1" a="1"/>
  <c r="J134" i="1" s="1"/>
  <c r="K134" i="1" s="1" a="1"/>
  <c r="K134" i="1" s="1"/>
  <c r="J135" i="1" a="1"/>
  <c r="J135" i="1" s="1"/>
  <c r="K135" i="1" s="1" a="1"/>
  <c r="K135" i="1" s="1"/>
  <c r="J136" i="1" a="1"/>
  <c r="J136" i="1" s="1"/>
  <c r="K136" i="1" s="1" a="1"/>
  <c r="K136" i="1" s="1"/>
  <c r="J137" i="1" a="1"/>
  <c r="J137" i="1" s="1"/>
  <c r="K137" i="1" s="1" a="1"/>
  <c r="K137" i="1" s="1"/>
  <c r="J138" i="1" a="1"/>
  <c r="J138" i="1" s="1"/>
  <c r="K138" i="1" s="1" a="1"/>
  <c r="K138" i="1" s="1"/>
  <c r="J139" i="1" a="1"/>
  <c r="J139" i="1" s="1"/>
  <c r="K139" i="1" s="1" a="1"/>
  <c r="K139" i="1" s="1"/>
  <c r="J140" i="1" a="1"/>
  <c r="J140" i="1" s="1"/>
  <c r="K140" i="1" s="1" a="1"/>
  <c r="K140" i="1" s="1"/>
  <c r="J141" i="1" a="1"/>
  <c r="J141" i="1" s="1"/>
  <c r="K141" i="1" s="1" a="1"/>
  <c r="K141" i="1" s="1"/>
  <c r="J142" i="1" a="1"/>
  <c r="J142" i="1" s="1"/>
  <c r="K142" i="1" s="1" a="1"/>
  <c r="K142" i="1" s="1"/>
  <c r="J143" i="1" a="1"/>
  <c r="J143" i="1" s="1"/>
  <c r="K143" i="1" s="1" a="1"/>
  <c r="K143" i="1" s="1"/>
  <c r="J144" i="1" a="1"/>
  <c r="J144" i="1" s="1"/>
  <c r="K144" i="1" s="1" a="1"/>
  <c r="K144" i="1" s="1"/>
  <c r="J145" i="1" a="1"/>
  <c r="J145" i="1" s="1"/>
  <c r="K145" i="1" s="1" a="1"/>
  <c r="K145" i="1" s="1"/>
  <c r="J146" i="1" a="1"/>
  <c r="J146" i="1" s="1"/>
  <c r="K146" i="1" s="1" a="1"/>
  <c r="K146" i="1" s="1"/>
  <c r="J147" i="1" a="1"/>
  <c r="J147" i="1" s="1"/>
  <c r="K147" i="1" s="1" a="1"/>
  <c r="K147" i="1" s="1"/>
  <c r="J148" i="1" a="1"/>
  <c r="J148" i="1" s="1"/>
  <c r="K148" i="1" s="1" a="1"/>
  <c r="K148" i="1" s="1"/>
  <c r="J149" i="1" a="1"/>
  <c r="J149" i="1" s="1"/>
  <c r="K149" i="1" s="1" a="1"/>
  <c r="K149" i="1" s="1"/>
  <c r="J150" i="1" a="1"/>
  <c r="J150" i="1" s="1"/>
  <c r="K150" i="1" s="1" a="1"/>
  <c r="K150" i="1" s="1"/>
  <c r="J151" i="1" a="1"/>
  <c r="J151" i="1" s="1"/>
  <c r="K151" i="1" s="1" a="1"/>
  <c r="K151" i="1" s="1"/>
  <c r="J152" i="1" a="1"/>
  <c r="J152" i="1" s="1"/>
  <c r="K152" i="1" s="1" a="1"/>
  <c r="K152" i="1" s="1"/>
  <c r="J153" i="1" a="1"/>
  <c r="J153" i="1" s="1"/>
  <c r="K153" i="1" s="1" a="1"/>
  <c r="K153" i="1" s="1"/>
  <c r="J154" i="1" a="1"/>
  <c r="J154" i="1" s="1"/>
  <c r="K154" i="1" s="1" a="1"/>
  <c r="K154" i="1" s="1"/>
  <c r="J155" i="1" a="1"/>
  <c r="J155" i="1" s="1"/>
  <c r="K155" i="1" s="1" a="1"/>
  <c r="K155" i="1" s="1"/>
  <c r="J156" i="1" a="1"/>
  <c r="J156" i="1" s="1"/>
  <c r="K156" i="1" s="1" a="1"/>
  <c r="K156" i="1" s="1"/>
  <c r="J157" i="1" a="1"/>
  <c r="J157" i="1" s="1"/>
  <c r="K157" i="1" s="1" a="1"/>
  <c r="K157" i="1" s="1"/>
  <c r="J158" i="1" a="1"/>
  <c r="J158" i="1" s="1"/>
  <c r="K158" i="1" s="1" a="1"/>
  <c r="K158" i="1" s="1"/>
  <c r="J159" i="1" a="1"/>
  <c r="J159" i="1" s="1"/>
  <c r="K159" i="1" s="1" a="1"/>
  <c r="K159" i="1" s="1"/>
  <c r="J160" i="1" a="1"/>
  <c r="J160" i="1" s="1"/>
  <c r="K160" i="1" s="1" a="1"/>
  <c r="K160" i="1" s="1"/>
  <c r="J161" i="1" a="1"/>
  <c r="J161" i="1" s="1"/>
  <c r="K161" i="1" s="1" a="1"/>
  <c r="K161" i="1" s="1"/>
  <c r="J162" i="1" a="1"/>
  <c r="J162" i="1" s="1"/>
  <c r="K162" i="1" s="1" a="1"/>
  <c r="K162" i="1" s="1"/>
  <c r="J163" i="1" a="1"/>
  <c r="J163" i="1" s="1"/>
  <c r="K163" i="1" s="1" a="1"/>
  <c r="K163" i="1" s="1"/>
  <c r="J164" i="1" a="1"/>
  <c r="J164" i="1" s="1"/>
  <c r="K164" i="1" s="1" a="1"/>
  <c r="K164" i="1" s="1"/>
  <c r="J165" i="1" a="1"/>
  <c r="J165" i="1" s="1"/>
  <c r="K165" i="1" s="1" a="1"/>
  <c r="K165" i="1" s="1"/>
  <c r="J166" i="1" a="1"/>
  <c r="J166" i="1" s="1"/>
  <c r="K166" i="1" s="1" a="1"/>
  <c r="K166" i="1" s="1"/>
  <c r="J167" i="1" a="1"/>
  <c r="J167" i="1" s="1"/>
  <c r="K167" i="1" s="1" a="1"/>
  <c r="K167" i="1" s="1"/>
  <c r="J168" i="1" a="1"/>
  <c r="J168" i="1" s="1"/>
  <c r="K168" i="1" s="1" a="1"/>
  <c r="K168" i="1" s="1"/>
  <c r="J169" i="1" a="1"/>
  <c r="J169" i="1" s="1"/>
  <c r="K169" i="1" s="1" a="1"/>
  <c r="K169" i="1" s="1"/>
  <c r="J170" i="1" a="1"/>
  <c r="J170" i="1" s="1"/>
  <c r="K170" i="1" s="1" a="1"/>
  <c r="K170" i="1" s="1"/>
  <c r="J171" i="1" a="1"/>
  <c r="J171" i="1" s="1"/>
  <c r="K171" i="1" s="1" a="1"/>
  <c r="K171" i="1" s="1"/>
  <c r="J172" i="1" a="1"/>
  <c r="J172" i="1" s="1"/>
  <c r="K172" i="1" s="1" a="1"/>
  <c r="K172" i="1" s="1"/>
  <c r="J173" i="1" a="1"/>
  <c r="J173" i="1" s="1"/>
  <c r="K173" i="1" s="1" a="1"/>
  <c r="K173" i="1" s="1"/>
  <c r="J174" i="1" a="1"/>
  <c r="J174" i="1" s="1"/>
  <c r="K174" i="1" s="1" a="1"/>
  <c r="K174" i="1" s="1"/>
  <c r="J175" i="1" a="1"/>
  <c r="J175" i="1" s="1"/>
  <c r="K175" i="1" s="1" a="1"/>
  <c r="K175" i="1" s="1"/>
  <c r="J176" i="1" a="1"/>
  <c r="J176" i="1" s="1"/>
  <c r="K176" i="1" s="1" a="1"/>
  <c r="K176" i="1" s="1"/>
  <c r="J177" i="1" a="1"/>
  <c r="J177" i="1" s="1"/>
  <c r="K177" i="1" s="1" a="1"/>
  <c r="K177" i="1" s="1"/>
  <c r="J178" i="1" a="1"/>
  <c r="J178" i="1" s="1"/>
  <c r="K178" i="1" s="1" a="1"/>
  <c r="K178" i="1" s="1"/>
  <c r="J179" i="1" a="1"/>
  <c r="J179" i="1" s="1"/>
  <c r="K179" i="1" s="1" a="1"/>
  <c r="K179" i="1" s="1"/>
  <c r="M179" i="1" s="1" a="1"/>
  <c r="M179" i="1" s="1"/>
  <c r="J180" i="1" a="1"/>
  <c r="J180" i="1" s="1"/>
  <c r="K180" i="1" s="1" a="1"/>
  <c r="K180" i="1" s="1"/>
  <c r="J181" i="1" a="1"/>
  <c r="J181" i="1" s="1"/>
  <c r="K181" i="1" s="1" a="1"/>
  <c r="K181" i="1" s="1"/>
  <c r="J182" i="1" a="1"/>
  <c r="J182" i="1" s="1"/>
  <c r="K182" i="1" s="1" a="1"/>
  <c r="K182" i="1" s="1"/>
  <c r="J183" i="1" a="1"/>
  <c r="J183" i="1" s="1"/>
  <c r="K183" i="1" s="1" a="1"/>
  <c r="K183" i="1" s="1"/>
  <c r="J184" i="1" a="1"/>
  <c r="J184" i="1" s="1"/>
  <c r="K184" i="1" s="1" a="1"/>
  <c r="K184" i="1" s="1"/>
  <c r="J185" i="1" a="1"/>
  <c r="J185" i="1" s="1"/>
  <c r="K185" i="1" s="1" a="1"/>
  <c r="K185" i="1" s="1"/>
  <c r="J186" i="1" a="1"/>
  <c r="J186" i="1" s="1"/>
  <c r="K186" i="1" s="1" a="1"/>
  <c r="K186" i="1" s="1"/>
  <c r="J187" i="1" a="1"/>
  <c r="J187" i="1" s="1"/>
  <c r="K187" i="1" s="1" a="1"/>
  <c r="K187" i="1" s="1"/>
  <c r="J188" i="1" a="1"/>
  <c r="J188" i="1" s="1"/>
  <c r="K188" i="1" s="1" a="1"/>
  <c r="K188" i="1" s="1"/>
  <c r="J189" i="1" a="1"/>
  <c r="J189" i="1" s="1"/>
  <c r="K189" i="1" s="1" a="1"/>
  <c r="K189" i="1" s="1"/>
  <c r="J190" i="1" a="1"/>
  <c r="J190" i="1" s="1"/>
  <c r="K190" i="1" s="1" a="1"/>
  <c r="K190" i="1" s="1"/>
  <c r="J191" i="1" a="1"/>
  <c r="J191" i="1" s="1"/>
  <c r="K191" i="1" s="1" a="1"/>
  <c r="K191" i="1" s="1"/>
  <c r="J192" i="1" a="1"/>
  <c r="J192" i="1" s="1"/>
  <c r="K192" i="1" s="1" a="1"/>
  <c r="K192" i="1" s="1"/>
  <c r="J193" i="1" a="1"/>
  <c r="J193" i="1" s="1"/>
  <c r="K193" i="1" s="1" a="1"/>
  <c r="K193" i="1" s="1"/>
  <c r="J194" i="1" a="1"/>
  <c r="J194" i="1" s="1"/>
  <c r="K194" i="1" s="1" a="1"/>
  <c r="K194" i="1" s="1"/>
  <c r="J195" i="1" a="1"/>
  <c r="J195" i="1" s="1"/>
  <c r="K195" i="1" s="1" a="1"/>
  <c r="K195" i="1" s="1"/>
  <c r="J196" i="1" a="1"/>
  <c r="J196" i="1" s="1"/>
  <c r="K196" i="1" s="1" a="1"/>
  <c r="K196" i="1" s="1"/>
  <c r="J197" i="1" a="1"/>
  <c r="J197" i="1" s="1"/>
  <c r="K197" i="1" s="1" a="1"/>
  <c r="K197" i="1" s="1"/>
  <c r="J198" i="1" a="1"/>
  <c r="J198" i="1" s="1"/>
  <c r="K198" i="1" s="1" a="1"/>
  <c r="K198" i="1" s="1"/>
  <c r="J199" i="1" a="1"/>
  <c r="J199" i="1" s="1"/>
  <c r="K199" i="1" s="1" a="1"/>
  <c r="K199" i="1" s="1"/>
  <c r="J200" i="1" a="1"/>
  <c r="J200" i="1" s="1"/>
  <c r="K200" i="1" s="1" a="1"/>
  <c r="K200" i="1" s="1"/>
  <c r="J201" i="1" a="1"/>
  <c r="J201" i="1" s="1"/>
  <c r="K201" i="1" s="1" a="1"/>
  <c r="K201" i="1" s="1"/>
  <c r="J202" i="1" a="1"/>
  <c r="J202" i="1" s="1"/>
  <c r="K202" i="1" s="1" a="1"/>
  <c r="K202" i="1" s="1"/>
  <c r="J203" i="1" a="1"/>
  <c r="J203" i="1" s="1"/>
  <c r="K203" i="1" s="1" a="1"/>
  <c r="K203" i="1" s="1"/>
  <c r="J204" i="1" a="1"/>
  <c r="J204" i="1" s="1"/>
  <c r="K204" i="1" s="1" a="1"/>
  <c r="K204" i="1" s="1"/>
  <c r="J205" i="1" a="1"/>
  <c r="J205" i="1" s="1"/>
  <c r="K205" i="1" s="1" a="1"/>
  <c r="K205" i="1" s="1"/>
  <c r="J206" i="1" a="1"/>
  <c r="J206" i="1" s="1"/>
  <c r="K206" i="1" s="1" a="1"/>
  <c r="K206" i="1" s="1"/>
  <c r="J207" i="1" a="1"/>
  <c r="J207" i="1" s="1"/>
  <c r="K207" i="1" s="1" a="1"/>
  <c r="K207" i="1" s="1"/>
  <c r="J208" i="1" a="1"/>
  <c r="J208" i="1" s="1"/>
  <c r="K208" i="1" s="1" a="1"/>
  <c r="K208" i="1" s="1"/>
  <c r="J209" i="1" a="1"/>
  <c r="J209" i="1" s="1"/>
  <c r="K209" i="1" s="1" a="1"/>
  <c r="K209" i="1" s="1"/>
  <c r="J210" i="1" a="1"/>
  <c r="J210" i="1" s="1"/>
  <c r="K210" i="1" s="1" a="1"/>
  <c r="K210" i="1" s="1"/>
  <c r="J211" i="1" a="1"/>
  <c r="J211" i="1" s="1"/>
  <c r="K211" i="1" s="1" a="1"/>
  <c r="K211" i="1" s="1"/>
  <c r="J212" i="1" a="1"/>
  <c r="J212" i="1" s="1"/>
  <c r="K212" i="1" s="1" a="1"/>
  <c r="K212" i="1" s="1"/>
  <c r="J213" i="1" a="1"/>
  <c r="J213" i="1" s="1"/>
  <c r="K213" i="1" s="1" a="1"/>
  <c r="K213" i="1" s="1"/>
  <c r="J214" i="1" a="1"/>
  <c r="J214" i="1" s="1"/>
  <c r="K214" i="1" s="1" a="1"/>
  <c r="K214" i="1" s="1"/>
  <c r="J215" i="1" a="1"/>
  <c r="J215" i="1" s="1"/>
  <c r="K215" i="1" s="1" a="1"/>
  <c r="K215" i="1" s="1"/>
  <c r="J216" i="1" a="1"/>
  <c r="J216" i="1" s="1"/>
  <c r="K216" i="1" s="1" a="1"/>
  <c r="K216" i="1" s="1"/>
  <c r="J217" i="1" a="1"/>
  <c r="J217" i="1" s="1"/>
  <c r="K217" i="1" s="1" a="1"/>
  <c r="K217" i="1" s="1"/>
  <c r="J218" i="1" a="1"/>
  <c r="J218" i="1" s="1"/>
  <c r="K218" i="1" s="1" a="1"/>
  <c r="K218" i="1" s="1"/>
  <c r="J219" i="1" a="1"/>
  <c r="J219" i="1" s="1"/>
  <c r="K219" i="1" s="1" a="1"/>
  <c r="K219" i="1" s="1"/>
  <c r="J220" i="1" a="1"/>
  <c r="J220" i="1" s="1"/>
  <c r="K220" i="1" s="1" a="1"/>
  <c r="K220" i="1" s="1"/>
  <c r="J221" i="1" a="1"/>
  <c r="J221" i="1" s="1"/>
  <c r="K221" i="1" s="1" a="1"/>
  <c r="K221" i="1" s="1"/>
  <c r="J222" i="1" a="1"/>
  <c r="J222" i="1" s="1"/>
  <c r="K222" i="1" s="1" a="1"/>
  <c r="K222" i="1" s="1"/>
  <c r="J223" i="1" a="1"/>
  <c r="J223" i="1" s="1"/>
  <c r="K223" i="1" s="1" a="1"/>
  <c r="K223" i="1" s="1"/>
  <c r="J224" i="1" a="1"/>
  <c r="J224" i="1" s="1"/>
  <c r="K224" i="1" s="1" a="1"/>
  <c r="K224" i="1" s="1"/>
  <c r="J225" i="1" a="1"/>
  <c r="J225" i="1" s="1"/>
  <c r="K225" i="1" s="1" a="1"/>
  <c r="K225" i="1" s="1"/>
  <c r="J226" i="1" a="1"/>
  <c r="J226" i="1" s="1"/>
  <c r="K226" i="1" s="1" a="1"/>
  <c r="K226" i="1" s="1"/>
  <c r="J227" i="1" a="1"/>
  <c r="J227" i="1" s="1"/>
  <c r="K227" i="1" s="1" a="1"/>
  <c r="K227" i="1" s="1"/>
  <c r="J228" i="1" a="1"/>
  <c r="J228" i="1" s="1"/>
  <c r="K228" i="1" s="1" a="1"/>
  <c r="K228" i="1" s="1"/>
  <c r="J229" i="1" a="1"/>
  <c r="J229" i="1" s="1"/>
  <c r="K229" i="1" s="1" a="1"/>
  <c r="K229" i="1" s="1"/>
  <c r="J230" i="1" a="1"/>
  <c r="J230" i="1"/>
  <c r="K230" i="1" s="1" a="1"/>
  <c r="K230" i="1" s="1"/>
  <c r="J231" i="1" a="1"/>
  <c r="J231" i="1" s="1"/>
  <c r="K231" i="1" s="1" a="1"/>
  <c r="K231" i="1" s="1"/>
  <c r="J232" i="1" a="1"/>
  <c r="J232" i="1" s="1"/>
  <c r="K232" i="1" s="1" a="1"/>
  <c r="K232" i="1" s="1"/>
  <c r="J233" i="1" a="1"/>
  <c r="J233" i="1" s="1"/>
  <c r="K233" i="1" s="1" a="1"/>
  <c r="K233" i="1" s="1"/>
  <c r="J234" i="1" a="1"/>
  <c r="J234" i="1" s="1"/>
  <c r="K234" i="1" s="1" a="1"/>
  <c r="K234" i="1" s="1"/>
  <c r="J235" i="1" a="1"/>
  <c r="J235" i="1" s="1"/>
  <c r="K235" i="1" s="1" a="1"/>
  <c r="K235" i="1" s="1"/>
  <c r="J236" i="1" a="1"/>
  <c r="J236" i="1" s="1"/>
  <c r="K236" i="1" s="1" a="1"/>
  <c r="K236" i="1" s="1"/>
  <c r="J237" i="1" a="1"/>
  <c r="J237" i="1" s="1"/>
  <c r="K237" i="1" s="1" a="1"/>
  <c r="K237" i="1" s="1"/>
  <c r="J238" i="1" a="1"/>
  <c r="J238" i="1" s="1"/>
  <c r="K238" i="1" s="1" a="1"/>
  <c r="K238" i="1" s="1"/>
  <c r="J239" i="1" a="1"/>
  <c r="J239" i="1" s="1"/>
  <c r="K239" i="1" s="1" a="1"/>
  <c r="K239" i="1" s="1"/>
  <c r="J240" i="1" a="1"/>
  <c r="J240" i="1" s="1"/>
  <c r="K240" i="1" s="1" a="1"/>
  <c r="K240" i="1" s="1"/>
  <c r="J241" i="1" a="1"/>
  <c r="J241" i="1" s="1"/>
  <c r="K241" i="1" s="1" a="1"/>
  <c r="K241" i="1" s="1"/>
  <c r="J242" i="1" a="1"/>
  <c r="J242" i="1" s="1"/>
  <c r="K242" i="1" s="1" a="1"/>
  <c r="K242" i="1" s="1"/>
  <c r="J243" i="1" a="1"/>
  <c r="J243" i="1" s="1"/>
  <c r="K243" i="1" s="1" a="1"/>
  <c r="K243" i="1" s="1"/>
  <c r="J244" i="1" a="1"/>
  <c r="J244" i="1" s="1"/>
  <c r="K244" i="1" s="1" a="1"/>
  <c r="K244" i="1" s="1"/>
  <c r="M244" i="1" s="1" a="1"/>
  <c r="M244" i="1" s="1"/>
  <c r="J245" i="1" a="1"/>
  <c r="J245" i="1" s="1"/>
  <c r="K245" i="1" s="1" a="1"/>
  <c r="K245" i="1" s="1"/>
  <c r="J246" i="1" a="1"/>
  <c r="J246" i="1" s="1"/>
  <c r="K246" i="1" s="1" a="1"/>
  <c r="K246" i="1" s="1"/>
  <c r="J247" i="1" a="1"/>
  <c r="J247" i="1" s="1"/>
  <c r="K247" i="1" s="1" a="1"/>
  <c r="K247" i="1" s="1"/>
  <c r="J248" i="1" a="1"/>
  <c r="J248" i="1" s="1"/>
  <c r="K248" i="1" s="1" a="1"/>
  <c r="K248" i="1" s="1"/>
  <c r="J249" i="1" a="1"/>
  <c r="J249" i="1" s="1"/>
  <c r="K249" i="1" s="1" a="1"/>
  <c r="K249" i="1" s="1"/>
  <c r="J250" i="1" a="1"/>
  <c r="J250" i="1" s="1"/>
  <c r="K250" i="1" s="1" a="1"/>
  <c r="K250" i="1" s="1"/>
  <c r="J251" i="1" a="1"/>
  <c r="J251" i="1" s="1"/>
  <c r="K251" i="1" s="1" a="1"/>
  <c r="K251" i="1" s="1"/>
  <c r="M251" i="1" s="1" a="1"/>
  <c r="M251" i="1" s="1"/>
  <c r="J252" i="1" a="1"/>
  <c r="J252" i="1" s="1"/>
  <c r="K252" i="1" s="1" a="1"/>
  <c r="K252" i="1" s="1"/>
  <c r="J253" i="1" a="1"/>
  <c r="J253" i="1" s="1"/>
  <c r="K253" i="1" s="1" a="1"/>
  <c r="K253" i="1" s="1"/>
  <c r="J254" i="1" a="1"/>
  <c r="J254" i="1" s="1"/>
  <c r="K254" i="1" s="1" a="1"/>
  <c r="K254" i="1" s="1"/>
  <c r="J255" i="1" a="1"/>
  <c r="J255" i="1" s="1"/>
  <c r="K255" i="1" s="1" a="1"/>
  <c r="K255" i="1" s="1"/>
  <c r="J256" i="1" a="1"/>
  <c r="J256" i="1" s="1"/>
  <c r="K256" i="1" s="1" a="1"/>
  <c r="K256" i="1" s="1"/>
  <c r="J257" i="1" a="1"/>
  <c r="J257" i="1" s="1"/>
  <c r="K257" i="1" s="1" a="1"/>
  <c r="K257" i="1" s="1"/>
  <c r="J258" i="1" a="1"/>
  <c r="J258" i="1" s="1"/>
  <c r="K258" i="1" s="1" a="1"/>
  <c r="K258" i="1" s="1"/>
  <c r="M258" i="1" s="1" a="1"/>
  <c r="M258" i="1" s="1"/>
  <c r="J259" i="1" a="1"/>
  <c r="J259" i="1" s="1"/>
  <c r="K259" i="1" s="1" a="1"/>
  <c r="K259" i="1" s="1"/>
  <c r="J260" i="1" a="1"/>
  <c r="J260" i="1" s="1"/>
  <c r="K260" i="1" s="1" a="1"/>
  <c r="K260" i="1" s="1"/>
  <c r="J261" i="1" a="1"/>
  <c r="J261" i="1" s="1"/>
  <c r="K261" i="1" s="1" a="1"/>
  <c r="K261" i="1" s="1"/>
  <c r="J262" i="1" a="1"/>
  <c r="J262" i="1" s="1"/>
  <c r="K262" i="1" s="1" a="1"/>
  <c r="K262" i="1" s="1"/>
  <c r="J263" i="1" a="1"/>
  <c r="J263" i="1" s="1"/>
  <c r="K263" i="1" s="1" a="1"/>
  <c r="K263" i="1" s="1"/>
  <c r="J264" i="1" a="1"/>
  <c r="J264" i="1" s="1"/>
  <c r="K264" i="1" s="1" a="1"/>
  <c r="K264" i="1" s="1"/>
  <c r="J265" i="1" a="1"/>
  <c r="J265" i="1" s="1"/>
  <c r="K265" i="1" s="1" a="1"/>
  <c r="K265" i="1" s="1"/>
  <c r="J266" i="1" a="1"/>
  <c r="J266" i="1" s="1"/>
  <c r="K266" i="1" s="1" a="1"/>
  <c r="K266" i="1" s="1"/>
  <c r="J267" i="1" a="1"/>
  <c r="J267" i="1" s="1"/>
  <c r="K267" i="1" s="1" a="1"/>
  <c r="K267" i="1" s="1"/>
  <c r="J268" i="1" a="1"/>
  <c r="J268" i="1" s="1"/>
  <c r="K268" i="1" s="1" a="1"/>
  <c r="K268" i="1" s="1"/>
  <c r="J269" i="1" a="1"/>
  <c r="J269" i="1" s="1"/>
  <c r="K269" i="1" s="1" a="1"/>
  <c r="K269" i="1" s="1"/>
  <c r="J270" i="1" a="1"/>
  <c r="J270" i="1" s="1"/>
  <c r="K270" i="1" s="1" a="1"/>
  <c r="K270" i="1" s="1"/>
  <c r="J271" i="1" a="1"/>
  <c r="J271" i="1" s="1"/>
  <c r="K271" i="1" s="1" a="1"/>
  <c r="K271" i="1" s="1"/>
  <c r="J272" i="1" a="1"/>
  <c r="J272" i="1" s="1"/>
  <c r="K272" i="1" s="1" a="1"/>
  <c r="K272" i="1" s="1"/>
  <c r="J273" i="1" a="1"/>
  <c r="J273" i="1" s="1"/>
  <c r="K273" i="1" s="1" a="1"/>
  <c r="K273" i="1" s="1"/>
  <c r="J274" i="1" a="1"/>
  <c r="J274" i="1" s="1"/>
  <c r="K274" i="1" s="1" a="1"/>
  <c r="K274" i="1" s="1"/>
  <c r="J275" i="1" a="1"/>
  <c r="J275" i="1" s="1"/>
  <c r="K275" i="1" s="1" a="1"/>
  <c r="K275" i="1" s="1"/>
  <c r="J276" i="1" a="1"/>
  <c r="J276" i="1" s="1"/>
  <c r="K276" i="1" s="1" a="1"/>
  <c r="K276" i="1" s="1"/>
  <c r="J277" i="1" a="1"/>
  <c r="J277" i="1" s="1"/>
  <c r="K277" i="1" s="1" a="1"/>
  <c r="K277" i="1" s="1"/>
  <c r="J278" i="1" a="1"/>
  <c r="J278" i="1" s="1"/>
  <c r="K278" i="1" s="1" a="1"/>
  <c r="K278" i="1" s="1"/>
  <c r="J279" i="1" a="1"/>
  <c r="J279" i="1" s="1"/>
  <c r="K279" i="1" s="1" a="1"/>
  <c r="K279" i="1" s="1"/>
  <c r="J280" i="1" a="1"/>
  <c r="J280" i="1" s="1"/>
  <c r="K280" i="1" s="1" a="1"/>
  <c r="K280" i="1" s="1"/>
  <c r="J281" i="1" a="1"/>
  <c r="J281" i="1" s="1"/>
  <c r="K281" i="1" s="1" a="1"/>
  <c r="K281" i="1" s="1"/>
  <c r="J282" i="1" a="1"/>
  <c r="J282" i="1" s="1"/>
  <c r="K282" i="1" s="1" a="1"/>
  <c r="K282" i="1" s="1"/>
  <c r="J283" i="1" a="1"/>
  <c r="J283" i="1" s="1"/>
  <c r="K283" i="1" s="1" a="1"/>
  <c r="K283" i="1" s="1"/>
  <c r="J284" i="1" a="1"/>
  <c r="J284" i="1" s="1"/>
  <c r="K284" i="1" s="1" a="1"/>
  <c r="K284" i="1" s="1"/>
  <c r="M284" i="1" s="1" a="1"/>
  <c r="M284" i="1" s="1"/>
  <c r="J285" i="1" a="1"/>
  <c r="J285" i="1" s="1"/>
  <c r="K285" i="1" s="1" a="1"/>
  <c r="K285" i="1" s="1"/>
  <c r="J286" i="1" a="1"/>
  <c r="J286" i="1" s="1"/>
  <c r="K286" i="1" s="1" a="1"/>
  <c r="K286" i="1" s="1"/>
  <c r="J287" i="1" a="1"/>
  <c r="J287" i="1" s="1"/>
  <c r="K287" i="1" s="1" a="1"/>
  <c r="K287" i="1" s="1"/>
  <c r="J288" i="1" a="1"/>
  <c r="J288" i="1" s="1"/>
  <c r="K288" i="1" s="1" a="1"/>
  <c r="K288" i="1" s="1"/>
  <c r="J289" i="1" a="1"/>
  <c r="J289" i="1" s="1"/>
  <c r="K289" i="1" s="1" a="1"/>
  <c r="K289" i="1" s="1"/>
  <c r="J290" i="1" a="1"/>
  <c r="J290" i="1" s="1"/>
  <c r="K290" i="1" s="1" a="1"/>
  <c r="K290" i="1" s="1"/>
  <c r="J291" i="1" a="1"/>
  <c r="J291" i="1" s="1"/>
  <c r="K291" i="1" s="1" a="1"/>
  <c r="K291" i="1" s="1"/>
  <c r="J292" i="1" a="1"/>
  <c r="J292" i="1" s="1"/>
  <c r="K292" i="1" s="1" a="1"/>
  <c r="K292" i="1" s="1"/>
  <c r="J293" i="1" a="1"/>
  <c r="J293" i="1" s="1"/>
  <c r="K293" i="1" s="1" a="1"/>
  <c r="K293" i="1" s="1"/>
  <c r="J294" i="1" a="1"/>
  <c r="J294" i="1" s="1"/>
  <c r="K294" i="1" s="1" a="1"/>
  <c r="K294" i="1" s="1"/>
  <c r="M294" i="1" s="1" a="1"/>
  <c r="M294" i="1" s="1"/>
  <c r="J295" i="1" a="1"/>
  <c r="J295" i="1" s="1"/>
  <c r="K295" i="1" s="1" a="1"/>
  <c r="K295" i="1" s="1"/>
  <c r="J296" i="1" a="1"/>
  <c r="J296" i="1" s="1"/>
  <c r="K296" i="1" s="1" a="1"/>
  <c r="K296" i="1" s="1"/>
  <c r="J297" i="1" a="1"/>
  <c r="J297" i="1"/>
  <c r="K297" i="1" s="1" a="1"/>
  <c r="K297" i="1" s="1"/>
  <c r="J298" i="1" a="1"/>
  <c r="J298" i="1" s="1"/>
  <c r="K298" i="1" s="1" a="1"/>
  <c r="K298" i="1" s="1"/>
  <c r="J299" i="1" a="1"/>
  <c r="J299" i="1" s="1"/>
  <c r="K299" i="1" s="1" a="1"/>
  <c r="K299" i="1" s="1"/>
  <c r="J300" i="1" a="1"/>
  <c r="J300" i="1" s="1"/>
  <c r="K300" i="1" s="1" a="1"/>
  <c r="K300" i="1" s="1"/>
  <c r="J301" i="1" a="1"/>
  <c r="J301" i="1" s="1"/>
  <c r="K301" i="1" s="1" a="1"/>
  <c r="K301" i="1" s="1"/>
  <c r="J302" i="1" a="1"/>
  <c r="J302" i="1" s="1"/>
  <c r="K302" i="1" s="1" a="1"/>
  <c r="K302" i="1" s="1"/>
  <c r="J303" i="1" a="1"/>
  <c r="J303" i="1" s="1"/>
  <c r="K303" i="1" s="1" a="1"/>
  <c r="K303" i="1" s="1"/>
  <c r="J304" i="1" a="1"/>
  <c r="J304" i="1" s="1"/>
  <c r="K304" i="1" s="1" a="1"/>
  <c r="K304" i="1" s="1"/>
  <c r="J305" i="1" a="1"/>
  <c r="J305" i="1" s="1"/>
  <c r="K305" i="1" s="1" a="1"/>
  <c r="K305" i="1" s="1"/>
  <c r="J306" i="1" a="1"/>
  <c r="J306" i="1" s="1"/>
  <c r="K306" i="1" s="1" a="1"/>
  <c r="K306" i="1" s="1"/>
  <c r="J307" i="1" a="1"/>
  <c r="J307" i="1"/>
  <c r="K307" i="1" s="1" a="1"/>
  <c r="K307" i="1" s="1"/>
  <c r="J308" i="1" a="1"/>
  <c r="J308" i="1" s="1"/>
  <c r="K308" i="1" s="1" a="1"/>
  <c r="K308" i="1" s="1"/>
  <c r="J309" i="1" a="1"/>
  <c r="J309" i="1" s="1"/>
  <c r="K309" i="1" s="1" a="1"/>
  <c r="K309" i="1" s="1"/>
  <c r="J310" i="1" a="1"/>
  <c r="J310" i="1" s="1"/>
  <c r="K310" i="1" s="1" a="1"/>
  <c r="K310" i="1" s="1"/>
  <c r="J311" i="1" a="1"/>
  <c r="J311" i="1" s="1"/>
  <c r="K311" i="1" s="1" a="1"/>
  <c r="K311" i="1" s="1"/>
  <c r="M311" i="1" s="1" a="1"/>
  <c r="M311" i="1" s="1"/>
  <c r="J312" i="1" a="1"/>
  <c r="J312" i="1" s="1"/>
  <c r="K312" i="1" s="1" a="1"/>
  <c r="K312" i="1" s="1"/>
  <c r="J313" i="1" a="1"/>
  <c r="J313" i="1" s="1"/>
  <c r="K313" i="1" s="1" a="1"/>
  <c r="K313" i="1" s="1"/>
  <c r="J314" i="1" a="1"/>
  <c r="J314" i="1" s="1"/>
  <c r="K314" i="1" s="1" a="1"/>
  <c r="K314" i="1" s="1"/>
  <c r="J315" i="1" a="1"/>
  <c r="J315" i="1" s="1"/>
  <c r="K315" i="1" s="1" a="1"/>
  <c r="K315" i="1" s="1"/>
  <c r="J316" i="1" a="1"/>
  <c r="J316" i="1" s="1"/>
  <c r="K316" i="1" s="1" a="1"/>
  <c r="K316" i="1" s="1"/>
  <c r="J317" i="1" a="1"/>
  <c r="J317" i="1" s="1"/>
  <c r="K317" i="1" s="1" a="1"/>
  <c r="K317" i="1" s="1"/>
  <c r="J318" i="1" a="1"/>
  <c r="J318" i="1" s="1"/>
  <c r="K318" i="1" s="1" a="1"/>
  <c r="K318" i="1" s="1"/>
  <c r="J319" i="1" a="1"/>
  <c r="J319" i="1" s="1"/>
  <c r="K319" i="1" s="1" a="1"/>
  <c r="K319" i="1" s="1"/>
  <c r="J320" i="1" a="1"/>
  <c r="J320" i="1" s="1"/>
  <c r="K320" i="1" s="1" a="1"/>
  <c r="K320" i="1" s="1"/>
  <c r="J321" i="1" a="1"/>
  <c r="J321" i="1" s="1"/>
  <c r="K321" i="1" s="1" a="1"/>
  <c r="K321" i="1" s="1"/>
  <c r="J322" i="1" a="1"/>
  <c r="J322" i="1" s="1"/>
  <c r="K322" i="1" s="1" a="1"/>
  <c r="K322" i="1" s="1"/>
  <c r="J323" i="1" a="1"/>
  <c r="J323" i="1" s="1"/>
  <c r="K323" i="1" s="1" a="1"/>
  <c r="K323" i="1" s="1"/>
  <c r="J324" i="1" a="1"/>
  <c r="J324" i="1" s="1"/>
  <c r="K324" i="1" s="1" a="1"/>
  <c r="K324" i="1" s="1"/>
  <c r="M324" i="1" s="1" a="1"/>
  <c r="M324" i="1" s="1"/>
  <c r="J325" i="1" a="1"/>
  <c r="J325" i="1" s="1"/>
  <c r="K325" i="1" s="1" a="1"/>
  <c r="K325" i="1" s="1"/>
  <c r="J326" i="1" a="1"/>
  <c r="J326" i="1" s="1"/>
  <c r="K326" i="1" s="1" a="1"/>
  <c r="K326" i="1" s="1"/>
  <c r="J327" i="1" a="1"/>
  <c r="J327" i="1" s="1"/>
  <c r="K327" i="1" s="1" a="1"/>
  <c r="K327" i="1" s="1"/>
  <c r="J328" i="1" a="1"/>
  <c r="J328" i="1" s="1"/>
  <c r="K328" i="1" s="1" a="1"/>
  <c r="K328" i="1" s="1"/>
  <c r="J329" i="1" a="1"/>
  <c r="J329" i="1" s="1"/>
  <c r="K329" i="1" s="1" a="1"/>
  <c r="K329" i="1" s="1"/>
  <c r="J330" i="1" a="1"/>
  <c r="J330" i="1" s="1"/>
  <c r="K330" i="1" s="1" a="1"/>
  <c r="K330" i="1" s="1"/>
  <c r="J331" i="1" a="1"/>
  <c r="J331" i="1" s="1"/>
  <c r="K331" i="1" s="1" a="1"/>
  <c r="K331" i="1" s="1"/>
  <c r="J332" i="1" a="1"/>
  <c r="J332" i="1" s="1"/>
  <c r="K332" i="1" s="1" a="1"/>
  <c r="K332" i="1" s="1"/>
  <c r="J333" i="1" a="1"/>
  <c r="J333" i="1" s="1"/>
  <c r="K333" i="1" s="1" a="1"/>
  <c r="K333" i="1" s="1"/>
  <c r="J334" i="1" a="1"/>
  <c r="J334" i="1" s="1"/>
  <c r="K334" i="1" s="1" a="1"/>
  <c r="K334" i="1" s="1"/>
  <c r="M334" i="1" s="1" a="1"/>
  <c r="M334" i="1" s="1"/>
  <c r="J335" i="1" a="1"/>
  <c r="J335" i="1" s="1"/>
  <c r="K335" i="1" s="1" a="1"/>
  <c r="K335" i="1" s="1"/>
  <c r="J336" i="1" a="1"/>
  <c r="J336" i="1" s="1"/>
  <c r="K336" i="1" s="1" a="1"/>
  <c r="K336" i="1" s="1"/>
  <c r="J337" i="1" a="1"/>
  <c r="J337" i="1" s="1"/>
  <c r="K337" i="1" s="1" a="1"/>
  <c r="K337" i="1" s="1"/>
  <c r="J338" i="1" a="1"/>
  <c r="J338" i="1" s="1"/>
  <c r="K338" i="1" s="1" a="1"/>
  <c r="K338" i="1" s="1"/>
  <c r="J339" i="1" a="1"/>
  <c r="J339" i="1" s="1"/>
  <c r="K339" i="1" s="1" a="1"/>
  <c r="K339" i="1" s="1"/>
  <c r="J340" i="1" a="1"/>
  <c r="J340" i="1" s="1"/>
  <c r="K340" i="1" s="1" a="1"/>
  <c r="K340" i="1" s="1"/>
  <c r="J341" i="1" a="1"/>
  <c r="J341" i="1" s="1"/>
  <c r="K341" i="1" s="1" a="1"/>
  <c r="K341" i="1" s="1"/>
  <c r="J342" i="1" a="1"/>
  <c r="J342" i="1" s="1"/>
  <c r="K342" i="1" s="1" a="1"/>
  <c r="K342" i="1" s="1"/>
  <c r="J343" i="1" a="1"/>
  <c r="J343" i="1" s="1"/>
  <c r="K343" i="1" s="1" a="1"/>
  <c r="K343" i="1" s="1"/>
  <c r="J344" i="1" a="1"/>
  <c r="J344" i="1" s="1"/>
  <c r="K344" i="1" s="1" a="1"/>
  <c r="K344" i="1" s="1"/>
  <c r="J345" i="1" a="1"/>
  <c r="J345" i="1" s="1"/>
  <c r="K345" i="1" s="1" a="1"/>
  <c r="K345" i="1" s="1"/>
  <c r="J346" i="1" a="1"/>
  <c r="J346" i="1" s="1"/>
  <c r="K346" i="1" s="1" a="1"/>
  <c r="K346" i="1" s="1"/>
  <c r="J347" i="1" a="1"/>
  <c r="J347" i="1" s="1"/>
  <c r="K347" i="1" s="1" a="1"/>
  <c r="K347" i="1" s="1"/>
  <c r="J348" i="1" a="1"/>
  <c r="J348" i="1" s="1"/>
  <c r="K348" i="1" s="1" a="1"/>
  <c r="K348" i="1" s="1"/>
  <c r="J349" i="1" a="1"/>
  <c r="J349" i="1" s="1"/>
  <c r="K349" i="1" s="1" a="1"/>
  <c r="K349" i="1" s="1"/>
  <c r="J350" i="1" a="1"/>
  <c r="J350" i="1" s="1"/>
  <c r="K350" i="1" s="1" a="1"/>
  <c r="K350" i="1" s="1"/>
  <c r="J351" i="1" a="1"/>
  <c r="J351" i="1" s="1"/>
  <c r="K351" i="1" s="1" a="1"/>
  <c r="K351" i="1" s="1"/>
  <c r="J352" i="1" a="1"/>
  <c r="J352" i="1" s="1"/>
  <c r="K352" i="1" s="1" a="1"/>
  <c r="K352" i="1" s="1"/>
  <c r="J353" i="1" a="1"/>
  <c r="J353" i="1" s="1"/>
  <c r="K353" i="1" s="1" a="1"/>
  <c r="K353" i="1" s="1"/>
  <c r="J354" i="1" a="1"/>
  <c r="J354" i="1" s="1"/>
  <c r="K354" i="1" s="1" a="1"/>
  <c r="K354" i="1" s="1"/>
  <c r="J355" i="1" a="1"/>
  <c r="J355" i="1" s="1"/>
  <c r="K355" i="1" s="1" a="1"/>
  <c r="K355" i="1" s="1"/>
  <c r="J356" i="1" a="1"/>
  <c r="J356" i="1" s="1"/>
  <c r="K356" i="1" s="1" a="1"/>
  <c r="K356" i="1" s="1"/>
  <c r="J357" i="1" a="1"/>
  <c r="J357" i="1" s="1"/>
  <c r="K357" i="1" s="1" a="1"/>
  <c r="K357" i="1" s="1"/>
  <c r="J358" i="1" a="1"/>
  <c r="J358" i="1" s="1"/>
  <c r="K358" i="1" s="1" a="1"/>
  <c r="K358" i="1" s="1"/>
  <c r="J359" i="1" a="1"/>
  <c r="J359" i="1" s="1"/>
  <c r="K359" i="1" s="1" a="1"/>
  <c r="K359" i="1" s="1"/>
  <c r="J360" i="1" a="1"/>
  <c r="J360" i="1" s="1"/>
  <c r="K360" i="1" s="1" a="1"/>
  <c r="K360" i="1" s="1"/>
  <c r="J361" i="1" a="1"/>
  <c r="J361" i="1" s="1"/>
  <c r="K361" i="1" s="1" a="1"/>
  <c r="K361" i="1" s="1"/>
  <c r="J362" i="1" a="1"/>
  <c r="J362" i="1" s="1"/>
  <c r="K362" i="1" s="1" a="1"/>
  <c r="K362" i="1" s="1"/>
  <c r="J363" i="1" a="1"/>
  <c r="J363" i="1" s="1"/>
  <c r="K363" i="1" s="1" a="1"/>
  <c r="K363" i="1" s="1"/>
  <c r="J364" i="1" a="1"/>
  <c r="J364" i="1" s="1"/>
  <c r="K364" i="1" s="1" a="1"/>
  <c r="K364" i="1" s="1"/>
  <c r="J365" i="1" a="1"/>
  <c r="J365" i="1" s="1"/>
  <c r="K365" i="1" s="1" a="1"/>
  <c r="K365" i="1" s="1"/>
  <c r="J366" i="1" a="1"/>
  <c r="J366" i="1" s="1"/>
  <c r="K366" i="1" s="1" a="1"/>
  <c r="K366" i="1" s="1"/>
  <c r="J367" i="1" a="1"/>
  <c r="J367" i="1" s="1"/>
  <c r="K367" i="1" s="1" a="1"/>
  <c r="K367" i="1" s="1"/>
  <c r="J368" i="1" a="1"/>
  <c r="J368" i="1" s="1"/>
  <c r="K368" i="1" s="1" a="1"/>
  <c r="K368" i="1" s="1"/>
  <c r="J369" i="1" a="1"/>
  <c r="J369" i="1" s="1"/>
  <c r="K369" i="1" s="1" a="1"/>
  <c r="K369" i="1" s="1"/>
  <c r="J370" i="1" a="1"/>
  <c r="J370" i="1" s="1"/>
  <c r="K370" i="1" s="1" a="1"/>
  <c r="K370" i="1" s="1"/>
  <c r="J371" i="1" a="1"/>
  <c r="J371" i="1" s="1"/>
  <c r="K371" i="1" s="1" a="1"/>
  <c r="K371" i="1" s="1"/>
  <c r="J372" i="1" a="1"/>
  <c r="J372" i="1" s="1"/>
  <c r="K372" i="1" s="1" a="1"/>
  <c r="K372" i="1" s="1"/>
  <c r="J373" i="1" a="1"/>
  <c r="J373" i="1" s="1"/>
  <c r="K373" i="1" s="1" a="1"/>
  <c r="K373" i="1" s="1"/>
  <c r="J374" i="1" a="1"/>
  <c r="J374" i="1" s="1"/>
  <c r="K374" i="1" s="1" a="1"/>
  <c r="K374" i="1" s="1"/>
  <c r="J375" i="1" a="1"/>
  <c r="J375" i="1" s="1"/>
  <c r="K375" i="1" s="1" a="1"/>
  <c r="K375" i="1" s="1"/>
  <c r="J376" i="1" a="1"/>
  <c r="J376" i="1" s="1"/>
  <c r="K376" i="1" s="1" a="1"/>
  <c r="K376" i="1" s="1"/>
  <c r="J377" i="1" a="1"/>
  <c r="J377" i="1" s="1"/>
  <c r="K377" i="1" s="1" a="1"/>
  <c r="K377" i="1" s="1"/>
  <c r="J378" i="1" a="1"/>
  <c r="J378" i="1" s="1"/>
  <c r="K378" i="1" s="1" a="1"/>
  <c r="K378" i="1" s="1"/>
  <c r="J379" i="1" a="1"/>
  <c r="J379" i="1" s="1"/>
  <c r="K379" i="1" s="1" a="1"/>
  <c r="K379" i="1" s="1"/>
  <c r="J380" i="1" a="1"/>
  <c r="J380" i="1" s="1"/>
  <c r="K380" i="1" s="1" a="1"/>
  <c r="K380" i="1" s="1"/>
  <c r="J381" i="1" a="1"/>
  <c r="J381" i="1" s="1"/>
  <c r="K381" i="1" s="1" a="1"/>
  <c r="K381" i="1" s="1"/>
  <c r="J382" i="1" a="1"/>
  <c r="J382" i="1" s="1"/>
  <c r="K382" i="1" s="1" a="1"/>
  <c r="K382" i="1" s="1"/>
  <c r="J383" i="1" a="1"/>
  <c r="J383" i="1" s="1"/>
  <c r="K383" i="1" s="1" a="1"/>
  <c r="K383" i="1" s="1"/>
  <c r="J384" i="1" a="1"/>
  <c r="J384" i="1" s="1"/>
  <c r="K384" i="1" s="1" a="1"/>
  <c r="K384" i="1" s="1"/>
  <c r="J385" i="1" a="1"/>
  <c r="J385" i="1" s="1"/>
  <c r="K385" i="1" s="1" a="1"/>
  <c r="K385" i="1" s="1"/>
  <c r="J386" i="1" a="1"/>
  <c r="J386" i="1" s="1"/>
  <c r="K386" i="1" s="1" a="1"/>
  <c r="K386" i="1" s="1"/>
  <c r="J387" i="1" a="1"/>
  <c r="J387" i="1" s="1"/>
  <c r="K387" i="1" s="1" a="1"/>
  <c r="K387" i="1" s="1"/>
  <c r="J388" i="1" a="1"/>
  <c r="J388" i="1" s="1"/>
  <c r="K388" i="1" s="1" a="1"/>
  <c r="K388" i="1" s="1"/>
  <c r="J389" i="1" a="1"/>
  <c r="J389" i="1" s="1"/>
  <c r="K389" i="1" s="1" a="1"/>
  <c r="K389" i="1" s="1"/>
  <c r="J390" i="1" a="1"/>
  <c r="J390" i="1" s="1"/>
  <c r="K390" i="1" s="1" a="1"/>
  <c r="K390" i="1" s="1"/>
  <c r="J391" i="1" a="1"/>
  <c r="J391" i="1" s="1"/>
  <c r="K391" i="1" s="1" a="1"/>
  <c r="K391" i="1" s="1"/>
  <c r="J392" i="1" a="1"/>
  <c r="J392" i="1" s="1"/>
  <c r="K392" i="1" s="1" a="1"/>
  <c r="K392" i="1" s="1"/>
  <c r="J393" i="1" a="1"/>
  <c r="J393" i="1" s="1"/>
  <c r="K393" i="1" s="1" a="1"/>
  <c r="K393" i="1" s="1"/>
  <c r="J394" i="1" a="1"/>
  <c r="J394" i="1" s="1"/>
  <c r="K394" i="1" s="1" a="1"/>
  <c r="K394" i="1" s="1"/>
  <c r="J395" i="1" a="1"/>
  <c r="J395" i="1" s="1"/>
  <c r="K395" i="1" s="1" a="1"/>
  <c r="K395" i="1" s="1"/>
  <c r="J396" i="1" a="1"/>
  <c r="J396" i="1" s="1"/>
  <c r="K396" i="1" s="1" a="1"/>
  <c r="K396" i="1" s="1"/>
  <c r="J397" i="1" a="1"/>
  <c r="J397" i="1" s="1"/>
  <c r="K397" i="1" s="1" a="1"/>
  <c r="K397" i="1" s="1"/>
  <c r="J398" i="1" a="1"/>
  <c r="J398" i="1" s="1"/>
  <c r="K398" i="1" s="1" a="1"/>
  <c r="K398" i="1" s="1"/>
  <c r="J399" i="1" a="1"/>
  <c r="J399" i="1" s="1"/>
  <c r="K399" i="1" s="1" a="1"/>
  <c r="K399" i="1" s="1"/>
  <c r="J400" i="1" a="1"/>
  <c r="J400" i="1" s="1"/>
  <c r="K400" i="1" s="1" a="1"/>
  <c r="K400" i="1" s="1"/>
  <c r="J401" i="1" a="1"/>
  <c r="J401" i="1" s="1"/>
  <c r="K401" i="1" s="1" a="1"/>
  <c r="K401" i="1" s="1"/>
  <c r="J402" i="1" a="1"/>
  <c r="J402" i="1" s="1"/>
  <c r="K402" i="1" s="1" a="1"/>
  <c r="K402" i="1" s="1"/>
  <c r="J403" i="1" a="1"/>
  <c r="J403" i="1" s="1"/>
  <c r="K403" i="1" s="1" a="1"/>
  <c r="K403" i="1" s="1"/>
  <c r="J404" i="1" a="1"/>
  <c r="J404" i="1" s="1"/>
  <c r="K404" i="1" s="1" a="1"/>
  <c r="K404" i="1" s="1"/>
  <c r="J405" i="1" a="1"/>
  <c r="J405" i="1" s="1"/>
  <c r="K405" i="1" s="1" a="1"/>
  <c r="K405" i="1" s="1"/>
  <c r="J406" i="1" a="1"/>
  <c r="J406" i="1" s="1"/>
  <c r="K406" i="1" s="1" a="1"/>
  <c r="K406" i="1" s="1"/>
  <c r="J407" i="1" a="1"/>
  <c r="J407" i="1" s="1"/>
  <c r="K407" i="1" s="1" a="1"/>
  <c r="K407" i="1" s="1"/>
  <c r="J408" i="1" a="1"/>
  <c r="J408" i="1" s="1"/>
  <c r="K408" i="1" s="1" a="1"/>
  <c r="K408" i="1" s="1"/>
  <c r="J409" i="1" a="1"/>
  <c r="J409" i="1" s="1"/>
  <c r="K409" i="1" s="1" a="1"/>
  <c r="K409" i="1" s="1"/>
  <c r="J410" i="1" a="1"/>
  <c r="J410" i="1" s="1"/>
  <c r="K410" i="1" s="1" a="1"/>
  <c r="K410" i="1" s="1"/>
  <c r="J411" i="1" a="1"/>
  <c r="J411" i="1" s="1"/>
  <c r="K411" i="1" s="1" a="1"/>
  <c r="K411" i="1" s="1"/>
  <c r="J412" i="1" a="1"/>
  <c r="J412" i="1" s="1"/>
  <c r="K412" i="1" s="1" a="1"/>
  <c r="K412" i="1" s="1"/>
  <c r="J413" i="1" a="1"/>
  <c r="J413" i="1" s="1"/>
  <c r="K413" i="1" s="1" a="1"/>
  <c r="K413" i="1" s="1"/>
  <c r="J414" i="1" a="1"/>
  <c r="J414" i="1" s="1"/>
  <c r="K414" i="1" s="1" a="1"/>
  <c r="K414" i="1" s="1"/>
  <c r="J415" i="1" a="1"/>
  <c r="J415" i="1" s="1"/>
  <c r="K415" i="1" s="1" a="1"/>
  <c r="K415" i="1" s="1"/>
  <c r="J416" i="1" a="1"/>
  <c r="J416" i="1" s="1"/>
  <c r="K416" i="1" s="1" a="1"/>
  <c r="K416" i="1" s="1"/>
  <c r="J417" i="1" a="1"/>
  <c r="J417" i="1" s="1"/>
  <c r="K417" i="1" s="1" a="1"/>
  <c r="K417" i="1" s="1"/>
  <c r="J418" i="1" a="1"/>
  <c r="J418" i="1" s="1"/>
  <c r="K418" i="1" s="1" a="1"/>
  <c r="K418" i="1" s="1"/>
  <c r="J419" i="1" a="1"/>
  <c r="J419" i="1" s="1"/>
  <c r="K419" i="1" s="1" a="1"/>
  <c r="K419" i="1" s="1"/>
  <c r="J420" i="1" a="1"/>
  <c r="J420" i="1" s="1"/>
  <c r="K420" i="1" s="1" a="1"/>
  <c r="K420" i="1" s="1"/>
  <c r="J421" i="1" a="1"/>
  <c r="J421" i="1" s="1"/>
  <c r="K421" i="1" s="1" a="1"/>
  <c r="K421" i="1" s="1"/>
  <c r="J422" i="1" a="1"/>
  <c r="J422" i="1" s="1"/>
  <c r="K422" i="1" s="1" a="1"/>
  <c r="K422" i="1" s="1"/>
  <c r="J423" i="1" a="1"/>
  <c r="J423" i="1" s="1"/>
  <c r="K423" i="1" s="1" a="1"/>
  <c r="K423" i="1" s="1"/>
  <c r="J424" i="1" a="1"/>
  <c r="J424" i="1" s="1"/>
  <c r="K424" i="1" s="1" a="1"/>
  <c r="K424" i="1" s="1"/>
  <c r="J425" i="1" a="1"/>
  <c r="J425" i="1" s="1"/>
  <c r="K425" i="1" s="1" a="1"/>
  <c r="K425" i="1" s="1"/>
  <c r="J426" i="1" a="1"/>
  <c r="J426" i="1" s="1"/>
  <c r="K426" i="1" s="1" a="1"/>
  <c r="K426" i="1" s="1"/>
  <c r="M426" i="1" s="1" a="1"/>
  <c r="M426" i="1" s="1"/>
  <c r="J427" i="1" a="1"/>
  <c r="J427" i="1" s="1"/>
  <c r="K427" i="1" s="1" a="1"/>
  <c r="K427" i="1" s="1"/>
  <c r="J428" i="1" a="1"/>
  <c r="J428" i="1" s="1"/>
  <c r="K428" i="1" s="1" a="1"/>
  <c r="K428" i="1" s="1"/>
  <c r="J429" i="1" a="1"/>
  <c r="J429" i="1" s="1"/>
  <c r="K429" i="1" s="1" a="1"/>
  <c r="K429" i="1" s="1"/>
  <c r="J430" i="1" a="1"/>
  <c r="J430" i="1" s="1"/>
  <c r="K430" i="1" s="1" a="1"/>
  <c r="K430" i="1" s="1"/>
  <c r="J431" i="1" a="1"/>
  <c r="J431" i="1" s="1"/>
  <c r="K431" i="1" s="1" a="1"/>
  <c r="K431" i="1" s="1"/>
  <c r="J432" i="1" a="1"/>
  <c r="J432" i="1" s="1"/>
  <c r="K432" i="1" s="1" a="1"/>
  <c r="K432" i="1" s="1"/>
  <c r="J433" i="1" a="1"/>
  <c r="J433" i="1" s="1"/>
  <c r="K433" i="1" s="1" a="1"/>
  <c r="K433" i="1" s="1"/>
  <c r="J434" i="1" a="1"/>
  <c r="J434" i="1" s="1"/>
  <c r="K434" i="1" s="1" a="1"/>
  <c r="K434" i="1" s="1"/>
  <c r="J435" i="1" a="1"/>
  <c r="J435" i="1" s="1"/>
  <c r="K435" i="1" s="1" a="1"/>
  <c r="K435" i="1" s="1"/>
  <c r="J436" i="1" a="1"/>
  <c r="J436" i="1" s="1"/>
  <c r="K436" i="1" s="1" a="1"/>
  <c r="K436" i="1" s="1"/>
  <c r="M436" i="1" s="1" a="1"/>
  <c r="M436" i="1" s="1"/>
  <c r="J437" i="1" a="1"/>
  <c r="J437" i="1" s="1"/>
  <c r="K437" i="1" s="1" a="1"/>
  <c r="K437" i="1" s="1"/>
  <c r="J438" i="1" a="1"/>
  <c r="J438" i="1" s="1"/>
  <c r="K438" i="1" s="1" a="1"/>
  <c r="K438" i="1" s="1"/>
  <c r="J439" i="1" a="1"/>
  <c r="J439" i="1" s="1"/>
  <c r="K439" i="1" s="1" a="1"/>
  <c r="K439" i="1" s="1"/>
  <c r="J440" i="1" a="1"/>
  <c r="J440" i="1" s="1"/>
  <c r="K440" i="1" s="1" a="1"/>
  <c r="K440" i="1" s="1"/>
  <c r="J441" i="1" a="1"/>
  <c r="J441" i="1" s="1"/>
  <c r="K441" i="1" s="1" a="1"/>
  <c r="K441" i="1" s="1"/>
  <c r="J442" i="1" a="1"/>
  <c r="J442" i="1" s="1"/>
  <c r="K442" i="1" s="1" a="1"/>
  <c r="K442" i="1" s="1"/>
  <c r="J443" i="1" a="1"/>
  <c r="J443" i="1" s="1"/>
  <c r="K443" i="1" s="1" a="1"/>
  <c r="K443" i="1" s="1"/>
  <c r="M443" i="1" s="1" a="1"/>
  <c r="M443" i="1" s="1"/>
  <c r="J444" i="1" a="1"/>
  <c r="J444" i="1" s="1"/>
  <c r="K444" i="1" s="1" a="1"/>
  <c r="K444" i="1" s="1"/>
  <c r="J445" i="1" a="1"/>
  <c r="J445" i="1" s="1"/>
  <c r="K445" i="1" s="1" a="1"/>
  <c r="K445" i="1" s="1"/>
  <c r="J446" i="1" a="1"/>
  <c r="J446" i="1" s="1"/>
  <c r="K446" i="1" s="1" a="1"/>
  <c r="K446" i="1" s="1"/>
  <c r="J447" i="1" a="1"/>
  <c r="J447" i="1" s="1"/>
  <c r="K447" i="1" s="1" a="1"/>
  <c r="K447" i="1" s="1"/>
  <c r="J448" i="1" a="1"/>
  <c r="J448" i="1" s="1"/>
  <c r="K448" i="1" s="1" a="1"/>
  <c r="K448" i="1" s="1"/>
  <c r="J449" i="1" a="1"/>
  <c r="J449" i="1" s="1"/>
  <c r="K449" i="1" s="1" a="1"/>
  <c r="K449" i="1" s="1"/>
  <c r="J450" i="1" a="1"/>
  <c r="J450" i="1" s="1"/>
  <c r="K450" i="1" s="1" a="1"/>
  <c r="K450" i="1" s="1"/>
  <c r="J451" i="1" a="1"/>
  <c r="J451" i="1" s="1"/>
  <c r="K451" i="1" s="1" a="1"/>
  <c r="K451" i="1" s="1"/>
  <c r="J452" i="1" a="1"/>
  <c r="J452" i="1" s="1"/>
  <c r="K452" i="1" s="1" a="1"/>
  <c r="K452" i="1" s="1"/>
  <c r="J453" i="1" a="1"/>
  <c r="J453" i="1" s="1"/>
  <c r="K453" i="1" s="1" a="1"/>
  <c r="K453" i="1" s="1"/>
  <c r="J454" i="1" a="1"/>
  <c r="J454" i="1" s="1"/>
  <c r="K454" i="1" s="1" a="1"/>
  <c r="K454" i="1" s="1"/>
  <c r="J455" i="1" a="1"/>
  <c r="J455" i="1" s="1"/>
  <c r="K455" i="1" s="1" a="1"/>
  <c r="K455" i="1" s="1"/>
  <c r="J456" i="1" a="1"/>
  <c r="J456" i="1" s="1"/>
  <c r="K456" i="1" s="1" a="1"/>
  <c r="K456" i="1" s="1"/>
  <c r="J457" i="1" a="1"/>
  <c r="J457" i="1" s="1"/>
  <c r="K457" i="1" s="1" a="1"/>
  <c r="K457" i="1" s="1"/>
  <c r="J458" i="1" a="1"/>
  <c r="J458" i="1" s="1"/>
  <c r="K458" i="1" s="1" a="1"/>
  <c r="K458" i="1" s="1"/>
  <c r="J459" i="1" a="1"/>
  <c r="J459" i="1" s="1"/>
  <c r="K459" i="1" s="1" a="1"/>
  <c r="K459" i="1" s="1"/>
  <c r="J460" i="1" a="1"/>
  <c r="J460" i="1" s="1"/>
  <c r="K460" i="1" s="1" a="1"/>
  <c r="K460" i="1" s="1"/>
  <c r="J461" i="1" a="1"/>
  <c r="J461" i="1" s="1"/>
  <c r="K461" i="1" s="1" a="1"/>
  <c r="K461" i="1" s="1"/>
  <c r="M461" i="1" s="1" a="1"/>
  <c r="M461" i="1" s="1"/>
  <c r="J462" i="1" a="1"/>
  <c r="J462" i="1" s="1"/>
  <c r="K462" i="1" s="1" a="1"/>
  <c r="K462" i="1" s="1"/>
  <c r="J463" i="1" a="1"/>
  <c r="J463" i="1" s="1"/>
  <c r="K463" i="1" s="1" a="1"/>
  <c r="K463" i="1" s="1"/>
  <c r="J464" i="1" a="1"/>
  <c r="J464" i="1" s="1"/>
  <c r="K464" i="1" s="1" a="1"/>
  <c r="K464" i="1" s="1"/>
  <c r="J465" i="1" a="1"/>
  <c r="J465" i="1" s="1"/>
  <c r="K465" i="1" s="1" a="1"/>
  <c r="K465" i="1" s="1"/>
  <c r="J466" i="1" a="1"/>
  <c r="J466" i="1" s="1"/>
  <c r="K466" i="1" s="1" a="1"/>
  <c r="K466" i="1" s="1"/>
  <c r="J467" i="1" a="1"/>
  <c r="J467" i="1" s="1"/>
  <c r="K467" i="1" s="1" a="1"/>
  <c r="K467" i="1" s="1"/>
  <c r="J468" i="1" a="1"/>
  <c r="J468" i="1" s="1"/>
  <c r="K468" i="1" s="1" a="1"/>
  <c r="K468" i="1" s="1"/>
  <c r="J469" i="1" a="1"/>
  <c r="J469" i="1" s="1"/>
  <c r="K469" i="1" s="1" a="1"/>
  <c r="K469" i="1" s="1"/>
  <c r="J470" i="1" a="1"/>
  <c r="J470" i="1" s="1"/>
  <c r="K470" i="1" s="1" a="1"/>
  <c r="K470" i="1" s="1"/>
  <c r="J471" i="1" a="1"/>
  <c r="J471" i="1" s="1"/>
  <c r="K471" i="1" s="1" a="1"/>
  <c r="K471" i="1" s="1"/>
  <c r="J472" i="1" a="1"/>
  <c r="J472" i="1" s="1"/>
  <c r="K472" i="1" s="1" a="1"/>
  <c r="K472" i="1" s="1"/>
  <c r="J473" i="1" a="1"/>
  <c r="J473" i="1" s="1"/>
  <c r="K473" i="1" s="1" a="1"/>
  <c r="K473" i="1" s="1"/>
  <c r="J474" i="1" a="1"/>
  <c r="J474" i="1"/>
  <c r="K474" i="1" s="1" a="1"/>
  <c r="K474" i="1" s="1"/>
  <c r="J475" i="1" a="1"/>
  <c r="J475" i="1" s="1"/>
  <c r="K475" i="1" s="1" a="1"/>
  <c r="K475" i="1" s="1"/>
  <c r="J476" i="1" a="1"/>
  <c r="J476" i="1" s="1"/>
  <c r="K476" i="1" s="1" a="1"/>
  <c r="K476" i="1" s="1"/>
  <c r="J477" i="1" a="1"/>
  <c r="J477" i="1" s="1"/>
  <c r="K477" i="1" s="1" a="1"/>
  <c r="K477" i="1" s="1"/>
  <c r="J478" i="1" a="1"/>
  <c r="J478" i="1" s="1"/>
  <c r="K478" i="1" s="1" a="1"/>
  <c r="K478" i="1" s="1"/>
  <c r="J479" i="1" a="1"/>
  <c r="J479" i="1" s="1"/>
  <c r="K479" i="1" s="1" a="1"/>
  <c r="K479" i="1" s="1"/>
  <c r="J480" i="1" a="1"/>
  <c r="J480" i="1" s="1"/>
  <c r="K480" i="1" s="1" a="1"/>
  <c r="K480" i="1" s="1"/>
  <c r="J481" i="1" a="1"/>
  <c r="J481" i="1"/>
  <c r="K481" i="1" s="1" a="1"/>
  <c r="K481" i="1" s="1"/>
  <c r="J482" i="1" a="1"/>
  <c r="J482" i="1" s="1"/>
  <c r="K482" i="1" s="1" a="1"/>
  <c r="K482" i="1" s="1"/>
  <c r="J483" i="1" a="1"/>
  <c r="J483" i="1" s="1"/>
  <c r="K483" i="1" s="1" a="1"/>
  <c r="K483" i="1" s="1"/>
  <c r="J484" i="1" a="1"/>
  <c r="J484" i="1" s="1"/>
  <c r="K484" i="1" s="1" a="1"/>
  <c r="K484" i="1" s="1"/>
  <c r="J485" i="1" a="1"/>
  <c r="J485" i="1" s="1"/>
  <c r="K485" i="1" s="1" a="1"/>
  <c r="K485" i="1" s="1"/>
  <c r="J486" i="1" a="1"/>
  <c r="J486" i="1" s="1"/>
  <c r="K486" i="1" s="1" a="1"/>
  <c r="K486" i="1" s="1"/>
  <c r="J487" i="1" a="1"/>
  <c r="J487" i="1" s="1"/>
  <c r="K487" i="1" s="1" a="1"/>
  <c r="K487" i="1" s="1"/>
  <c r="J488" i="1" a="1"/>
  <c r="J488" i="1" s="1"/>
  <c r="K488" i="1" s="1" a="1"/>
  <c r="K488" i="1" s="1"/>
  <c r="J489" i="1" a="1"/>
  <c r="J489" i="1" s="1"/>
  <c r="K489" i="1" s="1" a="1"/>
  <c r="K489" i="1" s="1"/>
  <c r="J490" i="1" a="1"/>
  <c r="J490" i="1" s="1"/>
  <c r="K490" i="1" s="1" a="1"/>
  <c r="K490" i="1" s="1"/>
  <c r="J491" i="1" a="1"/>
  <c r="J491" i="1"/>
  <c r="K491" i="1" s="1" a="1"/>
  <c r="K491" i="1" s="1"/>
  <c r="J492" i="1" a="1"/>
  <c r="J492" i="1" s="1"/>
  <c r="K492" i="1" s="1" a="1"/>
  <c r="K492" i="1" s="1"/>
  <c r="J493" i="1" a="1"/>
  <c r="J493" i="1" s="1"/>
  <c r="K493" i="1" s="1" a="1"/>
  <c r="K493" i="1" s="1"/>
  <c r="J494" i="1" a="1"/>
  <c r="J494" i="1" s="1"/>
  <c r="K494" i="1" s="1" a="1"/>
  <c r="K494" i="1" s="1"/>
  <c r="J495" i="1" a="1"/>
  <c r="J495" i="1" s="1"/>
  <c r="K495" i="1" s="1" a="1"/>
  <c r="K495" i="1" s="1"/>
  <c r="J496" i="1" a="1"/>
  <c r="J496" i="1" s="1"/>
  <c r="K496" i="1" s="1" a="1"/>
  <c r="K496" i="1" s="1"/>
  <c r="J497" i="1" a="1"/>
  <c r="J497" i="1" s="1"/>
  <c r="K497" i="1" s="1" a="1"/>
  <c r="K497" i="1" s="1"/>
  <c r="J498" i="1" a="1"/>
  <c r="J498" i="1" s="1"/>
  <c r="K498" i="1" s="1" a="1"/>
  <c r="K498" i="1" s="1"/>
  <c r="J499" i="1" a="1"/>
  <c r="J499" i="1" s="1"/>
  <c r="K499" i="1" s="1" a="1"/>
  <c r="K499" i="1" s="1"/>
  <c r="J500" i="1" a="1"/>
  <c r="J500" i="1" s="1"/>
  <c r="K500" i="1" s="1" a="1"/>
  <c r="K500" i="1" s="1"/>
  <c r="J501" i="1" a="1"/>
  <c r="J501" i="1" s="1"/>
  <c r="K501" i="1" s="1" a="1"/>
  <c r="K501" i="1" s="1"/>
  <c r="J502" i="1" a="1"/>
  <c r="J502" i="1" s="1"/>
  <c r="K502" i="1" s="1" a="1"/>
  <c r="K502" i="1" s="1"/>
  <c r="J503" i="1" a="1"/>
  <c r="J503" i="1" s="1"/>
  <c r="K503" i="1" s="1" a="1"/>
  <c r="K503" i="1" s="1"/>
  <c r="J504" i="1" a="1"/>
  <c r="J504" i="1" s="1"/>
  <c r="K504" i="1" s="1" a="1"/>
  <c r="K504" i="1" s="1"/>
  <c r="J505" i="1" a="1"/>
  <c r="J505" i="1" s="1"/>
  <c r="K505" i="1" s="1" a="1"/>
  <c r="K505" i="1" s="1"/>
  <c r="J506" i="1" a="1"/>
  <c r="J506" i="1" s="1"/>
  <c r="K506" i="1" s="1" a="1"/>
  <c r="K506" i="1" s="1"/>
  <c r="J507" i="1" a="1"/>
  <c r="J507" i="1" s="1"/>
  <c r="K507" i="1" s="1" a="1"/>
  <c r="K507" i="1" s="1"/>
  <c r="J508" i="1" a="1"/>
  <c r="J508" i="1" s="1"/>
  <c r="K508" i="1" s="1" a="1"/>
  <c r="K508" i="1" s="1"/>
  <c r="J509" i="1" a="1"/>
  <c r="J509" i="1" s="1"/>
  <c r="K509" i="1" s="1" a="1"/>
  <c r="K509" i="1" s="1"/>
  <c r="J510" i="1" a="1"/>
  <c r="J510" i="1" s="1"/>
  <c r="K510" i="1" s="1" a="1"/>
  <c r="K510" i="1" s="1"/>
  <c r="J511" i="1" a="1"/>
  <c r="J511" i="1" s="1"/>
  <c r="K511" i="1" s="1" a="1"/>
  <c r="K511" i="1" s="1"/>
  <c r="J512" i="1" a="1"/>
  <c r="J512" i="1" s="1"/>
  <c r="K512" i="1" s="1" a="1"/>
  <c r="K512" i="1" s="1"/>
  <c r="J513" i="1" a="1"/>
  <c r="J513" i="1" s="1"/>
  <c r="K513" i="1" s="1" a="1"/>
  <c r="K513" i="1" s="1"/>
  <c r="J514" i="1" a="1"/>
  <c r="J514" i="1" s="1"/>
  <c r="K514" i="1" s="1" a="1"/>
  <c r="K514" i="1" s="1"/>
  <c r="M514" i="1" s="1" a="1"/>
  <c r="M514" i="1" s="1"/>
  <c r="J515" i="1" a="1"/>
  <c r="J515" i="1" s="1"/>
  <c r="K515" i="1" s="1" a="1"/>
  <c r="K515" i="1" s="1"/>
  <c r="J516" i="1" a="1"/>
  <c r="J516" i="1" s="1"/>
  <c r="K516" i="1" s="1" a="1"/>
  <c r="K516" i="1" s="1"/>
  <c r="J517" i="1" a="1"/>
  <c r="J517" i="1" s="1"/>
  <c r="K517" i="1" s="1" a="1"/>
  <c r="K517" i="1" s="1"/>
  <c r="J518" i="1" a="1"/>
  <c r="J518" i="1" s="1"/>
  <c r="K518" i="1" s="1" a="1"/>
  <c r="K518" i="1" s="1"/>
  <c r="J519" i="1" a="1"/>
  <c r="J519" i="1" s="1"/>
  <c r="K519" i="1" s="1" a="1"/>
  <c r="K519" i="1" s="1"/>
  <c r="J520" i="1" a="1"/>
  <c r="J520" i="1" s="1"/>
  <c r="K520" i="1" s="1" a="1"/>
  <c r="K520" i="1" s="1"/>
  <c r="J521" i="1" a="1"/>
  <c r="J521" i="1" s="1"/>
  <c r="K521" i="1" s="1" a="1"/>
  <c r="K521" i="1" s="1"/>
  <c r="J522" i="1" a="1"/>
  <c r="J522" i="1" s="1"/>
  <c r="K522" i="1" s="1" a="1"/>
  <c r="K522" i="1" s="1"/>
  <c r="J523" i="1" a="1"/>
  <c r="J523" i="1" s="1"/>
  <c r="K523" i="1" s="1" a="1"/>
  <c r="K523" i="1" s="1"/>
  <c r="J524" i="1" a="1"/>
  <c r="J524" i="1" s="1"/>
  <c r="K524" i="1" s="1" a="1"/>
  <c r="K524" i="1" s="1"/>
  <c r="J525" i="1" a="1"/>
  <c r="J525" i="1" s="1"/>
  <c r="K525" i="1" s="1" a="1"/>
  <c r="K525" i="1" s="1"/>
  <c r="J526" i="1" a="1"/>
  <c r="J526" i="1" s="1"/>
  <c r="K526" i="1" s="1" a="1"/>
  <c r="K526" i="1" s="1"/>
  <c r="J527" i="1" a="1"/>
  <c r="J527" i="1" s="1"/>
  <c r="K527" i="1" s="1" a="1"/>
  <c r="K527" i="1" s="1"/>
  <c r="J528" i="1" a="1"/>
  <c r="J528" i="1" s="1"/>
  <c r="K528" i="1" s="1" a="1"/>
  <c r="K528" i="1" s="1"/>
  <c r="J529" i="1" a="1"/>
  <c r="J529" i="1" s="1"/>
  <c r="K529" i="1" s="1" a="1"/>
  <c r="K529" i="1" s="1"/>
  <c r="J530" i="1" a="1"/>
  <c r="J530" i="1" s="1"/>
  <c r="K530" i="1" s="1" a="1"/>
  <c r="K530" i="1" s="1"/>
  <c r="J531" i="1" a="1"/>
  <c r="J531" i="1" s="1"/>
  <c r="K531" i="1" s="1" a="1"/>
  <c r="K531" i="1" s="1"/>
  <c r="J532" i="1" a="1"/>
  <c r="J532" i="1" s="1"/>
  <c r="K532" i="1" s="1" a="1"/>
  <c r="K532" i="1" s="1"/>
  <c r="J533" i="1" a="1"/>
  <c r="J533" i="1" s="1"/>
  <c r="K533" i="1" s="1" a="1"/>
  <c r="K533" i="1" s="1"/>
  <c r="J534" i="1" a="1"/>
  <c r="J534" i="1" s="1"/>
  <c r="K534" i="1" s="1" a="1"/>
  <c r="K534" i="1" s="1"/>
  <c r="J535" i="1" a="1"/>
  <c r="J535" i="1" s="1"/>
  <c r="K535" i="1" s="1" a="1"/>
  <c r="K535" i="1" s="1"/>
  <c r="J536" i="1" a="1"/>
  <c r="J536" i="1" s="1"/>
  <c r="K536" i="1" s="1" a="1"/>
  <c r="K536" i="1" s="1"/>
  <c r="J537" i="1" a="1"/>
  <c r="J537" i="1" s="1"/>
  <c r="K537" i="1" s="1" a="1"/>
  <c r="K537" i="1" s="1"/>
  <c r="J538" i="1" a="1"/>
  <c r="J538" i="1" s="1"/>
  <c r="K538" i="1" s="1" a="1"/>
  <c r="K538" i="1" s="1"/>
  <c r="J539" i="1" a="1"/>
  <c r="J539" i="1" s="1"/>
  <c r="K539" i="1" s="1" a="1"/>
  <c r="K539" i="1" s="1"/>
  <c r="J540" i="1" a="1"/>
  <c r="J540" i="1" s="1"/>
  <c r="K540" i="1" s="1" a="1"/>
  <c r="K540" i="1" s="1"/>
  <c r="J541" i="1" a="1"/>
  <c r="J541" i="1" s="1"/>
  <c r="K541" i="1" s="1" a="1"/>
  <c r="K541" i="1" s="1"/>
  <c r="J542" i="1" a="1"/>
  <c r="J542" i="1" s="1"/>
  <c r="K542" i="1" s="1" a="1"/>
  <c r="K542" i="1" s="1"/>
  <c r="J543" i="1" a="1"/>
  <c r="J543" i="1" s="1"/>
  <c r="K543" i="1" s="1" a="1"/>
  <c r="K543" i="1" s="1"/>
  <c r="J544" i="1" a="1"/>
  <c r="J544" i="1" s="1"/>
  <c r="K544" i="1" s="1" a="1"/>
  <c r="K544" i="1" s="1"/>
  <c r="J545" i="1" a="1"/>
  <c r="J545" i="1" s="1"/>
  <c r="K545" i="1" s="1" a="1"/>
  <c r="K545" i="1" s="1"/>
  <c r="J546" i="1" a="1"/>
  <c r="J546" i="1" s="1"/>
  <c r="K546" i="1" s="1" a="1"/>
  <c r="K546" i="1" s="1"/>
  <c r="J547" i="1" a="1"/>
  <c r="J547" i="1" s="1"/>
  <c r="K547" i="1" s="1" a="1"/>
  <c r="K547" i="1" s="1"/>
  <c r="J548" i="1" a="1"/>
  <c r="J548" i="1" s="1"/>
  <c r="K548" i="1" s="1" a="1"/>
  <c r="K548" i="1" s="1"/>
  <c r="J549" i="1" a="1"/>
  <c r="J549" i="1" s="1"/>
  <c r="K549" i="1" s="1" a="1"/>
  <c r="K549" i="1" s="1"/>
  <c r="J550" i="1" a="1"/>
  <c r="J550" i="1" s="1"/>
  <c r="K550" i="1" s="1" a="1"/>
  <c r="K550" i="1" s="1"/>
  <c r="J551" i="1" a="1"/>
  <c r="J551" i="1" s="1"/>
  <c r="K551" i="1" s="1" a="1"/>
  <c r="K551" i="1" s="1"/>
  <c r="J552" i="1" a="1"/>
  <c r="J552" i="1" s="1"/>
  <c r="K552" i="1" s="1" a="1"/>
  <c r="K552" i="1" s="1"/>
  <c r="J553" i="1" a="1"/>
  <c r="J553" i="1" s="1"/>
  <c r="K553" i="1" s="1" a="1"/>
  <c r="K553" i="1" s="1"/>
  <c r="J554" i="1" a="1"/>
  <c r="J554" i="1" s="1"/>
  <c r="K554" i="1" s="1" a="1"/>
  <c r="K554" i="1" s="1"/>
  <c r="J555" i="1" a="1"/>
  <c r="J555" i="1" s="1"/>
  <c r="K555" i="1" s="1" a="1"/>
  <c r="K555" i="1" s="1"/>
  <c r="J556" i="1" a="1"/>
  <c r="J556" i="1" s="1"/>
  <c r="K556" i="1" s="1" a="1"/>
  <c r="K556" i="1" s="1"/>
  <c r="J557" i="1" a="1"/>
  <c r="J557" i="1" s="1"/>
  <c r="K557" i="1" s="1" a="1"/>
  <c r="K557" i="1" s="1"/>
  <c r="J558" i="1" a="1"/>
  <c r="J558" i="1" s="1"/>
  <c r="K558" i="1" s="1" a="1"/>
  <c r="K558" i="1" s="1"/>
  <c r="J559" i="1" a="1"/>
  <c r="J559" i="1" s="1"/>
  <c r="K559" i="1" s="1" a="1"/>
  <c r="K559" i="1" s="1"/>
  <c r="J560" i="1" a="1"/>
  <c r="J560" i="1" s="1"/>
  <c r="K560" i="1" s="1" a="1"/>
  <c r="K560" i="1" s="1"/>
  <c r="J561" i="1" a="1"/>
  <c r="J561" i="1" s="1"/>
  <c r="K561" i="1" s="1" a="1"/>
  <c r="K561" i="1" s="1"/>
  <c r="J562" i="1" a="1"/>
  <c r="J562" i="1" s="1"/>
  <c r="K562" i="1" s="1" a="1"/>
  <c r="K562" i="1" s="1"/>
  <c r="J563" i="1" a="1"/>
  <c r="J563" i="1" s="1"/>
  <c r="K563" i="1" s="1" a="1"/>
  <c r="K563" i="1" s="1"/>
  <c r="J564" i="1" a="1"/>
  <c r="J564" i="1" s="1"/>
  <c r="K564" i="1" s="1" a="1"/>
  <c r="K564" i="1" s="1"/>
  <c r="J565" i="1" a="1"/>
  <c r="J565" i="1" s="1"/>
  <c r="K565" i="1" s="1" a="1"/>
  <c r="K565" i="1" s="1"/>
  <c r="J566" i="1" a="1"/>
  <c r="J566" i="1" s="1"/>
  <c r="K566" i="1" s="1" a="1"/>
  <c r="K566" i="1" s="1"/>
  <c r="J567" i="1" a="1"/>
  <c r="J567" i="1" s="1"/>
  <c r="K567" i="1" s="1" a="1"/>
  <c r="K567" i="1" s="1"/>
  <c r="J568" i="1" a="1"/>
  <c r="J568" i="1" s="1"/>
  <c r="K568" i="1" s="1" a="1"/>
  <c r="K568" i="1" s="1"/>
  <c r="J569" i="1" a="1"/>
  <c r="J569" i="1" s="1"/>
  <c r="K569" i="1" s="1" a="1"/>
  <c r="K569" i="1" s="1"/>
  <c r="J570" i="1" a="1"/>
  <c r="J570" i="1" s="1"/>
  <c r="K570" i="1" s="1" a="1"/>
  <c r="K570" i="1" s="1"/>
  <c r="J571" i="1" a="1"/>
  <c r="J571" i="1"/>
  <c r="K571" i="1" s="1" a="1"/>
  <c r="K571" i="1" s="1"/>
  <c r="J572" i="1" a="1"/>
  <c r="J572" i="1" s="1"/>
  <c r="K572" i="1" s="1" a="1"/>
  <c r="K572" i="1" s="1"/>
  <c r="J573" i="1" a="1"/>
  <c r="J573" i="1" s="1"/>
  <c r="K573" i="1" s="1" a="1"/>
  <c r="K573" i="1" s="1"/>
  <c r="J574" i="1" a="1"/>
  <c r="J574" i="1" s="1"/>
  <c r="K574" i="1" s="1" a="1"/>
  <c r="K574" i="1" s="1"/>
  <c r="J575" i="1" a="1"/>
  <c r="J575" i="1" s="1"/>
  <c r="K575" i="1" s="1" a="1"/>
  <c r="K575" i="1" s="1"/>
  <c r="J576" i="1" a="1"/>
  <c r="J576" i="1" s="1"/>
  <c r="K576" i="1" s="1" a="1"/>
  <c r="K576" i="1" s="1"/>
  <c r="J577" i="1" a="1"/>
  <c r="J577" i="1" s="1"/>
  <c r="K577" i="1" s="1" a="1"/>
  <c r="K577" i="1" s="1"/>
  <c r="J578" i="1" a="1"/>
  <c r="J578" i="1" s="1"/>
  <c r="K578" i="1" s="1" a="1"/>
  <c r="K578" i="1" s="1"/>
  <c r="J579" i="1" a="1"/>
  <c r="J579" i="1" s="1"/>
  <c r="K579" i="1" s="1" a="1"/>
  <c r="K579" i="1" s="1"/>
  <c r="J580" i="1" a="1"/>
  <c r="J580" i="1" s="1"/>
  <c r="K580" i="1" s="1" a="1"/>
  <c r="K580" i="1" s="1"/>
  <c r="J581" i="1" a="1"/>
  <c r="J581" i="1"/>
  <c r="K581" i="1" s="1" a="1"/>
  <c r="K581" i="1" s="1"/>
  <c r="J582" i="1" a="1"/>
  <c r="J582" i="1" s="1"/>
  <c r="K582" i="1" s="1" a="1"/>
  <c r="K582" i="1" s="1"/>
  <c r="J583" i="1" a="1"/>
  <c r="J583" i="1" s="1"/>
  <c r="K583" i="1" s="1" a="1"/>
  <c r="K583" i="1" s="1"/>
  <c r="J584" i="1" a="1"/>
  <c r="J584" i="1" s="1"/>
  <c r="K584" i="1" s="1" a="1"/>
  <c r="K584" i="1" s="1"/>
  <c r="J585" i="1" a="1"/>
  <c r="J585" i="1" s="1"/>
  <c r="K585" i="1" s="1" a="1"/>
  <c r="K585" i="1" s="1"/>
  <c r="J586" i="1" a="1"/>
  <c r="J586" i="1" s="1"/>
  <c r="K586" i="1" s="1" a="1"/>
  <c r="K586" i="1" s="1"/>
  <c r="J587" i="1" a="1"/>
  <c r="J587" i="1" s="1"/>
  <c r="K587" i="1" s="1" a="1"/>
  <c r="K587" i="1" s="1"/>
  <c r="J588" i="1" a="1"/>
  <c r="J588" i="1" s="1"/>
  <c r="K588" i="1" s="1" a="1"/>
  <c r="K588" i="1" s="1"/>
  <c r="J589" i="1" a="1"/>
  <c r="J589" i="1" s="1"/>
  <c r="K589" i="1" s="1" a="1"/>
  <c r="K589" i="1" s="1"/>
  <c r="J590" i="1" a="1"/>
  <c r="J590" i="1" s="1"/>
  <c r="K590" i="1" s="1" a="1"/>
  <c r="K590" i="1" s="1"/>
  <c r="J591" i="1" a="1"/>
  <c r="J591" i="1" s="1"/>
  <c r="K591" i="1" s="1" a="1"/>
  <c r="K591" i="1" s="1"/>
  <c r="J592" i="1" a="1"/>
  <c r="J592" i="1" s="1"/>
  <c r="K592" i="1" s="1" a="1"/>
  <c r="K592" i="1" s="1"/>
  <c r="J593" i="1" a="1"/>
  <c r="J593" i="1" s="1"/>
  <c r="K593" i="1" s="1" a="1"/>
  <c r="K593" i="1" s="1"/>
  <c r="J594" i="1" a="1"/>
  <c r="J594" i="1" s="1"/>
  <c r="K594" i="1" s="1" a="1"/>
  <c r="K594" i="1" s="1"/>
  <c r="J595" i="1" a="1"/>
  <c r="J595" i="1" s="1"/>
  <c r="K595" i="1" s="1" a="1"/>
  <c r="K595" i="1" s="1"/>
  <c r="J596" i="1" a="1"/>
  <c r="J596" i="1" s="1"/>
  <c r="K596" i="1" s="1" a="1"/>
  <c r="K596" i="1" s="1"/>
  <c r="J597" i="1" a="1"/>
  <c r="J597" i="1" s="1"/>
  <c r="K597" i="1" s="1" a="1"/>
  <c r="K597" i="1" s="1"/>
  <c r="J598" i="1" a="1"/>
  <c r="J598" i="1" s="1"/>
  <c r="K598" i="1" s="1" a="1"/>
  <c r="K598" i="1" s="1"/>
  <c r="J599" i="1" a="1"/>
  <c r="J599" i="1" s="1"/>
  <c r="K599" i="1" s="1" a="1"/>
  <c r="K599" i="1" s="1"/>
  <c r="J600" i="1" a="1"/>
  <c r="J600" i="1" s="1"/>
  <c r="K600" i="1" s="1" a="1"/>
  <c r="K600" i="1" s="1"/>
  <c r="J601" i="1" a="1"/>
  <c r="J601" i="1" s="1"/>
  <c r="K601" i="1" s="1" a="1"/>
  <c r="K601" i="1" s="1"/>
  <c r="J602" i="1" a="1"/>
  <c r="J602" i="1" s="1"/>
  <c r="K602" i="1" s="1" a="1"/>
  <c r="K602" i="1" s="1"/>
  <c r="J603" i="1" a="1"/>
  <c r="J603" i="1" s="1"/>
  <c r="K603" i="1" s="1" a="1"/>
  <c r="K603" i="1" s="1"/>
  <c r="J604" i="1" a="1"/>
  <c r="J604" i="1" s="1"/>
  <c r="K604" i="1" s="1" a="1"/>
  <c r="K604" i="1" s="1"/>
  <c r="J605" i="1" a="1"/>
  <c r="J605" i="1" s="1"/>
  <c r="K605" i="1" s="1" a="1"/>
  <c r="K605" i="1" s="1"/>
  <c r="J606" i="1" a="1"/>
  <c r="J606" i="1" s="1"/>
  <c r="K606" i="1" s="1" a="1"/>
  <c r="K606" i="1" s="1"/>
  <c r="J607" i="1" a="1"/>
  <c r="J607" i="1" s="1"/>
  <c r="K607" i="1" s="1" a="1"/>
  <c r="K607" i="1" s="1"/>
  <c r="J608" i="1" a="1"/>
  <c r="J608" i="1" s="1"/>
  <c r="K608" i="1" s="1" a="1"/>
  <c r="K608" i="1" s="1"/>
  <c r="J609" i="1" a="1"/>
  <c r="J609" i="1" s="1"/>
  <c r="K609" i="1" s="1" a="1"/>
  <c r="K609" i="1" s="1"/>
  <c r="J610" i="1" a="1"/>
  <c r="J610" i="1" s="1"/>
  <c r="K610" i="1" s="1" a="1"/>
  <c r="K610" i="1" s="1"/>
  <c r="J611" i="1" a="1"/>
  <c r="J611" i="1" s="1"/>
  <c r="K611" i="1" s="1" a="1"/>
  <c r="K611" i="1" s="1"/>
  <c r="J612" i="1" a="1"/>
  <c r="J612" i="1" s="1"/>
  <c r="K612" i="1" s="1" a="1"/>
  <c r="K612" i="1" s="1"/>
  <c r="J613" i="1" a="1"/>
  <c r="J613" i="1" s="1"/>
  <c r="K613" i="1" s="1" a="1"/>
  <c r="K613" i="1" s="1"/>
  <c r="J614" i="1" a="1"/>
  <c r="J614" i="1" s="1"/>
  <c r="K614" i="1" s="1" a="1"/>
  <c r="K614" i="1" s="1"/>
  <c r="J615" i="1" a="1"/>
  <c r="J615" i="1" s="1"/>
  <c r="K615" i="1" s="1" a="1"/>
  <c r="K615" i="1" s="1"/>
  <c r="J616" i="1" a="1"/>
  <c r="J616" i="1" s="1"/>
  <c r="K616" i="1" s="1" a="1"/>
  <c r="K616" i="1" s="1"/>
  <c r="J617" i="1" a="1"/>
  <c r="J617" i="1" s="1"/>
  <c r="K617" i="1" s="1" a="1"/>
  <c r="K617" i="1" s="1"/>
  <c r="J618" i="1" a="1"/>
  <c r="J618" i="1" s="1"/>
  <c r="K618" i="1" s="1" a="1"/>
  <c r="K618" i="1" s="1"/>
  <c r="J619" i="1" a="1"/>
  <c r="J619" i="1" s="1"/>
  <c r="K619" i="1" s="1" a="1"/>
  <c r="K619" i="1" s="1"/>
  <c r="J620" i="1" a="1"/>
  <c r="J620" i="1" s="1"/>
  <c r="K620" i="1" s="1" a="1"/>
  <c r="K620" i="1" s="1"/>
  <c r="J621" i="1" a="1"/>
  <c r="J621" i="1" s="1"/>
  <c r="K621" i="1" s="1" a="1"/>
  <c r="K621" i="1" s="1"/>
  <c r="J622" i="1" a="1"/>
  <c r="J622" i="1" s="1"/>
  <c r="K622" i="1" s="1" a="1"/>
  <c r="K622" i="1" s="1"/>
  <c r="J623" i="1" a="1"/>
  <c r="J623" i="1" s="1"/>
  <c r="K623" i="1" s="1" a="1"/>
  <c r="K623" i="1" s="1"/>
  <c r="J624" i="1" a="1"/>
  <c r="J624" i="1" s="1"/>
  <c r="K624" i="1" s="1" a="1"/>
  <c r="K624" i="1" s="1"/>
  <c r="J625" i="1" a="1"/>
  <c r="J625" i="1" s="1"/>
  <c r="K625" i="1" s="1" a="1"/>
  <c r="K625" i="1" s="1"/>
  <c r="J626" i="1" a="1"/>
  <c r="J626" i="1" s="1"/>
  <c r="K626" i="1" s="1" a="1"/>
  <c r="K626" i="1" s="1"/>
  <c r="J627" i="1" a="1"/>
  <c r="J627" i="1" s="1"/>
  <c r="K627" i="1" s="1" a="1"/>
  <c r="K627" i="1" s="1"/>
  <c r="J628" i="1" a="1"/>
  <c r="J628" i="1" s="1"/>
  <c r="K628" i="1" s="1" a="1"/>
  <c r="K628" i="1" s="1"/>
  <c r="J629" i="1" a="1"/>
  <c r="J629" i="1" s="1"/>
  <c r="K629" i="1" s="1" a="1"/>
  <c r="K629" i="1" s="1"/>
  <c r="J630" i="1" a="1"/>
  <c r="J630" i="1" s="1"/>
  <c r="K630" i="1" s="1" a="1"/>
  <c r="K630" i="1" s="1"/>
  <c r="J631" i="1" a="1"/>
  <c r="J631" i="1" s="1"/>
  <c r="K631" i="1" s="1" a="1"/>
  <c r="K631" i="1" s="1"/>
  <c r="J632" i="1" a="1"/>
  <c r="J632" i="1" s="1"/>
  <c r="K632" i="1" s="1" a="1"/>
  <c r="K632" i="1" s="1"/>
  <c r="J633" i="1" a="1"/>
  <c r="J633" i="1" s="1"/>
  <c r="K633" i="1" s="1" a="1"/>
  <c r="K633" i="1" s="1"/>
  <c r="J634" i="1" a="1"/>
  <c r="J634" i="1" s="1"/>
  <c r="K634" i="1" s="1" a="1"/>
  <c r="K634" i="1" s="1"/>
  <c r="J635" i="1" a="1"/>
  <c r="J635" i="1" s="1"/>
  <c r="K635" i="1" s="1" a="1"/>
  <c r="K635" i="1" s="1"/>
  <c r="J636" i="1" a="1"/>
  <c r="J636" i="1" s="1"/>
  <c r="K636" i="1" s="1" a="1"/>
  <c r="K636" i="1" s="1"/>
  <c r="J637" i="1" a="1"/>
  <c r="J637" i="1" s="1"/>
  <c r="K637" i="1" s="1" a="1"/>
  <c r="K637" i="1" s="1"/>
  <c r="J638" i="1" a="1"/>
  <c r="J638" i="1" s="1"/>
  <c r="K638" i="1" s="1" a="1"/>
  <c r="K638" i="1" s="1"/>
  <c r="J639" i="1" a="1"/>
  <c r="J639" i="1" s="1"/>
  <c r="K639" i="1" s="1" a="1"/>
  <c r="K639" i="1" s="1"/>
  <c r="J640" i="1" a="1"/>
  <c r="J640" i="1" s="1"/>
  <c r="K640" i="1" s="1" a="1"/>
  <c r="K640" i="1" s="1"/>
  <c r="J641" i="1" a="1"/>
  <c r="J641" i="1" s="1"/>
  <c r="K641" i="1" s="1" a="1"/>
  <c r="K641" i="1" s="1"/>
  <c r="J642" i="1" a="1"/>
  <c r="J642" i="1" s="1"/>
  <c r="K642" i="1" s="1" a="1"/>
  <c r="K642" i="1" s="1"/>
  <c r="J643" i="1" a="1"/>
  <c r="J643" i="1" s="1"/>
  <c r="K643" i="1" s="1" a="1"/>
  <c r="K643" i="1" s="1"/>
  <c r="J644" i="1" a="1"/>
  <c r="J644" i="1" s="1"/>
  <c r="K644" i="1" s="1" a="1"/>
  <c r="K644" i="1" s="1"/>
  <c r="J645" i="1" a="1"/>
  <c r="J645" i="1" s="1"/>
  <c r="K645" i="1" s="1" a="1"/>
  <c r="K645" i="1" s="1"/>
  <c r="J646" i="1" a="1"/>
  <c r="J646" i="1" s="1"/>
  <c r="K646" i="1" s="1" a="1"/>
  <c r="K646" i="1" s="1"/>
  <c r="J647" i="1" a="1"/>
  <c r="J647" i="1" s="1"/>
  <c r="K647" i="1" s="1" a="1"/>
  <c r="K647" i="1" s="1"/>
  <c r="J648" i="1" a="1"/>
  <c r="J648" i="1" s="1"/>
  <c r="K648" i="1" s="1" a="1"/>
  <c r="K648" i="1" s="1"/>
  <c r="J649" i="1" a="1"/>
  <c r="J649" i="1" s="1"/>
  <c r="K649" i="1" s="1" a="1"/>
  <c r="K649" i="1" s="1"/>
  <c r="J650" i="1" a="1"/>
  <c r="J650" i="1" s="1"/>
  <c r="K650" i="1" s="1" a="1"/>
  <c r="K650" i="1" s="1"/>
  <c r="J651" i="1" a="1"/>
  <c r="J651" i="1" s="1"/>
  <c r="K651" i="1" s="1" a="1"/>
  <c r="K651" i="1" s="1"/>
  <c r="J652" i="1" a="1"/>
  <c r="J652" i="1" s="1"/>
  <c r="K652" i="1" s="1" a="1"/>
  <c r="K652" i="1" s="1"/>
  <c r="J653" i="1" a="1"/>
  <c r="J653" i="1" s="1"/>
  <c r="K653" i="1" s="1" a="1"/>
  <c r="K653" i="1" s="1"/>
  <c r="J654" i="1" a="1"/>
  <c r="J654" i="1" s="1"/>
  <c r="K654" i="1" s="1" a="1"/>
  <c r="K654" i="1" s="1"/>
  <c r="J655" i="1" a="1"/>
  <c r="J655" i="1" s="1"/>
  <c r="K655" i="1" s="1" a="1"/>
  <c r="K655" i="1" s="1"/>
  <c r="J656" i="1" a="1"/>
  <c r="J656" i="1" s="1"/>
  <c r="K656" i="1" s="1" a="1"/>
  <c r="K656" i="1" s="1"/>
  <c r="J657" i="1" a="1"/>
  <c r="J657" i="1" s="1"/>
  <c r="K657" i="1" s="1" a="1"/>
  <c r="K657" i="1" s="1"/>
  <c r="J658" i="1" a="1"/>
  <c r="J658" i="1" s="1"/>
  <c r="K658" i="1" s="1" a="1"/>
  <c r="K658" i="1" s="1"/>
  <c r="J659" i="1" a="1"/>
  <c r="J659" i="1" s="1"/>
  <c r="K659" i="1" s="1" a="1"/>
  <c r="K659" i="1" s="1"/>
  <c r="J660" i="1" a="1"/>
  <c r="J660" i="1" s="1"/>
  <c r="K660" i="1" s="1" a="1"/>
  <c r="K660" i="1" s="1"/>
  <c r="J661" i="1" a="1"/>
  <c r="J661" i="1" s="1"/>
  <c r="K661" i="1" s="1" a="1"/>
  <c r="K661" i="1" s="1"/>
  <c r="J662" i="1" a="1"/>
  <c r="J662" i="1" s="1"/>
  <c r="K662" i="1" s="1" a="1"/>
  <c r="K662" i="1" s="1"/>
  <c r="J663" i="1" a="1"/>
  <c r="J663" i="1" s="1"/>
  <c r="K663" i="1" s="1" a="1"/>
  <c r="K663" i="1" s="1"/>
  <c r="J664" i="1" a="1"/>
  <c r="J664" i="1" s="1"/>
  <c r="K664" i="1" s="1" a="1"/>
  <c r="K664" i="1" s="1"/>
  <c r="J665" i="1" a="1"/>
  <c r="J665" i="1" s="1"/>
  <c r="K665" i="1" s="1" a="1"/>
  <c r="K665" i="1" s="1"/>
  <c r="J666" i="1" a="1"/>
  <c r="J666" i="1" s="1"/>
  <c r="K666" i="1" s="1" a="1"/>
  <c r="K666" i="1" s="1"/>
  <c r="J667" i="1" a="1"/>
  <c r="J667" i="1" s="1"/>
  <c r="K667" i="1" s="1" a="1"/>
  <c r="K667" i="1" s="1"/>
  <c r="J668" i="1" a="1"/>
  <c r="J668" i="1" s="1"/>
  <c r="K668" i="1" s="1" a="1"/>
  <c r="K668" i="1" s="1"/>
  <c r="J669" i="1" a="1"/>
  <c r="J669" i="1" s="1"/>
  <c r="K669" i="1" s="1" a="1"/>
  <c r="K669" i="1" s="1"/>
  <c r="J670" i="1" a="1"/>
  <c r="J670" i="1" s="1"/>
  <c r="K670" i="1" s="1" a="1"/>
  <c r="K670" i="1" s="1"/>
  <c r="J671" i="1" a="1"/>
  <c r="J671" i="1" s="1"/>
  <c r="K671" i="1" s="1" a="1"/>
  <c r="K671" i="1" s="1"/>
  <c r="J672" i="1" a="1"/>
  <c r="J672" i="1" s="1"/>
  <c r="K672" i="1" s="1" a="1"/>
  <c r="K672" i="1" s="1"/>
  <c r="J673" i="1" a="1"/>
  <c r="J673" i="1" s="1"/>
  <c r="K673" i="1" s="1" a="1"/>
  <c r="K673" i="1" s="1"/>
  <c r="J674" i="1" a="1"/>
  <c r="J674" i="1" s="1"/>
  <c r="K674" i="1" s="1" a="1"/>
  <c r="K674" i="1" s="1"/>
  <c r="J675" i="1" a="1"/>
  <c r="J675" i="1" s="1"/>
  <c r="K675" i="1" s="1" a="1"/>
  <c r="K675" i="1" s="1"/>
  <c r="J676" i="1" a="1"/>
  <c r="J676" i="1" s="1"/>
  <c r="K676" i="1" s="1" a="1"/>
  <c r="K676" i="1" s="1"/>
  <c r="J677" i="1" a="1"/>
  <c r="J677" i="1" s="1"/>
  <c r="K677" i="1" s="1" a="1"/>
  <c r="K677" i="1" s="1"/>
  <c r="J678" i="1" a="1"/>
  <c r="J678" i="1" s="1"/>
  <c r="K678" i="1" s="1" a="1"/>
  <c r="K678" i="1" s="1"/>
  <c r="J679" i="1" a="1"/>
  <c r="J679" i="1" s="1"/>
  <c r="K679" i="1" s="1" a="1"/>
  <c r="K679" i="1" s="1"/>
  <c r="J680" i="1" a="1"/>
  <c r="J680" i="1" s="1"/>
  <c r="K680" i="1" s="1" a="1"/>
  <c r="K680" i="1" s="1"/>
  <c r="J681" i="1" a="1"/>
  <c r="J681" i="1" s="1"/>
  <c r="K681" i="1" s="1" a="1"/>
  <c r="K681" i="1" s="1"/>
  <c r="J682" i="1" a="1"/>
  <c r="J682" i="1" s="1"/>
  <c r="K682" i="1" s="1" a="1"/>
  <c r="K682" i="1" s="1"/>
  <c r="J683" i="1" a="1"/>
  <c r="J683" i="1" s="1"/>
  <c r="K683" i="1" s="1" a="1"/>
  <c r="K683" i="1" s="1"/>
  <c r="J684" i="1" a="1"/>
  <c r="J684" i="1" s="1"/>
  <c r="K684" i="1" s="1" a="1"/>
  <c r="K684" i="1" s="1"/>
  <c r="J685" i="1" a="1"/>
  <c r="J685" i="1" s="1"/>
  <c r="K685" i="1" s="1" a="1"/>
  <c r="K685" i="1" s="1"/>
  <c r="J686" i="1" a="1"/>
  <c r="J686" i="1" s="1"/>
  <c r="K686" i="1" s="1" a="1"/>
  <c r="K686" i="1" s="1"/>
  <c r="J687" i="1" a="1"/>
  <c r="J687" i="1" s="1"/>
  <c r="K687" i="1" s="1" a="1"/>
  <c r="K687" i="1" s="1"/>
  <c r="J688" i="1" a="1"/>
  <c r="J688" i="1" s="1"/>
  <c r="K688" i="1" s="1" a="1"/>
  <c r="K688" i="1" s="1"/>
  <c r="J689" i="1" a="1"/>
  <c r="J689" i="1" s="1"/>
  <c r="K689" i="1" s="1" a="1"/>
  <c r="K689" i="1" s="1"/>
  <c r="J690" i="1" a="1"/>
  <c r="J690" i="1" s="1"/>
  <c r="K690" i="1" s="1" a="1"/>
  <c r="K690" i="1" s="1"/>
  <c r="J691" i="1" a="1"/>
  <c r="J691" i="1" s="1"/>
  <c r="K691" i="1" s="1" a="1"/>
  <c r="K691" i="1" s="1"/>
  <c r="J692" i="1" a="1"/>
  <c r="J692" i="1" s="1"/>
  <c r="K692" i="1" s="1" a="1"/>
  <c r="K692" i="1" s="1"/>
  <c r="J693" i="1" a="1"/>
  <c r="J693" i="1" s="1"/>
  <c r="K693" i="1" s="1" a="1"/>
  <c r="K693" i="1" s="1"/>
  <c r="J694" i="1" a="1"/>
  <c r="J694" i="1" s="1"/>
  <c r="K694" i="1" s="1" a="1"/>
  <c r="K694" i="1" s="1"/>
  <c r="J695" i="1" a="1"/>
  <c r="J695" i="1" s="1"/>
  <c r="K695" i="1" s="1" a="1"/>
  <c r="K695" i="1" s="1"/>
  <c r="J696" i="1" a="1"/>
  <c r="J696" i="1" s="1"/>
  <c r="K696" i="1" s="1" a="1"/>
  <c r="K696" i="1" s="1"/>
  <c r="J697" i="1" a="1"/>
  <c r="J697" i="1" s="1"/>
  <c r="K697" i="1" s="1" a="1"/>
  <c r="K697" i="1" s="1"/>
  <c r="J698" i="1" a="1"/>
  <c r="J698" i="1" s="1"/>
  <c r="K698" i="1" s="1" a="1"/>
  <c r="K698" i="1" s="1"/>
  <c r="J699" i="1" a="1"/>
  <c r="J699" i="1" s="1"/>
  <c r="K699" i="1" s="1" a="1"/>
  <c r="K699" i="1" s="1"/>
  <c r="J700" i="1" a="1"/>
  <c r="J700" i="1" s="1"/>
  <c r="K700" i="1" s="1" a="1"/>
  <c r="K700" i="1" s="1"/>
  <c r="J701" i="1" a="1"/>
  <c r="J701" i="1" s="1"/>
  <c r="K701" i="1" s="1" a="1"/>
  <c r="K701" i="1" s="1"/>
  <c r="J702" i="1" a="1"/>
  <c r="J702" i="1" s="1"/>
  <c r="K702" i="1" s="1" a="1"/>
  <c r="K702" i="1" s="1"/>
  <c r="J703" i="1" a="1"/>
  <c r="J703" i="1" s="1"/>
  <c r="K703" i="1" s="1" a="1"/>
  <c r="K703" i="1" s="1"/>
  <c r="J704" i="1" a="1"/>
  <c r="J704" i="1" s="1"/>
  <c r="K704" i="1" s="1" a="1"/>
  <c r="K704" i="1" s="1"/>
  <c r="J705" i="1" a="1"/>
  <c r="J705" i="1" s="1"/>
  <c r="K705" i="1" s="1" a="1"/>
  <c r="K705" i="1" s="1"/>
  <c r="J706" i="1" a="1"/>
  <c r="J706" i="1" s="1"/>
  <c r="K706" i="1" s="1" a="1"/>
  <c r="K706" i="1" s="1"/>
  <c r="J707" i="1" a="1"/>
  <c r="J707" i="1" s="1"/>
  <c r="K707" i="1" s="1" a="1"/>
  <c r="K707" i="1" s="1"/>
  <c r="J708" i="1" a="1"/>
  <c r="J708" i="1" s="1"/>
  <c r="K708" i="1" s="1" a="1"/>
  <c r="K708" i="1" s="1"/>
  <c r="J709" i="1" a="1"/>
  <c r="J709" i="1" s="1"/>
  <c r="K709" i="1" s="1" a="1"/>
  <c r="K709" i="1" s="1"/>
  <c r="J710" i="1" a="1"/>
  <c r="J710" i="1" s="1"/>
  <c r="K710" i="1" s="1" a="1"/>
  <c r="K710" i="1" s="1"/>
  <c r="J711" i="1" a="1"/>
  <c r="J711" i="1" s="1"/>
  <c r="K711" i="1" s="1" a="1"/>
  <c r="K711" i="1" s="1"/>
  <c r="J712" i="1" a="1"/>
  <c r="J712" i="1" s="1"/>
  <c r="K712" i="1" s="1" a="1"/>
  <c r="K712" i="1" s="1"/>
  <c r="J713" i="1" a="1"/>
  <c r="J713" i="1" s="1"/>
  <c r="K713" i="1" s="1" a="1"/>
  <c r="K713" i="1" s="1"/>
  <c r="J714" i="1" a="1"/>
  <c r="J714" i="1" s="1"/>
  <c r="K714" i="1" s="1" a="1"/>
  <c r="K714" i="1" s="1"/>
  <c r="J715" i="1" a="1"/>
  <c r="J715" i="1" s="1"/>
  <c r="K715" i="1" s="1" a="1"/>
  <c r="K715" i="1" s="1"/>
  <c r="J716" i="1" a="1"/>
  <c r="J716" i="1" s="1"/>
  <c r="K716" i="1" s="1" a="1"/>
  <c r="K716" i="1" s="1"/>
  <c r="J717" i="1" a="1"/>
  <c r="J717" i="1"/>
  <c r="K717" i="1" s="1" a="1"/>
  <c r="K717" i="1" s="1"/>
  <c r="J718" i="1" a="1"/>
  <c r="J718" i="1" s="1"/>
  <c r="K718" i="1" s="1" a="1"/>
  <c r="K718" i="1" s="1"/>
  <c r="J719" i="1" a="1"/>
  <c r="J719" i="1" s="1"/>
  <c r="K719" i="1" s="1" a="1"/>
  <c r="K719" i="1" s="1"/>
  <c r="J720" i="1" a="1"/>
  <c r="J720" i="1" s="1"/>
  <c r="K720" i="1" s="1" a="1"/>
  <c r="K720" i="1" s="1"/>
  <c r="J721" i="1" a="1"/>
  <c r="J721" i="1" s="1"/>
  <c r="K721" i="1" s="1" a="1"/>
  <c r="K721" i="1" s="1"/>
  <c r="J722" i="1" a="1"/>
  <c r="J722" i="1" s="1"/>
  <c r="K722" i="1" s="1" a="1"/>
  <c r="K722" i="1" s="1"/>
  <c r="J723" i="1" a="1"/>
  <c r="J723" i="1" s="1"/>
  <c r="K723" i="1" s="1" a="1"/>
  <c r="K723" i="1" s="1"/>
  <c r="J724" i="1" a="1"/>
  <c r="J724" i="1" s="1"/>
  <c r="K724" i="1" s="1" a="1"/>
  <c r="K724" i="1" s="1"/>
  <c r="J725" i="1" a="1"/>
  <c r="J725" i="1" s="1"/>
  <c r="K725" i="1" s="1" a="1"/>
  <c r="K725" i="1" s="1"/>
  <c r="J726" i="1" a="1"/>
  <c r="J726" i="1" s="1"/>
  <c r="K726" i="1" s="1" a="1"/>
  <c r="K726" i="1" s="1"/>
  <c r="J727" i="1" a="1"/>
  <c r="J727" i="1"/>
  <c r="K727" i="1" s="1" a="1"/>
  <c r="K727" i="1" s="1"/>
  <c r="J728" i="1" a="1"/>
  <c r="J728" i="1" s="1"/>
  <c r="K728" i="1" s="1" a="1"/>
  <c r="K728" i="1" s="1"/>
  <c r="J729" i="1" a="1"/>
  <c r="J729" i="1" s="1"/>
  <c r="K729" i="1" s="1" a="1"/>
  <c r="K729" i="1" s="1"/>
  <c r="J730" i="1" a="1"/>
  <c r="J730" i="1" s="1"/>
  <c r="K730" i="1" s="1" a="1"/>
  <c r="K730" i="1" s="1"/>
  <c r="J731" i="1" a="1"/>
  <c r="J731" i="1" s="1"/>
  <c r="K731" i="1" s="1" a="1"/>
  <c r="K731" i="1" s="1"/>
  <c r="J732" i="1" a="1"/>
  <c r="J732" i="1" s="1"/>
  <c r="K732" i="1" s="1" a="1"/>
  <c r="K732" i="1" s="1"/>
  <c r="J733" i="1" a="1"/>
  <c r="J733" i="1" s="1"/>
  <c r="K733" i="1" s="1" a="1"/>
  <c r="K733" i="1" s="1"/>
  <c r="J734" i="1" a="1"/>
  <c r="J734" i="1" s="1"/>
  <c r="K734" i="1" s="1" a="1"/>
  <c r="K734" i="1" s="1"/>
  <c r="J735" i="1" a="1"/>
  <c r="J735" i="1" s="1"/>
  <c r="K735" i="1" s="1" a="1"/>
  <c r="K735" i="1" s="1"/>
  <c r="J736" i="1" a="1"/>
  <c r="J736" i="1" s="1"/>
  <c r="K736" i="1" s="1" a="1"/>
  <c r="K736" i="1" s="1"/>
  <c r="J737" i="1" a="1"/>
  <c r="J737" i="1" s="1"/>
  <c r="K737" i="1" s="1" a="1"/>
  <c r="K737" i="1" s="1"/>
  <c r="J738" i="1" a="1"/>
  <c r="J738" i="1" s="1"/>
  <c r="K738" i="1" s="1" a="1"/>
  <c r="K738" i="1" s="1"/>
  <c r="J739" i="1" a="1"/>
  <c r="J739" i="1" s="1"/>
  <c r="K739" i="1" s="1" a="1"/>
  <c r="K739" i="1" s="1"/>
  <c r="J740" i="1" a="1"/>
  <c r="J740" i="1" s="1"/>
  <c r="K740" i="1" s="1" a="1"/>
  <c r="K740" i="1" s="1"/>
  <c r="J741" i="1" a="1"/>
  <c r="J741" i="1" s="1"/>
  <c r="K741" i="1" s="1" a="1"/>
  <c r="K741" i="1" s="1"/>
  <c r="J742" i="1" a="1"/>
  <c r="J742" i="1" s="1"/>
  <c r="K742" i="1" s="1" a="1"/>
  <c r="K742" i="1" s="1"/>
  <c r="J743" i="1" a="1"/>
  <c r="J743" i="1" s="1"/>
  <c r="K743" i="1" s="1" a="1"/>
  <c r="K743" i="1" s="1"/>
  <c r="J744" i="1" a="1"/>
  <c r="J744" i="1" s="1"/>
  <c r="K744" i="1" s="1" a="1"/>
  <c r="K744" i="1" s="1"/>
  <c r="J745" i="1" a="1"/>
  <c r="J745" i="1" s="1"/>
  <c r="K745" i="1" s="1" a="1"/>
  <c r="K745" i="1" s="1"/>
  <c r="J746" i="1" a="1"/>
  <c r="J746" i="1" s="1"/>
  <c r="K746" i="1" s="1" a="1"/>
  <c r="K746" i="1" s="1"/>
  <c r="J747" i="1" a="1"/>
  <c r="J747" i="1" s="1"/>
  <c r="K747" i="1" s="1" a="1"/>
  <c r="K747" i="1" s="1"/>
  <c r="J748" i="1" a="1"/>
  <c r="J748" i="1" s="1"/>
  <c r="K748" i="1" s="1" a="1"/>
  <c r="K748" i="1" s="1"/>
  <c r="J749" i="1" a="1"/>
  <c r="J749" i="1" s="1"/>
  <c r="K749" i="1" s="1" a="1"/>
  <c r="K749" i="1" s="1"/>
  <c r="J750" i="1" a="1"/>
  <c r="J750" i="1" s="1"/>
  <c r="K750" i="1" s="1" a="1"/>
  <c r="K750" i="1" s="1"/>
  <c r="J751" i="1" a="1"/>
  <c r="J751" i="1" s="1"/>
  <c r="K751" i="1" s="1" a="1"/>
  <c r="K751" i="1" s="1"/>
  <c r="J752" i="1" a="1"/>
  <c r="J752" i="1" s="1"/>
  <c r="K752" i="1" s="1" a="1"/>
  <c r="K752" i="1" s="1"/>
  <c r="J753" i="1" a="1"/>
  <c r="J753" i="1" s="1"/>
  <c r="K753" i="1" s="1" a="1"/>
  <c r="K753" i="1" s="1"/>
  <c r="J754" i="1" a="1"/>
  <c r="J754" i="1" s="1"/>
  <c r="K754" i="1" s="1" a="1"/>
  <c r="K754" i="1" s="1"/>
  <c r="J755" i="1" a="1"/>
  <c r="J755" i="1" s="1"/>
  <c r="K755" i="1" s="1" a="1"/>
  <c r="K755" i="1" s="1"/>
  <c r="J756" i="1" a="1"/>
  <c r="J756" i="1" s="1"/>
  <c r="K756" i="1" s="1" a="1"/>
  <c r="K756" i="1" s="1"/>
  <c r="J757" i="1" a="1"/>
  <c r="J757" i="1" s="1"/>
  <c r="K757" i="1" s="1" a="1"/>
  <c r="K757" i="1" s="1"/>
  <c r="J758" i="1" a="1"/>
  <c r="J758" i="1" s="1"/>
  <c r="K758" i="1" s="1" a="1"/>
  <c r="K758" i="1" s="1"/>
  <c r="J759" i="1" a="1"/>
  <c r="J759" i="1" s="1"/>
  <c r="K759" i="1" s="1" a="1"/>
  <c r="K759" i="1" s="1"/>
  <c r="J760" i="1" a="1"/>
  <c r="J760" i="1" s="1"/>
  <c r="K760" i="1" s="1" a="1"/>
  <c r="K760" i="1" s="1"/>
  <c r="J761" i="1" a="1"/>
  <c r="J761" i="1" s="1"/>
  <c r="K761" i="1" s="1" a="1"/>
  <c r="K761" i="1" s="1"/>
  <c r="J762" i="1" a="1"/>
  <c r="J762" i="1" s="1"/>
  <c r="K762" i="1" s="1" a="1"/>
  <c r="K762" i="1" s="1"/>
  <c r="J763" i="1" a="1"/>
  <c r="J763" i="1" s="1"/>
  <c r="K763" i="1" s="1" a="1"/>
  <c r="K763" i="1" s="1"/>
  <c r="J764" i="1" a="1"/>
  <c r="J764" i="1" s="1"/>
  <c r="K764" i="1" s="1" a="1"/>
  <c r="K764" i="1" s="1"/>
  <c r="J765" i="1" a="1"/>
  <c r="J765" i="1" s="1"/>
  <c r="K765" i="1" s="1" a="1"/>
  <c r="K765" i="1" s="1"/>
  <c r="J766" i="1" a="1"/>
  <c r="J766" i="1" s="1"/>
  <c r="K766" i="1" s="1" a="1"/>
  <c r="K766" i="1" s="1"/>
  <c r="J767" i="1" a="1"/>
  <c r="J767" i="1" s="1"/>
  <c r="K767" i="1" s="1" a="1"/>
  <c r="K767" i="1" s="1"/>
  <c r="J768" i="1" a="1"/>
  <c r="J768" i="1" s="1"/>
  <c r="K768" i="1" s="1" a="1"/>
  <c r="K768" i="1" s="1"/>
  <c r="J769" i="1" a="1"/>
  <c r="J769" i="1" s="1"/>
  <c r="K769" i="1" s="1" a="1"/>
  <c r="K769" i="1" s="1"/>
  <c r="J770" i="1" a="1"/>
  <c r="J770" i="1" s="1"/>
  <c r="K770" i="1" s="1" a="1"/>
  <c r="K770" i="1" s="1"/>
  <c r="J771" i="1" a="1"/>
  <c r="J771" i="1" s="1"/>
  <c r="K771" i="1" s="1" a="1"/>
  <c r="K771" i="1" s="1"/>
  <c r="J772" i="1" a="1"/>
  <c r="J772" i="1" s="1"/>
  <c r="K772" i="1" s="1" a="1"/>
  <c r="K772" i="1" s="1"/>
  <c r="J773" i="1" a="1"/>
  <c r="J773" i="1" s="1"/>
  <c r="K773" i="1" s="1" a="1"/>
  <c r="K773" i="1" s="1"/>
  <c r="J774" i="1" a="1"/>
  <c r="J774" i="1" s="1"/>
  <c r="K774" i="1" s="1" a="1"/>
  <c r="K774" i="1" s="1"/>
  <c r="J775" i="1" a="1"/>
  <c r="J775" i="1" s="1"/>
  <c r="K775" i="1" s="1" a="1"/>
  <c r="K775" i="1" s="1"/>
  <c r="J776" i="1" a="1"/>
  <c r="J776" i="1" s="1"/>
  <c r="K776" i="1" s="1" a="1"/>
  <c r="K776" i="1" s="1"/>
  <c r="J777" i="1" a="1"/>
  <c r="J777" i="1" s="1"/>
  <c r="K777" i="1" s="1" a="1"/>
  <c r="K777" i="1" s="1"/>
  <c r="J778" i="1" a="1"/>
  <c r="J778" i="1" s="1"/>
  <c r="K778" i="1" s="1" a="1"/>
  <c r="K778" i="1" s="1"/>
  <c r="J779" i="1" a="1"/>
  <c r="J779" i="1" s="1"/>
  <c r="K779" i="1" s="1" a="1"/>
  <c r="K779" i="1" s="1"/>
  <c r="J780" i="1" a="1"/>
  <c r="J780" i="1" s="1"/>
  <c r="K780" i="1" s="1" a="1"/>
  <c r="K780" i="1" s="1"/>
  <c r="J781" i="1" a="1"/>
  <c r="J781" i="1" s="1"/>
  <c r="K781" i="1" s="1" a="1"/>
  <c r="K781" i="1" s="1"/>
  <c r="J782" i="1" a="1"/>
  <c r="J782" i="1" s="1"/>
  <c r="K782" i="1" s="1" a="1"/>
  <c r="K782" i="1" s="1"/>
  <c r="J783" i="1" a="1"/>
  <c r="J783" i="1" s="1"/>
  <c r="K783" i="1" s="1" a="1"/>
  <c r="K783" i="1" s="1"/>
  <c r="J784" i="1" a="1"/>
  <c r="J784" i="1" s="1"/>
  <c r="K784" i="1" s="1" a="1"/>
  <c r="K784" i="1" s="1"/>
  <c r="J785" i="1" a="1"/>
  <c r="J785" i="1" s="1"/>
  <c r="K785" i="1" s="1" a="1"/>
  <c r="K785" i="1" s="1"/>
  <c r="J786" i="1" a="1"/>
  <c r="J786" i="1" s="1"/>
  <c r="K786" i="1" s="1" a="1"/>
  <c r="K786" i="1" s="1"/>
  <c r="J787" i="1" a="1"/>
  <c r="J787" i="1" s="1"/>
  <c r="K787" i="1" s="1" a="1"/>
  <c r="K787" i="1" s="1"/>
  <c r="J788" i="1" a="1"/>
  <c r="J788" i="1" s="1"/>
  <c r="K788" i="1" s="1" a="1"/>
  <c r="K788" i="1" s="1"/>
  <c r="J789" i="1" a="1"/>
  <c r="J789" i="1" s="1"/>
  <c r="K789" i="1" s="1" a="1"/>
  <c r="K789" i="1" s="1"/>
  <c r="J790" i="1" a="1"/>
  <c r="J790" i="1" s="1"/>
  <c r="K790" i="1" s="1" a="1"/>
  <c r="K790" i="1" s="1"/>
  <c r="J791" i="1" a="1"/>
  <c r="J791" i="1" s="1"/>
  <c r="K791" i="1" s="1" a="1"/>
  <c r="K791" i="1" s="1"/>
  <c r="J792" i="1" a="1"/>
  <c r="J792" i="1" s="1"/>
  <c r="K792" i="1" s="1" a="1"/>
  <c r="K792" i="1" s="1"/>
  <c r="J793" i="1" a="1"/>
  <c r="J793" i="1" s="1"/>
  <c r="K793" i="1" s="1" a="1"/>
  <c r="K793" i="1" s="1"/>
  <c r="J794" i="1" a="1"/>
  <c r="J794" i="1" s="1"/>
  <c r="K794" i="1" s="1" a="1"/>
  <c r="K794" i="1" s="1"/>
  <c r="J795" i="1" a="1"/>
  <c r="J795" i="1" s="1"/>
  <c r="K795" i="1" s="1" a="1"/>
  <c r="K795" i="1" s="1"/>
  <c r="J796" i="1" a="1"/>
  <c r="J796" i="1" s="1"/>
  <c r="K796" i="1" s="1" a="1"/>
  <c r="K796" i="1" s="1"/>
  <c r="J797" i="1" a="1"/>
  <c r="J797" i="1" s="1"/>
  <c r="K797" i="1" s="1" a="1"/>
  <c r="K797" i="1" s="1"/>
  <c r="J798" i="1" a="1"/>
  <c r="J798" i="1" s="1"/>
  <c r="K798" i="1" s="1" a="1"/>
  <c r="K798" i="1" s="1"/>
  <c r="J799" i="1" a="1"/>
  <c r="J799" i="1" s="1"/>
  <c r="K799" i="1" s="1" a="1"/>
  <c r="K799" i="1" s="1"/>
  <c r="J800" i="1" a="1"/>
  <c r="J800" i="1" s="1"/>
  <c r="K800" i="1" s="1" a="1"/>
  <c r="K800" i="1" s="1"/>
  <c r="J801" i="1" a="1"/>
  <c r="J801" i="1" s="1"/>
  <c r="K801" i="1" s="1" a="1"/>
  <c r="K801" i="1" s="1"/>
  <c r="J802" i="1" a="1"/>
  <c r="J802" i="1" s="1"/>
  <c r="K802" i="1" s="1" a="1"/>
  <c r="K802" i="1" s="1"/>
  <c r="J803" i="1" a="1"/>
  <c r="J803" i="1" s="1"/>
  <c r="K803" i="1" s="1" a="1"/>
  <c r="K803" i="1" s="1"/>
  <c r="J804" i="1" a="1"/>
  <c r="J804" i="1" s="1"/>
  <c r="K804" i="1" s="1" a="1"/>
  <c r="K804" i="1" s="1"/>
  <c r="J805" i="1" a="1"/>
  <c r="J805" i="1" s="1"/>
  <c r="K805" i="1" s="1" a="1"/>
  <c r="K805" i="1" s="1"/>
  <c r="J806" i="1" a="1"/>
  <c r="J806" i="1" s="1"/>
  <c r="K806" i="1" s="1" a="1"/>
  <c r="K806" i="1" s="1"/>
  <c r="J807" i="1" a="1"/>
  <c r="J807" i="1" s="1"/>
  <c r="K807" i="1" s="1" a="1"/>
  <c r="K807" i="1" s="1"/>
  <c r="J808" i="1" a="1"/>
  <c r="J808" i="1" s="1"/>
  <c r="K808" i="1" s="1" a="1"/>
  <c r="K808" i="1" s="1"/>
  <c r="J809" i="1" a="1"/>
  <c r="J809" i="1" s="1"/>
  <c r="K809" i="1" s="1" a="1"/>
  <c r="K809" i="1" s="1"/>
  <c r="J810" i="1" a="1"/>
  <c r="J810" i="1" s="1"/>
  <c r="K810" i="1" s="1" a="1"/>
  <c r="K810" i="1" s="1"/>
  <c r="J811" i="1" a="1"/>
  <c r="J811" i="1" s="1"/>
  <c r="K811" i="1" s="1" a="1"/>
  <c r="K811" i="1" s="1"/>
  <c r="J812" i="1" a="1"/>
  <c r="J812" i="1" s="1"/>
  <c r="K812" i="1" s="1" a="1"/>
  <c r="K812" i="1" s="1"/>
  <c r="J813" i="1" a="1"/>
  <c r="J813" i="1" s="1"/>
  <c r="K813" i="1" s="1" a="1"/>
  <c r="K813" i="1" s="1"/>
  <c r="J814" i="1" a="1"/>
  <c r="J814" i="1" s="1"/>
  <c r="K814" i="1" s="1" a="1"/>
  <c r="K814" i="1" s="1"/>
  <c r="J815" i="1" a="1"/>
  <c r="J815" i="1" s="1"/>
  <c r="K815" i="1" s="1" a="1"/>
  <c r="K815" i="1" s="1"/>
  <c r="J816" i="1" a="1"/>
  <c r="J816" i="1" s="1"/>
  <c r="K816" i="1" s="1" a="1"/>
  <c r="K816" i="1" s="1"/>
  <c r="J817" i="1" a="1"/>
  <c r="J817" i="1" s="1"/>
  <c r="K817" i="1" s="1" a="1"/>
  <c r="K817" i="1" s="1"/>
  <c r="J818" i="1" a="1"/>
  <c r="J818" i="1" s="1"/>
  <c r="K818" i="1" s="1" a="1"/>
  <c r="K818" i="1" s="1"/>
  <c r="J819" i="1" a="1"/>
  <c r="J819" i="1" s="1"/>
  <c r="K819" i="1" s="1" a="1"/>
  <c r="K819" i="1" s="1"/>
  <c r="J820" i="1" a="1"/>
  <c r="J820" i="1" s="1"/>
  <c r="K820" i="1" s="1" a="1"/>
  <c r="K820" i="1" s="1"/>
  <c r="J821" i="1" a="1"/>
  <c r="J821" i="1" s="1"/>
  <c r="K821" i="1" s="1" a="1"/>
  <c r="K821" i="1" s="1"/>
  <c r="J822" i="1" a="1"/>
  <c r="J822" i="1"/>
  <c r="K822" i="1" s="1" a="1"/>
  <c r="K822" i="1" s="1"/>
  <c r="J823" i="1" a="1"/>
  <c r="J823" i="1" s="1"/>
  <c r="K823" i="1" s="1" a="1"/>
  <c r="K823" i="1" s="1"/>
  <c r="J824" i="1" a="1"/>
  <c r="J824" i="1" s="1"/>
  <c r="K824" i="1" s="1" a="1"/>
  <c r="K824" i="1" s="1"/>
  <c r="J825" i="1" a="1"/>
  <c r="J825" i="1" s="1"/>
  <c r="K825" i="1" s="1" a="1"/>
  <c r="K825" i="1" s="1"/>
  <c r="J826" i="1" a="1"/>
  <c r="J826" i="1" s="1"/>
  <c r="K826" i="1" s="1" a="1"/>
  <c r="K826" i="1" s="1"/>
  <c r="J827" i="1" a="1"/>
  <c r="J827" i="1" s="1"/>
  <c r="K827" i="1" s="1" a="1"/>
  <c r="K827" i="1" s="1"/>
  <c r="J828" i="1" a="1"/>
  <c r="J828" i="1" s="1"/>
  <c r="K828" i="1" s="1" a="1"/>
  <c r="K828" i="1" s="1"/>
  <c r="J829" i="1" a="1"/>
  <c r="J829" i="1" s="1"/>
  <c r="K829" i="1" s="1" a="1"/>
  <c r="K829" i="1" s="1"/>
  <c r="J830" i="1" a="1"/>
  <c r="J830" i="1" s="1"/>
  <c r="K830" i="1" s="1" a="1"/>
  <c r="K830" i="1" s="1"/>
  <c r="J831" i="1" a="1"/>
  <c r="J831" i="1" s="1"/>
  <c r="K831" i="1" s="1" a="1"/>
  <c r="K831" i="1" s="1"/>
  <c r="J832" i="1" a="1"/>
  <c r="J832" i="1" s="1"/>
  <c r="K832" i="1" s="1" a="1"/>
  <c r="K832" i="1" s="1"/>
  <c r="J833" i="1" a="1"/>
  <c r="J833" i="1" s="1"/>
  <c r="K833" i="1" s="1" a="1"/>
  <c r="K833" i="1" s="1"/>
  <c r="J834" i="1" a="1"/>
  <c r="J834" i="1" s="1"/>
  <c r="K834" i="1" s="1" a="1"/>
  <c r="K834" i="1" s="1"/>
  <c r="J835" i="1" a="1"/>
  <c r="J835" i="1" s="1"/>
  <c r="K835" i="1" s="1" a="1"/>
  <c r="K835" i="1" s="1"/>
  <c r="J836" i="1" a="1"/>
  <c r="J836" i="1" s="1"/>
  <c r="K836" i="1" s="1" a="1"/>
  <c r="K836" i="1" s="1"/>
  <c r="J837" i="1" a="1"/>
  <c r="J837" i="1" s="1"/>
  <c r="K837" i="1" s="1" a="1"/>
  <c r="K837" i="1" s="1"/>
  <c r="J838" i="1" a="1"/>
  <c r="J838" i="1" s="1"/>
  <c r="K838" i="1" s="1" a="1"/>
  <c r="K838" i="1" s="1"/>
  <c r="J839" i="1" a="1"/>
  <c r="J839" i="1" s="1"/>
  <c r="K839" i="1" s="1" a="1"/>
  <c r="K839" i="1" s="1"/>
  <c r="J840" i="1" a="1"/>
  <c r="J840" i="1" s="1"/>
  <c r="K840" i="1" s="1" a="1"/>
  <c r="K840" i="1" s="1"/>
  <c r="J841" i="1" a="1"/>
  <c r="J841" i="1" s="1"/>
  <c r="K841" i="1" s="1" a="1"/>
  <c r="K841" i="1" s="1"/>
  <c r="J842" i="1" a="1"/>
  <c r="J842" i="1" s="1"/>
  <c r="K842" i="1" s="1" a="1"/>
  <c r="K842" i="1" s="1"/>
  <c r="J843" i="1" a="1"/>
  <c r="J843" i="1" s="1"/>
  <c r="K843" i="1" s="1" a="1"/>
  <c r="K843" i="1" s="1"/>
  <c r="J844" i="1" a="1"/>
  <c r="J844" i="1" s="1"/>
  <c r="K844" i="1" s="1" a="1"/>
  <c r="K844" i="1" s="1"/>
  <c r="J845" i="1" a="1"/>
  <c r="J845" i="1" s="1"/>
  <c r="K845" i="1" s="1" a="1"/>
  <c r="K845" i="1" s="1"/>
  <c r="J846" i="1" a="1"/>
  <c r="J846" i="1"/>
  <c r="K846" i="1" s="1" a="1"/>
  <c r="K846" i="1" s="1"/>
  <c r="J847" i="1" a="1"/>
  <c r="J847" i="1" s="1"/>
  <c r="K847" i="1" s="1" a="1"/>
  <c r="K847" i="1" s="1"/>
  <c r="J848" i="1" a="1"/>
  <c r="J848" i="1" s="1"/>
  <c r="K848" i="1" s="1" a="1"/>
  <c r="K848" i="1" s="1"/>
  <c r="J849" i="1" a="1"/>
  <c r="J849" i="1" s="1"/>
  <c r="K849" i="1" s="1" a="1"/>
  <c r="K849" i="1" s="1"/>
  <c r="J850" i="1" a="1"/>
  <c r="J850" i="1" s="1"/>
  <c r="K850" i="1" s="1" a="1"/>
  <c r="K850" i="1" s="1"/>
  <c r="J851" i="1" a="1"/>
  <c r="J851" i="1" s="1"/>
  <c r="K851" i="1" s="1" a="1"/>
  <c r="K851" i="1" s="1"/>
  <c r="J852" i="1" a="1"/>
  <c r="J852" i="1" s="1"/>
  <c r="K852" i="1" s="1" a="1"/>
  <c r="K852" i="1" s="1"/>
  <c r="J853" i="1" a="1"/>
  <c r="J853" i="1" s="1"/>
  <c r="K853" i="1" s="1" a="1"/>
  <c r="K853" i="1" s="1"/>
  <c r="J854" i="1" a="1"/>
  <c r="J854" i="1" s="1"/>
  <c r="K854" i="1" s="1" a="1"/>
  <c r="K854" i="1" s="1"/>
  <c r="J855" i="1" a="1"/>
  <c r="J855" i="1" s="1"/>
  <c r="K855" i="1" s="1" a="1"/>
  <c r="K855" i="1" s="1"/>
  <c r="J856" i="1" a="1"/>
  <c r="J856" i="1" s="1"/>
  <c r="K856" i="1" s="1" a="1"/>
  <c r="K856" i="1" s="1"/>
  <c r="J857" i="1" a="1"/>
  <c r="J857" i="1" s="1"/>
  <c r="K857" i="1" s="1" a="1"/>
  <c r="K857" i="1" s="1"/>
  <c r="J858" i="1" a="1"/>
  <c r="J858" i="1" s="1"/>
  <c r="K858" i="1" s="1" a="1"/>
  <c r="K858" i="1" s="1"/>
  <c r="J859" i="1" a="1"/>
  <c r="J859" i="1" s="1"/>
  <c r="K859" i="1" s="1" a="1"/>
  <c r="K859" i="1" s="1"/>
  <c r="J860" i="1" a="1"/>
  <c r="J860" i="1" s="1"/>
  <c r="K860" i="1" s="1" a="1"/>
  <c r="K860" i="1" s="1"/>
  <c r="J861" i="1" a="1"/>
  <c r="J861" i="1" s="1"/>
  <c r="K861" i="1" s="1" a="1"/>
  <c r="K861" i="1" s="1"/>
  <c r="J862" i="1" a="1"/>
  <c r="J862" i="1" s="1"/>
  <c r="K862" i="1" s="1" a="1"/>
  <c r="K862" i="1" s="1"/>
  <c r="J863" i="1" a="1"/>
  <c r="J863" i="1" s="1"/>
  <c r="K863" i="1" s="1" a="1"/>
  <c r="K863" i="1" s="1"/>
  <c r="J864" i="1" a="1"/>
  <c r="J864" i="1" s="1"/>
  <c r="K864" i="1" s="1" a="1"/>
  <c r="K864" i="1" s="1"/>
  <c r="J865" i="1" a="1"/>
  <c r="J865" i="1" s="1"/>
  <c r="K865" i="1" s="1" a="1"/>
  <c r="K865" i="1" s="1"/>
  <c r="J866" i="1" a="1"/>
  <c r="J866" i="1" s="1"/>
  <c r="K866" i="1" s="1" a="1"/>
  <c r="K866" i="1" s="1"/>
  <c r="J867" i="1" a="1"/>
  <c r="J867" i="1" s="1"/>
  <c r="K867" i="1" s="1" a="1"/>
  <c r="K867" i="1" s="1"/>
  <c r="J868" i="1" a="1"/>
  <c r="J868" i="1" s="1"/>
  <c r="K868" i="1" s="1" a="1"/>
  <c r="K868" i="1" s="1"/>
  <c r="J869" i="1" a="1"/>
  <c r="J869" i="1" s="1"/>
  <c r="K869" i="1" s="1" a="1"/>
  <c r="K869" i="1" s="1"/>
  <c r="J870" i="1" a="1"/>
  <c r="J870" i="1" s="1"/>
  <c r="K870" i="1" s="1" a="1"/>
  <c r="K870" i="1" s="1"/>
  <c r="J871" i="1" a="1"/>
  <c r="J871" i="1" s="1"/>
  <c r="K871" i="1" s="1" a="1"/>
  <c r="K871" i="1" s="1"/>
  <c r="J872" i="1" a="1"/>
  <c r="J872" i="1" s="1"/>
  <c r="K872" i="1" s="1" a="1"/>
  <c r="K872" i="1" s="1"/>
  <c r="J873" i="1" a="1"/>
  <c r="J873" i="1" s="1"/>
  <c r="K873" i="1" s="1" a="1"/>
  <c r="K873" i="1" s="1"/>
  <c r="J874" i="1" a="1"/>
  <c r="J874" i="1" s="1"/>
  <c r="K874" i="1" s="1" a="1"/>
  <c r="K874" i="1" s="1"/>
  <c r="J875" i="1" a="1"/>
  <c r="J875" i="1" s="1"/>
  <c r="K875" i="1" s="1" a="1"/>
  <c r="K875" i="1" s="1"/>
  <c r="J876" i="1" a="1"/>
  <c r="J876" i="1"/>
  <c r="K876" i="1" s="1" a="1"/>
  <c r="K876" i="1" s="1"/>
  <c r="J877" i="1" a="1"/>
  <c r="J877" i="1" s="1"/>
  <c r="K877" i="1" s="1" a="1"/>
  <c r="K877" i="1" s="1"/>
  <c r="J878" i="1" a="1"/>
  <c r="J878" i="1" s="1"/>
  <c r="K878" i="1" s="1" a="1"/>
  <c r="K878" i="1" s="1"/>
  <c r="J879" i="1" a="1"/>
  <c r="J879" i="1" s="1"/>
  <c r="K879" i="1" s="1" a="1"/>
  <c r="K879" i="1" s="1"/>
  <c r="J880" i="1" a="1"/>
  <c r="J880" i="1" s="1"/>
  <c r="K880" i="1" s="1" a="1"/>
  <c r="K880" i="1" s="1"/>
  <c r="J881" i="1" a="1"/>
  <c r="J881" i="1" s="1"/>
  <c r="K881" i="1" s="1" a="1"/>
  <c r="K881" i="1" s="1"/>
  <c r="J882" i="1" a="1"/>
  <c r="J882" i="1" s="1"/>
  <c r="K882" i="1" s="1" a="1"/>
  <c r="K882" i="1" s="1"/>
  <c r="J883" i="1" a="1"/>
  <c r="J883" i="1" s="1"/>
  <c r="K883" i="1" s="1" a="1"/>
  <c r="K883" i="1" s="1"/>
  <c r="J884" i="1" a="1"/>
  <c r="J884" i="1" s="1"/>
  <c r="K884" i="1" s="1" a="1"/>
  <c r="K884" i="1" s="1"/>
  <c r="J885" i="1" a="1"/>
  <c r="J885" i="1" s="1"/>
  <c r="K885" i="1" s="1" a="1"/>
  <c r="K885" i="1" s="1"/>
  <c r="J886" i="1" a="1"/>
  <c r="J886" i="1" s="1"/>
  <c r="K886" i="1" s="1" a="1"/>
  <c r="K886" i="1" s="1"/>
  <c r="J887" i="1" a="1"/>
  <c r="J887" i="1" s="1"/>
  <c r="K887" i="1" s="1" a="1"/>
  <c r="K887" i="1" s="1"/>
  <c r="J888" i="1" a="1"/>
  <c r="J888" i="1" s="1"/>
  <c r="K888" i="1" s="1" a="1"/>
  <c r="K888" i="1" s="1"/>
  <c r="J889" i="1" a="1"/>
  <c r="J889" i="1" s="1"/>
  <c r="K889" i="1" s="1" a="1"/>
  <c r="K889" i="1" s="1"/>
  <c r="J890" i="1" a="1"/>
  <c r="J890" i="1" s="1"/>
  <c r="K890" i="1" s="1" a="1"/>
  <c r="K890" i="1" s="1"/>
  <c r="J891" i="1" a="1"/>
  <c r="J891" i="1" s="1"/>
  <c r="K891" i="1" s="1" a="1"/>
  <c r="K891" i="1" s="1"/>
  <c r="J892" i="1" a="1"/>
  <c r="J892" i="1" s="1"/>
  <c r="K892" i="1" s="1" a="1"/>
  <c r="K892" i="1" s="1"/>
  <c r="J893" i="1" a="1"/>
  <c r="J893" i="1" s="1"/>
  <c r="K893" i="1" s="1" a="1"/>
  <c r="K893" i="1" s="1"/>
  <c r="J894" i="1" a="1"/>
  <c r="J894" i="1" s="1"/>
  <c r="K894" i="1" s="1" a="1"/>
  <c r="K894" i="1" s="1"/>
  <c r="J895" i="1" a="1"/>
  <c r="J895" i="1" s="1"/>
  <c r="K895" i="1" s="1" a="1"/>
  <c r="K895" i="1" s="1"/>
  <c r="J896" i="1" a="1"/>
  <c r="J896" i="1" s="1"/>
  <c r="K896" i="1" s="1" a="1"/>
  <c r="K896" i="1" s="1"/>
  <c r="J897" i="1" a="1"/>
  <c r="J897" i="1" s="1"/>
  <c r="K897" i="1" s="1" a="1"/>
  <c r="K897" i="1" s="1"/>
  <c r="J898" i="1" a="1"/>
  <c r="J898" i="1" s="1"/>
  <c r="K898" i="1" s="1" a="1"/>
  <c r="K898" i="1" s="1"/>
  <c r="J899" i="1" a="1"/>
  <c r="J899" i="1" s="1"/>
  <c r="K899" i="1" s="1" a="1"/>
  <c r="K899" i="1" s="1"/>
  <c r="J900" i="1" a="1"/>
  <c r="J900" i="1" s="1"/>
  <c r="K900" i="1" s="1" a="1"/>
  <c r="K900" i="1" s="1"/>
  <c r="J901" i="1" a="1"/>
  <c r="J901" i="1" s="1"/>
  <c r="K901" i="1" s="1" a="1"/>
  <c r="K901" i="1" s="1"/>
  <c r="J902" i="1" a="1"/>
  <c r="J902" i="1" s="1"/>
  <c r="K902" i="1" s="1" a="1"/>
  <c r="K902" i="1" s="1"/>
  <c r="J903" i="1" a="1"/>
  <c r="J903" i="1" s="1"/>
  <c r="K903" i="1" s="1" a="1"/>
  <c r="K903" i="1" s="1"/>
  <c r="J904" i="1" a="1"/>
  <c r="J904" i="1" s="1"/>
  <c r="K904" i="1" s="1" a="1"/>
  <c r="K904" i="1" s="1"/>
  <c r="J905" i="1" a="1"/>
  <c r="J905" i="1" s="1"/>
  <c r="K905" i="1" s="1" a="1"/>
  <c r="K905" i="1" s="1"/>
  <c r="J906" i="1" a="1"/>
  <c r="J906" i="1" s="1"/>
  <c r="K906" i="1" s="1" a="1"/>
  <c r="K906" i="1" s="1"/>
  <c r="J907" i="1" a="1"/>
  <c r="J907" i="1" s="1"/>
  <c r="K907" i="1" s="1" a="1"/>
  <c r="K907" i="1" s="1"/>
  <c r="J908" i="1" a="1"/>
  <c r="J908" i="1" s="1"/>
  <c r="K908" i="1" s="1" a="1"/>
  <c r="K908" i="1" s="1"/>
  <c r="J909" i="1" a="1"/>
  <c r="J909" i="1" s="1"/>
  <c r="K909" i="1" s="1" a="1"/>
  <c r="K909" i="1" s="1"/>
  <c r="J910" i="1" a="1"/>
  <c r="J910" i="1" s="1"/>
  <c r="K910" i="1" s="1" a="1"/>
  <c r="K910" i="1" s="1"/>
  <c r="J911" i="1" a="1"/>
  <c r="J911" i="1" s="1"/>
  <c r="K911" i="1" s="1" a="1"/>
  <c r="K911" i="1" s="1"/>
  <c r="J912" i="1" a="1"/>
  <c r="J912" i="1" s="1"/>
  <c r="K912" i="1" s="1" a="1"/>
  <c r="K912" i="1" s="1"/>
  <c r="J913" i="1" a="1"/>
  <c r="J913" i="1" s="1"/>
  <c r="K913" i="1" s="1" a="1"/>
  <c r="K913" i="1" s="1"/>
  <c r="J914" i="1" a="1"/>
  <c r="J914" i="1" s="1"/>
  <c r="K914" i="1" s="1" a="1"/>
  <c r="K914" i="1" s="1"/>
  <c r="J915" i="1" a="1"/>
  <c r="J915" i="1" s="1"/>
  <c r="K915" i="1" s="1" a="1"/>
  <c r="K915" i="1" s="1"/>
  <c r="J916" i="1" a="1"/>
  <c r="J916" i="1" s="1"/>
  <c r="K916" i="1" s="1" a="1"/>
  <c r="K916" i="1" s="1"/>
  <c r="J917" i="1" a="1"/>
  <c r="J917" i="1" s="1"/>
  <c r="K917" i="1" s="1" a="1"/>
  <c r="K917" i="1" s="1"/>
  <c r="J918" i="1" a="1"/>
  <c r="J918" i="1" s="1"/>
  <c r="K918" i="1" s="1" a="1"/>
  <c r="K918" i="1" s="1"/>
  <c r="J919" i="1" a="1"/>
  <c r="J919" i="1" s="1"/>
  <c r="K919" i="1" s="1" a="1"/>
  <c r="K919" i="1" s="1"/>
  <c r="J920" i="1" a="1"/>
  <c r="J920" i="1" s="1"/>
  <c r="K920" i="1" s="1" a="1"/>
  <c r="K920" i="1" s="1"/>
  <c r="J921" i="1" a="1"/>
  <c r="J921" i="1"/>
  <c r="K921" i="1" s="1" a="1"/>
  <c r="K921" i="1" s="1"/>
  <c r="J922" i="1" a="1"/>
  <c r="J922" i="1" s="1"/>
  <c r="K922" i="1" s="1" a="1"/>
  <c r="K922" i="1" s="1"/>
  <c r="J923" i="1" a="1"/>
  <c r="J923" i="1" s="1"/>
  <c r="K923" i="1" s="1" a="1"/>
  <c r="K923" i="1" s="1"/>
  <c r="J924" i="1" a="1"/>
  <c r="J924" i="1" s="1"/>
  <c r="K924" i="1" s="1" a="1"/>
  <c r="K924" i="1" s="1"/>
  <c r="J925" i="1" a="1"/>
  <c r="J925" i="1" s="1"/>
  <c r="K925" i="1" s="1" a="1"/>
  <c r="K925" i="1" s="1"/>
  <c r="J926" i="1" a="1"/>
  <c r="J926" i="1" s="1"/>
  <c r="K926" i="1" s="1" a="1"/>
  <c r="K926" i="1" s="1"/>
  <c r="J927" i="1" a="1"/>
  <c r="J927" i="1" s="1"/>
  <c r="K927" i="1" s="1" a="1"/>
  <c r="K927" i="1" s="1"/>
  <c r="J928" i="1" a="1"/>
  <c r="J928" i="1" s="1"/>
  <c r="K928" i="1" s="1" a="1"/>
  <c r="K928" i="1" s="1"/>
  <c r="J929" i="1" a="1"/>
  <c r="J929" i="1" s="1"/>
  <c r="K929" i="1" s="1" a="1"/>
  <c r="K929" i="1" s="1"/>
  <c r="J930" i="1" a="1"/>
  <c r="J930" i="1" s="1"/>
  <c r="K930" i="1" s="1" a="1"/>
  <c r="K930" i="1" s="1"/>
  <c r="J931" i="1" a="1"/>
  <c r="J931" i="1" s="1"/>
  <c r="K931" i="1" s="1" a="1"/>
  <c r="K931" i="1" s="1"/>
  <c r="J932" i="1" a="1"/>
  <c r="J932" i="1" s="1"/>
  <c r="K932" i="1" s="1" a="1"/>
  <c r="K932" i="1" s="1"/>
  <c r="J933" i="1" a="1"/>
  <c r="J933" i="1" s="1"/>
  <c r="K933" i="1" s="1" a="1"/>
  <c r="K933" i="1" s="1"/>
  <c r="J934" i="1" a="1"/>
  <c r="J934" i="1" s="1"/>
  <c r="K934" i="1" s="1" a="1"/>
  <c r="K934" i="1" s="1"/>
  <c r="J935" i="1" a="1"/>
  <c r="J935" i="1" s="1"/>
  <c r="K935" i="1" s="1" a="1"/>
  <c r="K935" i="1" s="1"/>
  <c r="J936" i="1" a="1"/>
  <c r="J936" i="1" s="1"/>
  <c r="K936" i="1" s="1" a="1"/>
  <c r="K936" i="1" s="1"/>
  <c r="J937" i="1" a="1"/>
  <c r="J937" i="1" s="1"/>
  <c r="K937" i="1" s="1" a="1"/>
  <c r="K937" i="1" s="1"/>
  <c r="J938" i="1" a="1"/>
  <c r="J938" i="1" s="1"/>
  <c r="K938" i="1" s="1" a="1"/>
  <c r="K938" i="1" s="1"/>
  <c r="J939" i="1" a="1"/>
  <c r="J939" i="1" s="1"/>
  <c r="K939" i="1" s="1" a="1"/>
  <c r="K939" i="1" s="1"/>
  <c r="J940" i="1" a="1"/>
  <c r="J940" i="1" s="1"/>
  <c r="K940" i="1" s="1" a="1"/>
  <c r="K940" i="1" s="1"/>
  <c r="J941" i="1" a="1"/>
  <c r="J941" i="1" s="1"/>
  <c r="K941" i="1" s="1" a="1"/>
  <c r="K941" i="1" s="1"/>
  <c r="J942" i="1" a="1"/>
  <c r="J942" i="1" s="1"/>
  <c r="K942" i="1" s="1" a="1"/>
  <c r="K942" i="1" s="1"/>
  <c r="J943" i="1" a="1"/>
  <c r="J943" i="1" s="1"/>
  <c r="K943" i="1" s="1" a="1"/>
  <c r="K943" i="1" s="1"/>
  <c r="J944" i="1" a="1"/>
  <c r="J944" i="1" s="1"/>
  <c r="K944" i="1" s="1" a="1"/>
  <c r="K944" i="1" s="1"/>
  <c r="J945" i="1" a="1"/>
  <c r="J945" i="1" s="1"/>
  <c r="K945" i="1" s="1" a="1"/>
  <c r="K945" i="1" s="1"/>
  <c r="J946" i="1" a="1"/>
  <c r="J946" i="1" s="1"/>
  <c r="K946" i="1" s="1" a="1"/>
  <c r="K946" i="1" s="1"/>
  <c r="J947" i="1" a="1"/>
  <c r="J947" i="1" s="1"/>
  <c r="K947" i="1" s="1" a="1"/>
  <c r="K947" i="1" s="1"/>
  <c r="J948" i="1" a="1"/>
  <c r="J948" i="1" s="1"/>
  <c r="K948" i="1" s="1" a="1"/>
  <c r="K948" i="1" s="1"/>
  <c r="J949" i="1" a="1"/>
  <c r="J949" i="1" s="1"/>
  <c r="K949" i="1" s="1" a="1"/>
  <c r="K949" i="1" s="1"/>
  <c r="J950" i="1" a="1"/>
  <c r="J950" i="1" s="1"/>
  <c r="K950" i="1" s="1" a="1"/>
  <c r="K950" i="1" s="1"/>
  <c r="J951" i="1" a="1"/>
  <c r="J951" i="1" s="1"/>
  <c r="K951" i="1" s="1" a="1"/>
  <c r="K951" i="1" s="1"/>
  <c r="J952" i="1" a="1"/>
  <c r="J952" i="1" s="1"/>
  <c r="K952" i="1" s="1" a="1"/>
  <c r="K952" i="1" s="1"/>
  <c r="J953" i="1" a="1"/>
  <c r="J953" i="1" s="1"/>
  <c r="K953" i="1" s="1" a="1"/>
  <c r="K953" i="1" s="1"/>
  <c r="J954" i="1" a="1"/>
  <c r="J954" i="1" s="1"/>
  <c r="K954" i="1" s="1" a="1"/>
  <c r="K954" i="1" s="1"/>
  <c r="J955" i="1" a="1"/>
  <c r="J955" i="1" s="1"/>
  <c r="K955" i="1" s="1" a="1"/>
  <c r="K955" i="1" s="1"/>
  <c r="J956" i="1" a="1"/>
  <c r="J956" i="1" s="1"/>
  <c r="K956" i="1" s="1" a="1"/>
  <c r="K956" i="1" s="1"/>
  <c r="J957" i="1" a="1"/>
  <c r="J957" i="1" s="1"/>
  <c r="K957" i="1" s="1" a="1"/>
  <c r="K957" i="1" s="1"/>
  <c r="J958" i="1" a="1"/>
  <c r="J958" i="1" s="1"/>
  <c r="K958" i="1" s="1" a="1"/>
  <c r="K958" i="1" s="1"/>
  <c r="J959" i="1" a="1"/>
  <c r="J959" i="1" s="1"/>
  <c r="K959" i="1" s="1" a="1"/>
  <c r="K959" i="1" s="1"/>
  <c r="J960" i="1" a="1"/>
  <c r="J960" i="1" s="1"/>
  <c r="K960" i="1" s="1" a="1"/>
  <c r="K960" i="1" s="1"/>
  <c r="J961" i="1" a="1"/>
  <c r="J961" i="1" s="1"/>
  <c r="K961" i="1" s="1" a="1"/>
  <c r="K961" i="1" s="1"/>
  <c r="J962" i="1" a="1"/>
  <c r="J962" i="1" s="1"/>
  <c r="K962" i="1" s="1" a="1"/>
  <c r="K962" i="1" s="1"/>
  <c r="J963" i="1" a="1"/>
  <c r="J963" i="1" s="1"/>
  <c r="K963" i="1" s="1" a="1"/>
  <c r="K963" i="1" s="1"/>
  <c r="J964" i="1" a="1"/>
  <c r="J964" i="1" s="1"/>
  <c r="K964" i="1" s="1" a="1"/>
  <c r="K964" i="1" s="1"/>
  <c r="J965" i="1" a="1"/>
  <c r="J965" i="1" s="1"/>
  <c r="K965" i="1" s="1" a="1"/>
  <c r="K965" i="1" s="1"/>
  <c r="J966" i="1" a="1"/>
  <c r="J966" i="1" s="1"/>
  <c r="K966" i="1" s="1" a="1"/>
  <c r="K966" i="1" s="1"/>
  <c r="J967" i="1" a="1"/>
  <c r="J967" i="1" s="1"/>
  <c r="K967" i="1" s="1" a="1"/>
  <c r="K967" i="1" s="1"/>
  <c r="J968" i="1" a="1"/>
  <c r="J968" i="1" s="1"/>
  <c r="K968" i="1" s="1" a="1"/>
  <c r="K968" i="1" s="1"/>
  <c r="J969" i="1" a="1"/>
  <c r="J969" i="1" s="1"/>
  <c r="K969" i="1" s="1" a="1"/>
  <c r="K969" i="1" s="1"/>
  <c r="J970" i="1" a="1"/>
  <c r="J970" i="1" s="1"/>
  <c r="K970" i="1" s="1" a="1"/>
  <c r="K970" i="1" s="1"/>
  <c r="J971" i="1" a="1"/>
  <c r="J971" i="1" s="1"/>
  <c r="K971" i="1" s="1" a="1"/>
  <c r="K971" i="1" s="1"/>
  <c r="J972" i="1" a="1"/>
  <c r="J972" i="1" s="1"/>
  <c r="K972" i="1" s="1" a="1"/>
  <c r="K972" i="1" s="1"/>
  <c r="J973" i="1" a="1"/>
  <c r="J973" i="1" s="1"/>
  <c r="K973" i="1" s="1" a="1"/>
  <c r="K973" i="1" s="1"/>
  <c r="J974" i="1" a="1"/>
  <c r="J974" i="1" s="1"/>
  <c r="K974" i="1" s="1" a="1"/>
  <c r="K974" i="1" s="1"/>
  <c r="J975" i="1" a="1"/>
  <c r="J975" i="1" s="1"/>
  <c r="K975" i="1" s="1" a="1"/>
  <c r="K975" i="1" s="1"/>
  <c r="J976" i="1" a="1"/>
  <c r="J976" i="1" s="1"/>
  <c r="K976" i="1" s="1" a="1"/>
  <c r="K976" i="1" s="1"/>
  <c r="J977" i="1" a="1"/>
  <c r="J977" i="1" s="1"/>
  <c r="K977" i="1" s="1" a="1"/>
  <c r="K977" i="1" s="1"/>
  <c r="J978" i="1" a="1"/>
  <c r="J978" i="1" s="1"/>
  <c r="K978" i="1" s="1" a="1"/>
  <c r="K978" i="1" s="1"/>
  <c r="J979" i="1" a="1"/>
  <c r="J979" i="1"/>
  <c r="K979" i="1" s="1" a="1"/>
  <c r="K979" i="1" s="1"/>
  <c r="J980" i="1" a="1"/>
  <c r="J980" i="1" s="1"/>
  <c r="K980" i="1" s="1" a="1"/>
  <c r="K980" i="1" s="1"/>
  <c r="J981" i="1" a="1"/>
  <c r="J981" i="1" s="1"/>
  <c r="K981" i="1" s="1" a="1"/>
  <c r="K981" i="1" s="1"/>
  <c r="J982" i="1" a="1"/>
  <c r="J982" i="1" s="1"/>
  <c r="K982" i="1" s="1" a="1"/>
  <c r="K982" i="1" s="1"/>
  <c r="J983" i="1" a="1"/>
  <c r="J983" i="1" s="1"/>
  <c r="K983" i="1" s="1" a="1"/>
  <c r="K983" i="1" s="1"/>
  <c r="J984" i="1" a="1"/>
  <c r="J984" i="1" s="1"/>
  <c r="K984" i="1" s="1" a="1"/>
  <c r="K984" i="1" s="1"/>
  <c r="J985" i="1" a="1"/>
  <c r="J985" i="1" s="1"/>
  <c r="K985" i="1" s="1" a="1"/>
  <c r="K985" i="1" s="1"/>
  <c r="J986" i="1" a="1"/>
  <c r="J986" i="1" s="1"/>
  <c r="K986" i="1" s="1" a="1"/>
  <c r="K986" i="1" s="1"/>
  <c r="J987" i="1" a="1"/>
  <c r="J987" i="1" s="1"/>
  <c r="K987" i="1" s="1" a="1"/>
  <c r="K987" i="1" s="1"/>
  <c r="J988" i="1" a="1"/>
  <c r="J988" i="1" s="1"/>
  <c r="K988" i="1" s="1" a="1"/>
  <c r="K988" i="1" s="1"/>
  <c r="J989" i="1" a="1"/>
  <c r="J989" i="1" s="1"/>
  <c r="K989" i="1" s="1" a="1"/>
  <c r="K989" i="1" s="1"/>
  <c r="J990" i="1" a="1"/>
  <c r="J990" i="1" s="1"/>
  <c r="K990" i="1" s="1" a="1"/>
  <c r="K990" i="1" s="1"/>
  <c r="J991" i="1" a="1"/>
  <c r="J991" i="1" s="1"/>
  <c r="K991" i="1" s="1" a="1"/>
  <c r="K991" i="1" s="1"/>
  <c r="J992" i="1" a="1"/>
  <c r="J992" i="1" s="1"/>
  <c r="K992" i="1" s="1" a="1"/>
  <c r="K992" i="1" s="1"/>
  <c r="J993" i="1" a="1"/>
  <c r="J993" i="1"/>
  <c r="K993" i="1" s="1" a="1"/>
  <c r="K993" i="1" s="1"/>
  <c r="J994" i="1" a="1"/>
  <c r="J994" i="1" s="1"/>
  <c r="K994" i="1" s="1" a="1"/>
  <c r="K994" i="1" s="1"/>
  <c r="J995" i="1" a="1"/>
  <c r="J995" i="1" s="1"/>
  <c r="K995" i="1" s="1" a="1"/>
  <c r="K995" i="1" s="1"/>
  <c r="J996" i="1" a="1"/>
  <c r="J996" i="1" s="1"/>
  <c r="K996" i="1" s="1" a="1"/>
  <c r="K996" i="1" s="1"/>
  <c r="J997" i="1" a="1"/>
  <c r="J997" i="1" s="1"/>
  <c r="K997" i="1" s="1" a="1"/>
  <c r="K997" i="1" s="1"/>
  <c r="J998" i="1" a="1"/>
  <c r="J998" i="1" s="1"/>
  <c r="K998" i="1" s="1" a="1"/>
  <c r="K998" i="1" s="1"/>
  <c r="J999" i="1" a="1"/>
  <c r="J999" i="1"/>
  <c r="K999" i="1" s="1" a="1"/>
  <c r="K999" i="1" s="1"/>
  <c r="J1000" i="1" a="1"/>
  <c r="J1000" i="1"/>
  <c r="K1000" i="1" s="1" a="1"/>
  <c r="K1000" i="1" s="1"/>
  <c r="J1001" i="1" a="1"/>
  <c r="J1001" i="1" s="1"/>
  <c r="K1001" i="1" s="1" a="1"/>
  <c r="K1001" i="1" s="1"/>
  <c r="J1002" i="1" a="1"/>
  <c r="J1002" i="1" s="1"/>
  <c r="K1002" i="1" s="1" a="1"/>
  <c r="K1002" i="1" s="1"/>
  <c r="J1003" i="1" a="1"/>
  <c r="J1003" i="1" s="1"/>
  <c r="K1003" i="1" s="1" a="1"/>
  <c r="K1003" i="1" s="1"/>
  <c r="J1004" i="1" a="1"/>
  <c r="J1004" i="1"/>
  <c r="K1004" i="1" s="1" a="1"/>
  <c r="K1004" i="1" s="1"/>
  <c r="J1005" i="1" a="1"/>
  <c r="J1005" i="1" s="1"/>
  <c r="K1005" i="1" s="1" a="1"/>
  <c r="K1005" i="1" s="1"/>
  <c r="J1006" i="1" a="1"/>
  <c r="J1006" i="1" s="1"/>
  <c r="K1006" i="1" s="1" a="1"/>
  <c r="K1006" i="1" s="1"/>
  <c r="J1007" i="1" a="1"/>
  <c r="J1007" i="1" s="1"/>
  <c r="K1007" i="1" s="1" a="1"/>
  <c r="K1007" i="1" s="1"/>
  <c r="J1008" i="1" a="1"/>
  <c r="J1008" i="1" s="1"/>
  <c r="K1008" i="1" s="1" a="1"/>
  <c r="K1008" i="1" s="1"/>
  <c r="J1009" i="1" a="1"/>
  <c r="J1009" i="1" s="1"/>
  <c r="K1009" i="1" s="1" a="1"/>
  <c r="K1009" i="1" s="1"/>
  <c r="J1010" i="1" a="1"/>
  <c r="J1010" i="1" s="1"/>
  <c r="K1010" i="1" s="1" a="1"/>
  <c r="K1010" i="1" s="1"/>
  <c r="J1011" i="1" a="1"/>
  <c r="J1011" i="1" s="1"/>
  <c r="K1011" i="1" s="1" a="1"/>
  <c r="K1011" i="1" s="1"/>
  <c r="J1012" i="1" a="1"/>
  <c r="J1012" i="1"/>
  <c r="K1012" i="1" s="1" a="1"/>
  <c r="K1012" i="1" s="1"/>
  <c r="J1013" i="1" a="1"/>
  <c r="J1013" i="1" s="1"/>
  <c r="K1013" i="1" s="1" a="1"/>
  <c r="K1013" i="1" s="1"/>
  <c r="J1014" i="1" a="1"/>
  <c r="J1014" i="1" s="1"/>
  <c r="K1014" i="1" s="1" a="1"/>
  <c r="K1014" i="1" s="1"/>
  <c r="J1015" i="1" a="1"/>
  <c r="J1015" i="1" s="1"/>
  <c r="K1015" i="1" s="1" a="1"/>
  <c r="K1015" i="1" s="1"/>
  <c r="J1016" i="1" a="1"/>
  <c r="J1016" i="1" s="1"/>
  <c r="K1016" i="1" s="1" a="1"/>
  <c r="K1016" i="1" s="1"/>
  <c r="J1017" i="1" a="1"/>
  <c r="J1017" i="1" s="1"/>
  <c r="K1017" i="1" s="1" a="1"/>
  <c r="K1017" i="1" s="1"/>
  <c r="J1018" i="1" a="1"/>
  <c r="J1018" i="1" s="1"/>
  <c r="K1018" i="1" s="1" a="1"/>
  <c r="K1018" i="1" s="1"/>
  <c r="J1019" i="1" a="1"/>
  <c r="J1019" i="1" s="1"/>
  <c r="K1019" i="1" s="1" a="1"/>
  <c r="K1019" i="1" s="1"/>
  <c r="J1020" i="1" a="1"/>
  <c r="J1020" i="1" s="1"/>
  <c r="K1020" i="1" s="1" a="1"/>
  <c r="K1020" i="1" s="1"/>
  <c r="J1021" i="1" a="1"/>
  <c r="J1021" i="1" s="1"/>
  <c r="K1021" i="1" s="1" a="1"/>
  <c r="K1021" i="1" s="1"/>
  <c r="J1022" i="1" a="1"/>
  <c r="J1022" i="1" s="1"/>
  <c r="K1022" i="1" s="1" a="1"/>
  <c r="K1022" i="1" s="1"/>
  <c r="J1023" i="1" a="1"/>
  <c r="J1023" i="1" s="1"/>
  <c r="K1023" i="1" s="1" a="1"/>
  <c r="K1023" i="1" s="1"/>
  <c r="J1024" i="1" a="1"/>
  <c r="J1024" i="1" s="1"/>
  <c r="K1024" i="1" s="1" a="1"/>
  <c r="K1024" i="1" s="1"/>
  <c r="J1025" i="1" a="1"/>
  <c r="J1025" i="1" s="1"/>
  <c r="K1025" i="1" s="1" a="1"/>
  <c r="K1025" i="1" s="1"/>
  <c r="J1026" i="1" a="1"/>
  <c r="J1026" i="1" s="1"/>
  <c r="K1026" i="1" s="1" a="1"/>
  <c r="K1026" i="1" s="1"/>
  <c r="J1027" i="1" a="1"/>
  <c r="J1027" i="1" s="1"/>
  <c r="K1027" i="1" s="1" a="1"/>
  <c r="K1027" i="1" s="1"/>
  <c r="J1028" i="1" a="1"/>
  <c r="J1028" i="1" s="1"/>
  <c r="K1028" i="1" s="1" a="1"/>
  <c r="K1028" i="1" s="1"/>
  <c r="J1029" i="1" a="1"/>
  <c r="J1029" i="1" s="1"/>
  <c r="K1029" i="1" s="1" a="1"/>
  <c r="K1029" i="1" s="1"/>
  <c r="J1030" i="1" a="1"/>
  <c r="J1030" i="1" s="1"/>
  <c r="K1030" i="1" s="1" a="1"/>
  <c r="K1030" i="1" s="1"/>
  <c r="J1031" i="1" a="1"/>
  <c r="J1031" i="1" s="1"/>
  <c r="K1031" i="1" s="1" a="1"/>
  <c r="K1031" i="1" s="1"/>
  <c r="J1032" i="1" a="1"/>
  <c r="J1032" i="1" s="1"/>
  <c r="K1032" i="1" s="1" a="1"/>
  <c r="K1032" i="1" s="1"/>
  <c r="J1033" i="1" a="1"/>
  <c r="J1033" i="1" s="1"/>
  <c r="K1033" i="1" s="1" a="1"/>
  <c r="K1033" i="1" s="1"/>
  <c r="J1034" i="1" a="1"/>
  <c r="J1034" i="1" s="1"/>
  <c r="K1034" i="1" s="1" a="1"/>
  <c r="K1034" i="1" s="1"/>
  <c r="J1035" i="1" a="1"/>
  <c r="J1035" i="1" s="1"/>
  <c r="K1035" i="1" s="1" a="1"/>
  <c r="K1035" i="1" s="1"/>
  <c r="J1036" i="1" a="1"/>
  <c r="J1036" i="1" s="1"/>
  <c r="K1036" i="1" s="1" a="1"/>
  <c r="K1036" i="1" s="1"/>
  <c r="J1037" i="1" a="1"/>
  <c r="J1037" i="1" s="1"/>
  <c r="K1037" i="1" s="1" a="1"/>
  <c r="K1037" i="1" s="1"/>
  <c r="J1038" i="1" a="1"/>
  <c r="J1038" i="1" s="1"/>
  <c r="K1038" i="1" s="1" a="1"/>
  <c r="K1038" i="1" s="1"/>
  <c r="J1039" i="1" a="1"/>
  <c r="J1039" i="1" s="1"/>
  <c r="K1039" i="1" s="1" a="1"/>
  <c r="K1039" i="1" s="1"/>
  <c r="J1040" i="1" a="1"/>
  <c r="J1040" i="1" s="1"/>
  <c r="K1040" i="1" s="1" a="1"/>
  <c r="K1040" i="1" s="1"/>
  <c r="J1041" i="1" a="1"/>
  <c r="J1041" i="1" s="1"/>
  <c r="K1041" i="1" s="1" a="1"/>
  <c r="K1041" i="1" s="1"/>
  <c r="J1042" i="1" a="1"/>
  <c r="J1042" i="1" s="1"/>
  <c r="K1042" i="1" s="1" a="1"/>
  <c r="K1042" i="1" s="1"/>
  <c r="J1043" i="1" a="1"/>
  <c r="J1043" i="1" s="1"/>
  <c r="K1043" i="1" s="1" a="1"/>
  <c r="K1043" i="1" s="1"/>
  <c r="J1044" i="1" a="1"/>
  <c r="J1044" i="1" s="1"/>
  <c r="K1044" i="1" s="1" a="1"/>
  <c r="K1044" i="1" s="1"/>
  <c r="J1045" i="1" a="1"/>
  <c r="J1045" i="1" s="1"/>
  <c r="K1045" i="1" s="1" a="1"/>
  <c r="K1045" i="1" s="1"/>
  <c r="J1046" i="1" a="1"/>
  <c r="J1046" i="1" s="1"/>
  <c r="K1046" i="1" s="1" a="1"/>
  <c r="K1046" i="1" s="1"/>
  <c r="J1047" i="1" a="1"/>
  <c r="J1047" i="1" s="1"/>
  <c r="K1047" i="1" s="1" a="1"/>
  <c r="K1047" i="1" s="1"/>
  <c r="J1048" i="1" a="1"/>
  <c r="J1048" i="1" s="1"/>
  <c r="K1048" i="1" s="1" a="1"/>
  <c r="K1048" i="1" s="1"/>
  <c r="J1049" i="1" a="1"/>
  <c r="J1049" i="1"/>
  <c r="K1049" i="1" s="1" a="1"/>
  <c r="K1049" i="1" s="1"/>
  <c r="J1050" i="1" a="1"/>
  <c r="J1050" i="1" s="1"/>
  <c r="K1050" i="1" s="1" a="1"/>
  <c r="K1050" i="1" s="1"/>
  <c r="J1051" i="1" a="1"/>
  <c r="J1051" i="1" s="1"/>
  <c r="K1051" i="1" s="1" a="1"/>
  <c r="K1051" i="1" s="1"/>
  <c r="J1052" i="1" a="1"/>
  <c r="J1052" i="1" s="1"/>
  <c r="K1052" i="1" s="1" a="1"/>
  <c r="K1052" i="1" s="1"/>
  <c r="J1053" i="1" a="1"/>
  <c r="J1053" i="1" s="1"/>
  <c r="K1053" i="1" s="1" a="1"/>
  <c r="K1053" i="1" s="1"/>
  <c r="J1054" i="1" a="1"/>
  <c r="J1054" i="1" s="1"/>
  <c r="K1054" i="1" s="1" a="1"/>
  <c r="K1054" i="1" s="1"/>
  <c r="J1055" i="1" a="1"/>
  <c r="J1055" i="1" s="1"/>
  <c r="K1055" i="1" s="1" a="1"/>
  <c r="K1055" i="1" s="1"/>
  <c r="J1056" i="1" a="1"/>
  <c r="J1056" i="1" s="1"/>
  <c r="K1056" i="1" s="1" a="1"/>
  <c r="K1056" i="1" s="1"/>
  <c r="J1057" i="1" a="1"/>
  <c r="J1057" i="1" s="1"/>
  <c r="K1057" i="1" s="1" a="1"/>
  <c r="K1057" i="1" s="1"/>
  <c r="J1058" i="1" a="1"/>
  <c r="J1058" i="1" s="1"/>
  <c r="K1058" i="1" s="1" a="1"/>
  <c r="K1058" i="1" s="1"/>
  <c r="J1059" i="1" a="1"/>
  <c r="J1059" i="1" s="1"/>
  <c r="K1059" i="1" s="1" a="1"/>
  <c r="K1059" i="1" s="1"/>
  <c r="J1060" i="1" a="1"/>
  <c r="J1060" i="1" s="1"/>
  <c r="K1060" i="1" s="1" a="1"/>
  <c r="K1060" i="1" s="1"/>
  <c r="J1061" i="1" a="1"/>
  <c r="J1061" i="1" s="1"/>
  <c r="K1061" i="1" s="1" a="1"/>
  <c r="K1061" i="1" s="1"/>
  <c r="J1062" i="1" a="1"/>
  <c r="J1062" i="1" s="1"/>
  <c r="K1062" i="1" s="1" a="1"/>
  <c r="K1062" i="1" s="1"/>
  <c r="J1063" i="1" a="1"/>
  <c r="J1063" i="1" s="1"/>
  <c r="K1063" i="1" s="1" a="1"/>
  <c r="K1063" i="1" s="1"/>
  <c r="J1064" i="1" a="1"/>
  <c r="J1064" i="1" s="1"/>
  <c r="K1064" i="1" s="1" a="1"/>
  <c r="K1064" i="1" s="1"/>
  <c r="J1065" i="1" a="1"/>
  <c r="J1065" i="1" s="1"/>
  <c r="K1065" i="1" s="1" a="1"/>
  <c r="K1065" i="1" s="1"/>
  <c r="J1066" i="1" a="1"/>
  <c r="J1066" i="1" s="1"/>
  <c r="K1066" i="1" s="1" a="1"/>
  <c r="K1066" i="1" s="1"/>
  <c r="J1067" i="1" a="1"/>
  <c r="J1067" i="1" s="1"/>
  <c r="K1067" i="1" s="1" a="1"/>
  <c r="K1067" i="1" s="1"/>
  <c r="J1068" i="1" a="1"/>
  <c r="J1068" i="1" s="1"/>
  <c r="K1068" i="1" s="1" a="1"/>
  <c r="K1068" i="1" s="1"/>
  <c r="J1069" i="1" a="1"/>
  <c r="J1069" i="1" s="1"/>
  <c r="K1069" i="1" s="1" a="1"/>
  <c r="K1069" i="1" s="1"/>
  <c r="J1070" i="1" a="1"/>
  <c r="J1070" i="1" s="1"/>
  <c r="K1070" i="1" s="1" a="1"/>
  <c r="K1070" i="1" s="1"/>
  <c r="J1071" i="1" a="1"/>
  <c r="J1071" i="1" s="1"/>
  <c r="K1071" i="1" s="1" a="1"/>
  <c r="K1071" i="1" s="1"/>
  <c r="J1072" i="1" a="1"/>
  <c r="J1072" i="1" s="1"/>
  <c r="K1072" i="1" s="1" a="1"/>
  <c r="K1072" i="1" s="1"/>
  <c r="J1073" i="1" a="1"/>
  <c r="J1073" i="1" s="1"/>
  <c r="K1073" i="1" s="1" a="1"/>
  <c r="K1073" i="1" s="1"/>
  <c r="J1074" i="1" a="1"/>
  <c r="J1074" i="1" s="1"/>
  <c r="K1074" i="1" s="1" a="1"/>
  <c r="K1074" i="1" s="1"/>
  <c r="J1075" i="1" a="1"/>
  <c r="J1075" i="1" s="1"/>
  <c r="K1075" i="1" s="1" a="1"/>
  <c r="K1075" i="1" s="1"/>
  <c r="J1076" i="1" a="1"/>
  <c r="J1076" i="1" s="1"/>
  <c r="K1076" i="1" s="1" a="1"/>
  <c r="K1076" i="1" s="1"/>
  <c r="J1077" i="1" a="1"/>
  <c r="J1077" i="1"/>
  <c r="K1077" i="1" s="1" a="1"/>
  <c r="K1077" i="1" s="1"/>
  <c r="J1078" i="1" a="1"/>
  <c r="J1078" i="1" s="1"/>
  <c r="K1078" i="1" s="1" a="1"/>
  <c r="K1078" i="1" s="1"/>
  <c r="J1079" i="1" a="1"/>
  <c r="J1079" i="1" s="1"/>
  <c r="K1079" i="1" s="1" a="1"/>
  <c r="K1079" i="1" s="1"/>
  <c r="J1080" i="1" a="1"/>
  <c r="J1080" i="1" s="1"/>
  <c r="K1080" i="1" s="1" a="1"/>
  <c r="K1080" i="1" s="1"/>
  <c r="J1081" i="1" a="1"/>
  <c r="J1081" i="1" s="1"/>
  <c r="K1081" i="1" s="1" a="1"/>
  <c r="K1081" i="1" s="1"/>
  <c r="J1082" i="1" a="1"/>
  <c r="J1082" i="1" s="1"/>
  <c r="K1082" i="1" s="1" a="1"/>
  <c r="K1082" i="1" s="1"/>
  <c r="J1083" i="1" a="1"/>
  <c r="J1083" i="1" s="1"/>
  <c r="K1083" i="1" s="1" a="1"/>
  <c r="K1083" i="1" s="1"/>
  <c r="J1084" i="1" a="1"/>
  <c r="J1084" i="1" s="1"/>
  <c r="K1084" i="1" s="1" a="1"/>
  <c r="K1084" i="1" s="1"/>
  <c r="J1085" i="1" a="1"/>
  <c r="J1085" i="1" s="1"/>
  <c r="K1085" i="1" s="1" a="1"/>
  <c r="K1085" i="1" s="1"/>
  <c r="J1086" i="1" a="1"/>
  <c r="J1086" i="1" s="1"/>
  <c r="K1086" i="1" s="1" a="1"/>
  <c r="K1086" i="1" s="1"/>
  <c r="J1087" i="1" a="1"/>
  <c r="J1087" i="1" s="1"/>
  <c r="K1087" i="1" s="1" a="1"/>
  <c r="K1087" i="1" s="1"/>
  <c r="J1088" i="1" a="1"/>
  <c r="J1088" i="1" s="1"/>
  <c r="K1088" i="1" s="1" a="1"/>
  <c r="K1088" i="1" s="1"/>
  <c r="J1089" i="1" a="1"/>
  <c r="J1089" i="1" s="1"/>
  <c r="K1089" i="1" s="1" a="1"/>
  <c r="K1089" i="1" s="1"/>
  <c r="J1090" i="1" a="1"/>
  <c r="J1090" i="1" s="1"/>
  <c r="K1090" i="1" s="1" a="1"/>
  <c r="K1090" i="1" s="1"/>
  <c r="J1091" i="1" a="1"/>
  <c r="J1091" i="1" s="1"/>
  <c r="K1091" i="1" s="1" a="1"/>
  <c r="K1091" i="1" s="1"/>
  <c r="J1092" i="1" a="1"/>
  <c r="J1092" i="1" s="1"/>
  <c r="K1092" i="1" s="1" a="1"/>
  <c r="K1092" i="1" s="1"/>
  <c r="J1093" i="1" a="1"/>
  <c r="J1093" i="1" s="1"/>
  <c r="K1093" i="1" s="1" a="1"/>
  <c r="K1093" i="1" s="1"/>
  <c r="J1094" i="1" a="1"/>
  <c r="J1094" i="1" s="1"/>
  <c r="K1094" i="1" s="1" a="1"/>
  <c r="K1094" i="1" s="1"/>
  <c r="J1095" i="1" a="1"/>
  <c r="J1095" i="1" s="1"/>
  <c r="K1095" i="1" s="1" a="1"/>
  <c r="K1095" i="1" s="1"/>
  <c r="J1096" i="1" a="1"/>
  <c r="J1096" i="1" s="1"/>
  <c r="K1096" i="1" s="1" a="1"/>
  <c r="K1096" i="1" s="1"/>
  <c r="J1097" i="1" a="1"/>
  <c r="J1097" i="1" s="1"/>
  <c r="K1097" i="1" s="1" a="1"/>
  <c r="K1097" i="1" s="1"/>
  <c r="J1098" i="1" a="1"/>
  <c r="J1098" i="1" s="1"/>
  <c r="K1098" i="1" s="1" a="1"/>
  <c r="K1098" i="1" s="1"/>
  <c r="J1099" i="1" a="1"/>
  <c r="J1099" i="1" s="1"/>
  <c r="K1099" i="1" s="1" a="1"/>
  <c r="K1099" i="1" s="1"/>
  <c r="J1100" i="1" a="1"/>
  <c r="J1100" i="1" s="1"/>
  <c r="K1100" i="1" s="1" a="1"/>
  <c r="K1100" i="1" s="1"/>
  <c r="J1101" i="1" a="1"/>
  <c r="J1101" i="1" s="1"/>
  <c r="K1101" i="1" s="1" a="1"/>
  <c r="K1101" i="1" s="1"/>
  <c r="J1102" i="1" a="1"/>
  <c r="J1102" i="1" s="1"/>
  <c r="K1102" i="1" s="1" a="1"/>
  <c r="K1102" i="1" s="1"/>
  <c r="J1103" i="1" a="1"/>
  <c r="J1103" i="1" s="1"/>
  <c r="K1103" i="1" s="1" a="1"/>
  <c r="K1103" i="1" s="1"/>
  <c r="J1104" i="1" a="1"/>
  <c r="J1104" i="1" s="1"/>
  <c r="K1104" i="1" s="1" a="1"/>
  <c r="K1104" i="1" s="1"/>
  <c r="J1105" i="1" a="1"/>
  <c r="J1105" i="1" s="1"/>
  <c r="K1105" i="1" s="1" a="1"/>
  <c r="K1105" i="1" s="1"/>
  <c r="J1106" i="1" a="1"/>
  <c r="J1106" i="1" s="1"/>
  <c r="K1106" i="1" s="1" a="1"/>
  <c r="K1106" i="1" s="1"/>
  <c r="J1107" i="1" a="1"/>
  <c r="J1107" i="1" s="1"/>
  <c r="K1107" i="1" s="1" a="1"/>
  <c r="K1107" i="1" s="1"/>
  <c r="J1108" i="1" a="1"/>
  <c r="J1108" i="1" s="1"/>
  <c r="K1108" i="1" s="1" a="1"/>
  <c r="K1108" i="1" s="1"/>
  <c r="J1109" i="1" a="1"/>
  <c r="J1109" i="1" s="1"/>
  <c r="K1109" i="1" s="1" a="1"/>
  <c r="K1109" i="1" s="1"/>
  <c r="J1110" i="1" a="1"/>
  <c r="J1110" i="1" s="1"/>
  <c r="K1110" i="1" s="1" a="1"/>
  <c r="K1110" i="1" s="1"/>
  <c r="J1111" i="1" a="1"/>
  <c r="J1111" i="1" s="1"/>
  <c r="K1111" i="1" s="1" a="1"/>
  <c r="K1111" i="1" s="1"/>
  <c r="J1112" i="1" a="1"/>
  <c r="J1112" i="1" s="1"/>
  <c r="K1112" i="1" s="1" a="1"/>
  <c r="K1112" i="1" s="1"/>
  <c r="J1113" i="1" a="1"/>
  <c r="J1113" i="1" s="1"/>
  <c r="K1113" i="1" s="1" a="1"/>
  <c r="K1113" i="1" s="1"/>
  <c r="J1114" i="1" a="1"/>
  <c r="J1114" i="1" s="1"/>
  <c r="K1114" i="1" s="1" a="1"/>
  <c r="K1114" i="1" s="1"/>
  <c r="J1115" i="1" a="1"/>
  <c r="J1115" i="1" s="1"/>
  <c r="K1115" i="1" s="1" a="1"/>
  <c r="K1115" i="1" s="1"/>
  <c r="J1116" i="1" a="1"/>
  <c r="J1116" i="1" s="1"/>
  <c r="K1116" i="1" s="1" a="1"/>
  <c r="K1116" i="1" s="1"/>
  <c r="J1117" i="1" a="1"/>
  <c r="J1117" i="1" s="1"/>
  <c r="K1117" i="1" s="1" a="1"/>
  <c r="K1117" i="1" s="1"/>
  <c r="J1118" i="1" a="1"/>
  <c r="J1118" i="1" s="1"/>
  <c r="K1118" i="1" s="1" a="1"/>
  <c r="K1118" i="1" s="1"/>
  <c r="J1119" i="1" a="1"/>
  <c r="J1119" i="1" s="1"/>
  <c r="K1119" i="1" s="1" a="1"/>
  <c r="K1119" i="1" s="1"/>
  <c r="J1120" i="1" a="1"/>
  <c r="J1120" i="1" s="1"/>
  <c r="K1120" i="1" s="1" a="1"/>
  <c r="K1120" i="1" s="1"/>
  <c r="J1121" i="1" a="1"/>
  <c r="J1121" i="1" s="1"/>
  <c r="K1121" i="1" s="1" a="1"/>
  <c r="K1121" i="1" s="1"/>
  <c r="J1122" i="1" a="1"/>
  <c r="J1122" i="1" s="1"/>
  <c r="K1122" i="1" s="1" a="1"/>
  <c r="K1122" i="1" s="1"/>
  <c r="J1123" i="1" a="1"/>
  <c r="J1123" i="1" s="1"/>
  <c r="K1123" i="1" s="1" a="1"/>
  <c r="K1123" i="1" s="1"/>
  <c r="J1124" i="1" a="1"/>
  <c r="J1124" i="1" s="1"/>
  <c r="K1124" i="1" s="1" a="1"/>
  <c r="K1124" i="1" s="1"/>
  <c r="J1125" i="1" a="1"/>
  <c r="J1125" i="1" s="1"/>
  <c r="K1125" i="1" s="1" a="1"/>
  <c r="K1125" i="1" s="1"/>
  <c r="J1126" i="1" a="1"/>
  <c r="J1126" i="1" s="1"/>
  <c r="K1126" i="1" s="1" a="1"/>
  <c r="K1126" i="1" s="1"/>
  <c r="J1127" i="1" a="1"/>
  <c r="J1127" i="1" s="1"/>
  <c r="K1127" i="1" s="1" a="1"/>
  <c r="K1127" i="1" s="1"/>
  <c r="J1128" i="1" a="1"/>
  <c r="J1128" i="1" s="1"/>
  <c r="K1128" i="1" s="1" a="1"/>
  <c r="K1128" i="1" s="1"/>
  <c r="J1129" i="1" a="1"/>
  <c r="J1129" i="1" s="1"/>
  <c r="K1129" i="1" s="1" a="1"/>
  <c r="K1129" i="1" s="1"/>
  <c r="J1130" i="1" a="1"/>
  <c r="J1130" i="1" s="1"/>
  <c r="K1130" i="1" s="1" a="1"/>
  <c r="K1130" i="1" s="1"/>
  <c r="J1131" i="1" a="1"/>
  <c r="J1131" i="1" s="1"/>
  <c r="K1131" i="1" s="1" a="1"/>
  <c r="K1131" i="1" s="1"/>
  <c r="J1132" i="1" a="1"/>
  <c r="J1132" i="1" s="1"/>
  <c r="K1132" i="1" s="1" a="1"/>
  <c r="K1132" i="1" s="1"/>
  <c r="J1133" i="1" a="1"/>
  <c r="J1133" i="1" s="1"/>
  <c r="K1133" i="1" s="1" a="1"/>
  <c r="K1133" i="1" s="1"/>
  <c r="J1134" i="1" a="1"/>
  <c r="J1134" i="1" s="1"/>
  <c r="K1134" i="1" s="1" a="1"/>
  <c r="K1134" i="1" s="1"/>
  <c r="J1135" i="1" a="1"/>
  <c r="J1135" i="1" s="1"/>
  <c r="K1135" i="1" s="1" a="1"/>
  <c r="K1135" i="1" s="1"/>
  <c r="J1136" i="1" a="1"/>
  <c r="J1136" i="1" s="1"/>
  <c r="K1136" i="1" s="1" a="1"/>
  <c r="K1136" i="1" s="1"/>
  <c r="J1137" i="1" a="1"/>
  <c r="J1137" i="1" s="1"/>
  <c r="K1137" i="1" s="1" a="1"/>
  <c r="K1137" i="1" s="1"/>
  <c r="J1138" i="1" a="1"/>
  <c r="J1138" i="1" s="1"/>
  <c r="K1138" i="1" s="1" a="1"/>
  <c r="K1138" i="1" s="1"/>
  <c r="J1139" i="1" a="1"/>
  <c r="J1139" i="1" s="1"/>
  <c r="K1139" i="1" s="1" a="1"/>
  <c r="K1139" i="1" s="1"/>
  <c r="J1140" i="1" a="1"/>
  <c r="J1140" i="1" s="1"/>
  <c r="K1140" i="1" s="1" a="1"/>
  <c r="K1140" i="1" s="1"/>
  <c r="J1141" i="1" a="1"/>
  <c r="J1141" i="1" s="1"/>
  <c r="K1141" i="1" s="1" a="1"/>
  <c r="K1141" i="1" s="1"/>
  <c r="J1142" i="1" a="1"/>
  <c r="J1142" i="1" s="1"/>
  <c r="K1142" i="1" s="1" a="1"/>
  <c r="K1142" i="1" s="1"/>
  <c r="J1143" i="1" a="1"/>
  <c r="J1143" i="1" s="1"/>
  <c r="K1143" i="1" s="1" a="1"/>
  <c r="K1143" i="1" s="1"/>
  <c r="J1144" i="1" a="1"/>
  <c r="J1144" i="1" s="1"/>
  <c r="K1144" i="1" s="1" a="1"/>
  <c r="K1144" i="1" s="1"/>
  <c r="J1145" i="1" a="1"/>
  <c r="J1145" i="1" s="1"/>
  <c r="K1145" i="1" s="1" a="1"/>
  <c r="K1145" i="1" s="1"/>
  <c r="J1146" i="1" a="1"/>
  <c r="J1146" i="1" s="1"/>
  <c r="K1146" i="1" s="1" a="1"/>
  <c r="K1146" i="1" s="1"/>
  <c r="J1147" i="1" a="1"/>
  <c r="J1147" i="1" s="1"/>
  <c r="K1147" i="1" s="1" a="1"/>
  <c r="K1147" i="1" s="1"/>
  <c r="J1148" i="1" a="1"/>
  <c r="J1148" i="1" s="1"/>
  <c r="K1148" i="1" s="1" a="1"/>
  <c r="K1148" i="1" s="1"/>
  <c r="J1149" i="1" a="1"/>
  <c r="J1149" i="1" s="1"/>
  <c r="K1149" i="1" s="1" a="1"/>
  <c r="K1149" i="1" s="1"/>
  <c r="J1150" i="1" a="1"/>
  <c r="J1150" i="1"/>
  <c r="K1150" i="1" s="1" a="1"/>
  <c r="K1150" i="1" s="1"/>
  <c r="J1151" i="1" a="1"/>
  <c r="J1151" i="1" s="1"/>
  <c r="K1151" i="1" s="1" a="1"/>
  <c r="K1151" i="1" s="1"/>
  <c r="J1152" i="1" a="1"/>
  <c r="J1152" i="1" s="1"/>
  <c r="K1152" i="1" s="1" a="1"/>
  <c r="K1152" i="1" s="1"/>
  <c r="J1153" i="1" a="1"/>
  <c r="J1153" i="1" s="1"/>
  <c r="K1153" i="1" s="1" a="1"/>
  <c r="K1153" i="1" s="1"/>
  <c r="J1154" i="1" a="1"/>
  <c r="J1154" i="1" s="1"/>
  <c r="K1154" i="1" s="1" a="1"/>
  <c r="K1154" i="1" s="1"/>
  <c r="J1155" i="1" a="1"/>
  <c r="J1155" i="1" s="1"/>
  <c r="K1155" i="1" s="1" a="1"/>
  <c r="K1155" i="1" s="1"/>
  <c r="J1156" i="1" a="1"/>
  <c r="J1156" i="1" s="1"/>
  <c r="K1156" i="1" s="1" a="1"/>
  <c r="K1156" i="1" s="1"/>
  <c r="J1157" i="1" a="1"/>
  <c r="J1157" i="1" s="1"/>
  <c r="K1157" i="1" s="1" a="1"/>
  <c r="K1157" i="1" s="1"/>
  <c r="J1158" i="1" a="1"/>
  <c r="J1158" i="1" s="1"/>
  <c r="K1158" i="1" s="1" a="1"/>
  <c r="K1158" i="1" s="1"/>
  <c r="J1159" i="1" a="1"/>
  <c r="J1159" i="1" s="1"/>
  <c r="K1159" i="1" s="1" a="1"/>
  <c r="K1159" i="1" s="1"/>
  <c r="J1160" i="1" a="1"/>
  <c r="J1160" i="1" s="1"/>
  <c r="K1160" i="1" s="1" a="1"/>
  <c r="K1160" i="1" s="1"/>
  <c r="J1161" i="1" a="1"/>
  <c r="J1161" i="1" s="1"/>
  <c r="K1161" i="1" s="1" a="1"/>
  <c r="K1161" i="1" s="1"/>
  <c r="J1162" i="1" a="1"/>
  <c r="J1162" i="1" s="1"/>
  <c r="K1162" i="1" s="1" a="1"/>
  <c r="K1162" i="1" s="1"/>
  <c r="J1163" i="1" a="1"/>
  <c r="J1163" i="1" s="1"/>
  <c r="K1163" i="1" s="1" a="1"/>
  <c r="K1163" i="1" s="1"/>
  <c r="J1164" i="1" a="1"/>
  <c r="J1164" i="1" s="1"/>
  <c r="K1164" i="1" s="1" a="1"/>
  <c r="K1164" i="1" s="1"/>
  <c r="J1165" i="1" a="1"/>
  <c r="J1165" i="1" s="1"/>
  <c r="K1165" i="1" s="1" a="1"/>
  <c r="K1165" i="1" s="1"/>
  <c r="J1166" i="1" a="1"/>
  <c r="J1166" i="1" s="1"/>
  <c r="K1166" i="1" s="1" a="1"/>
  <c r="K1166" i="1" s="1"/>
  <c r="J1167" i="1" a="1"/>
  <c r="J1167" i="1" s="1"/>
  <c r="K1167" i="1" s="1" a="1"/>
  <c r="K1167" i="1" s="1"/>
  <c r="J1168" i="1" a="1"/>
  <c r="J1168" i="1" s="1"/>
  <c r="K1168" i="1" s="1" a="1"/>
  <c r="K1168" i="1" s="1"/>
  <c r="J1169" i="1" a="1"/>
  <c r="J1169" i="1" s="1"/>
  <c r="K1169" i="1" s="1" a="1"/>
  <c r="K1169" i="1" s="1"/>
  <c r="J1170" i="1" a="1"/>
  <c r="J1170" i="1" s="1"/>
  <c r="K1170" i="1" s="1" a="1"/>
  <c r="K1170" i="1" s="1"/>
  <c r="J1171" i="1" a="1"/>
  <c r="J1171" i="1" s="1"/>
  <c r="K1171" i="1" s="1" a="1"/>
  <c r="K1171" i="1" s="1"/>
  <c r="J1172" i="1" a="1"/>
  <c r="J1172" i="1" s="1"/>
  <c r="K1172" i="1" s="1" a="1"/>
  <c r="K1172" i="1" s="1"/>
  <c r="J1173" i="1" a="1"/>
  <c r="J1173" i="1"/>
  <c r="K1173" i="1" s="1" a="1"/>
  <c r="K1173" i="1" s="1"/>
  <c r="J1174" i="1" a="1"/>
  <c r="J1174" i="1" s="1"/>
  <c r="K1174" i="1" s="1" a="1"/>
  <c r="K1174" i="1" s="1"/>
  <c r="J1175" i="1" a="1"/>
  <c r="J1175" i="1" s="1"/>
  <c r="K1175" i="1" s="1" a="1"/>
  <c r="K1175" i="1" s="1"/>
  <c r="J1176" i="1" a="1"/>
  <c r="J1176" i="1" s="1"/>
  <c r="K1176" i="1" s="1" a="1"/>
  <c r="K1176" i="1" s="1"/>
  <c r="J1177" i="1" a="1"/>
  <c r="J1177" i="1" s="1"/>
  <c r="K1177" i="1" s="1" a="1"/>
  <c r="K1177" i="1" s="1"/>
  <c r="J1178" i="1" a="1"/>
  <c r="J1178" i="1" s="1"/>
  <c r="K1178" i="1" s="1" a="1"/>
  <c r="K1178" i="1" s="1"/>
  <c r="J1179" i="1" a="1"/>
  <c r="J1179" i="1" s="1"/>
  <c r="K1179" i="1" s="1" a="1"/>
  <c r="K1179" i="1" s="1"/>
  <c r="J1180" i="1" a="1"/>
  <c r="J1180" i="1" s="1"/>
  <c r="K1180" i="1" s="1" a="1"/>
  <c r="K1180" i="1" s="1"/>
  <c r="J1181" i="1" a="1"/>
  <c r="J1181" i="1" s="1"/>
  <c r="K1181" i="1" s="1" a="1"/>
  <c r="K1181" i="1" s="1"/>
  <c r="J1182" i="1" a="1"/>
  <c r="J1182" i="1" s="1"/>
  <c r="K1182" i="1" s="1" a="1"/>
  <c r="K1182" i="1" s="1"/>
  <c r="J1183" i="1" a="1"/>
  <c r="J1183" i="1" s="1"/>
  <c r="K1183" i="1" s="1" a="1"/>
  <c r="K1183" i="1" s="1"/>
  <c r="J1184" i="1" a="1"/>
  <c r="J1184" i="1" s="1"/>
  <c r="K1184" i="1" s="1" a="1"/>
  <c r="K1184" i="1" s="1"/>
  <c r="J1185" i="1" a="1"/>
  <c r="J1185" i="1" s="1"/>
  <c r="K1185" i="1" s="1" a="1"/>
  <c r="K1185" i="1" s="1"/>
  <c r="J1186" i="1" a="1"/>
  <c r="J1186" i="1" s="1"/>
  <c r="K1186" i="1" s="1" a="1"/>
  <c r="K1186" i="1" s="1"/>
  <c r="J1187" i="1" a="1"/>
  <c r="J1187" i="1" s="1"/>
  <c r="K1187" i="1" s="1" a="1"/>
  <c r="K1187" i="1" s="1"/>
  <c r="J1188" i="1" a="1"/>
  <c r="J1188" i="1" s="1"/>
  <c r="K1188" i="1" s="1" a="1"/>
  <c r="K1188" i="1" s="1"/>
  <c r="J1189" i="1" a="1"/>
  <c r="J1189" i="1" s="1"/>
  <c r="K1189" i="1" s="1" a="1"/>
  <c r="K1189" i="1" s="1"/>
  <c r="J1190" i="1" a="1"/>
  <c r="J1190" i="1" s="1"/>
  <c r="K1190" i="1" s="1" a="1"/>
  <c r="K1190" i="1" s="1"/>
  <c r="J1191" i="1" a="1"/>
  <c r="J1191" i="1" s="1"/>
  <c r="K1191" i="1" s="1" a="1"/>
  <c r="K1191" i="1" s="1"/>
  <c r="J1192" i="1" a="1"/>
  <c r="J1192" i="1" s="1"/>
  <c r="K1192" i="1" s="1" a="1"/>
  <c r="K1192" i="1" s="1"/>
  <c r="J1193" i="1" a="1"/>
  <c r="J1193" i="1" s="1"/>
  <c r="K1193" i="1" s="1" a="1"/>
  <c r="K1193" i="1" s="1"/>
  <c r="J1194" i="1" a="1"/>
  <c r="J1194" i="1" s="1"/>
  <c r="K1194" i="1" s="1" a="1"/>
  <c r="K1194" i="1" s="1"/>
  <c r="J1195" i="1" a="1"/>
  <c r="J1195" i="1" s="1"/>
  <c r="K1195" i="1" s="1" a="1"/>
  <c r="K1195" i="1" s="1"/>
  <c r="J1196" i="1" a="1"/>
  <c r="J1196" i="1" s="1"/>
  <c r="K1196" i="1" s="1" a="1"/>
  <c r="K1196" i="1" s="1"/>
  <c r="J1197" i="1" a="1"/>
  <c r="J1197" i="1" s="1"/>
  <c r="K1197" i="1" s="1" a="1"/>
  <c r="K1197" i="1" s="1"/>
  <c r="J1198" i="1" a="1"/>
  <c r="J1198" i="1" s="1"/>
  <c r="K1198" i="1" s="1" a="1"/>
  <c r="K1198" i="1" s="1"/>
  <c r="J1199" i="1" a="1"/>
  <c r="J1199" i="1" s="1"/>
  <c r="K1199" i="1" s="1" a="1"/>
  <c r="K1199" i="1" s="1"/>
  <c r="J1200" i="1" a="1"/>
  <c r="J1200" i="1" s="1"/>
  <c r="K1200" i="1" s="1" a="1"/>
  <c r="K1200" i="1" s="1"/>
  <c r="J1201" i="1" a="1"/>
  <c r="J1201" i="1" s="1"/>
  <c r="K1201" i="1" s="1" a="1"/>
  <c r="K1201" i="1" s="1"/>
  <c r="J1202" i="1" a="1"/>
  <c r="J1202" i="1" s="1"/>
  <c r="K1202" i="1" s="1" a="1"/>
  <c r="K1202" i="1" s="1"/>
  <c r="J1203" i="1" a="1"/>
  <c r="J1203" i="1" s="1"/>
  <c r="K1203" i="1" s="1" a="1"/>
  <c r="K1203" i="1" s="1"/>
  <c r="J1204" i="1" a="1"/>
  <c r="J1204" i="1" s="1"/>
  <c r="K1204" i="1" s="1" a="1"/>
  <c r="K1204" i="1" s="1"/>
  <c r="J1205" i="1" a="1"/>
  <c r="J1205" i="1" s="1"/>
  <c r="K1205" i="1" s="1" a="1"/>
  <c r="K1205" i="1" s="1"/>
  <c r="J1206" i="1" a="1"/>
  <c r="J1206" i="1" s="1"/>
  <c r="K1206" i="1" s="1" a="1"/>
  <c r="K1206" i="1" s="1"/>
  <c r="J1207" i="1" a="1"/>
  <c r="J1207" i="1" s="1"/>
  <c r="K1207" i="1" s="1" a="1"/>
  <c r="K1207" i="1" s="1"/>
  <c r="J1208" i="1" a="1"/>
  <c r="J1208" i="1" s="1"/>
  <c r="K1208" i="1" s="1" a="1"/>
  <c r="K1208" i="1" s="1"/>
  <c r="J1209" i="1" a="1"/>
  <c r="J1209" i="1" s="1"/>
  <c r="K1209" i="1" s="1" a="1"/>
  <c r="K1209" i="1" s="1"/>
  <c r="J1210" i="1" a="1"/>
  <c r="J1210" i="1" s="1"/>
  <c r="K1210" i="1" s="1" a="1"/>
  <c r="K1210" i="1" s="1"/>
  <c r="J1211" i="1" a="1"/>
  <c r="J1211" i="1" s="1"/>
  <c r="K1211" i="1" s="1" a="1"/>
  <c r="K1211" i="1" s="1"/>
  <c r="J1212" i="1" a="1"/>
  <c r="J1212" i="1" s="1"/>
  <c r="K1212" i="1" s="1" a="1"/>
  <c r="K1212" i="1" s="1"/>
  <c r="J1213" i="1" a="1"/>
  <c r="J1213" i="1" s="1"/>
  <c r="K1213" i="1" s="1" a="1"/>
  <c r="K1213" i="1" s="1"/>
  <c r="J1214" i="1" a="1"/>
  <c r="J1214" i="1" s="1"/>
  <c r="K1214" i="1" s="1" a="1"/>
  <c r="K1214" i="1" s="1"/>
  <c r="J1215" i="1" a="1"/>
  <c r="J1215" i="1" s="1"/>
  <c r="K1215" i="1" s="1" a="1"/>
  <c r="K1215" i="1" s="1"/>
  <c r="J1216" i="1" a="1"/>
  <c r="J1216" i="1" s="1"/>
  <c r="K1216" i="1" s="1" a="1"/>
  <c r="K1216" i="1" s="1"/>
  <c r="J1217" i="1" a="1"/>
  <c r="J1217" i="1" s="1"/>
  <c r="K1217" i="1" s="1" a="1"/>
  <c r="K1217" i="1" s="1"/>
  <c r="J1218" i="1" a="1"/>
  <c r="J1218" i="1" s="1"/>
  <c r="K1218" i="1" s="1" a="1"/>
  <c r="K1218" i="1" s="1"/>
  <c r="J1219" i="1" a="1"/>
  <c r="J1219" i="1" s="1"/>
  <c r="K1219" i="1" s="1" a="1"/>
  <c r="K1219" i="1" s="1"/>
  <c r="J1220" i="1" a="1"/>
  <c r="J1220" i="1" s="1"/>
  <c r="K1220" i="1" s="1" a="1"/>
  <c r="K1220" i="1" s="1"/>
  <c r="J1221" i="1" a="1"/>
  <c r="J1221" i="1" s="1"/>
  <c r="K1221" i="1" s="1" a="1"/>
  <c r="K1221" i="1" s="1"/>
  <c r="J1222" i="1" a="1"/>
  <c r="J1222" i="1" s="1"/>
  <c r="K1222" i="1" s="1" a="1"/>
  <c r="K1222" i="1" s="1"/>
  <c r="J1223" i="1" a="1"/>
  <c r="J1223" i="1" s="1"/>
  <c r="K1223" i="1" s="1" a="1"/>
  <c r="K1223" i="1" s="1"/>
  <c r="J1224" i="1" a="1"/>
  <c r="J1224" i="1" s="1"/>
  <c r="K1224" i="1" s="1" a="1"/>
  <c r="K1224" i="1" s="1"/>
  <c r="J1225" i="1" a="1"/>
  <c r="J1225" i="1" s="1"/>
  <c r="K1225" i="1" s="1" a="1"/>
  <c r="K1225" i="1" s="1"/>
  <c r="J1226" i="1" a="1"/>
  <c r="J1226" i="1" s="1"/>
  <c r="K1226" i="1" s="1" a="1"/>
  <c r="K1226" i="1" s="1"/>
  <c r="J1227" i="1" a="1"/>
  <c r="J1227" i="1" s="1"/>
  <c r="K1227" i="1" s="1" a="1"/>
  <c r="K1227" i="1" s="1"/>
  <c r="J1228" i="1" a="1"/>
  <c r="J1228" i="1" s="1"/>
  <c r="K1228" i="1" s="1" a="1"/>
  <c r="K1228" i="1" s="1"/>
  <c r="J1229" i="1" a="1"/>
  <c r="J1229" i="1" s="1"/>
  <c r="K1229" i="1" s="1" a="1"/>
  <c r="K1229" i="1" s="1"/>
  <c r="J1230" i="1" a="1"/>
  <c r="J1230" i="1" s="1"/>
  <c r="K1230" i="1" s="1" a="1"/>
  <c r="K1230" i="1" s="1"/>
  <c r="J1231" i="1" a="1"/>
  <c r="J1231" i="1" s="1"/>
  <c r="K1231" i="1" s="1" a="1"/>
  <c r="K1231" i="1" s="1"/>
  <c r="J1232" i="1" a="1"/>
  <c r="J1232" i="1" s="1"/>
  <c r="K1232" i="1" s="1" a="1"/>
  <c r="K1232" i="1" s="1"/>
  <c r="J1233" i="1" a="1"/>
  <c r="J1233" i="1" s="1"/>
  <c r="K1233" i="1" s="1" a="1"/>
  <c r="K1233" i="1" s="1"/>
  <c r="J1234" i="1" a="1"/>
  <c r="J1234" i="1" s="1"/>
  <c r="K1234" i="1" s="1" a="1"/>
  <c r="K1234" i="1" s="1"/>
  <c r="J1235" i="1" a="1"/>
  <c r="J1235" i="1" s="1"/>
  <c r="K1235" i="1" s="1" a="1"/>
  <c r="K1235" i="1" s="1"/>
  <c r="J1236" i="1" a="1"/>
  <c r="J1236" i="1" s="1"/>
  <c r="K1236" i="1" s="1" a="1"/>
  <c r="K1236" i="1" s="1"/>
  <c r="J1237" i="1" a="1"/>
  <c r="J1237" i="1" s="1"/>
  <c r="K1237" i="1" s="1" a="1"/>
  <c r="K1237" i="1" s="1"/>
  <c r="J1238" i="1" a="1"/>
  <c r="J1238" i="1" s="1"/>
  <c r="K1238" i="1" s="1" a="1"/>
  <c r="K1238" i="1" s="1"/>
  <c r="J1239" i="1" a="1"/>
  <c r="J1239" i="1" s="1"/>
  <c r="K1239" i="1" s="1" a="1"/>
  <c r="K1239" i="1" s="1"/>
  <c r="J1240" i="1" a="1"/>
  <c r="J1240" i="1" s="1"/>
  <c r="K1240" i="1" s="1" a="1"/>
  <c r="K1240" i="1" s="1"/>
  <c r="J1241" i="1" a="1"/>
  <c r="J1241" i="1" s="1"/>
  <c r="K1241" i="1" s="1" a="1"/>
  <c r="K1241" i="1" s="1"/>
  <c r="J1242" i="1" a="1"/>
  <c r="J1242" i="1" s="1"/>
  <c r="K1242" i="1" s="1" a="1"/>
  <c r="K1242" i="1" s="1"/>
  <c r="J1243" i="1" a="1"/>
  <c r="J1243" i="1" s="1"/>
  <c r="K1243" i="1" s="1" a="1"/>
  <c r="K1243" i="1" s="1"/>
  <c r="J1244" i="1" a="1"/>
  <c r="J1244" i="1" s="1"/>
  <c r="K1244" i="1" s="1" a="1"/>
  <c r="K1244" i="1" s="1"/>
  <c r="J1245" i="1" a="1"/>
  <c r="J1245" i="1" s="1"/>
  <c r="K1245" i="1" s="1" a="1"/>
  <c r="K1245" i="1" s="1"/>
  <c r="J1246" i="1" a="1"/>
  <c r="J1246" i="1" s="1"/>
  <c r="K1246" i="1" s="1" a="1"/>
  <c r="K1246" i="1" s="1"/>
  <c r="J1247" i="1" a="1"/>
  <c r="J1247" i="1" s="1"/>
  <c r="K1247" i="1" s="1" a="1"/>
  <c r="K1247" i="1" s="1"/>
  <c r="J1248" i="1" a="1"/>
  <c r="J1248" i="1" s="1"/>
  <c r="K1248" i="1" s="1" a="1"/>
  <c r="K1248" i="1" s="1"/>
  <c r="J1249" i="1" a="1"/>
  <c r="J1249" i="1" s="1"/>
  <c r="K1249" i="1" s="1" a="1"/>
  <c r="K1249" i="1" s="1"/>
  <c r="J1250" i="1" a="1"/>
  <c r="J1250" i="1" s="1"/>
  <c r="K1250" i="1" s="1" a="1"/>
  <c r="K1250" i="1" s="1"/>
  <c r="J1251" i="1" a="1"/>
  <c r="J1251" i="1" s="1"/>
  <c r="K1251" i="1" s="1" a="1"/>
  <c r="K1251" i="1" s="1"/>
  <c r="J1252" i="1" a="1"/>
  <c r="J1252" i="1" s="1"/>
  <c r="K1252" i="1" s="1" a="1"/>
  <c r="K1252" i="1" s="1"/>
  <c r="J1253" i="1" a="1"/>
  <c r="J1253" i="1" s="1"/>
  <c r="K1253" i="1" s="1" a="1"/>
  <c r="K1253" i="1" s="1"/>
  <c r="J1254" i="1" a="1"/>
  <c r="J1254" i="1" s="1"/>
  <c r="K1254" i="1" s="1" a="1"/>
  <c r="K1254" i="1" s="1"/>
  <c r="J1255" i="1" a="1"/>
  <c r="J1255" i="1" s="1"/>
  <c r="K1255" i="1" s="1" a="1"/>
  <c r="K1255" i="1" s="1"/>
  <c r="J1256" i="1" a="1"/>
  <c r="J1256" i="1" s="1"/>
  <c r="K1256" i="1" s="1" a="1"/>
  <c r="K1256" i="1" s="1"/>
  <c r="J1257" i="1" a="1"/>
  <c r="J1257" i="1" s="1"/>
  <c r="K1257" i="1" s="1" a="1"/>
  <c r="K1257" i="1" s="1"/>
  <c r="J1258" i="1" a="1"/>
  <c r="J1258" i="1" s="1"/>
  <c r="K1258" i="1" s="1" a="1"/>
  <c r="K1258" i="1" s="1"/>
  <c r="J1259" i="1" a="1"/>
  <c r="J1259" i="1" s="1"/>
  <c r="K1259" i="1" s="1" a="1"/>
  <c r="K1259" i="1" s="1"/>
  <c r="J1260" i="1" a="1"/>
  <c r="J1260" i="1" s="1"/>
  <c r="K1260" i="1" s="1" a="1"/>
  <c r="K1260" i="1" s="1"/>
  <c r="J1261" i="1" a="1"/>
  <c r="J1261" i="1" s="1"/>
  <c r="K1261" i="1" s="1" a="1"/>
  <c r="K1261" i="1" s="1"/>
  <c r="J1262" i="1" a="1"/>
  <c r="J1262" i="1" s="1"/>
  <c r="K1262" i="1" s="1" a="1"/>
  <c r="K1262" i="1" s="1"/>
  <c r="J1263" i="1" a="1"/>
  <c r="J1263" i="1" s="1"/>
  <c r="K1263" i="1" s="1" a="1"/>
  <c r="K1263" i="1" s="1"/>
  <c r="J1264" i="1" a="1"/>
  <c r="J1264" i="1" s="1"/>
  <c r="K1264" i="1" s="1" a="1"/>
  <c r="K1264" i="1" s="1"/>
  <c r="J1265" i="1" a="1"/>
  <c r="J1265" i="1"/>
  <c r="K1265" i="1" s="1" a="1"/>
  <c r="K1265" i="1" s="1"/>
  <c r="J1266" i="1" a="1"/>
  <c r="J1266" i="1" s="1"/>
  <c r="K1266" i="1" s="1" a="1"/>
  <c r="K1266" i="1" s="1"/>
  <c r="J1267" i="1" a="1"/>
  <c r="J1267" i="1" s="1"/>
  <c r="K1267" i="1" s="1" a="1"/>
  <c r="K1267" i="1" s="1"/>
  <c r="J1268" i="1" a="1"/>
  <c r="J1268" i="1" s="1"/>
  <c r="K1268" i="1" s="1" a="1"/>
  <c r="K1268" i="1" s="1"/>
  <c r="J1269" i="1" a="1"/>
  <c r="J1269" i="1" s="1"/>
  <c r="K1269" i="1" s="1" a="1"/>
  <c r="K1269" i="1" s="1"/>
  <c r="J1270" i="1" a="1"/>
  <c r="J1270" i="1" s="1"/>
  <c r="K1270" i="1" s="1" a="1"/>
  <c r="K1270" i="1" s="1"/>
  <c r="J1271" i="1" a="1"/>
  <c r="J1271" i="1" s="1"/>
  <c r="K1271" i="1" s="1" a="1"/>
  <c r="K1271" i="1" s="1"/>
  <c r="J1272" i="1" a="1"/>
  <c r="J1272" i="1" s="1"/>
  <c r="K1272" i="1" s="1" a="1"/>
  <c r="K1272" i="1" s="1"/>
  <c r="J1273" i="1" a="1"/>
  <c r="J1273" i="1" s="1"/>
  <c r="K1273" i="1" s="1" a="1"/>
  <c r="K1273" i="1" s="1"/>
  <c r="J1274" i="1" a="1"/>
  <c r="J1274" i="1" s="1"/>
  <c r="K1274" i="1" s="1" a="1"/>
  <c r="K1274" i="1" s="1"/>
  <c r="J1275" i="1" a="1"/>
  <c r="J1275" i="1"/>
  <c r="K1275" i="1" s="1" a="1"/>
  <c r="K1275" i="1" s="1"/>
  <c r="J1276" i="1" a="1"/>
  <c r="J1276" i="1" s="1"/>
  <c r="K1276" i="1" s="1" a="1"/>
  <c r="K1276" i="1" s="1"/>
  <c r="J1277" i="1" a="1"/>
  <c r="J1277" i="1" s="1"/>
  <c r="K1277" i="1" s="1" a="1"/>
  <c r="K1277" i="1" s="1"/>
  <c r="J1278" i="1" a="1"/>
  <c r="J1278" i="1" s="1"/>
  <c r="K1278" i="1" s="1" a="1"/>
  <c r="K1278" i="1" s="1"/>
  <c r="J1279" i="1" a="1"/>
  <c r="J1279" i="1" s="1"/>
  <c r="K1279" i="1" s="1" a="1"/>
  <c r="K1279" i="1" s="1"/>
  <c r="J1280" i="1" a="1"/>
  <c r="J1280" i="1" s="1"/>
  <c r="K1280" i="1" s="1" a="1"/>
  <c r="K1280" i="1" s="1"/>
  <c r="J1281" i="1" a="1"/>
  <c r="J1281" i="1" s="1"/>
  <c r="K1281" i="1" s="1" a="1"/>
  <c r="K1281" i="1" s="1"/>
  <c r="J1282" i="1" a="1"/>
  <c r="J1282" i="1" s="1"/>
  <c r="K1282" i="1" s="1" a="1"/>
  <c r="K1282" i="1" s="1"/>
  <c r="J1283" i="1" a="1"/>
  <c r="J1283" i="1" s="1"/>
  <c r="K1283" i="1" s="1" a="1"/>
  <c r="K1283" i="1" s="1"/>
  <c r="J1284" i="1" a="1"/>
  <c r="J1284" i="1" s="1"/>
  <c r="K1284" i="1" s="1" a="1"/>
  <c r="K1284" i="1" s="1"/>
  <c r="J1285" i="1" a="1"/>
  <c r="J1285" i="1" s="1"/>
  <c r="K1285" i="1" s="1" a="1"/>
  <c r="K1285" i="1" s="1"/>
  <c r="J1286" i="1" a="1"/>
  <c r="J1286" i="1" s="1"/>
  <c r="K1286" i="1" s="1" a="1"/>
  <c r="K1286" i="1" s="1"/>
  <c r="J1287" i="1" a="1"/>
  <c r="J1287" i="1" s="1"/>
  <c r="K1287" i="1" s="1" a="1"/>
  <c r="K1287" i="1" s="1"/>
  <c r="J1288" i="1" a="1"/>
  <c r="J1288" i="1" s="1"/>
  <c r="K1288" i="1" s="1" a="1"/>
  <c r="K1288" i="1" s="1"/>
  <c r="J1289" i="1" a="1"/>
  <c r="J1289" i="1" s="1"/>
  <c r="K1289" i="1" s="1" a="1"/>
  <c r="K1289" i="1" s="1"/>
  <c r="J1290" i="1" a="1"/>
  <c r="J1290" i="1" s="1"/>
  <c r="K1290" i="1" s="1" a="1"/>
  <c r="K1290" i="1" s="1"/>
  <c r="J1291" i="1" a="1"/>
  <c r="J1291" i="1" s="1"/>
  <c r="K1291" i="1" s="1" a="1"/>
  <c r="K1291" i="1" s="1"/>
  <c r="J1292" i="1" a="1"/>
  <c r="J1292" i="1" s="1"/>
  <c r="K1292" i="1" s="1" a="1"/>
  <c r="K1292" i="1" s="1"/>
  <c r="J1293" i="1" a="1"/>
  <c r="J1293" i="1" s="1"/>
  <c r="K1293" i="1" s="1" a="1"/>
  <c r="K1293" i="1" s="1"/>
  <c r="J1294" i="1" a="1"/>
  <c r="J1294" i="1" s="1"/>
  <c r="K1294" i="1" s="1" a="1"/>
  <c r="K1294" i="1" s="1"/>
  <c r="J1295" i="1" a="1"/>
  <c r="J1295" i="1" s="1"/>
  <c r="K1295" i="1" s="1" a="1"/>
  <c r="K1295" i="1" s="1"/>
  <c r="J1296" i="1" a="1"/>
  <c r="J1296" i="1" s="1"/>
  <c r="K1296" i="1" s="1" a="1"/>
  <c r="K1296" i="1" s="1"/>
  <c r="J1297" i="1" a="1"/>
  <c r="J1297" i="1" s="1"/>
  <c r="K1297" i="1" s="1" a="1"/>
  <c r="K1297" i="1" s="1"/>
  <c r="J1298" i="1" a="1"/>
  <c r="J1298" i="1" s="1"/>
  <c r="K1298" i="1" s="1" a="1"/>
  <c r="K1298" i="1" s="1"/>
  <c r="J1299" i="1" a="1"/>
  <c r="J1299" i="1" s="1"/>
  <c r="K1299" i="1" s="1" a="1"/>
  <c r="K1299" i="1" s="1"/>
  <c r="J1300" i="1" a="1"/>
  <c r="J1300" i="1" s="1"/>
  <c r="K1300" i="1" s="1" a="1"/>
  <c r="K1300" i="1" s="1"/>
  <c r="J1301" i="1" a="1"/>
  <c r="J1301" i="1" s="1"/>
  <c r="K1301" i="1" s="1" a="1"/>
  <c r="K1301" i="1" s="1"/>
  <c r="J1302" i="1" a="1"/>
  <c r="J1302" i="1" s="1"/>
  <c r="K1302" i="1" s="1" a="1"/>
  <c r="K1302" i="1" s="1"/>
  <c r="J1303" i="1" a="1"/>
  <c r="J1303" i="1" s="1"/>
  <c r="K1303" i="1" s="1" a="1"/>
  <c r="K1303" i="1" s="1"/>
  <c r="J1304" i="1" a="1"/>
  <c r="J1304" i="1" s="1"/>
  <c r="K1304" i="1" s="1" a="1"/>
  <c r="K1304" i="1" s="1"/>
  <c r="J1305" i="1" a="1"/>
  <c r="J1305" i="1" s="1"/>
  <c r="K1305" i="1" s="1" a="1"/>
  <c r="K1305" i="1" s="1"/>
  <c r="J1306" i="1" a="1"/>
  <c r="J1306" i="1" s="1"/>
  <c r="K1306" i="1" s="1" a="1"/>
  <c r="K1306" i="1" s="1"/>
  <c r="J1307" i="1" a="1"/>
  <c r="J1307" i="1" s="1"/>
  <c r="K1307" i="1" s="1" a="1"/>
  <c r="K1307" i="1" s="1"/>
  <c r="J1308" i="1" a="1"/>
  <c r="J1308" i="1" s="1"/>
  <c r="K1308" i="1" s="1" a="1"/>
  <c r="K1308" i="1" s="1"/>
  <c r="J1309" i="1" a="1"/>
  <c r="J1309" i="1" s="1"/>
  <c r="K1309" i="1" s="1" a="1"/>
  <c r="K1309" i="1" s="1"/>
  <c r="J1310" i="1" a="1"/>
  <c r="J1310" i="1" s="1"/>
  <c r="K1310" i="1" s="1" a="1"/>
  <c r="K1310" i="1" s="1"/>
  <c r="J1311" i="1" a="1"/>
  <c r="J1311" i="1" s="1"/>
  <c r="K1311" i="1" s="1" a="1"/>
  <c r="K1311" i="1" s="1"/>
  <c r="J1312" i="1" a="1"/>
  <c r="J1312" i="1" s="1"/>
  <c r="K1312" i="1" s="1" a="1"/>
  <c r="K1312" i="1" s="1"/>
  <c r="J1313" i="1" a="1"/>
  <c r="J1313" i="1" s="1"/>
  <c r="K1313" i="1" s="1" a="1"/>
  <c r="K1313" i="1" s="1"/>
  <c r="J1314" i="1" a="1"/>
  <c r="J1314" i="1" s="1"/>
  <c r="K1314" i="1" s="1" a="1"/>
  <c r="K1314" i="1" s="1"/>
  <c r="J1315" i="1" a="1"/>
  <c r="J1315" i="1" s="1"/>
  <c r="K1315" i="1" s="1" a="1"/>
  <c r="K1315" i="1" s="1"/>
  <c r="J1316" i="1" a="1"/>
  <c r="J1316" i="1" s="1"/>
  <c r="K1316" i="1" s="1" a="1"/>
  <c r="K1316" i="1" s="1"/>
  <c r="J1317" i="1" a="1"/>
  <c r="J1317" i="1" s="1"/>
  <c r="K1317" i="1" s="1" a="1"/>
  <c r="K1317" i="1" s="1"/>
  <c r="J1318" i="1" a="1"/>
  <c r="J1318" i="1" s="1"/>
  <c r="K1318" i="1" s="1" a="1"/>
  <c r="K1318" i="1" s="1"/>
  <c r="J1319" i="1" a="1"/>
  <c r="J1319" i="1" s="1"/>
  <c r="K1319" i="1" s="1" a="1"/>
  <c r="K1319" i="1" s="1"/>
  <c r="J1320" i="1" a="1"/>
  <c r="J1320" i="1" s="1"/>
  <c r="K1320" i="1" s="1" a="1"/>
  <c r="K1320" i="1" s="1"/>
  <c r="J1321" i="1" a="1"/>
  <c r="J1321" i="1" s="1"/>
  <c r="K1321" i="1" s="1" a="1"/>
  <c r="K1321" i="1" s="1"/>
  <c r="J1322" i="1" a="1"/>
  <c r="J1322" i="1" s="1"/>
  <c r="K1322" i="1" s="1" a="1"/>
  <c r="K1322" i="1" s="1"/>
  <c r="J1323" i="1" a="1"/>
  <c r="J1323" i="1" s="1"/>
  <c r="K1323" i="1" s="1" a="1"/>
  <c r="K1323" i="1" s="1"/>
  <c r="J1324" i="1" a="1"/>
  <c r="J1324" i="1" s="1"/>
  <c r="K1324" i="1" s="1" a="1"/>
  <c r="K1324" i="1" s="1"/>
  <c r="J1325" i="1" a="1"/>
  <c r="J1325" i="1" s="1"/>
  <c r="K1325" i="1" s="1" a="1"/>
  <c r="K1325" i="1" s="1"/>
  <c r="J1326" i="1" a="1"/>
  <c r="J1326" i="1" s="1"/>
  <c r="K1326" i="1" s="1" a="1"/>
  <c r="K1326" i="1" s="1"/>
  <c r="J1327" i="1" a="1"/>
  <c r="J1327" i="1" s="1"/>
  <c r="K1327" i="1" s="1" a="1"/>
  <c r="K1327" i="1" s="1"/>
  <c r="J1328" i="1" a="1"/>
  <c r="J1328" i="1" s="1"/>
  <c r="K1328" i="1" s="1" a="1"/>
  <c r="K1328" i="1" s="1"/>
  <c r="J1329" i="1" a="1"/>
  <c r="J1329" i="1" s="1"/>
  <c r="K1329" i="1" s="1" a="1"/>
  <c r="K1329" i="1" s="1"/>
  <c r="J1330" i="1" a="1"/>
  <c r="J1330" i="1" s="1"/>
  <c r="K1330" i="1" s="1" a="1"/>
  <c r="K1330" i="1" s="1"/>
  <c r="J1331" i="1" a="1"/>
  <c r="J1331" i="1" s="1"/>
  <c r="K1331" i="1" s="1" a="1"/>
  <c r="K1331" i="1" s="1"/>
  <c r="J1332" i="1" a="1"/>
  <c r="J1332" i="1" s="1"/>
  <c r="K1332" i="1" s="1" a="1"/>
  <c r="K1332" i="1" s="1"/>
  <c r="J1333" i="1" a="1"/>
  <c r="J1333" i="1" s="1"/>
  <c r="K1333" i="1" s="1" a="1"/>
  <c r="K1333" i="1" s="1"/>
  <c r="J1334" i="1" a="1"/>
  <c r="J1334" i="1" s="1"/>
  <c r="K1334" i="1" s="1" a="1"/>
  <c r="K1334" i="1" s="1"/>
  <c r="J1335" i="1" a="1"/>
  <c r="J1335" i="1" s="1"/>
  <c r="K1335" i="1" s="1" a="1"/>
  <c r="K1335" i="1" s="1"/>
  <c r="J1336" i="1" a="1"/>
  <c r="J1336" i="1" s="1"/>
  <c r="K1336" i="1" s="1" a="1"/>
  <c r="K1336" i="1" s="1"/>
  <c r="J1337" i="1" a="1"/>
  <c r="J1337" i="1" s="1"/>
  <c r="K1337" i="1" s="1" a="1"/>
  <c r="K1337" i="1" s="1"/>
  <c r="J1338" i="1" a="1"/>
  <c r="J1338" i="1" s="1"/>
  <c r="K1338" i="1" s="1" a="1"/>
  <c r="K1338" i="1" s="1"/>
  <c r="J1339" i="1" a="1"/>
  <c r="J1339" i="1" s="1"/>
  <c r="K1339" i="1" s="1" a="1"/>
  <c r="K1339" i="1" s="1"/>
  <c r="J1340" i="1" a="1"/>
  <c r="J1340" i="1" s="1"/>
  <c r="K1340" i="1" s="1" a="1"/>
  <c r="K1340" i="1" s="1"/>
  <c r="J1341" i="1" a="1"/>
  <c r="J1341" i="1" s="1"/>
  <c r="K1341" i="1" s="1" a="1"/>
  <c r="K1341" i="1" s="1"/>
  <c r="J1342" i="1" a="1"/>
  <c r="J1342" i="1" s="1"/>
  <c r="K1342" i="1" s="1" a="1"/>
  <c r="K1342" i="1" s="1"/>
  <c r="J1343" i="1" a="1"/>
  <c r="J1343" i="1" s="1"/>
  <c r="K1343" i="1" s="1" a="1"/>
  <c r="K1343" i="1" s="1"/>
  <c r="J1344" i="1" a="1"/>
  <c r="J1344" i="1" s="1"/>
  <c r="K1344" i="1" s="1" a="1"/>
  <c r="K1344" i="1" s="1"/>
  <c r="J1345" i="1" a="1"/>
  <c r="J1345" i="1" s="1"/>
  <c r="K1345" i="1" s="1" a="1"/>
  <c r="K1345" i="1" s="1"/>
  <c r="J1346" i="1" a="1"/>
  <c r="J1346" i="1" s="1"/>
  <c r="K1346" i="1" s="1" a="1"/>
  <c r="K1346" i="1" s="1"/>
  <c r="J1347" i="1" a="1"/>
  <c r="J1347" i="1" s="1"/>
  <c r="K1347" i="1" s="1" a="1"/>
  <c r="K1347" i="1" s="1"/>
  <c r="J1348" i="1" a="1"/>
  <c r="J1348" i="1" s="1"/>
  <c r="K1348" i="1" s="1" a="1"/>
  <c r="K1348" i="1" s="1"/>
  <c r="J1349" i="1" a="1"/>
  <c r="J1349" i="1" s="1"/>
  <c r="K1349" i="1" s="1" a="1"/>
  <c r="K1349" i="1" s="1"/>
  <c r="J1350" i="1" a="1"/>
  <c r="J1350" i="1" s="1"/>
  <c r="K1350" i="1" s="1" a="1"/>
  <c r="K1350" i="1" s="1"/>
  <c r="J1351" i="1" a="1"/>
  <c r="J1351" i="1" s="1"/>
  <c r="K1351" i="1" s="1" a="1"/>
  <c r="K1351" i="1" s="1"/>
  <c r="J1352" i="1" a="1"/>
  <c r="J1352" i="1" s="1"/>
  <c r="K1352" i="1" s="1" a="1"/>
  <c r="K1352" i="1" s="1"/>
  <c r="J1353" i="1" a="1"/>
  <c r="J1353" i="1" s="1"/>
  <c r="K1353" i="1" s="1" a="1"/>
  <c r="K1353" i="1" s="1"/>
  <c r="J1354" i="1" a="1"/>
  <c r="J1354" i="1" s="1"/>
  <c r="K1354" i="1" s="1" a="1"/>
  <c r="K1354" i="1" s="1"/>
  <c r="J1355" i="1" a="1"/>
  <c r="J1355" i="1" s="1"/>
  <c r="K1355" i="1" s="1" a="1"/>
  <c r="K1355" i="1" s="1"/>
  <c r="J1356" i="1" a="1"/>
  <c r="J1356" i="1" s="1"/>
  <c r="K1356" i="1" s="1" a="1"/>
  <c r="K1356" i="1" s="1"/>
  <c r="J1357" i="1" a="1"/>
  <c r="J1357" i="1" s="1"/>
  <c r="K1357" i="1" s="1" a="1"/>
  <c r="K1357" i="1" s="1"/>
  <c r="J1358" i="1" a="1"/>
  <c r="J1358" i="1" s="1"/>
  <c r="K1358" i="1" s="1" a="1"/>
  <c r="K1358" i="1" s="1"/>
  <c r="J1359" i="1" a="1"/>
  <c r="J1359" i="1" s="1"/>
  <c r="K1359" i="1" s="1" a="1"/>
  <c r="K1359" i="1" s="1"/>
  <c r="J1360" i="1" a="1"/>
  <c r="J1360" i="1" s="1"/>
  <c r="K1360" i="1" s="1" a="1"/>
  <c r="K1360" i="1" s="1"/>
  <c r="J1361" i="1" a="1"/>
  <c r="J1361" i="1" s="1"/>
  <c r="K1361" i="1" s="1" a="1"/>
  <c r="K1361" i="1" s="1"/>
  <c r="J1362" i="1" a="1"/>
  <c r="J1362" i="1" s="1"/>
  <c r="K1362" i="1" s="1" a="1"/>
  <c r="K1362" i="1" s="1"/>
  <c r="J1363" i="1" a="1"/>
  <c r="J1363" i="1" s="1"/>
  <c r="K1363" i="1" s="1" a="1"/>
  <c r="K1363" i="1" s="1"/>
  <c r="J1364" i="1" a="1"/>
  <c r="J1364" i="1" s="1"/>
  <c r="K1364" i="1" s="1" a="1"/>
  <c r="K1364" i="1" s="1"/>
  <c r="J1365" i="1" a="1"/>
  <c r="J1365" i="1" s="1"/>
  <c r="K1365" i="1" s="1" a="1"/>
  <c r="K1365" i="1" s="1"/>
  <c r="J1366" i="1" a="1"/>
  <c r="J1366" i="1" s="1"/>
  <c r="K1366" i="1" s="1" a="1"/>
  <c r="K1366" i="1" s="1"/>
  <c r="J1367" i="1" a="1"/>
  <c r="J1367" i="1" s="1"/>
  <c r="K1367" i="1" s="1" a="1"/>
  <c r="K1367" i="1" s="1"/>
  <c r="J1368" i="1" a="1"/>
  <c r="J1368" i="1" s="1"/>
  <c r="K1368" i="1" s="1" a="1"/>
  <c r="K1368" i="1" s="1"/>
  <c r="J1369" i="1" a="1"/>
  <c r="J1369" i="1" s="1"/>
  <c r="K1369" i="1" s="1" a="1"/>
  <c r="K1369" i="1" s="1"/>
  <c r="J1370" i="1" a="1"/>
  <c r="J1370" i="1" s="1"/>
  <c r="K1370" i="1" s="1" a="1"/>
  <c r="K1370" i="1" s="1"/>
  <c r="J1371" i="1" a="1"/>
  <c r="J1371" i="1" s="1"/>
  <c r="K1371" i="1" s="1" a="1"/>
  <c r="K1371" i="1" s="1"/>
  <c r="J1372" i="1" a="1"/>
  <c r="J1372" i="1" s="1"/>
  <c r="K1372" i="1" s="1" a="1"/>
  <c r="K1372" i="1" s="1"/>
  <c r="J1373" i="1" a="1"/>
  <c r="J1373" i="1" s="1"/>
  <c r="K1373" i="1" s="1" a="1"/>
  <c r="K1373" i="1" s="1"/>
  <c r="J1374" i="1" a="1"/>
  <c r="J1374" i="1" s="1"/>
  <c r="K1374" i="1" s="1" a="1"/>
  <c r="K1374" i="1" s="1"/>
  <c r="J1375" i="1" a="1"/>
  <c r="J1375" i="1" s="1"/>
  <c r="K1375" i="1" s="1" a="1"/>
  <c r="K1375" i="1" s="1"/>
  <c r="J1376" i="1" a="1"/>
  <c r="J1376" i="1" s="1"/>
  <c r="K1376" i="1" s="1" a="1"/>
  <c r="K1376" i="1" s="1"/>
  <c r="J1377" i="1" a="1"/>
  <c r="J1377" i="1" s="1"/>
  <c r="K1377" i="1" s="1" a="1"/>
  <c r="K1377" i="1" s="1"/>
  <c r="J1378" i="1" a="1"/>
  <c r="J1378" i="1" s="1"/>
  <c r="K1378" i="1" s="1" a="1"/>
  <c r="K1378" i="1" s="1"/>
  <c r="J1379" i="1" a="1"/>
  <c r="J1379" i="1" s="1"/>
  <c r="K1379" i="1" s="1" a="1"/>
  <c r="K1379" i="1" s="1"/>
  <c r="J1380" i="1" a="1"/>
  <c r="J1380" i="1" s="1"/>
  <c r="K1380" i="1" s="1" a="1"/>
  <c r="K1380" i="1" s="1"/>
  <c r="J1381" i="1" a="1"/>
  <c r="J1381" i="1" s="1"/>
  <c r="K1381" i="1" s="1" a="1"/>
  <c r="K1381" i="1" s="1"/>
  <c r="J1382" i="1" a="1"/>
  <c r="J1382" i="1" s="1"/>
  <c r="K1382" i="1" s="1" a="1"/>
  <c r="K1382" i="1" s="1"/>
  <c r="J1383" i="1" a="1"/>
  <c r="J1383" i="1" s="1"/>
  <c r="K1383" i="1" s="1" a="1"/>
  <c r="K1383" i="1" s="1"/>
  <c r="J1384" i="1" a="1"/>
  <c r="J1384" i="1" s="1"/>
  <c r="K1384" i="1" s="1" a="1"/>
  <c r="K1384" i="1" s="1"/>
  <c r="J1385" i="1" a="1"/>
  <c r="J1385" i="1" s="1"/>
  <c r="K1385" i="1" s="1" a="1"/>
  <c r="K1385" i="1" s="1"/>
  <c r="J1386" i="1" a="1"/>
  <c r="J1386" i="1" s="1"/>
  <c r="K1386" i="1" s="1" a="1"/>
  <c r="K1386" i="1" s="1"/>
  <c r="J1387" i="1" a="1"/>
  <c r="J1387" i="1" s="1"/>
  <c r="K1387" i="1" s="1" a="1"/>
  <c r="K1387" i="1" s="1"/>
  <c r="J1388" i="1" a="1"/>
  <c r="J1388" i="1" s="1"/>
  <c r="K1388" i="1" s="1" a="1"/>
  <c r="K1388" i="1" s="1"/>
  <c r="J1389" i="1" a="1"/>
  <c r="J1389" i="1" s="1"/>
  <c r="K1389" i="1" s="1" a="1"/>
  <c r="K1389" i="1" s="1"/>
  <c r="J1390" i="1" a="1"/>
  <c r="J1390" i="1" s="1"/>
  <c r="K1390" i="1" s="1" a="1"/>
  <c r="K1390" i="1" s="1"/>
  <c r="J1391" i="1" a="1"/>
  <c r="J1391" i="1" s="1"/>
  <c r="K1391" i="1" s="1" a="1"/>
  <c r="K1391" i="1" s="1"/>
  <c r="J1392" i="1" a="1"/>
  <c r="J1392" i="1" s="1"/>
  <c r="K1392" i="1" s="1" a="1"/>
  <c r="K1392" i="1" s="1"/>
  <c r="J1393" i="1" a="1"/>
  <c r="J1393" i="1" s="1"/>
  <c r="K1393" i="1" s="1" a="1"/>
  <c r="K1393" i="1" s="1"/>
  <c r="J1394" i="1" a="1"/>
  <c r="J1394" i="1" s="1"/>
  <c r="K1394" i="1" s="1" a="1"/>
  <c r="K1394" i="1" s="1"/>
  <c r="J1395" i="1" a="1"/>
  <c r="J1395" i="1" s="1"/>
  <c r="K1395" i="1" s="1" a="1"/>
  <c r="K1395" i="1" s="1"/>
  <c r="J1396" i="1" a="1"/>
  <c r="J1396" i="1" s="1"/>
  <c r="K1396" i="1" s="1" a="1"/>
  <c r="K1396" i="1" s="1"/>
  <c r="J1397" i="1" a="1"/>
  <c r="J1397" i="1" s="1"/>
  <c r="K1397" i="1" s="1" a="1"/>
  <c r="K1397" i="1" s="1"/>
  <c r="J1398" i="1" a="1"/>
  <c r="J1398" i="1" s="1"/>
  <c r="K1398" i="1" s="1" a="1"/>
  <c r="K1398" i="1" s="1"/>
  <c r="J1399" i="1" a="1"/>
  <c r="J1399" i="1" s="1"/>
  <c r="K1399" i="1" s="1" a="1"/>
  <c r="K1399" i="1" s="1"/>
  <c r="J1400" i="1" a="1"/>
  <c r="J1400" i="1" s="1"/>
  <c r="K1400" i="1" s="1" a="1"/>
  <c r="K1400" i="1" s="1"/>
  <c r="J1401" i="1" a="1"/>
  <c r="J1401" i="1" s="1"/>
  <c r="K1401" i="1" s="1" a="1"/>
  <c r="K1401" i="1" s="1"/>
  <c r="J1402" i="1" a="1"/>
  <c r="J1402" i="1" s="1"/>
  <c r="K1402" i="1" s="1" a="1"/>
  <c r="K1402" i="1" s="1"/>
  <c r="J1403" i="1" a="1"/>
  <c r="J1403" i="1" s="1"/>
  <c r="K1403" i="1" s="1" a="1"/>
  <c r="K1403" i="1" s="1"/>
  <c r="J1404" i="1" a="1"/>
  <c r="J1404" i="1" s="1"/>
  <c r="K1404" i="1" s="1" a="1"/>
  <c r="K1404" i="1" s="1"/>
  <c r="J1405" i="1" a="1"/>
  <c r="J1405" i="1" s="1"/>
  <c r="K1405" i="1" s="1" a="1"/>
  <c r="K1405" i="1" s="1"/>
  <c r="J1406" i="1" a="1"/>
  <c r="J1406" i="1"/>
  <c r="K1406" i="1" s="1" a="1"/>
  <c r="K1406" i="1" s="1"/>
  <c r="J1407" i="1" a="1"/>
  <c r="J1407" i="1" s="1"/>
  <c r="K1407" i="1" s="1" a="1"/>
  <c r="K1407" i="1" s="1"/>
  <c r="J1408" i="1" a="1"/>
  <c r="J1408" i="1" s="1"/>
  <c r="K1408" i="1" s="1" a="1"/>
  <c r="K1408" i="1" s="1"/>
  <c r="J1409" i="1" a="1"/>
  <c r="J1409" i="1" s="1"/>
  <c r="K1409" i="1" s="1" a="1"/>
  <c r="K1409" i="1" s="1"/>
  <c r="J1410" i="1" a="1"/>
  <c r="J1410" i="1" s="1"/>
  <c r="K1410" i="1" s="1" a="1"/>
  <c r="K1410" i="1" s="1"/>
  <c r="J1411" i="1" a="1"/>
  <c r="J1411" i="1" s="1"/>
  <c r="K1411" i="1" s="1" a="1"/>
  <c r="K1411" i="1" s="1"/>
  <c r="J1412" i="1" a="1"/>
  <c r="J1412" i="1" s="1"/>
  <c r="K1412" i="1" s="1" a="1"/>
  <c r="K1412" i="1" s="1"/>
  <c r="J1413" i="1" a="1"/>
  <c r="J1413" i="1" s="1"/>
  <c r="K1413" i="1" s="1" a="1"/>
  <c r="K1413" i="1" s="1"/>
  <c r="J1414" i="1" a="1"/>
  <c r="J1414" i="1" s="1"/>
  <c r="K1414" i="1" s="1" a="1"/>
  <c r="K1414" i="1" s="1"/>
  <c r="J1415" i="1" a="1"/>
  <c r="J1415" i="1" s="1"/>
  <c r="K1415" i="1" s="1" a="1"/>
  <c r="K1415" i="1" s="1"/>
  <c r="J1416" i="1" a="1"/>
  <c r="J1416" i="1" s="1"/>
  <c r="K1416" i="1" s="1" a="1"/>
  <c r="K1416" i="1" s="1"/>
  <c r="J1417" i="1" a="1"/>
  <c r="J1417" i="1" s="1"/>
  <c r="K1417" i="1" s="1" a="1"/>
  <c r="K1417" i="1" s="1"/>
  <c r="J1418" i="1" a="1"/>
  <c r="J1418" i="1" s="1"/>
  <c r="K1418" i="1" s="1" a="1"/>
  <c r="K1418" i="1" s="1"/>
  <c r="J1419" i="1" a="1"/>
  <c r="J1419" i="1" s="1"/>
  <c r="K1419" i="1" s="1" a="1"/>
  <c r="K1419" i="1" s="1"/>
  <c r="J1420" i="1" a="1"/>
  <c r="J1420" i="1"/>
  <c r="K1420" i="1" s="1" a="1"/>
  <c r="K1420" i="1" s="1"/>
  <c r="J1421" i="1" a="1"/>
  <c r="J1421" i="1" s="1"/>
  <c r="K1421" i="1" s="1" a="1"/>
  <c r="K1421" i="1" s="1"/>
  <c r="J1422" i="1" a="1"/>
  <c r="J1422" i="1" s="1"/>
  <c r="K1422" i="1" s="1" a="1"/>
  <c r="K1422" i="1" s="1"/>
  <c r="J1423" i="1" a="1"/>
  <c r="J1423" i="1" s="1"/>
  <c r="K1423" i="1" s="1" a="1"/>
  <c r="K1423" i="1" s="1"/>
  <c r="J1424" i="1" a="1"/>
  <c r="J1424" i="1" s="1"/>
  <c r="K1424" i="1" s="1" a="1"/>
  <c r="K1424" i="1" s="1"/>
  <c r="J1425" i="1" a="1"/>
  <c r="J1425" i="1" s="1"/>
  <c r="K1425" i="1" s="1" a="1"/>
  <c r="K1425" i="1" s="1"/>
  <c r="J1426" i="1" a="1"/>
  <c r="J1426" i="1" s="1"/>
  <c r="K1426" i="1" s="1" a="1"/>
  <c r="K1426" i="1" s="1"/>
  <c r="J1427" i="1" a="1"/>
  <c r="J1427" i="1" s="1"/>
  <c r="K1427" i="1" s="1" a="1"/>
  <c r="K1427" i="1" s="1"/>
  <c r="J1428" i="1" a="1"/>
  <c r="J1428" i="1" s="1"/>
  <c r="K1428" i="1" s="1" a="1"/>
  <c r="K1428" i="1" s="1"/>
  <c r="J1429" i="1" a="1"/>
  <c r="J1429" i="1" s="1"/>
  <c r="K1429" i="1" s="1" a="1"/>
  <c r="K1429" i="1" s="1"/>
  <c r="J1430" i="1" a="1"/>
  <c r="J1430" i="1" s="1"/>
  <c r="K1430" i="1" s="1" a="1"/>
  <c r="K1430" i="1" s="1"/>
  <c r="J1431" i="1" a="1"/>
  <c r="J1431" i="1" s="1"/>
  <c r="K1431" i="1" s="1" a="1"/>
  <c r="K1431" i="1" s="1"/>
  <c r="J1432" i="1" a="1"/>
  <c r="J1432" i="1" s="1"/>
  <c r="K1432" i="1" s="1" a="1"/>
  <c r="K1432" i="1" s="1"/>
  <c r="J1433" i="1" a="1"/>
  <c r="J1433" i="1" s="1"/>
  <c r="K1433" i="1" s="1" a="1"/>
  <c r="K1433" i="1" s="1"/>
  <c r="J1434" i="1" a="1"/>
  <c r="J1434" i="1" s="1"/>
  <c r="K1434" i="1" s="1" a="1"/>
  <c r="K1434" i="1" s="1"/>
  <c r="J1435" i="1" a="1"/>
  <c r="J1435" i="1" s="1"/>
  <c r="K1435" i="1" s="1" a="1"/>
  <c r="K1435" i="1" s="1"/>
  <c r="J1436" i="1" a="1"/>
  <c r="J1436" i="1" s="1"/>
  <c r="K1436" i="1" s="1" a="1"/>
  <c r="K1436" i="1" s="1"/>
  <c r="J1437" i="1" a="1"/>
  <c r="J1437" i="1" s="1"/>
  <c r="K1437" i="1" s="1" a="1"/>
  <c r="K1437" i="1" s="1"/>
  <c r="J1438" i="1" a="1"/>
  <c r="J1438" i="1" s="1"/>
  <c r="K1438" i="1" s="1" a="1"/>
  <c r="K1438" i="1" s="1"/>
  <c r="J1439" i="1" a="1"/>
  <c r="J1439" i="1" s="1"/>
  <c r="K1439" i="1" s="1" a="1"/>
  <c r="K1439" i="1" s="1"/>
  <c r="J1440" i="1" a="1"/>
  <c r="J1440" i="1" s="1"/>
  <c r="K1440" i="1" s="1" a="1"/>
  <c r="K1440" i="1" s="1"/>
  <c r="J1441" i="1" a="1"/>
  <c r="J1441" i="1" s="1"/>
  <c r="K1441" i="1" s="1" a="1"/>
  <c r="K1441" i="1" s="1"/>
  <c r="J1442" i="1" a="1"/>
  <c r="J1442" i="1" s="1"/>
  <c r="K1442" i="1" s="1" a="1"/>
  <c r="K1442" i="1" s="1"/>
  <c r="J1443" i="1" a="1"/>
  <c r="J1443" i="1" s="1"/>
  <c r="K1443" i="1" s="1" a="1"/>
  <c r="K1443" i="1" s="1"/>
  <c r="J1444" i="1" a="1"/>
  <c r="J1444" i="1" s="1"/>
  <c r="K1444" i="1" s="1" a="1"/>
  <c r="K1444" i="1" s="1"/>
  <c r="J1445" i="1" a="1"/>
  <c r="J1445" i="1" s="1"/>
  <c r="K1445" i="1" s="1" a="1"/>
  <c r="K1445" i="1" s="1"/>
  <c r="J1446" i="1" a="1"/>
  <c r="J1446" i="1" s="1"/>
  <c r="K1446" i="1" s="1" a="1"/>
  <c r="K1446" i="1" s="1"/>
  <c r="J1447" i="1" a="1"/>
  <c r="J1447" i="1" s="1"/>
  <c r="K1447" i="1" s="1" a="1"/>
  <c r="K1447" i="1" s="1"/>
  <c r="J1448" i="1" a="1"/>
  <c r="J1448" i="1" s="1"/>
  <c r="K1448" i="1" s="1" a="1"/>
  <c r="K1448" i="1" s="1"/>
  <c r="J1449" i="1" a="1"/>
  <c r="J1449" i="1" s="1"/>
  <c r="K1449" i="1" s="1" a="1"/>
  <c r="K1449" i="1" s="1"/>
  <c r="J1450" i="1" a="1"/>
  <c r="J1450" i="1" s="1"/>
  <c r="K1450" i="1" s="1" a="1"/>
  <c r="K1450" i="1" s="1"/>
  <c r="J1451" i="1" a="1"/>
  <c r="J1451" i="1" s="1"/>
  <c r="K1451" i="1" s="1" a="1"/>
  <c r="K1451" i="1" s="1"/>
  <c r="J1452" i="1" a="1"/>
  <c r="J1452" i="1" s="1"/>
  <c r="K1452" i="1" s="1" a="1"/>
  <c r="K1452" i="1" s="1"/>
  <c r="J1453" i="1" a="1"/>
  <c r="J1453" i="1" s="1"/>
  <c r="K1453" i="1" s="1" a="1"/>
  <c r="K1453" i="1" s="1"/>
  <c r="J1454" i="1" a="1"/>
  <c r="J1454" i="1" s="1"/>
  <c r="K1454" i="1" s="1" a="1"/>
  <c r="K1454" i="1" s="1"/>
  <c r="J1455" i="1" a="1"/>
  <c r="J1455" i="1" s="1"/>
  <c r="K1455" i="1" s="1" a="1"/>
  <c r="K1455" i="1" s="1"/>
  <c r="J1456" i="1" a="1"/>
  <c r="J1456" i="1" s="1"/>
  <c r="K1456" i="1" s="1" a="1"/>
  <c r="K1456" i="1" s="1"/>
  <c r="J1457" i="1" a="1"/>
  <c r="J1457" i="1" s="1"/>
  <c r="K1457" i="1" s="1" a="1"/>
  <c r="K1457" i="1" s="1"/>
  <c r="J1458" i="1" a="1"/>
  <c r="J1458" i="1" s="1"/>
  <c r="K1458" i="1" s="1" a="1"/>
  <c r="K1458" i="1" s="1"/>
  <c r="J1459" i="1" a="1"/>
  <c r="J1459" i="1" s="1"/>
  <c r="K1459" i="1" s="1" a="1"/>
  <c r="K1459" i="1" s="1"/>
  <c r="J1460" i="1" a="1"/>
  <c r="J1460" i="1" s="1"/>
  <c r="K1460" i="1" s="1" a="1"/>
  <c r="K1460" i="1" s="1"/>
  <c r="J1461" i="1" a="1"/>
  <c r="J1461" i="1" s="1"/>
  <c r="K1461" i="1" s="1" a="1"/>
  <c r="K1461" i="1" s="1"/>
  <c r="J1462" i="1" a="1"/>
  <c r="J1462" i="1" s="1"/>
  <c r="K1462" i="1" s="1" a="1"/>
  <c r="K1462" i="1" s="1"/>
  <c r="J1463" i="1" a="1"/>
  <c r="J1463" i="1" s="1"/>
  <c r="K1463" i="1" s="1" a="1"/>
  <c r="K1463" i="1" s="1"/>
  <c r="J1464" i="1" a="1"/>
  <c r="J1464" i="1" s="1"/>
  <c r="K1464" i="1" s="1" a="1"/>
  <c r="K1464" i="1" s="1"/>
  <c r="J1465" i="1" a="1"/>
  <c r="J1465" i="1" s="1"/>
  <c r="K1465" i="1" s="1" a="1"/>
  <c r="K1465" i="1" s="1"/>
  <c r="J1466" i="1" a="1"/>
  <c r="J1466" i="1" s="1"/>
  <c r="K1466" i="1" s="1" a="1"/>
  <c r="K1466" i="1" s="1"/>
  <c r="J1467" i="1" a="1"/>
  <c r="J1467" i="1" s="1"/>
  <c r="K1467" i="1" s="1" a="1"/>
  <c r="K1467" i="1" s="1"/>
  <c r="J1468" i="1" a="1"/>
  <c r="J1468" i="1" s="1"/>
  <c r="K1468" i="1" s="1" a="1"/>
  <c r="K1468" i="1" s="1"/>
  <c r="J1469" i="1" a="1"/>
  <c r="J1469" i="1" s="1"/>
  <c r="K1469" i="1" s="1" a="1"/>
  <c r="K1469" i="1" s="1"/>
  <c r="J1470" i="1" a="1"/>
  <c r="J1470" i="1" s="1"/>
  <c r="K1470" i="1" s="1" a="1"/>
  <c r="K1470" i="1" s="1"/>
  <c r="J1471" i="1" a="1"/>
  <c r="J1471" i="1" s="1"/>
  <c r="K1471" i="1" s="1" a="1"/>
  <c r="K1471" i="1" s="1"/>
  <c r="J1472" i="1" a="1"/>
  <c r="J1472" i="1" s="1"/>
  <c r="K1472" i="1" s="1" a="1"/>
  <c r="K1472" i="1" s="1"/>
  <c r="J1473" i="1" a="1"/>
  <c r="J1473" i="1" s="1"/>
  <c r="K1473" i="1" s="1" a="1"/>
  <c r="K1473" i="1" s="1"/>
  <c r="J1474" i="1" a="1"/>
  <c r="J1474" i="1" s="1"/>
  <c r="K1474" i="1" s="1" a="1"/>
  <c r="K1474" i="1" s="1"/>
  <c r="J1475" i="1" a="1"/>
  <c r="J1475" i="1" s="1"/>
  <c r="K1475" i="1" s="1" a="1"/>
  <c r="K1475" i="1" s="1"/>
  <c r="J1476" i="1" a="1"/>
  <c r="J1476" i="1" s="1"/>
  <c r="K1476" i="1" s="1" a="1"/>
  <c r="K1476" i="1" s="1"/>
  <c r="J1477" i="1" a="1"/>
  <c r="J1477" i="1" s="1"/>
  <c r="K1477" i="1" s="1" a="1"/>
  <c r="K1477" i="1" s="1"/>
  <c r="J1478" i="1" a="1"/>
  <c r="J1478" i="1" s="1"/>
  <c r="K1478" i="1" s="1" a="1"/>
  <c r="K1478" i="1" s="1"/>
  <c r="J1479" i="1" a="1"/>
  <c r="J1479" i="1" s="1"/>
  <c r="K1479" i="1" s="1" a="1"/>
  <c r="K1479" i="1" s="1"/>
  <c r="J1480" i="1" a="1"/>
  <c r="J1480" i="1" s="1"/>
  <c r="K1480" i="1" s="1" a="1"/>
  <c r="K1480" i="1" s="1"/>
  <c r="J1481" i="1" a="1"/>
  <c r="J1481" i="1" s="1"/>
  <c r="K1481" i="1" s="1" a="1"/>
  <c r="K1481" i="1" s="1"/>
  <c r="J1482" i="1" a="1"/>
  <c r="J1482" i="1" s="1"/>
  <c r="K1482" i="1" s="1" a="1"/>
  <c r="K1482" i="1" s="1"/>
  <c r="J1483" i="1" a="1"/>
  <c r="J1483" i="1" s="1"/>
  <c r="K1483" i="1" s="1" a="1"/>
  <c r="K1483" i="1" s="1"/>
  <c r="J1484" i="1" a="1"/>
  <c r="J1484" i="1" s="1"/>
  <c r="K1484" i="1" s="1" a="1"/>
  <c r="K1484" i="1" s="1"/>
  <c r="J1485" i="1" a="1"/>
  <c r="J1485" i="1" s="1"/>
  <c r="K1485" i="1" s="1" a="1"/>
  <c r="K1485" i="1" s="1"/>
  <c r="J1486" i="1" a="1"/>
  <c r="J1486" i="1" s="1"/>
  <c r="K1486" i="1" s="1" a="1"/>
  <c r="K1486" i="1" s="1"/>
  <c r="J1487" i="1" a="1"/>
  <c r="J1487" i="1" s="1"/>
  <c r="K1487" i="1" s="1" a="1"/>
  <c r="K1487" i="1" s="1"/>
  <c r="J1488" i="1" a="1"/>
  <c r="J1488" i="1" s="1"/>
  <c r="K1488" i="1" s="1" a="1"/>
  <c r="K1488" i="1" s="1"/>
  <c r="J1489" i="1" a="1"/>
  <c r="J1489" i="1" s="1"/>
  <c r="K1489" i="1" s="1" a="1"/>
  <c r="K1489" i="1" s="1"/>
  <c r="J1490" i="1" a="1"/>
  <c r="J1490" i="1" s="1"/>
  <c r="K1490" i="1" s="1" a="1"/>
  <c r="K1490" i="1" s="1"/>
  <c r="J1491" i="1" a="1"/>
  <c r="J1491" i="1" s="1"/>
  <c r="K1491" i="1" s="1" a="1"/>
  <c r="K1491" i="1" s="1"/>
  <c r="J1492" i="1" a="1"/>
  <c r="J1492" i="1" s="1"/>
  <c r="K1492" i="1" s="1" a="1"/>
  <c r="K1492" i="1" s="1"/>
  <c r="J1493" i="1" a="1"/>
  <c r="J1493" i="1" s="1"/>
  <c r="K1493" i="1" s="1" a="1"/>
  <c r="K1493" i="1" s="1"/>
  <c r="J1494" i="1" a="1"/>
  <c r="J1494" i="1" s="1"/>
  <c r="K1494" i="1" s="1" a="1"/>
  <c r="K1494" i="1" s="1"/>
  <c r="J1495" i="1" a="1"/>
  <c r="J1495" i="1" s="1"/>
  <c r="K1495" i="1" s="1" a="1"/>
  <c r="K1495" i="1" s="1"/>
  <c r="J1496" i="1" a="1"/>
  <c r="J1496" i="1" s="1"/>
  <c r="K1496" i="1" s="1" a="1"/>
  <c r="K1496" i="1" s="1"/>
  <c r="J1497" i="1" a="1"/>
  <c r="J1497" i="1" s="1"/>
  <c r="K1497" i="1" s="1" a="1"/>
  <c r="K1497" i="1" s="1"/>
  <c r="J1498" i="1" a="1"/>
  <c r="J1498" i="1" s="1"/>
  <c r="K1498" i="1" s="1" a="1"/>
  <c r="K1498" i="1" s="1"/>
  <c r="J1499" i="1" a="1"/>
  <c r="J1499" i="1" s="1"/>
  <c r="K1499" i="1" s="1" a="1"/>
  <c r="K1499" i="1" s="1"/>
  <c r="J1500" i="1" a="1"/>
  <c r="J1500" i="1" s="1"/>
  <c r="K1500" i="1" s="1" a="1"/>
  <c r="K1500" i="1" s="1"/>
  <c r="J1501" i="1" a="1"/>
  <c r="J1501" i="1" s="1"/>
  <c r="K1501" i="1" s="1" a="1"/>
  <c r="K1501" i="1" s="1"/>
  <c r="J1502" i="1" a="1"/>
  <c r="J1502" i="1" s="1"/>
  <c r="K1502" i="1" s="1" a="1"/>
  <c r="K1502" i="1" s="1"/>
  <c r="J1503" i="1" a="1"/>
  <c r="J1503" i="1" s="1"/>
  <c r="K1503" i="1" s="1" a="1"/>
  <c r="K1503" i="1" s="1"/>
  <c r="J1504" i="1" a="1"/>
  <c r="J1504" i="1" s="1"/>
  <c r="K1504" i="1" s="1" a="1"/>
  <c r="K1504" i="1" s="1"/>
  <c r="J1505" i="1" a="1"/>
  <c r="J1505" i="1" s="1"/>
  <c r="K1505" i="1" s="1" a="1"/>
  <c r="K1505" i="1" s="1"/>
  <c r="J1506" i="1" a="1"/>
  <c r="J1506" i="1" s="1"/>
  <c r="K1506" i="1" s="1" a="1"/>
  <c r="K1506" i="1" s="1"/>
  <c r="J1507" i="1" a="1"/>
  <c r="J1507" i="1" s="1"/>
  <c r="K1507" i="1" s="1" a="1"/>
  <c r="K1507" i="1" s="1"/>
  <c r="J1508" i="1" a="1"/>
  <c r="J1508" i="1" s="1"/>
  <c r="K1508" i="1" s="1" a="1"/>
  <c r="K1508" i="1" s="1"/>
  <c r="J1509" i="1" a="1"/>
  <c r="J1509" i="1" s="1"/>
  <c r="K1509" i="1" s="1" a="1"/>
  <c r="K1509" i="1" s="1"/>
  <c r="J1510" i="1" a="1"/>
  <c r="J1510" i="1" s="1"/>
  <c r="K1510" i="1" s="1" a="1"/>
  <c r="K1510" i="1" s="1"/>
  <c r="J1511" i="1" a="1"/>
  <c r="J1511" i="1" s="1"/>
  <c r="K1511" i="1" s="1" a="1"/>
  <c r="K1511" i="1" s="1"/>
  <c r="J1512" i="1" a="1"/>
  <c r="J1512" i="1" s="1"/>
  <c r="K1512" i="1" s="1" a="1"/>
  <c r="K1512" i="1" s="1"/>
  <c r="J1513" i="1" a="1"/>
  <c r="J1513" i="1" s="1"/>
  <c r="K1513" i="1" s="1" a="1"/>
  <c r="K1513" i="1" s="1"/>
  <c r="J1514" i="1" a="1"/>
  <c r="J1514" i="1" s="1"/>
  <c r="K1514" i="1" s="1" a="1"/>
  <c r="K1514" i="1" s="1"/>
  <c r="J1515" i="1" a="1"/>
  <c r="J1515" i="1" s="1"/>
  <c r="K1515" i="1" s="1" a="1"/>
  <c r="K1515" i="1" s="1"/>
  <c r="J1516" i="1" a="1"/>
  <c r="J1516" i="1" s="1"/>
  <c r="K1516" i="1" s="1" a="1"/>
  <c r="K1516" i="1" s="1"/>
  <c r="J1517" i="1" a="1"/>
  <c r="J1517" i="1" s="1"/>
  <c r="K1517" i="1" s="1" a="1"/>
  <c r="K1517" i="1" s="1"/>
  <c r="J1518" i="1" a="1"/>
  <c r="J1518" i="1" s="1"/>
  <c r="K1518" i="1" s="1" a="1"/>
  <c r="K1518" i="1" s="1"/>
  <c r="J1519" i="1" a="1"/>
  <c r="J1519" i="1" s="1"/>
  <c r="K1519" i="1" s="1" a="1"/>
  <c r="K1519" i="1" s="1"/>
  <c r="J1520" i="1" a="1"/>
  <c r="J1520" i="1" s="1"/>
  <c r="K1520" i="1" s="1" a="1"/>
  <c r="K1520" i="1" s="1"/>
  <c r="J1521" i="1" a="1"/>
  <c r="J1521" i="1" s="1"/>
  <c r="K1521" i="1" s="1" a="1"/>
  <c r="K1521" i="1" s="1"/>
  <c r="J1522" i="1" a="1"/>
  <c r="J1522" i="1" s="1"/>
  <c r="K1522" i="1" s="1" a="1"/>
  <c r="K1522" i="1" s="1"/>
  <c r="J1523" i="1" a="1"/>
  <c r="J1523" i="1" s="1"/>
  <c r="K1523" i="1" s="1" a="1"/>
  <c r="K1523" i="1" s="1"/>
  <c r="J1524" i="1" a="1"/>
  <c r="J1524" i="1" s="1"/>
  <c r="K1524" i="1" s="1" a="1"/>
  <c r="K1524" i="1" s="1"/>
  <c r="J1525" i="1" a="1"/>
  <c r="J1525" i="1" s="1"/>
  <c r="K1525" i="1" s="1" a="1"/>
  <c r="K1525" i="1" s="1"/>
  <c r="J1526" i="1" a="1"/>
  <c r="J1526" i="1" s="1"/>
  <c r="K1526" i="1" s="1" a="1"/>
  <c r="K1526" i="1" s="1"/>
  <c r="J1527" i="1" a="1"/>
  <c r="J1527" i="1" s="1"/>
  <c r="K1527" i="1" s="1" a="1"/>
  <c r="K1527" i="1" s="1"/>
  <c r="J1528" i="1" a="1"/>
  <c r="J1528" i="1" s="1"/>
  <c r="K1528" i="1" s="1" a="1"/>
  <c r="K1528" i="1" s="1"/>
  <c r="J1529" i="1" a="1"/>
  <c r="J1529" i="1" s="1"/>
  <c r="K1529" i="1" s="1" a="1"/>
  <c r="K1529" i="1" s="1"/>
  <c r="J1530" i="1" a="1"/>
  <c r="J1530" i="1" s="1"/>
  <c r="K1530" i="1" s="1" a="1"/>
  <c r="K1530" i="1" s="1"/>
  <c r="J1531" i="1" a="1"/>
  <c r="J1531" i="1" s="1"/>
  <c r="K1531" i="1" s="1" a="1"/>
  <c r="K1531" i="1" s="1"/>
  <c r="J1532" i="1" a="1"/>
  <c r="J1532" i="1" s="1"/>
  <c r="K1532" i="1" s="1" a="1"/>
  <c r="K1532" i="1" s="1"/>
  <c r="J1533" i="1" a="1"/>
  <c r="J1533" i="1" s="1"/>
  <c r="K1533" i="1" s="1" a="1"/>
  <c r="K1533" i="1" s="1"/>
  <c r="J1534" i="1" a="1"/>
  <c r="J1534" i="1" s="1"/>
  <c r="K1534" i="1" s="1" a="1"/>
  <c r="K1534" i="1" s="1"/>
  <c r="J1535" i="1" a="1"/>
  <c r="J1535" i="1" s="1"/>
  <c r="K1535" i="1" s="1" a="1"/>
  <c r="K1535" i="1" s="1"/>
  <c r="J1536" i="1" a="1"/>
  <c r="J1536" i="1" s="1"/>
  <c r="K1536" i="1" s="1" a="1"/>
  <c r="K1536" i="1" s="1"/>
  <c r="J1537" i="1" a="1"/>
  <c r="J1537" i="1" s="1"/>
  <c r="K1537" i="1" s="1" a="1"/>
  <c r="K1537" i="1" s="1"/>
  <c r="J1538" i="1" a="1"/>
  <c r="J1538" i="1" s="1"/>
  <c r="K1538" i="1" s="1" a="1"/>
  <c r="K1538" i="1" s="1"/>
  <c r="J1539" i="1" a="1"/>
  <c r="J1539" i="1" s="1"/>
  <c r="K1539" i="1" s="1" a="1"/>
  <c r="K1539" i="1" s="1"/>
  <c r="J1540" i="1" a="1"/>
  <c r="J1540" i="1" s="1"/>
  <c r="K1540" i="1" s="1" a="1"/>
  <c r="K1540" i="1" s="1"/>
  <c r="J1541" i="1" a="1"/>
  <c r="J1541" i="1" s="1"/>
  <c r="K1541" i="1" s="1" a="1"/>
  <c r="K1541" i="1" s="1"/>
  <c r="J1542" i="1" a="1"/>
  <c r="J1542" i="1" s="1"/>
  <c r="K1542" i="1" s="1" a="1"/>
  <c r="K1542" i="1" s="1"/>
  <c r="J1543" i="1" a="1"/>
  <c r="J1543" i="1" s="1"/>
  <c r="K1543" i="1" s="1" a="1"/>
  <c r="K1543" i="1" s="1"/>
  <c r="J1544" i="1" a="1"/>
  <c r="J1544" i="1" s="1"/>
  <c r="K1544" i="1" s="1" a="1"/>
  <c r="K1544" i="1" s="1"/>
  <c r="J1545" i="1" a="1"/>
  <c r="J1545" i="1" s="1"/>
  <c r="K1545" i="1" s="1" a="1"/>
  <c r="K1545" i="1" s="1"/>
  <c r="J1546" i="1" a="1"/>
  <c r="J1546" i="1" s="1"/>
  <c r="K1546" i="1" s="1" a="1"/>
  <c r="K1546" i="1" s="1"/>
  <c r="J1547" i="1" a="1"/>
  <c r="J1547" i="1" s="1"/>
  <c r="K1547" i="1" s="1" a="1"/>
  <c r="K1547" i="1" s="1"/>
  <c r="J1548" i="1" a="1"/>
  <c r="J1548" i="1" s="1"/>
  <c r="K1548" i="1" s="1" a="1"/>
  <c r="K1548" i="1" s="1"/>
  <c r="J1549" i="1" a="1"/>
  <c r="J1549" i="1" s="1"/>
  <c r="K1549" i="1" s="1" a="1"/>
  <c r="K1549" i="1" s="1"/>
  <c r="J1550" i="1" a="1"/>
  <c r="J1550" i="1" s="1"/>
  <c r="K1550" i="1" s="1" a="1"/>
  <c r="K1550" i="1" s="1"/>
  <c r="J1551" i="1" a="1"/>
  <c r="J1551" i="1" s="1"/>
  <c r="K1551" i="1" s="1" a="1"/>
  <c r="K1551" i="1" s="1"/>
  <c r="J1552" i="1" a="1"/>
  <c r="J1552" i="1" s="1"/>
  <c r="K1552" i="1" s="1" a="1"/>
  <c r="K1552" i="1" s="1"/>
  <c r="J1553" i="1" a="1"/>
  <c r="J1553" i="1" s="1"/>
  <c r="K1553" i="1" s="1" a="1"/>
  <c r="K1553" i="1" s="1"/>
  <c r="J1554" i="1" a="1"/>
  <c r="J1554" i="1" s="1"/>
  <c r="K1554" i="1" s="1" a="1"/>
  <c r="K1554" i="1" s="1"/>
  <c r="J1555" i="1" a="1"/>
  <c r="J1555" i="1" s="1"/>
  <c r="K1555" i="1" s="1" a="1"/>
  <c r="K1555" i="1" s="1"/>
  <c r="J1556" i="1" a="1"/>
  <c r="J1556" i="1" s="1"/>
  <c r="K1556" i="1" s="1" a="1"/>
  <c r="K1556" i="1" s="1"/>
  <c r="J1557" i="1" a="1"/>
  <c r="J1557" i="1" s="1"/>
  <c r="K1557" i="1" s="1" a="1"/>
  <c r="K1557" i="1" s="1"/>
  <c r="J1558" i="1" a="1"/>
  <c r="J1558" i="1" s="1"/>
  <c r="K1558" i="1" s="1" a="1"/>
  <c r="K1558" i="1" s="1"/>
  <c r="J1559" i="1" a="1"/>
  <c r="J1559" i="1" s="1"/>
  <c r="K1559" i="1" s="1" a="1"/>
  <c r="K1559" i="1" s="1"/>
  <c r="J1560" i="1" a="1"/>
  <c r="J1560" i="1" s="1"/>
  <c r="K1560" i="1" s="1" a="1"/>
  <c r="K1560" i="1" s="1"/>
  <c r="J1561" i="1" a="1"/>
  <c r="J1561" i="1" s="1"/>
  <c r="K1561" i="1" s="1" a="1"/>
  <c r="K1561" i="1" s="1"/>
  <c r="J1562" i="1" a="1"/>
  <c r="J1562" i="1" s="1"/>
  <c r="K1562" i="1" s="1" a="1"/>
  <c r="K1562" i="1" s="1"/>
  <c r="J1563" i="1" a="1"/>
  <c r="J1563" i="1" s="1"/>
  <c r="K1563" i="1" s="1" a="1"/>
  <c r="K1563" i="1" s="1"/>
  <c r="J1564" i="1" a="1"/>
  <c r="J1564" i="1" s="1"/>
  <c r="K1564" i="1" s="1" a="1"/>
  <c r="K1564" i="1" s="1"/>
  <c r="J1565" i="1" a="1"/>
  <c r="J1565" i="1" s="1"/>
  <c r="K1565" i="1" s="1" a="1"/>
  <c r="K1565" i="1" s="1"/>
  <c r="J1566" i="1" a="1"/>
  <c r="J1566" i="1" s="1"/>
  <c r="K1566" i="1" s="1" a="1"/>
  <c r="K1566" i="1" s="1"/>
  <c r="J1567" i="1" a="1"/>
  <c r="J1567" i="1" s="1"/>
  <c r="K1567" i="1" s="1" a="1"/>
  <c r="K1567" i="1" s="1"/>
  <c r="J1568" i="1" a="1"/>
  <c r="J1568" i="1" s="1"/>
  <c r="K1568" i="1" s="1" a="1"/>
  <c r="K1568" i="1" s="1"/>
  <c r="J1569" i="1" a="1"/>
  <c r="J1569" i="1" s="1"/>
  <c r="K1569" i="1" s="1" a="1"/>
  <c r="K1569" i="1" s="1"/>
  <c r="J1570" i="1" a="1"/>
  <c r="J1570" i="1" s="1"/>
  <c r="K1570" i="1" s="1" a="1"/>
  <c r="K1570" i="1" s="1"/>
  <c r="J1571" i="1" a="1"/>
  <c r="J1571" i="1" s="1"/>
  <c r="K1571" i="1" s="1" a="1"/>
  <c r="K1571" i="1" s="1"/>
  <c r="J1572" i="1" a="1"/>
  <c r="J1572" i="1" s="1"/>
  <c r="K1572" i="1" s="1" a="1"/>
  <c r="K1572" i="1" s="1"/>
  <c r="J1573" i="1" a="1"/>
  <c r="J1573" i="1" s="1"/>
  <c r="K1573" i="1" s="1" a="1"/>
  <c r="K1573" i="1" s="1"/>
  <c r="J1574" i="1" a="1"/>
  <c r="J1574" i="1" s="1"/>
  <c r="K1574" i="1" s="1" a="1"/>
  <c r="K1574" i="1" s="1"/>
  <c r="J1575" i="1" a="1"/>
  <c r="J1575" i="1" s="1"/>
  <c r="K1575" i="1" s="1" a="1"/>
  <c r="K1575" i="1" s="1"/>
  <c r="J1576" i="1" a="1"/>
  <c r="J1576" i="1" s="1"/>
  <c r="K1576" i="1" s="1" a="1"/>
  <c r="K1576" i="1" s="1"/>
  <c r="J1577" i="1" a="1"/>
  <c r="J1577" i="1" s="1"/>
  <c r="K1577" i="1" s="1" a="1"/>
  <c r="K1577" i="1" s="1"/>
  <c r="J1578" i="1" a="1"/>
  <c r="J1578" i="1" s="1"/>
  <c r="K1578" i="1" s="1" a="1"/>
  <c r="K1578" i="1" s="1"/>
  <c r="J1579" i="1" a="1"/>
  <c r="J1579" i="1" s="1"/>
  <c r="K1579" i="1" s="1" a="1"/>
  <c r="K1579" i="1" s="1"/>
  <c r="J1580" i="1" a="1"/>
  <c r="J1580" i="1" s="1"/>
  <c r="K1580" i="1" s="1" a="1"/>
  <c r="K1580" i="1" s="1"/>
  <c r="J1581" i="1" a="1"/>
  <c r="J1581" i="1" s="1"/>
  <c r="K1581" i="1" s="1" a="1"/>
  <c r="K1581" i="1" s="1"/>
  <c r="J1582" i="1" a="1"/>
  <c r="J1582" i="1" s="1"/>
  <c r="K1582" i="1" s="1" a="1"/>
  <c r="K1582" i="1" s="1"/>
  <c r="J1583" i="1" a="1"/>
  <c r="J1583" i="1" s="1"/>
  <c r="K1583" i="1" s="1" a="1"/>
  <c r="K1583" i="1" s="1"/>
  <c r="J1584" i="1" a="1"/>
  <c r="J1584" i="1" s="1"/>
  <c r="K1584" i="1" s="1" a="1"/>
  <c r="K1584" i="1" s="1"/>
  <c r="J1585" i="1" a="1"/>
  <c r="J1585" i="1" s="1"/>
  <c r="K1585" i="1" s="1" a="1"/>
  <c r="K1585" i="1" s="1"/>
  <c r="J1586" i="1" a="1"/>
  <c r="J1586" i="1" s="1"/>
  <c r="K1586" i="1" s="1" a="1"/>
  <c r="K1586" i="1" s="1"/>
  <c r="J1587" i="1" a="1"/>
  <c r="J1587" i="1" s="1"/>
  <c r="K1587" i="1" s="1" a="1"/>
  <c r="K1587" i="1" s="1"/>
  <c r="J1588" i="1" a="1"/>
  <c r="J1588" i="1" s="1"/>
  <c r="K1588" i="1" s="1" a="1"/>
  <c r="K1588" i="1" s="1"/>
  <c r="J1589" i="1" a="1"/>
  <c r="J1589" i="1" s="1"/>
  <c r="K1589" i="1" s="1" a="1"/>
  <c r="K1589" i="1" s="1"/>
  <c r="J1590" i="1" a="1"/>
  <c r="J1590" i="1" s="1"/>
  <c r="K1590" i="1" s="1" a="1"/>
  <c r="K1590" i="1" s="1"/>
  <c r="J1591" i="1" a="1"/>
  <c r="J1591" i="1" s="1"/>
  <c r="K1591" i="1" s="1" a="1"/>
  <c r="K1591" i="1" s="1"/>
  <c r="J1592" i="1" a="1"/>
  <c r="J1592" i="1" s="1"/>
  <c r="K1592" i="1" s="1" a="1"/>
  <c r="K1592" i="1" s="1"/>
  <c r="J1593" i="1" a="1"/>
  <c r="J1593" i="1" s="1"/>
  <c r="K1593" i="1" s="1" a="1"/>
  <c r="K1593" i="1" s="1"/>
  <c r="J1594" i="1" a="1"/>
  <c r="J1594" i="1" s="1"/>
  <c r="K1594" i="1" s="1" a="1"/>
  <c r="K1594" i="1" s="1"/>
  <c r="J1595" i="1" a="1"/>
  <c r="J1595" i="1" s="1"/>
  <c r="K1595" i="1" s="1" a="1"/>
  <c r="K1595" i="1" s="1"/>
  <c r="J1596" i="1" a="1"/>
  <c r="J1596" i="1" s="1"/>
  <c r="K1596" i="1" s="1" a="1"/>
  <c r="K1596" i="1" s="1"/>
  <c r="J1597" i="1" a="1"/>
  <c r="J1597" i="1" s="1"/>
  <c r="K1597" i="1" s="1" a="1"/>
  <c r="K1597" i="1" s="1"/>
  <c r="J1598" i="1" a="1"/>
  <c r="J1598" i="1" s="1"/>
  <c r="K1598" i="1" s="1" a="1"/>
  <c r="K1598" i="1" s="1"/>
  <c r="J1599" i="1" a="1"/>
  <c r="J1599" i="1" s="1"/>
  <c r="K1599" i="1" s="1" a="1"/>
  <c r="K1599" i="1" s="1"/>
  <c r="J1600" i="1" a="1"/>
  <c r="J1600" i="1" s="1"/>
  <c r="K1600" i="1" s="1" a="1"/>
  <c r="K1600" i="1" s="1"/>
  <c r="J1601" i="1" a="1"/>
  <c r="J1601" i="1" s="1"/>
  <c r="K1601" i="1" s="1" a="1"/>
  <c r="K1601" i="1" s="1"/>
  <c r="J1602" i="1" a="1"/>
  <c r="J1602" i="1" s="1"/>
  <c r="K1602" i="1" s="1" a="1"/>
  <c r="K1602" i="1" s="1"/>
  <c r="J1603" i="1" a="1"/>
  <c r="J1603" i="1" s="1"/>
  <c r="K1603" i="1" s="1" a="1"/>
  <c r="K1603" i="1" s="1"/>
  <c r="J1604" i="1" a="1"/>
  <c r="J1604" i="1" s="1"/>
  <c r="K1604" i="1" s="1" a="1"/>
  <c r="K1604" i="1" s="1"/>
  <c r="J1605" i="1" a="1"/>
  <c r="J1605" i="1" s="1"/>
  <c r="K1605" i="1" s="1" a="1"/>
  <c r="K1605" i="1" s="1"/>
  <c r="J1606" i="1" a="1"/>
  <c r="J1606" i="1" s="1"/>
  <c r="K1606" i="1" s="1" a="1"/>
  <c r="K1606" i="1" s="1"/>
  <c r="J1607" i="1" a="1"/>
  <c r="J1607" i="1" s="1"/>
  <c r="K1607" i="1" s="1" a="1"/>
  <c r="K1607" i="1" s="1"/>
  <c r="J1608" i="1" a="1"/>
  <c r="J1608" i="1" s="1"/>
  <c r="K1608" i="1" s="1" a="1"/>
  <c r="K1608" i="1" s="1"/>
  <c r="J1609" i="1" a="1"/>
  <c r="J1609" i="1" s="1"/>
  <c r="K1609" i="1" s="1" a="1"/>
  <c r="K1609" i="1" s="1"/>
  <c r="J1610" i="1" a="1"/>
  <c r="J1610" i="1" s="1"/>
  <c r="K1610" i="1" s="1" a="1"/>
  <c r="K1610" i="1" s="1"/>
  <c r="J1611" i="1" a="1"/>
  <c r="J1611" i="1" s="1"/>
  <c r="K1611" i="1" s="1" a="1"/>
  <c r="K1611" i="1" s="1"/>
  <c r="J1612" i="1" a="1"/>
  <c r="J1612" i="1" s="1"/>
  <c r="K1612" i="1" s="1" a="1"/>
  <c r="K1612" i="1" s="1"/>
  <c r="J1613" i="1" a="1"/>
  <c r="J1613" i="1" s="1"/>
  <c r="K1613" i="1" s="1" a="1"/>
  <c r="K1613" i="1" s="1"/>
  <c r="J1614" i="1" a="1"/>
  <c r="J1614" i="1" s="1"/>
  <c r="K1614" i="1" s="1" a="1"/>
  <c r="K1614" i="1" s="1"/>
  <c r="J1615" i="1" a="1"/>
  <c r="J1615" i="1" s="1"/>
  <c r="K1615" i="1" s="1" a="1"/>
  <c r="K1615" i="1" s="1"/>
  <c r="J1616" i="1" a="1"/>
  <c r="J1616" i="1" s="1"/>
  <c r="K1616" i="1" s="1" a="1"/>
  <c r="K1616" i="1" s="1"/>
  <c r="J1617" i="1" a="1"/>
  <c r="J1617" i="1" s="1"/>
  <c r="K1617" i="1" s="1" a="1"/>
  <c r="K1617" i="1" s="1"/>
  <c r="J1618" i="1" a="1"/>
  <c r="J1618" i="1" s="1"/>
  <c r="K1618" i="1" s="1" a="1"/>
  <c r="K1618" i="1" s="1"/>
  <c r="J1619" i="1" a="1"/>
  <c r="J1619" i="1" s="1"/>
  <c r="K1619" i="1" s="1" a="1"/>
  <c r="K1619" i="1" s="1"/>
  <c r="J1620" i="1" a="1"/>
  <c r="J1620" i="1" s="1"/>
  <c r="K1620" i="1" s="1" a="1"/>
  <c r="K1620" i="1" s="1"/>
  <c r="J1621" i="1" a="1"/>
  <c r="J1621" i="1" s="1"/>
  <c r="K1621" i="1" s="1" a="1"/>
  <c r="K1621" i="1" s="1"/>
  <c r="J1622" i="1" a="1"/>
  <c r="J1622" i="1" s="1"/>
  <c r="K1622" i="1" s="1" a="1"/>
  <c r="K1622" i="1" s="1"/>
  <c r="J1623" i="1" a="1"/>
  <c r="J1623" i="1" s="1"/>
  <c r="K1623" i="1" s="1" a="1"/>
  <c r="K1623" i="1" s="1"/>
  <c r="J1624" i="1" a="1"/>
  <c r="J1624" i="1" s="1"/>
  <c r="K1624" i="1" s="1" a="1"/>
  <c r="K1624" i="1" s="1"/>
  <c r="J1625" i="1" a="1"/>
  <c r="J1625" i="1" s="1"/>
  <c r="K1625" i="1" s="1" a="1"/>
  <c r="K1625" i="1" s="1"/>
  <c r="J1626" i="1" a="1"/>
  <c r="J1626" i="1" s="1"/>
  <c r="K1626" i="1" s="1" a="1"/>
  <c r="K1626" i="1" s="1"/>
  <c r="J1627" i="1" a="1"/>
  <c r="J1627" i="1" s="1"/>
  <c r="K1627" i="1" s="1" a="1"/>
  <c r="K1627" i="1" s="1"/>
  <c r="J1628" i="1" a="1"/>
  <c r="J1628" i="1" s="1"/>
  <c r="K1628" i="1" s="1" a="1"/>
  <c r="K1628" i="1" s="1"/>
  <c r="J1629" i="1" a="1"/>
  <c r="J1629" i="1" s="1"/>
  <c r="K1629" i="1" s="1" a="1"/>
  <c r="K1629" i="1" s="1"/>
  <c r="J1630" i="1" a="1"/>
  <c r="J1630" i="1" s="1"/>
  <c r="K1630" i="1" s="1" a="1"/>
  <c r="K1630" i="1" s="1"/>
  <c r="J1631" i="1" a="1"/>
  <c r="J1631" i="1" s="1"/>
  <c r="K1631" i="1" s="1" a="1"/>
  <c r="K1631" i="1" s="1"/>
  <c r="J1632" i="1" a="1"/>
  <c r="J1632" i="1" s="1"/>
  <c r="K1632" i="1" s="1" a="1"/>
  <c r="K1632" i="1" s="1"/>
  <c r="J1633" i="1" a="1"/>
  <c r="J1633" i="1" s="1"/>
  <c r="K1633" i="1" s="1" a="1"/>
  <c r="K1633" i="1" s="1"/>
  <c r="J1634" i="1" a="1"/>
  <c r="J1634" i="1" s="1"/>
  <c r="K1634" i="1" s="1" a="1"/>
  <c r="K1634" i="1" s="1"/>
  <c r="J1635" i="1" a="1"/>
  <c r="J1635" i="1" s="1"/>
  <c r="K1635" i="1" s="1" a="1"/>
  <c r="K1635" i="1" s="1"/>
  <c r="J1636" i="1" a="1"/>
  <c r="J1636" i="1" s="1"/>
  <c r="K1636" i="1" s="1" a="1"/>
  <c r="K1636" i="1" s="1"/>
  <c r="J1637" i="1" a="1"/>
  <c r="J1637" i="1" s="1"/>
  <c r="K1637" i="1" s="1" a="1"/>
  <c r="K1637" i="1" s="1"/>
  <c r="J1638" i="1" a="1"/>
  <c r="J1638" i="1" s="1"/>
  <c r="K1638" i="1" s="1" a="1"/>
  <c r="K1638" i="1" s="1"/>
  <c r="J1639" i="1" a="1"/>
  <c r="J1639" i="1" s="1"/>
  <c r="K1639" i="1" s="1" a="1"/>
  <c r="K1639" i="1" s="1"/>
  <c r="J1640" i="1" a="1"/>
  <c r="J1640" i="1" s="1"/>
  <c r="K1640" i="1" s="1" a="1"/>
  <c r="K1640" i="1" s="1"/>
  <c r="J1641" i="1" a="1"/>
  <c r="J1641" i="1" s="1"/>
  <c r="K1641" i="1" s="1" a="1"/>
  <c r="K1641" i="1" s="1"/>
  <c r="J1642" i="1" a="1"/>
  <c r="J1642" i="1" s="1"/>
  <c r="K1642" i="1" s="1" a="1"/>
  <c r="K1642" i="1" s="1"/>
  <c r="J1643" i="1" a="1"/>
  <c r="J1643" i="1" s="1"/>
  <c r="K1643" i="1" s="1" a="1"/>
  <c r="K1643" i="1" s="1"/>
  <c r="J1644" i="1" a="1"/>
  <c r="J1644" i="1" s="1"/>
  <c r="K1644" i="1" s="1" a="1"/>
  <c r="K1644" i="1" s="1"/>
  <c r="J1645" i="1" a="1"/>
  <c r="J1645" i="1" s="1"/>
  <c r="K1645" i="1" s="1" a="1"/>
  <c r="K1645" i="1" s="1"/>
  <c r="J1646" i="1" a="1"/>
  <c r="J1646" i="1" s="1"/>
  <c r="K1646" i="1" s="1" a="1"/>
  <c r="K1646" i="1" s="1"/>
  <c r="J1647" i="1" a="1"/>
  <c r="J1647" i="1" s="1"/>
  <c r="K1647" i="1" s="1" a="1"/>
  <c r="K1647" i="1" s="1"/>
  <c r="J1648" i="1" a="1"/>
  <c r="J1648" i="1" s="1"/>
  <c r="K1648" i="1" s="1" a="1"/>
  <c r="K1648" i="1" s="1"/>
  <c r="J1649" i="1" a="1"/>
  <c r="J1649" i="1" s="1"/>
  <c r="K1649" i="1" s="1" a="1"/>
  <c r="K1649" i="1" s="1"/>
  <c r="J1650" i="1" a="1"/>
  <c r="J1650" i="1" s="1"/>
  <c r="K1650" i="1" s="1" a="1"/>
  <c r="K1650" i="1" s="1"/>
  <c r="J1651" i="1" a="1"/>
  <c r="J1651" i="1" s="1"/>
  <c r="K1651" i="1" s="1" a="1"/>
  <c r="K1651" i="1" s="1"/>
  <c r="J1652" i="1" a="1"/>
  <c r="J1652" i="1" s="1"/>
  <c r="K1652" i="1" s="1" a="1"/>
  <c r="K1652" i="1" s="1"/>
  <c r="J1653" i="1" a="1"/>
  <c r="J1653" i="1" s="1"/>
  <c r="K1653" i="1" s="1" a="1"/>
  <c r="K1653" i="1" s="1"/>
  <c r="J1654" i="1" a="1"/>
  <c r="J1654" i="1" s="1"/>
  <c r="K1654" i="1" s="1" a="1"/>
  <c r="K1654" i="1" s="1"/>
  <c r="J1655" i="1" a="1"/>
  <c r="J1655" i="1" s="1"/>
  <c r="K1655" i="1" s="1" a="1"/>
  <c r="K1655" i="1" s="1"/>
  <c r="J1656" i="1" a="1"/>
  <c r="J1656" i="1" s="1"/>
  <c r="K1656" i="1" s="1" a="1"/>
  <c r="K1656" i="1" s="1"/>
  <c r="J1657" i="1" a="1"/>
  <c r="J1657" i="1" s="1"/>
  <c r="K1657" i="1" s="1" a="1"/>
  <c r="K1657" i="1" s="1"/>
  <c r="J1658" i="1" a="1"/>
  <c r="J1658" i="1" s="1"/>
  <c r="K1658" i="1" s="1" a="1"/>
  <c r="K1658" i="1" s="1"/>
  <c r="J1659" i="1" a="1"/>
  <c r="J1659" i="1" s="1"/>
  <c r="K1659" i="1" s="1" a="1"/>
  <c r="K1659" i="1" s="1"/>
  <c r="J1660" i="1" a="1"/>
  <c r="J1660" i="1" s="1"/>
  <c r="K1660" i="1" s="1" a="1"/>
  <c r="K1660" i="1" s="1"/>
  <c r="J1661" i="1" a="1"/>
  <c r="J1661" i="1" s="1"/>
  <c r="K1661" i="1" s="1" a="1"/>
  <c r="K1661" i="1" s="1"/>
  <c r="J1662" i="1" a="1"/>
  <c r="J1662" i="1" s="1"/>
  <c r="K1662" i="1" s="1" a="1"/>
  <c r="K1662" i="1" s="1"/>
  <c r="J1663" i="1" a="1"/>
  <c r="J1663" i="1" s="1"/>
  <c r="K1663" i="1" s="1" a="1"/>
  <c r="K1663" i="1" s="1"/>
  <c r="J1664" i="1" a="1"/>
  <c r="J1664" i="1" s="1"/>
  <c r="K1664" i="1" s="1" a="1"/>
  <c r="K1664" i="1" s="1"/>
  <c r="J1665" i="1" a="1"/>
  <c r="J1665" i="1" s="1"/>
  <c r="K1665" i="1" s="1" a="1"/>
  <c r="K1665" i="1" s="1"/>
  <c r="J1666" i="1" a="1"/>
  <c r="J1666" i="1" s="1"/>
  <c r="K1666" i="1" s="1" a="1"/>
  <c r="K1666" i="1" s="1"/>
  <c r="J1667" i="1" a="1"/>
  <c r="J1667" i="1" s="1"/>
  <c r="K1667" i="1" s="1" a="1"/>
  <c r="K1667" i="1" s="1"/>
  <c r="J1668" i="1" a="1"/>
  <c r="J1668" i="1"/>
  <c r="K1668" i="1" s="1" a="1"/>
  <c r="K1668" i="1" s="1"/>
  <c r="J1669" i="1" a="1"/>
  <c r="J1669" i="1" s="1"/>
  <c r="K1669" i="1" s="1" a="1"/>
  <c r="K1669" i="1" s="1"/>
  <c r="J1670" i="1" a="1"/>
  <c r="J1670" i="1" s="1"/>
  <c r="K1670" i="1" s="1" a="1"/>
  <c r="K1670" i="1" s="1"/>
  <c r="J1671" i="1" a="1"/>
  <c r="J1671" i="1" s="1"/>
  <c r="K1671" i="1" s="1" a="1"/>
  <c r="K1671" i="1" s="1"/>
  <c r="J1672" i="1" a="1"/>
  <c r="J1672" i="1" s="1"/>
  <c r="K1672" i="1" s="1" a="1"/>
  <c r="K1672" i="1" s="1"/>
  <c r="J1673" i="1" a="1"/>
  <c r="J1673" i="1" s="1"/>
  <c r="K1673" i="1" s="1" a="1"/>
  <c r="K1673" i="1" s="1"/>
  <c r="J1674" i="1" a="1"/>
  <c r="J1674" i="1" s="1"/>
  <c r="K1674" i="1" s="1" a="1"/>
  <c r="K1674" i="1" s="1"/>
  <c r="J1675" i="1" a="1"/>
  <c r="J1675" i="1" s="1"/>
  <c r="K1675" i="1" s="1" a="1"/>
  <c r="K1675" i="1" s="1"/>
  <c r="J1676" i="1" a="1"/>
  <c r="J1676" i="1" s="1"/>
  <c r="K1676" i="1" s="1" a="1"/>
  <c r="K1676" i="1" s="1"/>
  <c r="J1677" i="1" a="1"/>
  <c r="J1677" i="1" s="1"/>
  <c r="K1677" i="1" s="1" a="1"/>
  <c r="K1677" i="1" s="1"/>
  <c r="J1678" i="1" a="1"/>
  <c r="J1678" i="1" s="1"/>
  <c r="K1678" i="1" s="1" a="1"/>
  <c r="K1678" i="1" s="1"/>
  <c r="J1679" i="1" a="1"/>
  <c r="J1679" i="1" s="1"/>
  <c r="K1679" i="1" s="1" a="1"/>
  <c r="K1679" i="1" s="1"/>
  <c r="J1680" i="1" a="1"/>
  <c r="J1680" i="1" s="1"/>
  <c r="K1680" i="1" s="1" a="1"/>
  <c r="K1680" i="1" s="1"/>
  <c r="J1681" i="1" a="1"/>
  <c r="J1681" i="1" s="1"/>
  <c r="K1681" i="1" s="1" a="1"/>
  <c r="K1681" i="1" s="1"/>
  <c r="J1682" i="1" a="1"/>
  <c r="J1682" i="1" s="1"/>
  <c r="K1682" i="1" s="1" a="1"/>
  <c r="K1682" i="1" s="1"/>
  <c r="J1683" i="1" a="1"/>
  <c r="J1683" i="1" s="1"/>
  <c r="K1683" i="1" s="1" a="1"/>
  <c r="K1683" i="1" s="1"/>
  <c r="J1684" i="1" a="1"/>
  <c r="J1684" i="1" s="1"/>
  <c r="K1684" i="1" s="1" a="1"/>
  <c r="K1684" i="1" s="1"/>
  <c r="J1685" i="1" a="1"/>
  <c r="J1685" i="1" s="1"/>
  <c r="K1685" i="1" s="1" a="1"/>
  <c r="K1685" i="1" s="1"/>
  <c r="J1686" i="1" a="1"/>
  <c r="J1686" i="1" s="1"/>
  <c r="K1686" i="1" s="1" a="1"/>
  <c r="K1686" i="1" s="1"/>
  <c r="J1687" i="1" a="1"/>
  <c r="J1687" i="1" s="1"/>
  <c r="K1687" i="1" s="1" a="1"/>
  <c r="K1687" i="1" s="1"/>
  <c r="J1688" i="1" a="1"/>
  <c r="J1688" i="1" s="1"/>
  <c r="K1688" i="1" s="1" a="1"/>
  <c r="K1688" i="1" s="1"/>
  <c r="J1689" i="1" a="1"/>
  <c r="J1689" i="1" s="1"/>
  <c r="K1689" i="1" s="1" a="1"/>
  <c r="K1689" i="1" s="1"/>
  <c r="J1690" i="1" a="1"/>
  <c r="J1690" i="1" s="1"/>
  <c r="K1690" i="1" s="1" a="1"/>
  <c r="K1690" i="1" s="1"/>
  <c r="J1691" i="1" a="1"/>
  <c r="J1691" i="1" s="1"/>
  <c r="K1691" i="1" s="1" a="1"/>
  <c r="K1691" i="1" s="1"/>
  <c r="J1692" i="1" a="1"/>
  <c r="J1692" i="1" s="1"/>
  <c r="K1692" i="1" s="1" a="1"/>
  <c r="K1692" i="1" s="1"/>
  <c r="J1693" i="1" a="1"/>
  <c r="J1693" i="1" s="1"/>
  <c r="K1693" i="1" s="1" a="1"/>
  <c r="K1693" i="1" s="1"/>
  <c r="J1694" i="1" a="1"/>
  <c r="J1694" i="1" s="1"/>
  <c r="K1694" i="1" s="1" a="1"/>
  <c r="K1694" i="1" s="1"/>
  <c r="J1695" i="1" a="1"/>
  <c r="J1695" i="1" s="1"/>
  <c r="K1695" i="1" s="1" a="1"/>
  <c r="K1695" i="1" s="1"/>
  <c r="J1696" i="1" a="1"/>
  <c r="J1696" i="1" s="1"/>
  <c r="K1696" i="1" s="1" a="1"/>
  <c r="K1696" i="1" s="1"/>
  <c r="J1697" i="1" a="1"/>
  <c r="J1697" i="1" s="1"/>
  <c r="K1697" i="1" s="1" a="1"/>
  <c r="K1697" i="1" s="1"/>
  <c r="J1698" i="1" a="1"/>
  <c r="J1698" i="1" s="1"/>
  <c r="K1698" i="1" s="1" a="1"/>
  <c r="K1698" i="1" s="1"/>
  <c r="J1699" i="1" a="1"/>
  <c r="J1699" i="1"/>
  <c r="K1699" i="1" s="1" a="1"/>
  <c r="K1699" i="1" s="1"/>
  <c r="J1700" i="1" a="1"/>
  <c r="J1700" i="1" s="1"/>
  <c r="K1700" i="1" s="1" a="1"/>
  <c r="K1700" i="1" s="1"/>
  <c r="J1701" i="1" a="1"/>
  <c r="J1701" i="1" s="1"/>
  <c r="K1701" i="1" s="1" a="1"/>
  <c r="K1701" i="1" s="1"/>
  <c r="J1702" i="1" a="1"/>
  <c r="J1702" i="1" s="1"/>
  <c r="K1702" i="1" s="1" a="1"/>
  <c r="K1702" i="1" s="1"/>
  <c r="J1703" i="1" a="1"/>
  <c r="J1703" i="1" s="1"/>
  <c r="K1703" i="1" s="1" a="1"/>
  <c r="K1703" i="1" s="1"/>
  <c r="J1704" i="1" a="1"/>
  <c r="J1704" i="1" s="1"/>
  <c r="K1704" i="1" s="1" a="1"/>
  <c r="K1704" i="1" s="1"/>
  <c r="J1705" i="1" a="1"/>
  <c r="J1705" i="1"/>
  <c r="K1705" i="1" s="1" a="1"/>
  <c r="K1705" i="1" s="1"/>
  <c r="J1706" i="1" a="1"/>
  <c r="J1706" i="1" s="1"/>
  <c r="K1706" i="1" s="1" a="1"/>
  <c r="K1706" i="1" s="1"/>
  <c r="J1707" i="1" a="1"/>
  <c r="J1707" i="1" s="1"/>
  <c r="K1707" i="1" s="1" a="1"/>
  <c r="K1707" i="1" s="1"/>
  <c r="J1708" i="1" a="1"/>
  <c r="J1708" i="1" s="1"/>
  <c r="K1708" i="1" s="1" a="1"/>
  <c r="K1708" i="1" s="1"/>
  <c r="J1709" i="1" a="1"/>
  <c r="J1709" i="1" s="1"/>
  <c r="K1709" i="1" s="1" a="1"/>
  <c r="K1709" i="1" s="1"/>
  <c r="J1710" i="1" a="1"/>
  <c r="J1710" i="1" s="1"/>
  <c r="K1710" i="1" s="1" a="1"/>
  <c r="K1710" i="1" s="1"/>
  <c r="J1711" i="1" a="1"/>
  <c r="J1711" i="1" s="1"/>
  <c r="K1711" i="1" s="1" a="1"/>
  <c r="K1711" i="1" s="1"/>
  <c r="J1712" i="1" a="1"/>
  <c r="J1712" i="1" s="1"/>
  <c r="K1712" i="1" s="1" a="1"/>
  <c r="K1712" i="1" s="1"/>
  <c r="J1713" i="1" a="1"/>
  <c r="J1713" i="1" s="1"/>
  <c r="K1713" i="1" s="1" a="1"/>
  <c r="K1713" i="1" s="1"/>
  <c r="J1714" i="1" a="1"/>
  <c r="J1714" i="1" s="1"/>
  <c r="K1714" i="1" s="1" a="1"/>
  <c r="K1714" i="1" s="1"/>
  <c r="J1715" i="1" a="1"/>
  <c r="J1715" i="1" s="1"/>
  <c r="K1715" i="1" s="1" a="1"/>
  <c r="K1715" i="1" s="1"/>
  <c r="J1716" i="1" a="1"/>
  <c r="J1716" i="1" s="1"/>
  <c r="K1716" i="1" s="1" a="1"/>
  <c r="K1716" i="1" s="1"/>
  <c r="J1717" i="1" a="1"/>
  <c r="J1717" i="1" s="1"/>
  <c r="K1717" i="1" s="1" a="1"/>
  <c r="K1717" i="1" s="1"/>
  <c r="J1718" i="1" a="1"/>
  <c r="J1718" i="1" s="1"/>
  <c r="K1718" i="1" s="1" a="1"/>
  <c r="K1718" i="1" s="1"/>
  <c r="J1719" i="1" a="1"/>
  <c r="J1719" i="1" s="1"/>
  <c r="K1719" i="1" s="1" a="1"/>
  <c r="K1719" i="1" s="1"/>
  <c r="J1720" i="1" a="1"/>
  <c r="J1720" i="1" s="1"/>
  <c r="K1720" i="1" s="1" a="1"/>
  <c r="K1720" i="1" s="1"/>
  <c r="J1721" i="1" a="1"/>
  <c r="J1721" i="1" s="1"/>
  <c r="K1721" i="1" s="1" a="1"/>
  <c r="K1721" i="1" s="1"/>
  <c r="J1722" i="1" a="1"/>
  <c r="J1722" i="1" s="1"/>
  <c r="K1722" i="1" s="1" a="1"/>
  <c r="K1722" i="1" s="1"/>
  <c r="J1723" i="1" a="1"/>
  <c r="J1723" i="1" s="1"/>
  <c r="K1723" i="1" s="1" a="1"/>
  <c r="K1723" i="1" s="1"/>
  <c r="J1724" i="1" a="1"/>
  <c r="J1724" i="1" s="1"/>
  <c r="K1724" i="1" s="1" a="1"/>
  <c r="K1724" i="1" s="1"/>
  <c r="J1725" i="1" a="1"/>
  <c r="J1725" i="1" s="1"/>
  <c r="K1725" i="1" s="1" a="1"/>
  <c r="K1725" i="1" s="1"/>
  <c r="J1726" i="1" a="1"/>
  <c r="J1726" i="1" s="1"/>
  <c r="K1726" i="1" s="1" a="1"/>
  <c r="K1726" i="1" s="1"/>
  <c r="J1727" i="1" a="1"/>
  <c r="J1727" i="1" s="1"/>
  <c r="K1727" i="1" s="1" a="1"/>
  <c r="K1727" i="1" s="1"/>
  <c r="J1728" i="1" a="1"/>
  <c r="J1728" i="1" s="1"/>
  <c r="K1728" i="1" s="1" a="1"/>
  <c r="K1728" i="1" s="1"/>
  <c r="J1729" i="1" a="1"/>
  <c r="J1729" i="1" s="1"/>
  <c r="K1729" i="1" s="1" a="1"/>
  <c r="K1729" i="1" s="1"/>
  <c r="J1730" i="1" a="1"/>
  <c r="J1730" i="1" s="1"/>
  <c r="K1730" i="1" s="1" a="1"/>
  <c r="K1730" i="1" s="1"/>
  <c r="J1731" i="1" a="1"/>
  <c r="J1731" i="1" s="1"/>
  <c r="K1731" i="1" s="1" a="1"/>
  <c r="K1731" i="1" s="1"/>
  <c r="J1732" i="1" a="1"/>
  <c r="J1732" i="1" s="1"/>
  <c r="K1732" i="1" s="1" a="1"/>
  <c r="K1732" i="1" s="1"/>
  <c r="J1733" i="1" a="1"/>
  <c r="J1733" i="1" s="1"/>
  <c r="K1733" i="1" s="1" a="1"/>
  <c r="K1733" i="1" s="1"/>
  <c r="J1734" i="1" a="1"/>
  <c r="J1734" i="1" s="1"/>
  <c r="K1734" i="1" s="1" a="1"/>
  <c r="K1734" i="1" s="1"/>
  <c r="J1735" i="1" a="1"/>
  <c r="J1735" i="1" s="1"/>
  <c r="K1735" i="1" s="1" a="1"/>
  <c r="K1735" i="1" s="1"/>
  <c r="J1736" i="1" a="1"/>
  <c r="J1736" i="1" s="1"/>
  <c r="K1736" i="1" s="1" a="1"/>
  <c r="K1736" i="1" s="1"/>
  <c r="J1737" i="1" a="1"/>
  <c r="J1737" i="1" s="1"/>
  <c r="K1737" i="1" s="1" a="1"/>
  <c r="K1737" i="1" s="1"/>
  <c r="J1738" i="1" a="1"/>
  <c r="J1738" i="1" s="1"/>
  <c r="K1738" i="1" s="1" a="1"/>
  <c r="K1738" i="1" s="1"/>
  <c r="J1739" i="1" a="1"/>
  <c r="J1739" i="1" s="1"/>
  <c r="K1739" i="1" s="1" a="1"/>
  <c r="K1739" i="1" s="1"/>
  <c r="J1740" i="1" a="1"/>
  <c r="J1740" i="1" s="1"/>
  <c r="K1740" i="1" s="1" a="1"/>
  <c r="K1740" i="1" s="1"/>
  <c r="J1741" i="1" a="1"/>
  <c r="J1741" i="1" s="1"/>
  <c r="K1741" i="1" s="1" a="1"/>
  <c r="K1741" i="1" s="1"/>
  <c r="J1742" i="1" a="1"/>
  <c r="J1742" i="1" s="1"/>
  <c r="K1742" i="1" s="1" a="1"/>
  <c r="K1742" i="1" s="1"/>
  <c r="J1743" i="1" a="1"/>
  <c r="J1743" i="1" s="1"/>
  <c r="K1743" i="1" s="1" a="1"/>
  <c r="K1743" i="1" s="1"/>
  <c r="J1744" i="1" a="1"/>
  <c r="J1744" i="1" s="1"/>
  <c r="K1744" i="1" s="1" a="1"/>
  <c r="K1744" i="1" s="1"/>
  <c r="J1745" i="1" a="1"/>
  <c r="J1745" i="1" s="1"/>
  <c r="K1745" i="1" s="1" a="1"/>
  <c r="K1745" i="1" s="1"/>
  <c r="J1746" i="1" a="1"/>
  <c r="J1746" i="1" s="1"/>
  <c r="K1746" i="1" s="1" a="1"/>
  <c r="K1746" i="1" s="1"/>
  <c r="J1747" i="1" a="1"/>
  <c r="J1747" i="1" s="1"/>
  <c r="K1747" i="1" s="1" a="1"/>
  <c r="K1747" i="1" s="1"/>
  <c r="J1748" i="1" a="1"/>
  <c r="J1748" i="1" s="1"/>
  <c r="K1748" i="1" s="1" a="1"/>
  <c r="K1748" i="1" s="1"/>
  <c r="J1749" i="1" a="1"/>
  <c r="J1749" i="1" s="1"/>
  <c r="K1749" i="1" s="1" a="1"/>
  <c r="K1749" i="1" s="1"/>
  <c r="J1750" i="1" a="1"/>
  <c r="J1750" i="1" s="1"/>
  <c r="K1750" i="1" s="1" a="1"/>
  <c r="K1750" i="1" s="1"/>
  <c r="J1751" i="1" a="1"/>
  <c r="J1751" i="1" s="1"/>
  <c r="K1751" i="1" s="1" a="1"/>
  <c r="K1751" i="1" s="1"/>
  <c r="J1752" i="1" a="1"/>
  <c r="J1752" i="1" s="1"/>
  <c r="K1752" i="1" s="1" a="1"/>
  <c r="K1752" i="1" s="1"/>
  <c r="J1753" i="1" a="1"/>
  <c r="J1753" i="1" s="1"/>
  <c r="K1753" i="1" s="1" a="1"/>
  <c r="K1753" i="1" s="1"/>
  <c r="J1754" i="1" a="1"/>
  <c r="J1754" i="1" s="1"/>
  <c r="K1754" i="1" s="1" a="1"/>
  <c r="K1754" i="1" s="1"/>
  <c r="J1755" i="1" a="1"/>
  <c r="J1755" i="1" s="1"/>
  <c r="K1755" i="1" s="1" a="1"/>
  <c r="K1755" i="1" s="1"/>
  <c r="J1756" i="1" a="1"/>
  <c r="J1756" i="1" s="1"/>
  <c r="K1756" i="1" s="1" a="1"/>
  <c r="K1756" i="1" s="1"/>
  <c r="J1757" i="1" a="1"/>
  <c r="J1757" i="1" s="1"/>
  <c r="K1757" i="1" s="1" a="1"/>
  <c r="K1757" i="1" s="1"/>
  <c r="J1758" i="1" a="1"/>
  <c r="J1758" i="1" s="1"/>
  <c r="K1758" i="1" s="1" a="1"/>
  <c r="K1758" i="1" s="1"/>
  <c r="J1759" i="1" a="1"/>
  <c r="J1759" i="1" s="1"/>
  <c r="K1759" i="1" s="1" a="1"/>
  <c r="K1759" i="1" s="1"/>
  <c r="J1760" i="1" a="1"/>
  <c r="J1760" i="1" s="1"/>
  <c r="K1760" i="1" s="1" a="1"/>
  <c r="K1760" i="1" s="1"/>
  <c r="J1761" i="1" a="1"/>
  <c r="J1761" i="1" s="1"/>
  <c r="K1761" i="1" s="1" a="1"/>
  <c r="K1761" i="1" s="1"/>
  <c r="J1762" i="1" a="1"/>
  <c r="J1762" i="1" s="1"/>
  <c r="K1762" i="1" s="1" a="1"/>
  <c r="K1762" i="1" s="1"/>
  <c r="J1763" i="1" a="1"/>
  <c r="J1763" i="1" s="1"/>
  <c r="K1763" i="1" s="1" a="1"/>
  <c r="K1763" i="1" s="1"/>
  <c r="J1764" i="1" a="1"/>
  <c r="J1764" i="1" s="1"/>
  <c r="K1764" i="1" s="1" a="1"/>
  <c r="K1764" i="1" s="1"/>
  <c r="J1824" i="1" a="1"/>
  <c r="J1824" i="1" s="1"/>
  <c r="K1824" i="1" s="1" a="1"/>
  <c r="K1824" i="1" s="1"/>
  <c r="J1825" i="1" a="1"/>
  <c r="J1825" i="1" s="1"/>
  <c r="K1825" i="1" s="1" a="1"/>
  <c r="K1825" i="1" s="1"/>
  <c r="J1826" i="1" a="1"/>
  <c r="J1826" i="1" s="1"/>
  <c r="K1826" i="1" s="1" a="1"/>
  <c r="K1826" i="1" s="1"/>
  <c r="J1827" i="1" a="1"/>
  <c r="J1827" i="1" s="1"/>
  <c r="K1827" i="1" s="1" a="1"/>
  <c r="K1827" i="1" s="1"/>
  <c r="J1828" i="1" a="1"/>
  <c r="J1828" i="1" s="1"/>
  <c r="K1828" i="1" s="1" a="1"/>
  <c r="K1828" i="1" s="1"/>
  <c r="J1829" i="1" a="1"/>
  <c r="J1829" i="1" s="1"/>
  <c r="K1829" i="1" s="1" a="1"/>
  <c r="K1829" i="1" s="1"/>
  <c r="J1830" i="1" a="1"/>
  <c r="J1830" i="1" s="1"/>
  <c r="K1830" i="1" s="1" a="1"/>
  <c r="K1830" i="1" s="1"/>
  <c r="J2" i="1" a="1"/>
  <c r="J2" i="1" s="1"/>
  <c r="I3" i="1" a="1"/>
  <c r="I3" i="1" s="1"/>
  <c r="I4" i="1" a="1"/>
  <c r="I4" i="1"/>
  <c r="I5" i="1" a="1"/>
  <c r="I5" i="1" s="1"/>
  <c r="I6" i="1" a="1"/>
  <c r="I6" i="1" s="1"/>
  <c r="I7" i="1" a="1"/>
  <c r="I7" i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 s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 s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 s="1"/>
  <c r="I1371" i="1" a="1"/>
  <c r="I1371" i="1" s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  <c r="I1381" i="1" a="1"/>
  <c r="I1381" i="1" s="1"/>
  <c r="I1382" i="1" a="1"/>
  <c r="I1382" i="1" s="1"/>
  <c r="I1383" i="1" a="1"/>
  <c r="I1383" i="1" s="1"/>
  <c r="I1384" i="1" a="1"/>
  <c r="I1384" i="1" s="1"/>
  <c r="I1385" i="1" a="1"/>
  <c r="I1385" i="1" s="1"/>
  <c r="I1386" i="1" a="1"/>
  <c r="I1386" i="1" s="1"/>
  <c r="I1387" i="1" a="1"/>
  <c r="I1387" i="1" s="1"/>
  <c r="I1388" i="1" a="1"/>
  <c r="I1388" i="1" s="1"/>
  <c r="I1389" i="1" a="1"/>
  <c r="I1389" i="1" s="1"/>
  <c r="I1390" i="1" a="1"/>
  <c r="I1390" i="1" s="1"/>
  <c r="I1391" i="1" a="1"/>
  <c r="I1391" i="1" s="1"/>
  <c r="I1392" i="1" a="1"/>
  <c r="I1392" i="1" s="1"/>
  <c r="I1393" i="1" a="1"/>
  <c r="I1393" i="1" s="1"/>
  <c r="I1394" i="1" a="1"/>
  <c r="I1394" i="1" s="1"/>
  <c r="I1395" i="1" a="1"/>
  <c r="I1395" i="1" s="1"/>
  <c r="I1396" i="1" a="1"/>
  <c r="I1396" i="1" s="1"/>
  <c r="I1397" i="1" a="1"/>
  <c r="I1397" i="1" s="1"/>
  <c r="I1398" i="1" a="1"/>
  <c r="I1398" i="1" s="1"/>
  <c r="I1399" i="1" a="1"/>
  <c r="I1399" i="1" s="1"/>
  <c r="I1400" i="1" a="1"/>
  <c r="I1400" i="1" s="1"/>
  <c r="I1401" i="1" a="1"/>
  <c r="I1401" i="1" s="1"/>
  <c r="I1402" i="1" a="1"/>
  <c r="I1402" i="1" s="1"/>
  <c r="I1403" i="1" a="1"/>
  <c r="I1403" i="1" s="1"/>
  <c r="I1404" i="1" a="1"/>
  <c r="I1404" i="1" s="1"/>
  <c r="I1405" i="1" a="1"/>
  <c r="I1405" i="1" s="1"/>
  <c r="I1406" i="1" a="1"/>
  <c r="I1406" i="1" s="1"/>
  <c r="I1407" i="1" a="1"/>
  <c r="I1407" i="1" s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 s="1"/>
  <c r="I1413" i="1" a="1"/>
  <c r="I1413" i="1" s="1"/>
  <c r="I1414" i="1" a="1"/>
  <c r="I1414" i="1" s="1"/>
  <c r="I1415" i="1" a="1"/>
  <c r="I1415" i="1" s="1"/>
  <c r="I1416" i="1" a="1"/>
  <c r="I1416" i="1" s="1"/>
  <c r="I1417" i="1" a="1"/>
  <c r="I1417" i="1" s="1"/>
  <c r="I1418" i="1" a="1"/>
  <c r="I1418" i="1" s="1"/>
  <c r="I1419" i="1" a="1"/>
  <c r="I1419" i="1" s="1"/>
  <c r="I1420" i="1" a="1"/>
  <c r="I1420" i="1" s="1"/>
  <c r="I1421" i="1" a="1"/>
  <c r="I1421" i="1" s="1"/>
  <c r="I1422" i="1" a="1"/>
  <c r="I1422" i="1" s="1"/>
  <c r="I1423" i="1" a="1"/>
  <c r="I1423" i="1" s="1"/>
  <c r="I1424" i="1" a="1"/>
  <c r="I1424" i="1" s="1"/>
  <c r="I1425" i="1" a="1"/>
  <c r="I1425" i="1" s="1"/>
  <c r="I1426" i="1" a="1"/>
  <c r="I1426" i="1" s="1"/>
  <c r="I1427" i="1" a="1"/>
  <c r="I1427" i="1" s="1"/>
  <c r="I1428" i="1" a="1"/>
  <c r="I1428" i="1" s="1"/>
  <c r="I1429" i="1" a="1"/>
  <c r="I1429" i="1" s="1"/>
  <c r="I1430" i="1" a="1"/>
  <c r="I1430" i="1" s="1"/>
  <c r="I1431" i="1" a="1"/>
  <c r="I1431" i="1" s="1"/>
  <c r="I1432" i="1" a="1"/>
  <c r="I1432" i="1" s="1"/>
  <c r="I1433" i="1" a="1"/>
  <c r="I1433" i="1" s="1"/>
  <c r="I1434" i="1" a="1"/>
  <c r="I1434" i="1" s="1"/>
  <c r="I1435" i="1" a="1"/>
  <c r="I1435" i="1" s="1"/>
  <c r="I1436" i="1" a="1"/>
  <c r="I1436" i="1" s="1"/>
  <c r="I1437" i="1" a="1"/>
  <c r="I1437" i="1" s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 s="1"/>
  <c r="I1443" i="1" a="1"/>
  <c r="I1443" i="1" s="1"/>
  <c r="I1444" i="1" a="1"/>
  <c r="I1444" i="1" s="1"/>
  <c r="I1445" i="1" a="1"/>
  <c r="I1445" i="1" s="1"/>
  <c r="I1446" i="1" a="1"/>
  <c r="I1446" i="1" s="1"/>
  <c r="I1447" i="1" a="1"/>
  <c r="I1447" i="1" s="1"/>
  <c r="I1448" i="1" a="1"/>
  <c r="I1448" i="1" s="1"/>
  <c r="I1449" i="1" a="1"/>
  <c r="I1449" i="1" s="1"/>
  <c r="I1450" i="1" a="1"/>
  <c r="I1450" i="1" s="1"/>
  <c r="I1451" i="1" a="1"/>
  <c r="I1451" i="1" s="1"/>
  <c r="I1452" i="1" a="1"/>
  <c r="I1452" i="1" s="1"/>
  <c r="I1453" i="1" a="1"/>
  <c r="I1453" i="1" s="1"/>
  <c r="I1454" i="1" a="1"/>
  <c r="I1454" i="1" s="1"/>
  <c r="I1455" i="1" a="1"/>
  <c r="I1455" i="1" s="1"/>
  <c r="I1456" i="1" a="1"/>
  <c r="I1456" i="1" s="1"/>
  <c r="I1457" i="1" a="1"/>
  <c r="I1457" i="1" s="1"/>
  <c r="I1458" i="1" a="1"/>
  <c r="I1458" i="1" s="1"/>
  <c r="I1459" i="1" a="1"/>
  <c r="I1459" i="1" s="1"/>
  <c r="I1460" i="1" a="1"/>
  <c r="I1460" i="1" s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 s="1"/>
  <c r="I1467" i="1" a="1"/>
  <c r="I1467" i="1" s="1"/>
  <c r="I1468" i="1" a="1"/>
  <c r="I1468" i="1" s="1"/>
  <c r="I1469" i="1" a="1"/>
  <c r="I1469" i="1" s="1"/>
  <c r="I1470" i="1" a="1"/>
  <c r="I1470" i="1" s="1"/>
  <c r="I1471" i="1" a="1"/>
  <c r="I1471" i="1" s="1"/>
  <c r="I1472" i="1" a="1"/>
  <c r="I1472" i="1" s="1"/>
  <c r="I1473" i="1" a="1"/>
  <c r="I1473" i="1" s="1"/>
  <c r="I1474" i="1" a="1"/>
  <c r="I1474" i="1" s="1"/>
  <c r="I1475" i="1" a="1"/>
  <c r="I1475" i="1" s="1"/>
  <c r="I1476" i="1" a="1"/>
  <c r="I1476" i="1" s="1"/>
  <c r="I1477" i="1" a="1"/>
  <c r="I1477" i="1" s="1"/>
  <c r="I1478" i="1" a="1"/>
  <c r="I1478" i="1" s="1"/>
  <c r="I1479" i="1" a="1"/>
  <c r="I1479" i="1" s="1"/>
  <c r="I1480" i="1" a="1"/>
  <c r="I1480" i="1" s="1"/>
  <c r="I1481" i="1" a="1"/>
  <c r="I1481" i="1" s="1"/>
  <c r="I1482" i="1" a="1"/>
  <c r="I1482" i="1" s="1"/>
  <c r="I1483" i="1" a="1"/>
  <c r="I1483" i="1" s="1"/>
  <c r="I1484" i="1" a="1"/>
  <c r="I1484" i="1" s="1"/>
  <c r="I1485" i="1" a="1"/>
  <c r="I1485" i="1" s="1"/>
  <c r="I1486" i="1" a="1"/>
  <c r="I1486" i="1" s="1"/>
  <c r="I1487" i="1" a="1"/>
  <c r="I1487" i="1" s="1"/>
  <c r="I1488" i="1" a="1"/>
  <c r="I1488" i="1" s="1"/>
  <c r="I1489" i="1" a="1"/>
  <c r="I1489" i="1" s="1"/>
  <c r="I1490" i="1" a="1"/>
  <c r="I1490" i="1" s="1"/>
  <c r="I1491" i="1" a="1"/>
  <c r="I1491" i="1" s="1"/>
  <c r="I1492" i="1" a="1"/>
  <c r="I1492" i="1" s="1"/>
  <c r="I1493" i="1" a="1"/>
  <c r="I1493" i="1" s="1"/>
  <c r="I1494" i="1" a="1"/>
  <c r="I1494" i="1" s="1"/>
  <c r="I1495" i="1" a="1"/>
  <c r="I1495" i="1" s="1"/>
  <c r="I1496" i="1" a="1"/>
  <c r="I1496" i="1" s="1"/>
  <c r="I1497" i="1" a="1"/>
  <c r="I1497" i="1" s="1"/>
  <c r="I1498" i="1" a="1"/>
  <c r="I1498" i="1" s="1"/>
  <c r="I1499" i="1" a="1"/>
  <c r="I1499" i="1" s="1"/>
  <c r="I1500" i="1" a="1"/>
  <c r="I1500" i="1" s="1"/>
  <c r="I1501" i="1" a="1"/>
  <c r="I1501" i="1" s="1"/>
  <c r="I1502" i="1" a="1"/>
  <c r="I1502" i="1" s="1"/>
  <c r="I1503" i="1" a="1"/>
  <c r="I1503" i="1" s="1"/>
  <c r="I1504" i="1" a="1"/>
  <c r="I1504" i="1" s="1"/>
  <c r="I1505" i="1" a="1"/>
  <c r="I1505" i="1" s="1"/>
  <c r="I1506" i="1" a="1"/>
  <c r="I1506" i="1" s="1"/>
  <c r="I1507" i="1" a="1"/>
  <c r="I1507" i="1" s="1"/>
  <c r="I1508" i="1" a="1"/>
  <c r="I1508" i="1" s="1"/>
  <c r="I1509" i="1" a="1"/>
  <c r="I1509" i="1" s="1"/>
  <c r="I1510" i="1" a="1"/>
  <c r="I1510" i="1" s="1"/>
  <c r="I1511" i="1" a="1"/>
  <c r="I1511" i="1" s="1"/>
  <c r="I1512" i="1" a="1"/>
  <c r="I1512" i="1" s="1"/>
  <c r="I1513" i="1" a="1"/>
  <c r="I1513" i="1" s="1"/>
  <c r="I1514" i="1" a="1"/>
  <c r="I1514" i="1" s="1"/>
  <c r="I1515" i="1" a="1"/>
  <c r="I1515" i="1" s="1"/>
  <c r="I1516" i="1" a="1"/>
  <c r="I1516" i="1" s="1"/>
  <c r="I1517" i="1" a="1"/>
  <c r="I1517" i="1" s="1"/>
  <c r="I1518" i="1" a="1"/>
  <c r="I1518" i="1" s="1"/>
  <c r="I1519" i="1" a="1"/>
  <c r="I1519" i="1" s="1"/>
  <c r="I1520" i="1" a="1"/>
  <c r="I1520" i="1" s="1"/>
  <c r="I1521" i="1" a="1"/>
  <c r="I1521" i="1" s="1"/>
  <c r="I1522" i="1" a="1"/>
  <c r="I1522" i="1" s="1"/>
  <c r="I1523" i="1" a="1"/>
  <c r="I1523" i="1" s="1"/>
  <c r="I1524" i="1" a="1"/>
  <c r="I1524" i="1" s="1"/>
  <c r="I1525" i="1" a="1"/>
  <c r="I1525" i="1" s="1"/>
  <c r="I1526" i="1" a="1"/>
  <c r="I1526" i="1" s="1"/>
  <c r="I1527" i="1" a="1"/>
  <c r="I1527" i="1" s="1"/>
  <c r="I1528" i="1" a="1"/>
  <c r="I1528" i="1" s="1"/>
  <c r="I1529" i="1" a="1"/>
  <c r="I1529" i="1" s="1"/>
  <c r="I1530" i="1" a="1"/>
  <c r="I1530" i="1" s="1"/>
  <c r="I1531" i="1" a="1"/>
  <c r="I1531" i="1" s="1"/>
  <c r="I1532" i="1" a="1"/>
  <c r="I1532" i="1" s="1"/>
  <c r="I1533" i="1" a="1"/>
  <c r="I1533" i="1" s="1"/>
  <c r="I1534" i="1" a="1"/>
  <c r="I1534" i="1" s="1"/>
  <c r="I1535" i="1" a="1"/>
  <c r="I1535" i="1" s="1"/>
  <c r="I1536" i="1" a="1"/>
  <c r="I1536" i="1" s="1"/>
  <c r="I1537" i="1" a="1"/>
  <c r="I1537" i="1" s="1"/>
  <c r="I1538" i="1" a="1"/>
  <c r="I1538" i="1" s="1"/>
  <c r="I1539" i="1" a="1"/>
  <c r="I1539" i="1" s="1"/>
  <c r="I1540" i="1" a="1"/>
  <c r="I1540" i="1" s="1"/>
  <c r="I1541" i="1" a="1"/>
  <c r="I1541" i="1" s="1"/>
  <c r="I1542" i="1" a="1"/>
  <c r="I1542" i="1" s="1"/>
  <c r="I1543" i="1" a="1"/>
  <c r="I1543" i="1" s="1"/>
  <c r="I1544" i="1" a="1"/>
  <c r="I1544" i="1" s="1"/>
  <c r="I1545" i="1" a="1"/>
  <c r="I1545" i="1" s="1"/>
  <c r="I1546" i="1" a="1"/>
  <c r="I1546" i="1" s="1"/>
  <c r="I1547" i="1" a="1"/>
  <c r="I1547" i="1" s="1"/>
  <c r="I1548" i="1" a="1"/>
  <c r="I1548" i="1" s="1"/>
  <c r="I1549" i="1" a="1"/>
  <c r="I1549" i="1" s="1"/>
  <c r="I1550" i="1" a="1"/>
  <c r="I1550" i="1" s="1"/>
  <c r="I1551" i="1" a="1"/>
  <c r="I1551" i="1" s="1"/>
  <c r="I1552" i="1" a="1"/>
  <c r="I1552" i="1" s="1"/>
  <c r="I1553" i="1" a="1"/>
  <c r="I1553" i="1" s="1"/>
  <c r="I1554" i="1" a="1"/>
  <c r="I1554" i="1" s="1"/>
  <c r="I1555" i="1" a="1"/>
  <c r="I1555" i="1" s="1"/>
  <c r="I1556" i="1" a="1"/>
  <c r="I1556" i="1" s="1"/>
  <c r="I1557" i="1" a="1"/>
  <c r="I1557" i="1" s="1"/>
  <c r="I1558" i="1" a="1"/>
  <c r="I1558" i="1" s="1"/>
  <c r="I1559" i="1" a="1"/>
  <c r="I1559" i="1" s="1"/>
  <c r="I1560" i="1" a="1"/>
  <c r="I1560" i="1" s="1"/>
  <c r="I1561" i="1" a="1"/>
  <c r="I1561" i="1" s="1"/>
  <c r="I1562" i="1" a="1"/>
  <c r="I1562" i="1" s="1"/>
  <c r="I1563" i="1" a="1"/>
  <c r="I1563" i="1" s="1"/>
  <c r="I1564" i="1" a="1"/>
  <c r="I1564" i="1" s="1"/>
  <c r="I1565" i="1" a="1"/>
  <c r="I1565" i="1" s="1"/>
  <c r="I1566" i="1" a="1"/>
  <c r="I1566" i="1" s="1"/>
  <c r="I1567" i="1" a="1"/>
  <c r="I1567" i="1" s="1"/>
  <c r="I1568" i="1" a="1"/>
  <c r="I1568" i="1" s="1"/>
  <c r="I1569" i="1" a="1"/>
  <c r="I1569" i="1" s="1"/>
  <c r="I1570" i="1" a="1"/>
  <c r="I1570" i="1" s="1"/>
  <c r="I1571" i="1" a="1"/>
  <c r="I1571" i="1" s="1"/>
  <c r="I1572" i="1" a="1"/>
  <c r="I1572" i="1" s="1"/>
  <c r="I1573" i="1" a="1"/>
  <c r="I1573" i="1" s="1"/>
  <c r="I1574" i="1" a="1"/>
  <c r="I1574" i="1" s="1"/>
  <c r="I1575" i="1" a="1"/>
  <c r="I1575" i="1" s="1"/>
  <c r="I1576" i="1" a="1"/>
  <c r="I1576" i="1" s="1"/>
  <c r="I1577" i="1" a="1"/>
  <c r="I1577" i="1" s="1"/>
  <c r="I1578" i="1" a="1"/>
  <c r="I1578" i="1" s="1"/>
  <c r="I1579" i="1" a="1"/>
  <c r="I1579" i="1" s="1"/>
  <c r="I1580" i="1" a="1"/>
  <c r="I1580" i="1" s="1"/>
  <c r="I1581" i="1" a="1"/>
  <c r="I1581" i="1" s="1"/>
  <c r="I1582" i="1" a="1"/>
  <c r="I1582" i="1" s="1"/>
  <c r="I1583" i="1" a="1"/>
  <c r="I1583" i="1" s="1"/>
  <c r="I1584" i="1" a="1"/>
  <c r="I1584" i="1" s="1"/>
  <c r="I1585" i="1" a="1"/>
  <c r="I1585" i="1" s="1"/>
  <c r="I1586" i="1" a="1"/>
  <c r="I1586" i="1" s="1"/>
  <c r="I1587" i="1" a="1"/>
  <c r="I1587" i="1" s="1"/>
  <c r="I1588" i="1" a="1"/>
  <c r="I1588" i="1" s="1"/>
  <c r="I1589" i="1" a="1"/>
  <c r="I1589" i="1" s="1"/>
  <c r="I1590" i="1" a="1"/>
  <c r="I1590" i="1" s="1"/>
  <c r="I1591" i="1" a="1"/>
  <c r="I1591" i="1" s="1"/>
  <c r="I1592" i="1" a="1"/>
  <c r="I1592" i="1" s="1"/>
  <c r="I1593" i="1" a="1"/>
  <c r="I1593" i="1" s="1"/>
  <c r="I1594" i="1" a="1"/>
  <c r="I1594" i="1" s="1"/>
  <c r="I1595" i="1" a="1"/>
  <c r="I1595" i="1" s="1"/>
  <c r="I1596" i="1" a="1"/>
  <c r="I1596" i="1" s="1"/>
  <c r="I1597" i="1" a="1"/>
  <c r="I1597" i="1" s="1"/>
  <c r="I1598" i="1" a="1"/>
  <c r="I1598" i="1" s="1"/>
  <c r="I1599" i="1" a="1"/>
  <c r="I1599" i="1" s="1"/>
  <c r="I1600" i="1" a="1"/>
  <c r="I1600" i="1" s="1"/>
  <c r="I1601" i="1" a="1"/>
  <c r="I1601" i="1" s="1"/>
  <c r="I1602" i="1" a="1"/>
  <c r="I1602" i="1" s="1"/>
  <c r="I1603" i="1" a="1"/>
  <c r="I1603" i="1" s="1"/>
  <c r="I1604" i="1" a="1"/>
  <c r="I1604" i="1" s="1"/>
  <c r="I1605" i="1" a="1"/>
  <c r="I1605" i="1"/>
  <c r="I1606" i="1" a="1"/>
  <c r="I1606" i="1" s="1"/>
  <c r="I1607" i="1" a="1"/>
  <c r="I1607" i="1" s="1"/>
  <c r="I1608" i="1" a="1"/>
  <c r="I1608" i="1" s="1"/>
  <c r="I1609" i="1" a="1"/>
  <c r="I1609" i="1" s="1"/>
  <c r="I1610" i="1" a="1"/>
  <c r="I1610" i="1" s="1"/>
  <c r="I1611" i="1" a="1"/>
  <c r="I1611" i="1" s="1"/>
  <c r="I1612" i="1" a="1"/>
  <c r="I1612" i="1"/>
  <c r="I1613" i="1" a="1"/>
  <c r="I1613" i="1" s="1"/>
  <c r="I1614" i="1" a="1"/>
  <c r="I1614" i="1" s="1"/>
  <c r="I1615" i="1" a="1"/>
  <c r="I1615" i="1" s="1"/>
  <c r="I1616" i="1" a="1"/>
  <c r="I1616" i="1" s="1"/>
  <c r="I1617" i="1" a="1"/>
  <c r="I1617" i="1" s="1"/>
  <c r="I1618" i="1" a="1"/>
  <c r="I1618" i="1" s="1"/>
  <c r="I1619" i="1" a="1"/>
  <c r="I1619" i="1"/>
  <c r="I1620" i="1" a="1"/>
  <c r="I1620" i="1" s="1"/>
  <c r="I1621" i="1" a="1"/>
  <c r="I1621" i="1" s="1"/>
  <c r="I1622" i="1" a="1"/>
  <c r="I1622" i="1" s="1"/>
  <c r="I1623" i="1" a="1"/>
  <c r="I1623" i="1"/>
  <c r="I1624" i="1" a="1"/>
  <c r="I1624" i="1" s="1"/>
  <c r="I1625" i="1" a="1"/>
  <c r="I1625" i="1" s="1"/>
  <c r="I1626" i="1" a="1"/>
  <c r="I1626" i="1" s="1"/>
  <c r="I1627" i="1" a="1"/>
  <c r="I1627" i="1" s="1"/>
  <c r="I1628" i="1" a="1"/>
  <c r="I1628" i="1" s="1"/>
  <c r="I1629" i="1" a="1"/>
  <c r="I1629" i="1" s="1"/>
  <c r="I1630" i="1" a="1"/>
  <c r="I1630" i="1" s="1"/>
  <c r="I1631" i="1" a="1"/>
  <c r="I1631" i="1" s="1"/>
  <c r="I1632" i="1" a="1"/>
  <c r="I1632" i="1" s="1"/>
  <c r="I1633" i="1" a="1"/>
  <c r="I1633" i="1" s="1"/>
  <c r="I1634" i="1" a="1"/>
  <c r="I1634" i="1" s="1"/>
  <c r="I1635" i="1" a="1"/>
  <c r="I1635" i="1" s="1"/>
  <c r="I1636" i="1" a="1"/>
  <c r="I1636" i="1" s="1"/>
  <c r="I1637" i="1" a="1"/>
  <c r="I1637" i="1" s="1"/>
  <c r="I1638" i="1" a="1"/>
  <c r="I1638" i="1" s="1"/>
  <c r="I1639" i="1" a="1"/>
  <c r="I1639" i="1" s="1"/>
  <c r="I1640" i="1" a="1"/>
  <c r="I1640" i="1" s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 s="1"/>
  <c r="I1646" i="1" a="1"/>
  <c r="I1646" i="1" s="1"/>
  <c r="I1647" i="1" a="1"/>
  <c r="I1647" i="1" s="1"/>
  <c r="I1648" i="1" a="1"/>
  <c r="I1648" i="1" s="1"/>
  <c r="I1649" i="1" a="1"/>
  <c r="I1649" i="1" s="1"/>
  <c r="I1650" i="1" a="1"/>
  <c r="I1650" i="1" s="1"/>
  <c r="I1651" i="1" a="1"/>
  <c r="I1651" i="1" s="1"/>
  <c r="I1652" i="1" a="1"/>
  <c r="I1652" i="1" s="1"/>
  <c r="I1653" i="1" a="1"/>
  <c r="I1653" i="1" s="1"/>
  <c r="I1654" i="1" a="1"/>
  <c r="I1654" i="1" s="1"/>
  <c r="I1655" i="1" a="1"/>
  <c r="I1655" i="1" s="1"/>
  <c r="I1656" i="1" a="1"/>
  <c r="I1656" i="1" s="1"/>
  <c r="I1657" i="1" a="1"/>
  <c r="I1657" i="1" s="1"/>
  <c r="I1658" i="1" a="1"/>
  <c r="I1658" i="1" s="1"/>
  <c r="I1659" i="1" a="1"/>
  <c r="I1659" i="1" s="1"/>
  <c r="I1660" i="1" a="1"/>
  <c r="I1660" i="1" s="1"/>
  <c r="I1661" i="1" a="1"/>
  <c r="I1661" i="1" s="1"/>
  <c r="I1662" i="1" a="1"/>
  <c r="I1662" i="1" s="1"/>
  <c r="I1663" i="1" a="1"/>
  <c r="I1663" i="1" s="1"/>
  <c r="I1664" i="1" a="1"/>
  <c r="I1664" i="1" s="1"/>
  <c r="I1665" i="1" a="1"/>
  <c r="I1665" i="1" s="1"/>
  <c r="I1666" i="1" a="1"/>
  <c r="I1666" i="1" s="1"/>
  <c r="I1667" i="1" a="1"/>
  <c r="I1667" i="1" s="1"/>
  <c r="I1668" i="1" a="1"/>
  <c r="I1668" i="1" s="1"/>
  <c r="I1669" i="1" a="1"/>
  <c r="I1669" i="1" s="1"/>
  <c r="I1670" i="1" a="1"/>
  <c r="I1670" i="1" s="1"/>
  <c r="I1671" i="1" a="1"/>
  <c r="I1671" i="1" s="1"/>
  <c r="I1672" i="1" a="1"/>
  <c r="I1672" i="1" s="1"/>
  <c r="I1673" i="1" a="1"/>
  <c r="I1673" i="1" s="1"/>
  <c r="I1674" i="1" a="1"/>
  <c r="I1674" i="1"/>
  <c r="I1675" i="1" a="1"/>
  <c r="I1675" i="1" s="1"/>
  <c r="I1676" i="1" a="1"/>
  <c r="I1676" i="1" s="1"/>
  <c r="I1677" i="1" a="1"/>
  <c r="I1677" i="1" s="1"/>
  <c r="I1678" i="1" a="1"/>
  <c r="I1678" i="1" s="1"/>
  <c r="I1679" i="1" a="1"/>
  <c r="I1679" i="1" s="1"/>
  <c r="I1680" i="1" a="1"/>
  <c r="I1680" i="1" s="1"/>
  <c r="I1681" i="1" a="1"/>
  <c r="I1681" i="1" s="1"/>
  <c r="I1682" i="1" a="1"/>
  <c r="I1682" i="1" s="1"/>
  <c r="I1683" i="1" a="1"/>
  <c r="I1683" i="1" s="1"/>
  <c r="I1684" i="1" a="1"/>
  <c r="I1684" i="1" s="1"/>
  <c r="I1685" i="1" a="1"/>
  <c r="I1685" i="1" s="1"/>
  <c r="I1686" i="1" a="1"/>
  <c r="I1686" i="1" s="1"/>
  <c r="I1687" i="1" a="1"/>
  <c r="I1687" i="1" s="1"/>
  <c r="I1688" i="1" a="1"/>
  <c r="I1688" i="1" s="1"/>
  <c r="I1689" i="1" a="1"/>
  <c r="I1689" i="1" s="1"/>
  <c r="I1690" i="1" a="1"/>
  <c r="I1690" i="1" s="1"/>
  <c r="I1691" i="1" a="1"/>
  <c r="I1691" i="1" s="1"/>
  <c r="I1692" i="1" a="1"/>
  <c r="I1692" i="1" s="1"/>
  <c r="I1693" i="1" a="1"/>
  <c r="I1693" i="1" s="1"/>
  <c r="I1694" i="1" a="1"/>
  <c r="I1694" i="1" s="1"/>
  <c r="I1695" i="1" a="1"/>
  <c r="I1695" i="1" s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/>
  <c r="I1701" i="1" a="1"/>
  <c r="I1701" i="1" s="1"/>
  <c r="I1702" i="1" a="1"/>
  <c r="I1702" i="1" s="1"/>
  <c r="I1703" i="1" a="1"/>
  <c r="I1703" i="1" s="1"/>
  <c r="I1704" i="1" a="1"/>
  <c r="I1704" i="1" s="1"/>
  <c r="I1705" i="1" a="1"/>
  <c r="I1705" i="1" s="1"/>
  <c r="I1706" i="1" a="1"/>
  <c r="I1706" i="1" s="1"/>
  <c r="I1707" i="1" a="1"/>
  <c r="I1707" i="1"/>
  <c r="I1708" i="1" a="1"/>
  <c r="I1708" i="1" s="1"/>
  <c r="I1709" i="1" a="1"/>
  <c r="I1709" i="1" s="1"/>
  <c r="I1710" i="1" a="1"/>
  <c r="I1710" i="1" s="1"/>
  <c r="I1711" i="1" a="1"/>
  <c r="I1711" i="1" s="1"/>
  <c r="I1712" i="1" a="1"/>
  <c r="I1712" i="1" s="1"/>
  <c r="I1713" i="1" a="1"/>
  <c r="I1713" i="1" s="1"/>
  <c r="I1714" i="1" a="1"/>
  <c r="I1714" i="1"/>
  <c r="I1715" i="1" a="1"/>
  <c r="I1715" i="1" s="1"/>
  <c r="I1716" i="1" a="1"/>
  <c r="I1716" i="1" s="1"/>
  <c r="I1717" i="1" a="1"/>
  <c r="I1717" i="1" s="1"/>
  <c r="I1718" i="1" a="1"/>
  <c r="I1718" i="1" s="1"/>
  <c r="I1719" i="1" a="1"/>
  <c r="I1719" i="1" s="1"/>
  <c r="I1720" i="1" a="1"/>
  <c r="I1720" i="1" s="1"/>
  <c r="I1721" i="1" a="1"/>
  <c r="I1721" i="1"/>
  <c r="I1722" i="1" a="1"/>
  <c r="I1722" i="1" s="1"/>
  <c r="I1723" i="1" a="1"/>
  <c r="I1723" i="1" s="1"/>
  <c r="I1724" i="1" a="1"/>
  <c r="I1724" i="1" s="1"/>
  <c r="I1725" i="1" a="1"/>
  <c r="I1725" i="1" s="1"/>
  <c r="I1726" i="1" a="1"/>
  <c r="I1726" i="1"/>
  <c r="I1727" i="1" a="1"/>
  <c r="I1727" i="1" s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 s="1"/>
  <c r="I1733" i="1" a="1"/>
  <c r="I1733" i="1" s="1"/>
  <c r="I1734" i="1" a="1"/>
  <c r="I1734" i="1" s="1"/>
  <c r="I1735" i="1" a="1"/>
  <c r="I1735" i="1" s="1"/>
  <c r="I1736" i="1" a="1"/>
  <c r="I1736" i="1" s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 s="1"/>
  <c r="I1742" i="1" a="1"/>
  <c r="I1742" i="1" s="1"/>
  <c r="I1743" i="1" a="1"/>
  <c r="I1743" i="1" s="1"/>
  <c r="I1744" i="1" a="1"/>
  <c r="I1744" i="1" s="1"/>
  <c r="I1745" i="1" a="1"/>
  <c r="I1745" i="1" s="1"/>
  <c r="I1746" i="1" a="1"/>
  <c r="I1746" i="1" s="1"/>
  <c r="I1747" i="1" a="1"/>
  <c r="I1747" i="1" s="1"/>
  <c r="I1748" i="1" a="1"/>
  <c r="I1748" i="1" s="1"/>
  <c r="I1749" i="1" a="1"/>
  <c r="I1749" i="1" s="1"/>
  <c r="I1750" i="1" a="1"/>
  <c r="I1750" i="1" s="1"/>
  <c r="I1751" i="1" a="1"/>
  <c r="I1751" i="1" s="1"/>
  <c r="I1752" i="1" a="1"/>
  <c r="I1752" i="1" s="1"/>
  <c r="I1753" i="1" a="1"/>
  <c r="I1753" i="1" s="1"/>
  <c r="I1754" i="1" a="1"/>
  <c r="I1754" i="1" s="1"/>
  <c r="I1755" i="1" a="1"/>
  <c r="I1755" i="1" s="1"/>
  <c r="I1756" i="1" a="1"/>
  <c r="I1756" i="1" s="1"/>
  <c r="I1757" i="1" a="1"/>
  <c r="I1757" i="1" s="1"/>
  <c r="I1758" i="1" a="1"/>
  <c r="I1758" i="1" s="1"/>
  <c r="I1759" i="1" a="1"/>
  <c r="I1759" i="1" s="1"/>
  <c r="I1760" i="1" a="1"/>
  <c r="I1760" i="1" s="1"/>
  <c r="I1761" i="1" a="1"/>
  <c r="I1761" i="1" s="1"/>
  <c r="I1762" i="1" a="1"/>
  <c r="I1762" i="1" s="1"/>
  <c r="I1763" i="1" a="1"/>
  <c r="I1763" i="1" s="1"/>
  <c r="I1764" i="1" a="1"/>
  <c r="I1764" i="1" s="1"/>
  <c r="I1824" i="1" a="1"/>
  <c r="I1824" i="1" s="1"/>
  <c r="I1825" i="1" a="1"/>
  <c r="I1825" i="1" s="1"/>
  <c r="I1826" i="1" a="1"/>
  <c r="I1826" i="1" s="1"/>
  <c r="I1827" i="1" a="1"/>
  <c r="I1827" i="1" s="1"/>
  <c r="I1828" i="1" a="1"/>
  <c r="I1828" i="1" s="1"/>
  <c r="I1829" i="1" a="1"/>
  <c r="I1829" i="1" s="1"/>
  <c r="I1830" i="1" a="1"/>
  <c r="I1830" i="1" s="1"/>
  <c r="I2" i="1" a="1"/>
  <c r="I2" i="1" s="1"/>
  <c r="H3" i="1" a="1"/>
  <c r="H3" i="1" s="1"/>
  <c r="H4" i="1" a="1"/>
  <c r="H4" i="1" s="1"/>
  <c r="H5" i="1" a="1"/>
  <c r="H5" i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 s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 s="1"/>
  <c r="H1002" i="1" a="1"/>
  <c r="H1002" i="1" s="1"/>
  <c r="H1003" i="1" a="1"/>
  <c r="H1003" i="1" s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 s="1"/>
  <c r="H1010" i="1" a="1"/>
  <c r="H1010" i="1" s="1"/>
  <c r="H1011" i="1" a="1"/>
  <c r="H1011" i="1" s="1"/>
  <c r="H1012" i="1" a="1"/>
  <c r="H1012" i="1" s="1"/>
  <c r="H1013" i="1" a="1"/>
  <c r="H1013" i="1" s="1"/>
  <c r="H1014" i="1" a="1"/>
  <c r="H1014" i="1" s="1"/>
  <c r="H1015" i="1" a="1"/>
  <c r="H1015" i="1" s="1"/>
  <c r="H1016" i="1" a="1"/>
  <c r="H1016" i="1" s="1"/>
  <c r="H1017" i="1" a="1"/>
  <c r="H1017" i="1" s="1"/>
  <c r="H1018" i="1" a="1"/>
  <c r="H1018" i="1" s="1"/>
  <c r="H1019" i="1" a="1"/>
  <c r="H1019" i="1" s="1"/>
  <c r="H1020" i="1" a="1"/>
  <c r="H1020" i="1" s="1"/>
  <c r="H1021" i="1" a="1"/>
  <c r="H1021" i="1" s="1"/>
  <c r="H1022" i="1" a="1"/>
  <c r="H1022" i="1" s="1"/>
  <c r="H1023" i="1" a="1"/>
  <c r="H1023" i="1" s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 s="1"/>
  <c r="H1030" i="1" a="1"/>
  <c r="H1030" i="1" s="1"/>
  <c r="H1031" i="1" a="1"/>
  <c r="H1031" i="1" s="1"/>
  <c r="H1032" i="1" a="1"/>
  <c r="H1032" i="1" s="1"/>
  <c r="H1033" i="1" a="1"/>
  <c r="H1033" i="1" s="1"/>
  <c r="H1034" i="1" a="1"/>
  <c r="H1034" i="1" s="1"/>
  <c r="H1035" i="1" a="1"/>
  <c r="H1035" i="1" s="1"/>
  <c r="H1036" i="1" a="1"/>
  <c r="H1036" i="1" s="1"/>
  <c r="H1037" i="1" a="1"/>
  <c r="H1037" i="1" s="1"/>
  <c r="H1038" i="1" a="1"/>
  <c r="H1038" i="1" s="1"/>
  <c r="H1039" i="1" a="1"/>
  <c r="H1039" i="1" s="1"/>
  <c r="H1040" i="1" a="1"/>
  <c r="H1040" i="1" s="1"/>
  <c r="H1041" i="1" a="1"/>
  <c r="H1041" i="1" s="1"/>
  <c r="H1042" i="1" a="1"/>
  <c r="H1042" i="1" s="1"/>
  <c r="H1043" i="1" a="1"/>
  <c r="H1043" i="1" s="1"/>
  <c r="H1044" i="1" a="1"/>
  <c r="H1044" i="1" s="1"/>
  <c r="H1045" i="1" a="1"/>
  <c r="H1045" i="1" s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 s="1"/>
  <c r="H1051" i="1" a="1"/>
  <c r="H1051" i="1" s="1"/>
  <c r="H1052" i="1" a="1"/>
  <c r="H1052" i="1" s="1"/>
  <c r="H1053" i="1" a="1"/>
  <c r="H1053" i="1" s="1"/>
  <c r="H1054" i="1" a="1"/>
  <c r="H1054" i="1" s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 s="1"/>
  <c r="H1062" i="1" a="1"/>
  <c r="H1062" i="1" s="1"/>
  <c r="H1063" i="1" a="1"/>
  <c r="H1063" i="1" s="1"/>
  <c r="H1064" i="1" a="1"/>
  <c r="H1064" i="1" s="1"/>
  <c r="H1065" i="1" a="1"/>
  <c r="H1065" i="1" s="1"/>
  <c r="H1066" i="1" a="1"/>
  <c r="H1066" i="1" s="1"/>
  <c r="H1067" i="1" a="1"/>
  <c r="H1067" i="1" s="1"/>
  <c r="H1068" i="1" a="1"/>
  <c r="H1068" i="1" s="1"/>
  <c r="H1069" i="1" a="1"/>
  <c r="H1069" i="1" s="1"/>
  <c r="H1070" i="1" a="1"/>
  <c r="H1070" i="1" s="1"/>
  <c r="H1071" i="1" a="1"/>
  <c r="H1071" i="1" s="1"/>
  <c r="H1072" i="1" a="1"/>
  <c r="H1072" i="1" s="1"/>
  <c r="H1073" i="1" a="1"/>
  <c r="H1073" i="1" s="1"/>
  <c r="H1074" i="1" a="1"/>
  <c r="H1074" i="1" s="1"/>
  <c r="H1075" i="1" a="1"/>
  <c r="H1075" i="1" s="1"/>
  <c r="H1076" i="1" a="1"/>
  <c r="H1076" i="1" s="1"/>
  <c r="H1077" i="1" a="1"/>
  <c r="H1077" i="1" s="1"/>
  <c r="H1078" i="1" a="1"/>
  <c r="H1078" i="1" s="1"/>
  <c r="H1079" i="1" a="1"/>
  <c r="H1079" i="1" s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 s="1"/>
  <c r="H1085" i="1" a="1"/>
  <c r="H1085" i="1" s="1"/>
  <c r="H1086" i="1" a="1"/>
  <c r="H1086" i="1" s="1"/>
  <c r="H1087" i="1" a="1"/>
  <c r="H1087" i="1" s="1"/>
  <c r="H1088" i="1" a="1"/>
  <c r="H1088" i="1" s="1"/>
  <c r="H1089" i="1" a="1"/>
  <c r="H1089" i="1" s="1"/>
  <c r="H1090" i="1" a="1"/>
  <c r="H1090" i="1" s="1"/>
  <c r="H1091" i="1" a="1"/>
  <c r="H1091" i="1" s="1"/>
  <c r="H1092" i="1" a="1"/>
  <c r="H1092" i="1" s="1"/>
  <c r="H1093" i="1" a="1"/>
  <c r="H1093" i="1" s="1"/>
  <c r="H1094" i="1" a="1"/>
  <c r="H1094" i="1" s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 s="1"/>
  <c r="H1100" i="1" a="1"/>
  <c r="H1100" i="1" s="1"/>
  <c r="H1101" i="1" a="1"/>
  <c r="H1101" i="1" s="1"/>
  <c r="H1102" i="1" a="1"/>
  <c r="H1102" i="1" s="1"/>
  <c r="H1103" i="1" a="1"/>
  <c r="H1103" i="1" s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 s="1"/>
  <c r="H1109" i="1" a="1"/>
  <c r="H1109" i="1" s="1"/>
  <c r="H1110" i="1" a="1"/>
  <c r="H1110" i="1" s="1"/>
  <c r="H1111" i="1" a="1"/>
  <c r="H1111" i="1" s="1"/>
  <c r="H1112" i="1" a="1"/>
  <c r="H1112" i="1" s="1"/>
  <c r="H1113" i="1" a="1"/>
  <c r="H1113" i="1" s="1"/>
  <c r="H1114" i="1" a="1"/>
  <c r="H1114" i="1" s="1"/>
  <c r="H1115" i="1" a="1"/>
  <c r="H1115" i="1" s="1"/>
  <c r="H1116" i="1" a="1"/>
  <c r="H1116" i="1" s="1"/>
  <c r="H1117" i="1" a="1"/>
  <c r="H1117" i="1" s="1"/>
  <c r="H1118" i="1" a="1"/>
  <c r="H1118" i="1" s="1"/>
  <c r="H1119" i="1" a="1"/>
  <c r="H1119" i="1" s="1"/>
  <c r="H1120" i="1" a="1"/>
  <c r="H1120" i="1" s="1"/>
  <c r="H1121" i="1" a="1"/>
  <c r="H1121" i="1" s="1"/>
  <c r="H1122" i="1" a="1"/>
  <c r="H1122" i="1" s="1"/>
  <c r="H1123" i="1" a="1"/>
  <c r="H1123" i="1" s="1"/>
  <c r="H1124" i="1" a="1"/>
  <c r="H1124" i="1" s="1"/>
  <c r="H1125" i="1" a="1"/>
  <c r="H1125" i="1" s="1"/>
  <c r="H1126" i="1" a="1"/>
  <c r="H1126" i="1" s="1"/>
  <c r="H1127" i="1" a="1"/>
  <c r="H1127" i="1" s="1"/>
  <c r="H1128" i="1" a="1"/>
  <c r="H1128" i="1" s="1"/>
  <c r="H1129" i="1" a="1"/>
  <c r="H1129" i="1" s="1"/>
  <c r="H1130" i="1" a="1"/>
  <c r="H1130" i="1" s="1"/>
  <c r="H1131" i="1" a="1"/>
  <c r="H1131" i="1" s="1"/>
  <c r="H1132" i="1" a="1"/>
  <c r="H1132" i="1" s="1"/>
  <c r="H1133" i="1" a="1"/>
  <c r="H1133" i="1" s="1"/>
  <c r="H1134" i="1" a="1"/>
  <c r="H1134" i="1" s="1"/>
  <c r="H1135" i="1" a="1"/>
  <c r="H1135" i="1" s="1"/>
  <c r="H1136" i="1" a="1"/>
  <c r="H1136" i="1" s="1"/>
  <c r="H1137" i="1" a="1"/>
  <c r="H1137" i="1" s="1"/>
  <c r="H1138" i="1" a="1"/>
  <c r="H1138" i="1" s="1"/>
  <c r="H1139" i="1" a="1"/>
  <c r="H1139" i="1" s="1"/>
  <c r="H1140" i="1" a="1"/>
  <c r="H1140" i="1" s="1"/>
  <c r="H1141" i="1" a="1"/>
  <c r="H1141" i="1" s="1"/>
  <c r="H1142" i="1" a="1"/>
  <c r="H1142" i="1" s="1"/>
  <c r="H1143" i="1" a="1"/>
  <c r="H1143" i="1" s="1"/>
  <c r="H1144" i="1" a="1"/>
  <c r="H1144" i="1" s="1"/>
  <c r="H1145" i="1" a="1"/>
  <c r="H1145" i="1" s="1"/>
  <c r="H1146" i="1" a="1"/>
  <c r="H1146" i="1" s="1"/>
  <c r="H1147" i="1" a="1"/>
  <c r="H1147" i="1" s="1"/>
  <c r="H1148" i="1" a="1"/>
  <c r="H1148" i="1" s="1"/>
  <c r="H1149" i="1" a="1"/>
  <c r="H1149" i="1" s="1"/>
  <c r="H1150" i="1" a="1"/>
  <c r="H1150" i="1" s="1"/>
  <c r="H1151" i="1" a="1"/>
  <c r="H1151" i="1" s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 s="1"/>
  <c r="H1157" i="1" a="1"/>
  <c r="H1157" i="1" s="1"/>
  <c r="H1158" i="1" a="1"/>
  <c r="H1158" i="1" s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 s="1"/>
  <c r="H1164" i="1" a="1"/>
  <c r="H1164" i="1" s="1"/>
  <c r="H1165" i="1" a="1"/>
  <c r="H1165" i="1" s="1"/>
  <c r="H1166" i="1" a="1"/>
  <c r="H1166" i="1" s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 s="1"/>
  <c r="H1172" i="1" a="1"/>
  <c r="H1172" i="1" s="1"/>
  <c r="H1173" i="1" a="1"/>
  <c r="H1173" i="1" s="1"/>
  <c r="H1174" i="1" a="1"/>
  <c r="H1174" i="1" s="1"/>
  <c r="H1175" i="1" a="1"/>
  <c r="H1175" i="1" s="1"/>
  <c r="H1176" i="1" a="1"/>
  <c r="H1176" i="1" s="1"/>
  <c r="H1177" i="1" a="1"/>
  <c r="H1177" i="1" s="1"/>
  <c r="H1178" i="1" a="1"/>
  <c r="H1178" i="1" s="1"/>
  <c r="H1179" i="1" a="1"/>
  <c r="H1179" i="1" s="1"/>
  <c r="H1180" i="1" a="1"/>
  <c r="H1180" i="1" s="1"/>
  <c r="H1181" i="1" a="1"/>
  <c r="H1181" i="1" s="1"/>
  <c r="H1182" i="1" a="1"/>
  <c r="H1182" i="1" s="1"/>
  <c r="H1183" i="1" a="1"/>
  <c r="H1183" i="1" s="1"/>
  <c r="H1184" i="1" a="1"/>
  <c r="H1184" i="1" s="1"/>
  <c r="H1185" i="1" a="1"/>
  <c r="H1185" i="1" s="1"/>
  <c r="H1186" i="1" a="1"/>
  <c r="H1186" i="1" s="1"/>
  <c r="H1187" i="1" a="1"/>
  <c r="H1187" i="1" s="1"/>
  <c r="H1188" i="1" a="1"/>
  <c r="H1188" i="1" s="1"/>
  <c r="H1189" i="1" a="1"/>
  <c r="H1189" i="1" s="1"/>
  <c r="H1190" i="1" a="1"/>
  <c r="H1190" i="1" s="1"/>
  <c r="H1191" i="1" a="1"/>
  <c r="H1191" i="1" s="1"/>
  <c r="H1192" i="1" a="1"/>
  <c r="H1192" i="1" s="1"/>
  <c r="H1193" i="1" a="1"/>
  <c r="H1193" i="1" s="1"/>
  <c r="H1194" i="1" a="1"/>
  <c r="H1194" i="1" s="1"/>
  <c r="H1195" i="1" a="1"/>
  <c r="H1195" i="1" s="1"/>
  <c r="H1196" i="1" a="1"/>
  <c r="H1196" i="1" s="1"/>
  <c r="H1197" i="1" a="1"/>
  <c r="H1197" i="1" s="1"/>
  <c r="H1198" i="1" a="1"/>
  <c r="H1198" i="1" s="1"/>
  <c r="H1199" i="1" a="1"/>
  <c r="H1199" i="1" s="1"/>
  <c r="H1200" i="1" a="1"/>
  <c r="H1200" i="1" s="1"/>
  <c r="H1201" i="1" a="1"/>
  <c r="H1201" i="1" s="1"/>
  <c r="H1202" i="1" a="1"/>
  <c r="H1202" i="1" s="1"/>
  <c r="H1203" i="1" a="1"/>
  <c r="H1203" i="1" s="1"/>
  <c r="H1204" i="1" a="1"/>
  <c r="H1204" i="1" s="1"/>
  <c r="H1205" i="1" a="1"/>
  <c r="H1205" i="1" s="1"/>
  <c r="H1206" i="1" a="1"/>
  <c r="H1206" i="1" s="1"/>
  <c r="H1207" i="1" a="1"/>
  <c r="H1207" i="1" s="1"/>
  <c r="H1208" i="1" a="1"/>
  <c r="H1208" i="1" s="1"/>
  <c r="H1209" i="1" a="1"/>
  <c r="H1209" i="1" s="1"/>
  <c r="H1210" i="1" a="1"/>
  <c r="H1210" i="1" s="1"/>
  <c r="H1211" i="1" a="1"/>
  <c r="H1211" i="1" s="1"/>
  <c r="H1212" i="1" a="1"/>
  <c r="H1212" i="1" s="1"/>
  <c r="H1213" i="1" a="1"/>
  <c r="H1213" i="1" s="1"/>
  <c r="H1214" i="1" a="1"/>
  <c r="H1214" i="1" s="1"/>
  <c r="H1215" i="1" a="1"/>
  <c r="H1215" i="1" s="1"/>
  <c r="H1216" i="1" a="1"/>
  <c r="H1216" i="1" s="1"/>
  <c r="H1217" i="1" a="1"/>
  <c r="H1217" i="1" s="1"/>
  <c r="H1218" i="1" a="1"/>
  <c r="H1218" i="1" s="1"/>
  <c r="H1219" i="1" a="1"/>
  <c r="H1219" i="1" s="1"/>
  <c r="H1220" i="1" a="1"/>
  <c r="H1220" i="1" s="1"/>
  <c r="H1221" i="1" a="1"/>
  <c r="H1221" i="1" s="1"/>
  <c r="H1222" i="1" a="1"/>
  <c r="H1222" i="1" s="1"/>
  <c r="H1223" i="1" a="1"/>
  <c r="H1223" i="1" s="1"/>
  <c r="H1224" i="1" a="1"/>
  <c r="H1224" i="1" s="1"/>
  <c r="H1225" i="1" a="1"/>
  <c r="H1225" i="1" s="1"/>
  <c r="H1226" i="1" a="1"/>
  <c r="H1226" i="1" s="1"/>
  <c r="H1227" i="1" a="1"/>
  <c r="H1227" i="1" s="1"/>
  <c r="H1228" i="1" a="1"/>
  <c r="H1228" i="1" s="1"/>
  <c r="H1229" i="1" a="1"/>
  <c r="H1229" i="1" s="1"/>
  <c r="H1230" i="1" a="1"/>
  <c r="H1230" i="1" s="1"/>
  <c r="H1231" i="1" a="1"/>
  <c r="H1231" i="1" s="1"/>
  <c r="H1232" i="1" a="1"/>
  <c r="H1232" i="1" s="1"/>
  <c r="H1233" i="1" a="1"/>
  <c r="H1233" i="1" s="1"/>
  <c r="H1234" i="1" a="1"/>
  <c r="H1234" i="1" s="1"/>
  <c r="H1235" i="1" a="1"/>
  <c r="H1235" i="1" s="1"/>
  <c r="H1236" i="1" a="1"/>
  <c r="H1236" i="1" s="1"/>
  <c r="H1237" i="1" a="1"/>
  <c r="H1237" i="1" s="1"/>
  <c r="H1238" i="1" a="1"/>
  <c r="H1238" i="1" s="1"/>
  <c r="H1239" i="1" a="1"/>
  <c r="H1239" i="1" s="1"/>
  <c r="H1240" i="1" a="1"/>
  <c r="H1240" i="1" s="1"/>
  <c r="H1241" i="1" a="1"/>
  <c r="H1241" i="1" s="1"/>
  <c r="H1242" i="1" a="1"/>
  <c r="H1242" i="1" s="1"/>
  <c r="H1243" i="1" a="1"/>
  <c r="H1243" i="1" s="1"/>
  <c r="H1244" i="1" a="1"/>
  <c r="H1244" i="1" s="1"/>
  <c r="H1245" i="1" a="1"/>
  <c r="H1245" i="1" s="1"/>
  <c r="H1246" i="1" a="1"/>
  <c r="H1246" i="1" s="1"/>
  <c r="H1247" i="1" a="1"/>
  <c r="H1247" i="1" s="1"/>
  <c r="H1248" i="1" a="1"/>
  <c r="H1248" i="1" s="1"/>
  <c r="H1249" i="1" a="1"/>
  <c r="H1249" i="1" s="1"/>
  <c r="H1250" i="1" a="1"/>
  <c r="H1250" i="1" s="1"/>
  <c r="H1251" i="1" a="1"/>
  <c r="H1251" i="1" s="1"/>
  <c r="H1252" i="1" a="1"/>
  <c r="H1252" i="1" s="1"/>
  <c r="H1253" i="1" a="1"/>
  <c r="H1253" i="1" s="1"/>
  <c r="H1254" i="1" a="1"/>
  <c r="H1254" i="1" s="1"/>
  <c r="H1255" i="1" a="1"/>
  <c r="H1255" i="1" s="1"/>
  <c r="H1256" i="1" a="1"/>
  <c r="H1256" i="1" s="1"/>
  <c r="H1257" i="1" a="1"/>
  <c r="H1257" i="1" s="1"/>
  <c r="H1258" i="1" a="1"/>
  <c r="H1258" i="1" s="1"/>
  <c r="H1259" i="1" a="1"/>
  <c r="H1259" i="1" s="1"/>
  <c r="H1260" i="1" a="1"/>
  <c r="H1260" i="1" s="1"/>
  <c r="H1261" i="1" a="1"/>
  <c r="H1261" i="1" s="1"/>
  <c r="H1262" i="1" a="1"/>
  <c r="H1262" i="1" s="1"/>
  <c r="H1263" i="1" a="1"/>
  <c r="H1263" i="1" s="1"/>
  <c r="H1264" i="1" a="1"/>
  <c r="H1264" i="1" s="1"/>
  <c r="H1265" i="1" a="1"/>
  <c r="H1265" i="1" s="1"/>
  <c r="H1266" i="1" a="1"/>
  <c r="H1266" i="1" s="1"/>
  <c r="H1267" i="1" a="1"/>
  <c r="H1267" i="1" s="1"/>
  <c r="H1268" i="1" a="1"/>
  <c r="H1268" i="1" s="1"/>
  <c r="H1269" i="1" a="1"/>
  <c r="H1269" i="1" s="1"/>
  <c r="H1270" i="1" a="1"/>
  <c r="H1270" i="1" s="1"/>
  <c r="H1271" i="1" a="1"/>
  <c r="H1271" i="1" s="1"/>
  <c r="H1272" i="1" a="1"/>
  <c r="H1272" i="1" s="1"/>
  <c r="H1273" i="1" a="1"/>
  <c r="H1273" i="1" s="1"/>
  <c r="H1274" i="1" a="1"/>
  <c r="H1274" i="1" s="1"/>
  <c r="H1275" i="1" a="1"/>
  <c r="H1275" i="1" s="1"/>
  <c r="H1276" i="1" a="1"/>
  <c r="H1276" i="1" s="1"/>
  <c r="H1277" i="1" a="1"/>
  <c r="H1277" i="1" s="1"/>
  <c r="H1278" i="1" a="1"/>
  <c r="H1278" i="1" s="1"/>
  <c r="H1279" i="1" a="1"/>
  <c r="H1279" i="1" s="1"/>
  <c r="H1280" i="1" a="1"/>
  <c r="H1280" i="1" s="1"/>
  <c r="H1281" i="1" a="1"/>
  <c r="H1281" i="1" s="1"/>
  <c r="H1282" i="1" a="1"/>
  <c r="H1282" i="1" s="1"/>
  <c r="H1283" i="1" a="1"/>
  <c r="H1283" i="1" s="1"/>
  <c r="H1284" i="1" a="1"/>
  <c r="H1284" i="1" s="1"/>
  <c r="H1285" i="1" a="1"/>
  <c r="H1285" i="1" s="1"/>
  <c r="H1286" i="1" a="1"/>
  <c r="H1286" i="1" s="1"/>
  <c r="H1287" i="1" a="1"/>
  <c r="H1287" i="1" s="1"/>
  <c r="H1288" i="1" a="1"/>
  <c r="H1288" i="1" s="1"/>
  <c r="H1289" i="1" a="1"/>
  <c r="H1289" i="1" s="1"/>
  <c r="H1290" i="1" a="1"/>
  <c r="H1290" i="1" s="1"/>
  <c r="H1291" i="1" a="1"/>
  <c r="H1291" i="1" s="1"/>
  <c r="H1292" i="1" a="1"/>
  <c r="H1292" i="1" s="1"/>
  <c r="H1293" i="1" a="1"/>
  <c r="H1293" i="1" s="1"/>
  <c r="H1294" i="1" a="1"/>
  <c r="H1294" i="1" s="1"/>
  <c r="H1295" i="1" a="1"/>
  <c r="H1295" i="1" s="1"/>
  <c r="H1296" i="1" a="1"/>
  <c r="H1296" i="1" s="1"/>
  <c r="H1297" i="1" a="1"/>
  <c r="H1297" i="1" s="1"/>
  <c r="H1298" i="1" a="1"/>
  <c r="H1298" i="1" s="1"/>
  <c r="H1299" i="1" a="1"/>
  <c r="H1299" i="1" s="1"/>
  <c r="H1300" i="1" a="1"/>
  <c r="H1300" i="1" s="1"/>
  <c r="H1301" i="1" a="1"/>
  <c r="H1301" i="1" s="1"/>
  <c r="H1302" i="1" a="1"/>
  <c r="H1302" i="1" s="1"/>
  <c r="H1303" i="1" a="1"/>
  <c r="H1303" i="1" s="1"/>
  <c r="H1304" i="1" a="1"/>
  <c r="H1304" i="1" s="1"/>
  <c r="H1305" i="1" a="1"/>
  <c r="H1305" i="1" s="1"/>
  <c r="H1306" i="1" a="1"/>
  <c r="H1306" i="1" s="1"/>
  <c r="H1307" i="1" a="1"/>
  <c r="H1307" i="1" s="1"/>
  <c r="H1308" i="1" a="1"/>
  <c r="H1308" i="1" s="1"/>
  <c r="H1309" i="1" a="1"/>
  <c r="H1309" i="1" s="1"/>
  <c r="H1310" i="1" a="1"/>
  <c r="H1310" i="1" s="1"/>
  <c r="H1311" i="1" a="1"/>
  <c r="H1311" i="1" s="1"/>
  <c r="H1312" i="1" a="1"/>
  <c r="H1312" i="1" s="1"/>
  <c r="H1313" i="1" a="1"/>
  <c r="H1313" i="1" s="1"/>
  <c r="H1314" i="1" a="1"/>
  <c r="H1314" i="1" s="1"/>
  <c r="H1315" i="1" a="1"/>
  <c r="H1315" i="1" s="1"/>
  <c r="H1316" i="1" a="1"/>
  <c r="H1316" i="1" s="1"/>
  <c r="H1317" i="1" a="1"/>
  <c r="H1317" i="1" s="1"/>
  <c r="H1318" i="1" a="1"/>
  <c r="H1318" i="1" s="1"/>
  <c r="H1319" i="1" a="1"/>
  <c r="H1319" i="1" s="1"/>
  <c r="H1320" i="1" a="1"/>
  <c r="H1320" i="1" s="1"/>
  <c r="H1321" i="1" a="1"/>
  <c r="H1321" i="1" s="1"/>
  <c r="H1322" i="1" a="1"/>
  <c r="H1322" i="1" s="1"/>
  <c r="H1323" i="1" a="1"/>
  <c r="H1323" i="1" s="1"/>
  <c r="H1324" i="1" a="1"/>
  <c r="H1324" i="1" s="1"/>
  <c r="H1325" i="1" a="1"/>
  <c r="H1325" i="1" s="1"/>
  <c r="H1326" i="1" a="1"/>
  <c r="H1326" i="1" s="1"/>
  <c r="H1327" i="1" a="1"/>
  <c r="H1327" i="1" s="1"/>
  <c r="H1328" i="1" a="1"/>
  <c r="H1328" i="1" s="1"/>
  <c r="H1329" i="1" a="1"/>
  <c r="H1329" i="1" s="1"/>
  <c r="H1330" i="1" a="1"/>
  <c r="H1330" i="1" s="1"/>
  <c r="H1331" i="1" a="1"/>
  <c r="H1331" i="1" s="1"/>
  <c r="H1332" i="1" a="1"/>
  <c r="H1332" i="1" s="1"/>
  <c r="H1333" i="1" a="1"/>
  <c r="H1333" i="1" s="1"/>
  <c r="H1334" i="1" a="1"/>
  <c r="H1334" i="1" s="1"/>
  <c r="H1335" i="1" a="1"/>
  <c r="H1335" i="1" s="1"/>
  <c r="H1336" i="1" a="1"/>
  <c r="H1336" i="1" s="1"/>
  <c r="H1337" i="1" a="1"/>
  <c r="H1337" i="1" s="1"/>
  <c r="H1338" i="1" a="1"/>
  <c r="H1338" i="1" s="1"/>
  <c r="H1339" i="1" a="1"/>
  <c r="H1339" i="1" s="1"/>
  <c r="H1340" i="1" a="1"/>
  <c r="H1340" i="1" s="1"/>
  <c r="H1341" i="1" a="1"/>
  <c r="H1341" i="1" s="1"/>
  <c r="H1342" i="1" a="1"/>
  <c r="H1342" i="1" s="1"/>
  <c r="H1343" i="1" a="1"/>
  <c r="H1343" i="1" s="1"/>
  <c r="H1344" i="1" a="1"/>
  <c r="H1344" i="1" s="1"/>
  <c r="H1345" i="1" a="1"/>
  <c r="H1345" i="1" s="1"/>
  <c r="H1346" i="1" a="1"/>
  <c r="H1346" i="1" s="1"/>
  <c r="H1347" i="1" a="1"/>
  <c r="H1347" i="1" s="1"/>
  <c r="H1348" i="1" a="1"/>
  <c r="H1348" i="1" s="1"/>
  <c r="H1349" i="1" a="1"/>
  <c r="H1349" i="1" s="1"/>
  <c r="H1350" i="1" a="1"/>
  <c r="H1350" i="1" s="1"/>
  <c r="H1351" i="1" a="1"/>
  <c r="H1351" i="1" s="1"/>
  <c r="H1352" i="1" a="1"/>
  <c r="H1352" i="1" s="1"/>
  <c r="H1353" i="1" a="1"/>
  <c r="H1353" i="1" s="1"/>
  <c r="H1354" i="1" a="1"/>
  <c r="H1354" i="1" s="1"/>
  <c r="H1355" i="1" a="1"/>
  <c r="H1355" i="1" s="1"/>
  <c r="H1356" i="1" a="1"/>
  <c r="H1356" i="1" s="1"/>
  <c r="H1357" i="1" a="1"/>
  <c r="H1357" i="1" s="1"/>
  <c r="H1358" i="1" a="1"/>
  <c r="H1358" i="1" s="1"/>
  <c r="H1359" i="1" a="1"/>
  <c r="H1359" i="1" s="1"/>
  <c r="H1360" i="1" a="1"/>
  <c r="H1360" i="1" s="1"/>
  <c r="H1361" i="1" a="1"/>
  <c r="H1361" i="1" s="1"/>
  <c r="H1362" i="1" a="1"/>
  <c r="H1362" i="1" s="1"/>
  <c r="H1363" i="1" a="1"/>
  <c r="H1363" i="1" s="1"/>
  <c r="H1364" i="1" a="1"/>
  <c r="H1364" i="1" s="1"/>
  <c r="H1365" i="1" a="1"/>
  <c r="H1365" i="1" s="1"/>
  <c r="H1366" i="1" a="1"/>
  <c r="H1366" i="1" s="1"/>
  <c r="H1367" i="1" a="1"/>
  <c r="H1367" i="1" s="1"/>
  <c r="H1368" i="1" a="1"/>
  <c r="H1368" i="1" s="1"/>
  <c r="H1369" i="1" a="1"/>
  <c r="H1369" i="1" s="1"/>
  <c r="H1370" i="1" a="1"/>
  <c r="H1370" i="1" s="1"/>
  <c r="H1371" i="1" a="1"/>
  <c r="H1371" i="1" s="1"/>
  <c r="H1372" i="1" a="1"/>
  <c r="H1372" i="1" s="1"/>
  <c r="H1373" i="1" a="1"/>
  <c r="H1373" i="1" s="1"/>
  <c r="H1374" i="1" a="1"/>
  <c r="H1374" i="1" s="1"/>
  <c r="H1375" i="1" a="1"/>
  <c r="H1375" i="1" s="1"/>
  <c r="H1376" i="1" a="1"/>
  <c r="H1376" i="1" s="1"/>
  <c r="H1377" i="1" a="1"/>
  <c r="H1377" i="1" s="1"/>
  <c r="H1378" i="1" a="1"/>
  <c r="H1378" i="1" s="1"/>
  <c r="H1379" i="1" a="1"/>
  <c r="H1379" i="1" s="1"/>
  <c r="H1380" i="1" a="1"/>
  <c r="H1380" i="1" s="1"/>
  <c r="H1381" i="1" a="1"/>
  <c r="H1381" i="1" s="1"/>
  <c r="H1382" i="1" a="1"/>
  <c r="H1382" i="1" s="1"/>
  <c r="H1383" i="1" a="1"/>
  <c r="H1383" i="1" s="1"/>
  <c r="H1384" i="1" a="1"/>
  <c r="H1384" i="1" s="1"/>
  <c r="H1385" i="1" a="1"/>
  <c r="H1385" i="1" s="1"/>
  <c r="H1386" i="1" a="1"/>
  <c r="H1386" i="1" s="1"/>
  <c r="H1387" i="1" a="1"/>
  <c r="H1387" i="1" s="1"/>
  <c r="H1388" i="1" a="1"/>
  <c r="H1388" i="1" s="1"/>
  <c r="H1389" i="1" a="1"/>
  <c r="H1389" i="1" s="1"/>
  <c r="H1390" i="1" a="1"/>
  <c r="H1390" i="1" s="1"/>
  <c r="H1391" i="1" a="1"/>
  <c r="H1391" i="1" s="1"/>
  <c r="H1392" i="1" a="1"/>
  <c r="H1392" i="1" s="1"/>
  <c r="H1393" i="1" a="1"/>
  <c r="H1393" i="1" s="1"/>
  <c r="H1394" i="1" a="1"/>
  <c r="H1394" i="1" s="1"/>
  <c r="H1395" i="1" a="1"/>
  <c r="H1395" i="1" s="1"/>
  <c r="H1396" i="1" a="1"/>
  <c r="H1396" i="1" s="1"/>
  <c r="H1397" i="1" a="1"/>
  <c r="H1397" i="1" s="1"/>
  <c r="H1398" i="1" a="1"/>
  <c r="H1398" i="1" s="1"/>
  <c r="H1399" i="1" a="1"/>
  <c r="H1399" i="1" s="1"/>
  <c r="H1400" i="1" a="1"/>
  <c r="H1400" i="1" s="1"/>
  <c r="H1401" i="1" a="1"/>
  <c r="H1401" i="1" s="1"/>
  <c r="H1402" i="1" a="1"/>
  <c r="H1402" i="1" s="1"/>
  <c r="H1403" i="1" a="1"/>
  <c r="H1403" i="1" s="1"/>
  <c r="H1404" i="1" a="1"/>
  <c r="H1404" i="1" s="1"/>
  <c r="H1405" i="1" a="1"/>
  <c r="H1405" i="1" s="1"/>
  <c r="H1406" i="1" a="1"/>
  <c r="H1406" i="1" s="1"/>
  <c r="H1407" i="1" a="1"/>
  <c r="H1407" i="1" s="1"/>
  <c r="H1408" i="1" a="1"/>
  <c r="H1408" i="1" s="1"/>
  <c r="H1409" i="1" a="1"/>
  <c r="H1409" i="1" s="1"/>
  <c r="H1410" i="1" a="1"/>
  <c r="H1410" i="1" s="1"/>
  <c r="H1411" i="1" a="1"/>
  <c r="H1411" i="1" s="1"/>
  <c r="H1412" i="1" a="1"/>
  <c r="H1412" i="1" s="1"/>
  <c r="H1413" i="1" a="1"/>
  <c r="H1413" i="1" s="1"/>
  <c r="H1414" i="1" a="1"/>
  <c r="H1414" i="1" s="1"/>
  <c r="H1415" i="1" a="1"/>
  <c r="H1415" i="1" s="1"/>
  <c r="H1416" i="1" a="1"/>
  <c r="H1416" i="1" s="1"/>
  <c r="H1417" i="1" a="1"/>
  <c r="H1417" i="1" s="1"/>
  <c r="H1418" i="1" a="1"/>
  <c r="H1418" i="1" s="1"/>
  <c r="H1419" i="1" a="1"/>
  <c r="H1419" i="1" s="1"/>
  <c r="H1420" i="1" a="1"/>
  <c r="H1420" i="1" s="1"/>
  <c r="H1421" i="1" a="1"/>
  <c r="H1421" i="1" s="1"/>
  <c r="H1422" i="1" a="1"/>
  <c r="H1422" i="1" s="1"/>
  <c r="H1423" i="1" a="1"/>
  <c r="H1423" i="1" s="1"/>
  <c r="H1424" i="1" a="1"/>
  <c r="H1424" i="1" s="1"/>
  <c r="H1425" i="1" a="1"/>
  <c r="H1425" i="1" s="1"/>
  <c r="H1426" i="1" a="1"/>
  <c r="H1426" i="1" s="1"/>
  <c r="H1427" i="1" a="1"/>
  <c r="H1427" i="1" s="1"/>
  <c r="H1428" i="1" a="1"/>
  <c r="H1428" i="1" s="1"/>
  <c r="H1429" i="1" a="1"/>
  <c r="H1429" i="1" s="1"/>
  <c r="H1430" i="1" a="1"/>
  <c r="H1430" i="1" s="1"/>
  <c r="H1431" i="1" a="1"/>
  <c r="H1431" i="1" s="1"/>
  <c r="H1432" i="1" a="1"/>
  <c r="H1432" i="1" s="1"/>
  <c r="H1433" i="1" a="1"/>
  <c r="H1433" i="1" s="1"/>
  <c r="H1434" i="1" a="1"/>
  <c r="H1434" i="1" s="1"/>
  <c r="H1435" i="1" a="1"/>
  <c r="H1435" i="1" s="1"/>
  <c r="H1436" i="1" a="1"/>
  <c r="H1436" i="1" s="1"/>
  <c r="H1437" i="1" a="1"/>
  <c r="H1437" i="1" s="1"/>
  <c r="H1438" i="1" a="1"/>
  <c r="H1438" i="1" s="1"/>
  <c r="H1439" i="1" a="1"/>
  <c r="H1439" i="1" s="1"/>
  <c r="H1440" i="1" a="1"/>
  <c r="H1440" i="1" s="1"/>
  <c r="H1441" i="1" a="1"/>
  <c r="H1441" i="1" s="1"/>
  <c r="H1442" i="1" a="1"/>
  <c r="H1442" i="1" s="1"/>
  <c r="H1443" i="1" a="1"/>
  <c r="H1443" i="1" s="1"/>
  <c r="H1444" i="1" a="1"/>
  <c r="H1444" i="1" s="1"/>
  <c r="H1445" i="1" a="1"/>
  <c r="H1445" i="1" s="1"/>
  <c r="H1446" i="1" a="1"/>
  <c r="H1446" i="1" s="1"/>
  <c r="H1447" i="1" a="1"/>
  <c r="H1447" i="1" s="1"/>
  <c r="H1448" i="1" a="1"/>
  <c r="H1448" i="1" s="1"/>
  <c r="H1449" i="1" a="1"/>
  <c r="H1449" i="1" s="1"/>
  <c r="H1450" i="1" a="1"/>
  <c r="H1450" i="1" s="1"/>
  <c r="H1451" i="1" a="1"/>
  <c r="H1451" i="1" s="1"/>
  <c r="H1452" i="1" a="1"/>
  <c r="H1452" i="1" s="1"/>
  <c r="H1453" i="1" a="1"/>
  <c r="H1453" i="1" s="1"/>
  <c r="H1454" i="1" a="1"/>
  <c r="H1454" i="1" s="1"/>
  <c r="H1455" i="1" a="1"/>
  <c r="H1455" i="1" s="1"/>
  <c r="H1456" i="1" a="1"/>
  <c r="H1456" i="1" s="1"/>
  <c r="H1457" i="1" a="1"/>
  <c r="H1457" i="1" s="1"/>
  <c r="H1458" i="1" a="1"/>
  <c r="H1458" i="1" s="1"/>
  <c r="H1459" i="1" a="1"/>
  <c r="H1459" i="1" s="1"/>
  <c r="H1460" i="1" a="1"/>
  <c r="H1460" i="1" s="1"/>
  <c r="H1461" i="1" a="1"/>
  <c r="H1461" i="1" s="1"/>
  <c r="H1462" i="1" a="1"/>
  <c r="H1462" i="1" s="1"/>
  <c r="H1463" i="1" a="1"/>
  <c r="H1463" i="1" s="1"/>
  <c r="H1464" i="1" a="1"/>
  <c r="H1464" i="1" s="1"/>
  <c r="H1465" i="1" a="1"/>
  <c r="H1465" i="1" s="1"/>
  <c r="H1466" i="1" a="1"/>
  <c r="H1466" i="1" s="1"/>
  <c r="H1467" i="1" a="1"/>
  <c r="H1467" i="1" s="1"/>
  <c r="H1468" i="1" a="1"/>
  <c r="H1468" i="1" s="1"/>
  <c r="H1469" i="1" a="1"/>
  <c r="H1469" i="1" s="1"/>
  <c r="H1470" i="1" a="1"/>
  <c r="H1470" i="1" s="1"/>
  <c r="H1471" i="1" a="1"/>
  <c r="H1471" i="1" s="1"/>
  <c r="H1472" i="1" a="1"/>
  <c r="H1472" i="1" s="1"/>
  <c r="H1473" i="1" a="1"/>
  <c r="H1473" i="1" s="1"/>
  <c r="H1474" i="1" a="1"/>
  <c r="H1474" i="1" s="1"/>
  <c r="H1475" i="1" a="1"/>
  <c r="H1475" i="1" s="1"/>
  <c r="H1476" i="1" a="1"/>
  <c r="H1476" i="1" s="1"/>
  <c r="H1477" i="1" a="1"/>
  <c r="H1477" i="1" s="1"/>
  <c r="H1478" i="1" a="1"/>
  <c r="H1478" i="1" s="1"/>
  <c r="H1479" i="1" a="1"/>
  <c r="H1479" i="1" s="1"/>
  <c r="H1480" i="1" a="1"/>
  <c r="H1480" i="1" s="1"/>
  <c r="H1481" i="1" a="1"/>
  <c r="H1481" i="1" s="1"/>
  <c r="H1482" i="1" a="1"/>
  <c r="H1482" i="1" s="1"/>
  <c r="H1483" i="1" a="1"/>
  <c r="H1483" i="1" s="1"/>
  <c r="H1484" i="1" a="1"/>
  <c r="H1484" i="1" s="1"/>
  <c r="H1485" i="1" a="1"/>
  <c r="H1485" i="1" s="1"/>
  <c r="H1486" i="1" a="1"/>
  <c r="H1486" i="1" s="1"/>
  <c r="H1487" i="1" a="1"/>
  <c r="H1487" i="1" s="1"/>
  <c r="H1488" i="1" a="1"/>
  <c r="H1488" i="1" s="1"/>
  <c r="H1489" i="1" a="1"/>
  <c r="H1489" i="1" s="1"/>
  <c r="H1490" i="1" a="1"/>
  <c r="H1490" i="1" s="1"/>
  <c r="H1491" i="1" a="1"/>
  <c r="H1491" i="1" s="1"/>
  <c r="H1492" i="1" a="1"/>
  <c r="H1492" i="1" s="1"/>
  <c r="H1493" i="1" a="1"/>
  <c r="H1493" i="1" s="1"/>
  <c r="H1494" i="1" a="1"/>
  <c r="H1494" i="1" s="1"/>
  <c r="H1495" i="1" a="1"/>
  <c r="H1495" i="1" s="1"/>
  <c r="H1496" i="1" a="1"/>
  <c r="H1496" i="1" s="1"/>
  <c r="H1497" i="1" a="1"/>
  <c r="H1497" i="1" s="1"/>
  <c r="H1498" i="1" a="1"/>
  <c r="H1498" i="1" s="1"/>
  <c r="H1499" i="1" a="1"/>
  <c r="H1499" i="1" s="1"/>
  <c r="H1500" i="1" a="1"/>
  <c r="H1500" i="1" s="1"/>
  <c r="H1501" i="1" a="1"/>
  <c r="H1501" i="1" s="1"/>
  <c r="H1502" i="1" a="1"/>
  <c r="H1502" i="1" s="1"/>
  <c r="H1503" i="1" a="1"/>
  <c r="H1503" i="1" s="1"/>
  <c r="H1504" i="1" a="1"/>
  <c r="H1504" i="1" s="1"/>
  <c r="H1505" i="1" a="1"/>
  <c r="H1505" i="1" s="1"/>
  <c r="H1506" i="1" a="1"/>
  <c r="H1506" i="1" s="1"/>
  <c r="H1507" i="1" a="1"/>
  <c r="H1507" i="1" s="1"/>
  <c r="H1508" i="1" a="1"/>
  <c r="H1508" i="1" s="1"/>
  <c r="H1509" i="1" a="1"/>
  <c r="H1509" i="1" s="1"/>
  <c r="H1510" i="1" a="1"/>
  <c r="H1510" i="1" s="1"/>
  <c r="H1511" i="1" a="1"/>
  <c r="H1511" i="1" s="1"/>
  <c r="H1512" i="1" a="1"/>
  <c r="H1512" i="1" s="1"/>
  <c r="H1513" i="1" a="1"/>
  <c r="H1513" i="1" s="1"/>
  <c r="H1514" i="1" a="1"/>
  <c r="H1514" i="1" s="1"/>
  <c r="H1515" i="1" a="1"/>
  <c r="H1515" i="1" s="1"/>
  <c r="H1516" i="1" a="1"/>
  <c r="H1516" i="1" s="1"/>
  <c r="H1517" i="1" a="1"/>
  <c r="H1517" i="1" s="1"/>
  <c r="H1518" i="1" a="1"/>
  <c r="H1518" i="1" s="1"/>
  <c r="H1519" i="1" a="1"/>
  <c r="H1519" i="1" s="1"/>
  <c r="H1520" i="1" a="1"/>
  <c r="H1520" i="1" s="1"/>
  <c r="H1521" i="1" a="1"/>
  <c r="H1521" i="1" s="1"/>
  <c r="H1522" i="1" a="1"/>
  <c r="H1522" i="1" s="1"/>
  <c r="H1523" i="1" a="1"/>
  <c r="H1523" i="1" s="1"/>
  <c r="H1524" i="1" a="1"/>
  <c r="H1524" i="1" s="1"/>
  <c r="H1525" i="1" a="1"/>
  <c r="H1525" i="1" s="1"/>
  <c r="H1526" i="1" a="1"/>
  <c r="H1526" i="1" s="1"/>
  <c r="H1527" i="1" a="1"/>
  <c r="H1527" i="1" s="1"/>
  <c r="H1528" i="1" a="1"/>
  <c r="H1528" i="1" s="1"/>
  <c r="H1529" i="1" a="1"/>
  <c r="H1529" i="1" s="1"/>
  <c r="H1530" i="1" a="1"/>
  <c r="H1530" i="1" s="1"/>
  <c r="H1531" i="1" a="1"/>
  <c r="H1531" i="1" s="1"/>
  <c r="H1532" i="1" a="1"/>
  <c r="H1532" i="1" s="1"/>
  <c r="H1533" i="1" a="1"/>
  <c r="H1533" i="1" s="1"/>
  <c r="H1534" i="1" a="1"/>
  <c r="H1534" i="1" s="1"/>
  <c r="H1535" i="1" a="1"/>
  <c r="H1535" i="1" s="1"/>
  <c r="H1536" i="1" a="1"/>
  <c r="H1536" i="1" s="1"/>
  <c r="H1537" i="1" a="1"/>
  <c r="H1537" i="1" s="1"/>
  <c r="H1538" i="1" a="1"/>
  <c r="H1538" i="1" s="1"/>
  <c r="H1539" i="1" a="1"/>
  <c r="H1539" i="1" s="1"/>
  <c r="H1540" i="1" a="1"/>
  <c r="H1540" i="1" s="1"/>
  <c r="H1541" i="1" a="1"/>
  <c r="H1541" i="1" s="1"/>
  <c r="H1542" i="1" a="1"/>
  <c r="H1542" i="1" s="1"/>
  <c r="H1543" i="1" a="1"/>
  <c r="H1543" i="1" s="1"/>
  <c r="H1544" i="1" a="1"/>
  <c r="H1544" i="1" s="1"/>
  <c r="H1545" i="1" a="1"/>
  <c r="H1545" i="1" s="1"/>
  <c r="H1546" i="1" a="1"/>
  <c r="H1546" i="1" s="1"/>
  <c r="H1547" i="1" a="1"/>
  <c r="H1547" i="1" s="1"/>
  <c r="H1548" i="1" a="1"/>
  <c r="H1548" i="1" s="1"/>
  <c r="H1549" i="1" a="1"/>
  <c r="H1549" i="1" s="1"/>
  <c r="H1550" i="1" a="1"/>
  <c r="H1550" i="1" s="1"/>
  <c r="H1551" i="1" a="1"/>
  <c r="H1551" i="1" s="1"/>
  <c r="H1552" i="1" a="1"/>
  <c r="H1552" i="1" s="1"/>
  <c r="H1553" i="1" a="1"/>
  <c r="H1553" i="1" s="1"/>
  <c r="H1554" i="1" a="1"/>
  <c r="H1554" i="1" s="1"/>
  <c r="H1555" i="1" a="1"/>
  <c r="H1555" i="1" s="1"/>
  <c r="H1556" i="1" a="1"/>
  <c r="H1556" i="1" s="1"/>
  <c r="H1557" i="1" a="1"/>
  <c r="H1557" i="1" s="1"/>
  <c r="H1558" i="1" a="1"/>
  <c r="H1558" i="1" s="1"/>
  <c r="H1559" i="1" a="1"/>
  <c r="H1559" i="1" s="1"/>
  <c r="H1560" i="1" a="1"/>
  <c r="H1560" i="1" s="1"/>
  <c r="H1561" i="1" a="1"/>
  <c r="H1561" i="1" s="1"/>
  <c r="H1562" i="1" a="1"/>
  <c r="H1562" i="1" s="1"/>
  <c r="H1563" i="1" a="1"/>
  <c r="H1563" i="1" s="1"/>
  <c r="H1564" i="1" a="1"/>
  <c r="H1564" i="1" s="1"/>
  <c r="H1565" i="1" a="1"/>
  <c r="H1565" i="1" s="1"/>
  <c r="H1566" i="1" a="1"/>
  <c r="H1566" i="1" s="1"/>
  <c r="H1567" i="1" a="1"/>
  <c r="H1567" i="1" s="1"/>
  <c r="H1568" i="1" a="1"/>
  <c r="H1568" i="1" s="1"/>
  <c r="H1569" i="1" a="1"/>
  <c r="H1569" i="1" s="1"/>
  <c r="H1570" i="1" a="1"/>
  <c r="H1570" i="1" s="1"/>
  <c r="H1571" i="1" a="1"/>
  <c r="H1571" i="1" s="1"/>
  <c r="H1572" i="1" a="1"/>
  <c r="H1572" i="1" s="1"/>
  <c r="H1573" i="1" a="1"/>
  <c r="H1573" i="1" s="1"/>
  <c r="H1574" i="1" a="1"/>
  <c r="H1574" i="1" s="1"/>
  <c r="H1575" i="1" a="1"/>
  <c r="H1575" i="1" s="1"/>
  <c r="H1576" i="1" a="1"/>
  <c r="H1576" i="1" s="1"/>
  <c r="H1577" i="1" a="1"/>
  <c r="H1577" i="1" s="1"/>
  <c r="H1578" i="1" a="1"/>
  <c r="H1578" i="1" s="1"/>
  <c r="H1579" i="1" a="1"/>
  <c r="H1579" i="1" s="1"/>
  <c r="H1580" i="1" a="1"/>
  <c r="H1580" i="1" s="1"/>
  <c r="H1581" i="1" a="1"/>
  <c r="H1581" i="1" s="1"/>
  <c r="H1582" i="1" a="1"/>
  <c r="H1582" i="1" s="1"/>
  <c r="H1583" i="1" a="1"/>
  <c r="H1583" i="1" s="1"/>
  <c r="H1584" i="1" a="1"/>
  <c r="H1584" i="1" s="1"/>
  <c r="H1585" i="1" a="1"/>
  <c r="H1585" i="1" s="1"/>
  <c r="H1586" i="1" a="1"/>
  <c r="H1586" i="1" s="1"/>
  <c r="H1587" i="1" a="1"/>
  <c r="H1587" i="1" s="1"/>
  <c r="H1588" i="1" a="1"/>
  <c r="H1588" i="1" s="1"/>
  <c r="H1589" i="1" a="1"/>
  <c r="H1589" i="1" s="1"/>
  <c r="H1590" i="1" a="1"/>
  <c r="H1590" i="1" s="1"/>
  <c r="H1591" i="1" a="1"/>
  <c r="H1591" i="1" s="1"/>
  <c r="H1592" i="1" a="1"/>
  <c r="H1592" i="1" s="1"/>
  <c r="H1593" i="1" a="1"/>
  <c r="H1593" i="1" s="1"/>
  <c r="H1594" i="1" a="1"/>
  <c r="H1594" i="1" s="1"/>
  <c r="H1595" i="1" a="1"/>
  <c r="H1595" i="1" s="1"/>
  <c r="H1596" i="1" a="1"/>
  <c r="H1596" i="1" s="1"/>
  <c r="H1597" i="1" a="1"/>
  <c r="H1597" i="1" s="1"/>
  <c r="H1598" i="1" a="1"/>
  <c r="H1598" i="1" s="1"/>
  <c r="H1599" i="1" a="1"/>
  <c r="H1599" i="1" s="1"/>
  <c r="H1600" i="1" a="1"/>
  <c r="H1600" i="1" s="1"/>
  <c r="H1601" i="1" a="1"/>
  <c r="H1601" i="1" s="1"/>
  <c r="H1602" i="1" a="1"/>
  <c r="H1602" i="1" s="1"/>
  <c r="H1603" i="1" a="1"/>
  <c r="H1603" i="1" s="1"/>
  <c r="H1604" i="1" a="1"/>
  <c r="H1604" i="1" s="1"/>
  <c r="H1605" i="1" a="1"/>
  <c r="H1605" i="1" s="1"/>
  <c r="H1606" i="1" a="1"/>
  <c r="H1606" i="1" s="1"/>
  <c r="H1607" i="1" a="1"/>
  <c r="H1607" i="1" s="1"/>
  <c r="H1608" i="1" a="1"/>
  <c r="H1608" i="1" s="1"/>
  <c r="H1609" i="1" a="1"/>
  <c r="H1609" i="1" s="1"/>
  <c r="H1610" i="1" a="1"/>
  <c r="H1610" i="1" s="1"/>
  <c r="H1611" i="1" a="1"/>
  <c r="H1611" i="1" s="1"/>
  <c r="H1612" i="1" a="1"/>
  <c r="H1612" i="1" s="1"/>
  <c r="H1613" i="1" a="1"/>
  <c r="H1613" i="1" s="1"/>
  <c r="H1614" i="1" a="1"/>
  <c r="H1614" i="1" s="1"/>
  <c r="H1615" i="1" a="1"/>
  <c r="H1615" i="1" s="1"/>
  <c r="H1616" i="1" a="1"/>
  <c r="H1616" i="1" s="1"/>
  <c r="H1617" i="1" a="1"/>
  <c r="H1617" i="1" s="1"/>
  <c r="H1618" i="1" a="1"/>
  <c r="H1618" i="1" s="1"/>
  <c r="H1619" i="1" a="1"/>
  <c r="H1619" i="1" s="1"/>
  <c r="H1620" i="1" a="1"/>
  <c r="H1620" i="1" s="1"/>
  <c r="H1621" i="1" a="1"/>
  <c r="H1621" i="1" s="1"/>
  <c r="H1622" i="1" a="1"/>
  <c r="H1622" i="1" s="1"/>
  <c r="H1623" i="1" a="1"/>
  <c r="H1623" i="1" s="1"/>
  <c r="H1624" i="1" a="1"/>
  <c r="H1624" i="1" s="1"/>
  <c r="H1625" i="1" a="1"/>
  <c r="H1625" i="1" s="1"/>
  <c r="H1626" i="1" a="1"/>
  <c r="H1626" i="1" s="1"/>
  <c r="H1627" i="1" a="1"/>
  <c r="H1627" i="1" s="1"/>
  <c r="H1628" i="1" a="1"/>
  <c r="H1628" i="1" s="1"/>
  <c r="H1629" i="1" a="1"/>
  <c r="H1629" i="1" s="1"/>
  <c r="H1630" i="1" a="1"/>
  <c r="H1630" i="1" s="1"/>
  <c r="H1631" i="1" a="1"/>
  <c r="H1631" i="1"/>
  <c r="H1632" i="1" a="1"/>
  <c r="H1632" i="1" s="1"/>
  <c r="H1633" i="1" a="1"/>
  <c r="H1633" i="1" s="1"/>
  <c r="H1634" i="1" a="1"/>
  <c r="H1634" i="1" s="1"/>
  <c r="H1635" i="1" a="1"/>
  <c r="H1635" i="1" s="1"/>
  <c r="H1636" i="1" a="1"/>
  <c r="H1636" i="1" s="1"/>
  <c r="H1637" i="1" a="1"/>
  <c r="H1637" i="1" s="1"/>
  <c r="H1638" i="1" a="1"/>
  <c r="H1638" i="1" s="1"/>
  <c r="H1639" i="1" a="1"/>
  <c r="H1639" i="1" s="1"/>
  <c r="H1640" i="1" a="1"/>
  <c r="H1640" i="1" s="1"/>
  <c r="H1641" i="1" a="1"/>
  <c r="H1641" i="1"/>
  <c r="H1642" i="1" a="1"/>
  <c r="H1642" i="1" s="1"/>
  <c r="H1643" i="1" a="1"/>
  <c r="H1643" i="1" s="1"/>
  <c r="H1644" i="1" a="1"/>
  <c r="H1644" i="1" s="1"/>
  <c r="H1645" i="1" a="1"/>
  <c r="H1645" i="1" s="1"/>
  <c r="H1646" i="1" a="1"/>
  <c r="H1646" i="1" s="1"/>
  <c r="H1647" i="1" a="1"/>
  <c r="H1647" i="1" s="1"/>
  <c r="H1648" i="1" a="1"/>
  <c r="H1648" i="1" s="1"/>
  <c r="H1649" i="1" a="1"/>
  <c r="H1649" i="1" s="1"/>
  <c r="H1650" i="1" a="1"/>
  <c r="H1650" i="1" s="1"/>
  <c r="H1651" i="1" a="1"/>
  <c r="H1651" i="1" s="1"/>
  <c r="H1652" i="1" a="1"/>
  <c r="H1652" i="1" s="1"/>
  <c r="H1653" i="1" a="1"/>
  <c r="H1653" i="1" s="1"/>
  <c r="H1654" i="1" a="1"/>
  <c r="H1654" i="1" s="1"/>
  <c r="H1655" i="1" a="1"/>
  <c r="H1655" i="1" s="1"/>
  <c r="H1656" i="1" a="1"/>
  <c r="H1656" i="1" s="1"/>
  <c r="H1657" i="1" a="1"/>
  <c r="H1657" i="1" s="1"/>
  <c r="H1658" i="1" a="1"/>
  <c r="H1658" i="1" s="1"/>
  <c r="H1659" i="1" a="1"/>
  <c r="H1659" i="1" s="1"/>
  <c r="H1660" i="1" a="1"/>
  <c r="H1660" i="1" s="1"/>
  <c r="H1661" i="1" a="1"/>
  <c r="H1661" i="1" s="1"/>
  <c r="H1662" i="1" a="1"/>
  <c r="H1662" i="1" s="1"/>
  <c r="H1663" i="1" a="1"/>
  <c r="H1663" i="1" s="1"/>
  <c r="H1664" i="1" a="1"/>
  <c r="H1664" i="1" s="1"/>
  <c r="H1665" i="1" a="1"/>
  <c r="H1665" i="1" s="1"/>
  <c r="H1666" i="1" a="1"/>
  <c r="H1666" i="1" s="1"/>
  <c r="H1667" i="1" a="1"/>
  <c r="H1667" i="1" s="1"/>
  <c r="H1668" i="1" a="1"/>
  <c r="H1668" i="1" s="1"/>
  <c r="H1669" i="1" a="1"/>
  <c r="H1669" i="1" s="1"/>
  <c r="H1670" i="1" a="1"/>
  <c r="H1670" i="1" s="1"/>
  <c r="H1671" i="1" a="1"/>
  <c r="H1671" i="1" s="1"/>
  <c r="H1672" i="1" a="1"/>
  <c r="H1672" i="1" s="1"/>
  <c r="H1673" i="1" a="1"/>
  <c r="H1673" i="1" s="1"/>
  <c r="H1674" i="1" a="1"/>
  <c r="H1674" i="1" s="1"/>
  <c r="H1675" i="1" a="1"/>
  <c r="H1675" i="1" s="1"/>
  <c r="H1676" i="1" a="1"/>
  <c r="H1676" i="1" s="1"/>
  <c r="H1677" i="1" a="1"/>
  <c r="H1677" i="1" s="1"/>
  <c r="H1678" i="1" a="1"/>
  <c r="H1678" i="1" s="1"/>
  <c r="H1679" i="1" a="1"/>
  <c r="H1679" i="1" s="1"/>
  <c r="H1680" i="1" a="1"/>
  <c r="H1680" i="1" s="1"/>
  <c r="H1681" i="1" a="1"/>
  <c r="H1681" i="1" s="1"/>
  <c r="H1682" i="1" a="1"/>
  <c r="H1682" i="1" s="1"/>
  <c r="H1683" i="1" a="1"/>
  <c r="H1683" i="1" s="1"/>
  <c r="H1684" i="1" a="1"/>
  <c r="H1684" i="1" s="1"/>
  <c r="H1685" i="1" a="1"/>
  <c r="H1685" i="1" s="1"/>
  <c r="H1686" i="1" a="1"/>
  <c r="H1686" i="1" s="1"/>
  <c r="H1687" i="1" a="1"/>
  <c r="H1687" i="1" s="1"/>
  <c r="H1688" i="1" a="1"/>
  <c r="H1688" i="1" s="1"/>
  <c r="H1689" i="1" a="1"/>
  <c r="H1689" i="1" s="1"/>
  <c r="H1690" i="1" a="1"/>
  <c r="H1690" i="1" s="1"/>
  <c r="H1691" i="1" a="1"/>
  <c r="H1691" i="1" s="1"/>
  <c r="H1692" i="1" a="1"/>
  <c r="H1692" i="1" s="1"/>
  <c r="H1693" i="1" a="1"/>
  <c r="H1693" i="1" s="1"/>
  <c r="H1694" i="1" a="1"/>
  <c r="H1694" i="1" s="1"/>
  <c r="H1695" i="1" a="1"/>
  <c r="H1695" i="1" s="1"/>
  <c r="H1696" i="1" a="1"/>
  <c r="H1696" i="1" s="1"/>
  <c r="H1697" i="1" a="1"/>
  <c r="H1697" i="1" s="1"/>
  <c r="H1698" i="1" a="1"/>
  <c r="H1698" i="1" s="1"/>
  <c r="H1699" i="1" a="1"/>
  <c r="H1699" i="1" s="1"/>
  <c r="H1700" i="1" a="1"/>
  <c r="H1700" i="1" s="1"/>
  <c r="H1701" i="1" a="1"/>
  <c r="H1701" i="1" s="1"/>
  <c r="H1702" i="1" a="1"/>
  <c r="H1702" i="1" s="1"/>
  <c r="H1703" i="1" a="1"/>
  <c r="H1703" i="1" s="1"/>
  <c r="H1704" i="1" a="1"/>
  <c r="H1704" i="1" s="1"/>
  <c r="H1705" i="1" a="1"/>
  <c r="H1705" i="1" s="1"/>
  <c r="H1706" i="1" a="1"/>
  <c r="H1706" i="1" s="1"/>
  <c r="H1707" i="1" a="1"/>
  <c r="H1707" i="1" s="1"/>
  <c r="H1708" i="1" a="1"/>
  <c r="H1708" i="1" s="1"/>
  <c r="H1709" i="1" a="1"/>
  <c r="H1709" i="1" s="1"/>
  <c r="H1710" i="1" a="1"/>
  <c r="H1710" i="1" s="1"/>
  <c r="H1711" i="1" a="1"/>
  <c r="H1711" i="1" s="1"/>
  <c r="H1712" i="1" a="1"/>
  <c r="H1712" i="1" s="1"/>
  <c r="H1713" i="1" a="1"/>
  <c r="H1713" i="1" s="1"/>
  <c r="H1714" i="1" a="1"/>
  <c r="H1714" i="1" s="1"/>
  <c r="H1715" i="1" a="1"/>
  <c r="H1715" i="1" s="1"/>
  <c r="H1716" i="1" a="1"/>
  <c r="H1716" i="1" s="1"/>
  <c r="H1717" i="1" a="1"/>
  <c r="H1717" i="1" s="1"/>
  <c r="H1718" i="1" a="1"/>
  <c r="H1718" i="1" s="1"/>
  <c r="H1719" i="1" a="1"/>
  <c r="H1719" i="1" s="1"/>
  <c r="H1720" i="1" a="1"/>
  <c r="H1720" i="1" s="1"/>
  <c r="H1721" i="1" a="1"/>
  <c r="H1721" i="1" s="1"/>
  <c r="H1722" i="1" a="1"/>
  <c r="H1722" i="1" s="1"/>
  <c r="H1723" i="1" a="1"/>
  <c r="H1723" i="1" s="1"/>
  <c r="H1724" i="1" a="1"/>
  <c r="H1724" i="1" s="1"/>
  <c r="H1725" i="1" a="1"/>
  <c r="H1725" i="1" s="1"/>
  <c r="H1726" i="1" a="1"/>
  <c r="H1726" i="1" s="1"/>
  <c r="H1727" i="1" a="1"/>
  <c r="H1727" i="1" s="1"/>
  <c r="H1728" i="1" a="1"/>
  <c r="H1728" i="1" s="1"/>
  <c r="H1729" i="1" a="1"/>
  <c r="H1729" i="1" s="1"/>
  <c r="H1730" i="1" a="1"/>
  <c r="H1730" i="1" s="1"/>
  <c r="H1731" i="1" a="1"/>
  <c r="H1731" i="1" s="1"/>
  <c r="H1732" i="1" a="1"/>
  <c r="H1732" i="1" s="1"/>
  <c r="H1733" i="1" a="1"/>
  <c r="H1733" i="1" s="1"/>
  <c r="H1734" i="1" a="1"/>
  <c r="H1734" i="1" s="1"/>
  <c r="H1735" i="1" a="1"/>
  <c r="H1735" i="1" s="1"/>
  <c r="H1736" i="1" a="1"/>
  <c r="H1736" i="1" s="1"/>
  <c r="H1737" i="1" a="1"/>
  <c r="H1737" i="1" s="1"/>
  <c r="H1738" i="1" a="1"/>
  <c r="H1738" i="1" s="1"/>
  <c r="H1739" i="1" a="1"/>
  <c r="H1739" i="1" s="1"/>
  <c r="H1740" i="1" a="1"/>
  <c r="H1740" i="1" s="1"/>
  <c r="H1741" i="1" a="1"/>
  <c r="H1741" i="1" s="1"/>
  <c r="H1742" i="1" a="1"/>
  <c r="H1742" i="1" s="1"/>
  <c r="H1743" i="1" a="1"/>
  <c r="H1743" i="1" s="1"/>
  <c r="H1744" i="1" a="1"/>
  <c r="H1744" i="1" s="1"/>
  <c r="H1745" i="1" a="1"/>
  <c r="H1745" i="1" s="1"/>
  <c r="H1746" i="1" a="1"/>
  <c r="H1746" i="1" s="1"/>
  <c r="H1747" i="1" a="1"/>
  <c r="H1747" i="1" s="1"/>
  <c r="H1748" i="1" a="1"/>
  <c r="H1748" i="1" s="1"/>
  <c r="H1749" i="1" a="1"/>
  <c r="H1749" i="1" s="1"/>
  <c r="H1750" i="1" a="1"/>
  <c r="H1750" i="1"/>
  <c r="H1751" i="1" a="1"/>
  <c r="H1751" i="1" s="1"/>
  <c r="H1752" i="1" a="1"/>
  <c r="H1752" i="1" s="1"/>
  <c r="H1753" i="1" a="1"/>
  <c r="H1753" i="1" s="1"/>
  <c r="H1754" i="1" a="1"/>
  <c r="H1754" i="1" s="1"/>
  <c r="H1755" i="1" a="1"/>
  <c r="H1755" i="1" s="1"/>
  <c r="H1756" i="1" a="1"/>
  <c r="H1756" i="1" s="1"/>
  <c r="H1757" i="1" a="1"/>
  <c r="H1757" i="1"/>
  <c r="H1758" i="1" a="1"/>
  <c r="H1758" i="1" s="1"/>
  <c r="H1759" i="1" a="1"/>
  <c r="H1759" i="1" s="1"/>
  <c r="H1760" i="1" a="1"/>
  <c r="H1760" i="1" s="1"/>
  <c r="H1761" i="1" a="1"/>
  <c r="H1761" i="1" s="1"/>
  <c r="H1762" i="1" a="1"/>
  <c r="H1762" i="1" s="1"/>
  <c r="H1763" i="1" a="1"/>
  <c r="H1763" i="1" s="1"/>
  <c r="H1764" i="1" a="1"/>
  <c r="H1764" i="1" s="1"/>
  <c r="H1824" i="1" a="1"/>
  <c r="H1824" i="1" s="1"/>
  <c r="H1825" i="1" a="1"/>
  <c r="H1825" i="1" s="1"/>
  <c r="H1826" i="1" a="1"/>
  <c r="H1826" i="1" s="1"/>
  <c r="H1827" i="1" a="1"/>
  <c r="H1827" i="1" s="1"/>
  <c r="H1828" i="1" a="1"/>
  <c r="H1828" i="1" s="1"/>
  <c r="H1829" i="1" a="1"/>
  <c r="H1829" i="1" s="1"/>
  <c r="H1830" i="1" a="1"/>
  <c r="H1830" i="1" s="1"/>
  <c r="H2" i="1" a="1"/>
  <c r="H2" i="1" s="1"/>
  <c r="G3" i="1" a="1"/>
  <c r="G3" i="1"/>
  <c r="G4" i="1" a="1"/>
  <c r="G4" i="1"/>
  <c r="G5" i="1" a="1"/>
  <c r="G5" i="1" s="1"/>
  <c r="G6" i="1" a="1"/>
  <c r="G6" i="1" s="1"/>
  <c r="G7" i="1" a="1"/>
  <c r="G7" i="1" s="1"/>
  <c r="G8" i="1" a="1"/>
  <c r="G8" i="1"/>
  <c r="G9" i="1" a="1"/>
  <c r="G9" i="1" s="1"/>
  <c r="G10" i="1" a="1"/>
  <c r="G10" i="1" s="1"/>
  <c r="G11" i="1" a="1"/>
  <c r="G11" i="1" s="1"/>
  <c r="G12" i="1" a="1"/>
  <c r="G12" i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/>
  <c r="G168" i="1" a="1"/>
  <c r="G168" i="1" s="1"/>
  <c r="G169" i="1" a="1"/>
  <c r="G169" i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/>
  <c r="G316" i="1" a="1"/>
  <c r="G316" i="1" s="1"/>
  <c r="G317" i="1" a="1"/>
  <c r="G317" i="1" s="1"/>
  <c r="G318" i="1" a="1"/>
  <c r="G318" i="1" s="1"/>
  <c r="G319" i="1" a="1"/>
  <c r="G319" i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 s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 s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 s="1"/>
  <c r="G771" i="1" a="1"/>
  <c r="G771" i="1" s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 s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 s="1"/>
  <c r="G793" i="1" a="1"/>
  <c r="G793" i="1" s="1"/>
  <c r="G794" i="1" a="1"/>
  <c r="G794" i="1" s="1"/>
  <c r="G795" i="1" a="1"/>
  <c r="G795" i="1" s="1"/>
  <c r="G796" i="1" a="1"/>
  <c r="G796" i="1" s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 s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 s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 s="1"/>
  <c r="G976" i="1" a="1"/>
  <c r="G976" i="1" s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 s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 s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 s="1"/>
  <c r="G1042" i="1" a="1"/>
  <c r="G1042" i="1" s="1"/>
  <c r="G1043" i="1" a="1"/>
  <c r="G1043" i="1" s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 s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 s="1"/>
  <c r="G1075" i="1" a="1"/>
  <c r="G1075" i="1" s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 s="1"/>
  <c r="G1081" i="1" a="1"/>
  <c r="G1081" i="1" s="1"/>
  <c r="G1082" i="1" a="1"/>
  <c r="G1082" i="1" s="1"/>
  <c r="G1083" i="1" a="1"/>
  <c r="G1083" i="1" s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 s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 s="1"/>
  <c r="G1110" i="1" a="1"/>
  <c r="G1110" i="1" s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 s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 s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 s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 s="1"/>
  <c r="G1155" i="1" a="1"/>
  <c r="G1155" i="1" s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 s="1"/>
  <c r="G1194" i="1" a="1"/>
  <c r="G1194" i="1" s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 s="1"/>
  <c r="G1204" i="1" a="1"/>
  <c r="G1204" i="1" s="1"/>
  <c r="G1205" i="1" a="1"/>
  <c r="G1205" i="1" s="1"/>
  <c r="G1206" i="1" a="1"/>
  <c r="G1206" i="1" s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 s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 s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 s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 s="1"/>
  <c r="G1255" i="1" a="1"/>
  <c r="G1255" i="1" s="1"/>
  <c r="G1256" i="1" a="1"/>
  <c r="G1256" i="1" s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 s="1"/>
  <c r="G1266" i="1" a="1"/>
  <c r="G1266" i="1" s="1"/>
  <c r="G1267" i="1" a="1"/>
  <c r="G1267" i="1" s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 s="1"/>
  <c r="G1274" i="1" a="1"/>
  <c r="G1274" i="1" s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 s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 s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 s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 s="1"/>
  <c r="G1329" i="1" a="1"/>
  <c r="G1329" i="1" s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 s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 s="1"/>
  <c r="G1352" i="1" a="1"/>
  <c r="G1352" i="1" s="1"/>
  <c r="G1353" i="1" a="1"/>
  <c r="G1353" i="1" s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 s="1"/>
  <c r="G1369" i="1" a="1"/>
  <c r="G1369" i="1" s="1"/>
  <c r="G1370" i="1" a="1"/>
  <c r="G1370" i="1" s="1"/>
  <c r="G1371" i="1" a="1"/>
  <c r="G1371" i="1" s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 s="1"/>
  <c r="G1377" i="1" a="1"/>
  <c r="G1377" i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 s="1"/>
  <c r="G1384" i="1" a="1"/>
  <c r="G1384" i="1" s="1"/>
  <c r="G1385" i="1" a="1"/>
  <c r="G1385" i="1" s="1"/>
  <c r="G1386" i="1" a="1"/>
  <c r="G1386" i="1" s="1"/>
  <c r="G1387" i="1" a="1"/>
  <c r="G1387" i="1"/>
  <c r="G1388" i="1" a="1"/>
  <c r="G1388" i="1" s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 s="1"/>
  <c r="G1397" i="1" a="1"/>
  <c r="G1397" i="1" s="1"/>
  <c r="G1398" i="1" a="1"/>
  <c r="G1398" i="1" s="1"/>
  <c r="G1399" i="1" a="1"/>
  <c r="G1399" i="1" s="1"/>
  <c r="G1400" i="1" a="1"/>
  <c r="G1400" i="1" s="1"/>
  <c r="G1401" i="1" a="1"/>
  <c r="G1401" i="1" s="1"/>
  <c r="G1402" i="1" a="1"/>
  <c r="G1402" i="1" s="1"/>
  <c r="G1403" i="1" a="1"/>
  <c r="G1403" i="1" s="1"/>
  <c r="G1404" i="1" a="1"/>
  <c r="G1404" i="1" s="1"/>
  <c r="G1405" i="1" a="1"/>
  <c r="G1405" i="1" s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 s="1"/>
  <c r="G1427" i="1" a="1"/>
  <c r="G1427" i="1" s="1"/>
  <c r="G1428" i="1" a="1"/>
  <c r="G1428" i="1" s="1"/>
  <c r="G1429" i="1" a="1"/>
  <c r="G1429" i="1" s="1"/>
  <c r="G1430" i="1" a="1"/>
  <c r="G1430" i="1" s="1"/>
  <c r="G1431" i="1" a="1"/>
  <c r="G1431" i="1" s="1"/>
  <c r="G1432" i="1" a="1"/>
  <c r="G1432" i="1" s="1"/>
  <c r="G1433" i="1" a="1"/>
  <c r="G1433" i="1" s="1"/>
  <c r="G1434" i="1" a="1"/>
  <c r="G1434" i="1" s="1"/>
  <c r="G1435" i="1" a="1"/>
  <c r="G1435" i="1" s="1"/>
  <c r="G1436" i="1" a="1"/>
  <c r="G1436" i="1" s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 s="1"/>
  <c r="G1443" i="1" a="1"/>
  <c r="G1443" i="1" s="1"/>
  <c r="G1444" i="1" a="1"/>
  <c r="G1444" i="1" s="1"/>
  <c r="G1445" i="1" a="1"/>
  <c r="G1445" i="1" s="1"/>
  <c r="G1446" i="1" a="1"/>
  <c r="G1446" i="1" s="1"/>
  <c r="G1447" i="1" a="1"/>
  <c r="G1447" i="1"/>
  <c r="G1448" i="1" a="1"/>
  <c r="G1448" i="1" s="1"/>
  <c r="G1449" i="1" a="1"/>
  <c r="G1449" i="1" s="1"/>
  <c r="G1450" i="1" a="1"/>
  <c r="G1450" i="1" s="1"/>
  <c r="G1451" i="1" a="1"/>
  <c r="G1451" i="1" s="1"/>
  <c r="G1452" i="1" a="1"/>
  <c r="G1452" i="1" s="1"/>
  <c r="G1453" i="1" a="1"/>
  <c r="G1453" i="1" s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 s="1"/>
  <c r="G1462" i="1" a="1"/>
  <c r="G1462" i="1" s="1"/>
  <c r="G1463" i="1" a="1"/>
  <c r="G1463" i="1" s="1"/>
  <c r="G1464" i="1" a="1"/>
  <c r="G1464" i="1"/>
  <c r="G1465" i="1" a="1"/>
  <c r="G1465" i="1" s="1"/>
  <c r="G1466" i="1" a="1"/>
  <c r="G1466" i="1" s="1"/>
  <c r="G1467" i="1" a="1"/>
  <c r="G1467" i="1" s="1"/>
  <c r="G1468" i="1" a="1"/>
  <c r="G1468" i="1" s="1"/>
  <c r="G1469" i="1" a="1"/>
  <c r="G1469" i="1" s="1"/>
  <c r="G1470" i="1" a="1"/>
  <c r="G1470" i="1" s="1"/>
  <c r="G1471" i="1" a="1"/>
  <c r="G1471" i="1" s="1"/>
  <c r="G1472" i="1" a="1"/>
  <c r="G1472" i="1" s="1"/>
  <c r="G1473" i="1" a="1"/>
  <c r="G1473" i="1" s="1"/>
  <c r="G1474" i="1" a="1"/>
  <c r="G1474" i="1" s="1"/>
  <c r="G1475" i="1" a="1"/>
  <c r="G1475" i="1" s="1"/>
  <c r="G1476" i="1" a="1"/>
  <c r="G1476" i="1" s="1"/>
  <c r="G1477" i="1" a="1"/>
  <c r="G1477" i="1" s="1"/>
  <c r="G1478" i="1" a="1"/>
  <c r="G1478" i="1" s="1"/>
  <c r="G1479" i="1" a="1"/>
  <c r="G1479" i="1" s="1"/>
  <c r="G1480" i="1" a="1"/>
  <c r="G1480" i="1" s="1"/>
  <c r="G1481" i="1" a="1"/>
  <c r="G1481" i="1" s="1"/>
  <c r="G1482" i="1" a="1"/>
  <c r="G1482" i="1" s="1"/>
  <c r="G1483" i="1" a="1"/>
  <c r="G1483" i="1" s="1"/>
  <c r="G1484" i="1" a="1"/>
  <c r="G1484" i="1" s="1"/>
  <c r="G1485" i="1" a="1"/>
  <c r="G1485" i="1" s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 s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 s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 s="1"/>
  <c r="G1512" i="1" a="1"/>
  <c r="G1512" i="1" s="1"/>
  <c r="G1513" i="1" a="1"/>
  <c r="G1513" i="1" s="1"/>
  <c r="G1514" i="1" a="1"/>
  <c r="G1514" i="1" s="1"/>
  <c r="G1515" i="1" a="1"/>
  <c r="G1515" i="1" s="1"/>
  <c r="G1516" i="1" a="1"/>
  <c r="G1516" i="1" s="1"/>
  <c r="G1517" i="1" a="1"/>
  <c r="G1517" i="1" s="1"/>
  <c r="G1518" i="1" a="1"/>
  <c r="G1518" i="1" s="1"/>
  <c r="G1519" i="1" a="1"/>
  <c r="G1519" i="1" s="1"/>
  <c r="G1520" i="1" a="1"/>
  <c r="G1520" i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 s="1"/>
  <c r="G1527" i="1" a="1"/>
  <c r="G1527" i="1"/>
  <c r="G1528" i="1" a="1"/>
  <c r="G1528" i="1" s="1"/>
  <c r="G1529" i="1" a="1"/>
  <c r="G1529" i="1" s="1"/>
  <c r="G1530" i="1" a="1"/>
  <c r="G1530" i="1" s="1"/>
  <c r="G1531" i="1" a="1"/>
  <c r="G1531" i="1" s="1"/>
  <c r="G1532" i="1" a="1"/>
  <c r="G1532" i="1" s="1"/>
  <c r="G1533" i="1" a="1"/>
  <c r="G1533" i="1" s="1"/>
  <c r="G1534" i="1" a="1"/>
  <c r="G1534" i="1" s="1"/>
  <c r="G1535" i="1" a="1"/>
  <c r="G1535" i="1" s="1"/>
  <c r="G1536" i="1" a="1"/>
  <c r="G1536" i="1" s="1"/>
  <c r="G1537" i="1" a="1"/>
  <c r="G1537" i="1" s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 s="1"/>
  <c r="G1543" i="1" a="1"/>
  <c r="G1543" i="1" s="1"/>
  <c r="G1544" i="1" a="1"/>
  <c r="G1544" i="1" s="1"/>
  <c r="G1545" i="1" a="1"/>
  <c r="G1545" i="1" s="1"/>
  <c r="G1546" i="1" a="1"/>
  <c r="G1546" i="1" s="1"/>
  <c r="G1547" i="1" a="1"/>
  <c r="G1547" i="1" s="1"/>
  <c r="G1548" i="1" a="1"/>
  <c r="G1548" i="1" s="1"/>
  <c r="G1549" i="1" a="1"/>
  <c r="G1549" i="1" s="1"/>
  <c r="G1550" i="1" a="1"/>
  <c r="G1550" i="1" s="1"/>
  <c r="G1551" i="1" a="1"/>
  <c r="G1551" i="1" s="1"/>
  <c r="G1552" i="1" a="1"/>
  <c r="G1552" i="1" s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 s="1"/>
  <c r="G1560" i="1" a="1"/>
  <c r="G1560" i="1" s="1"/>
  <c r="G1561" i="1" a="1"/>
  <c r="G1561" i="1" s="1"/>
  <c r="G1562" i="1" a="1"/>
  <c r="G1562" i="1" s="1"/>
  <c r="G1563" i="1" a="1"/>
  <c r="G1563" i="1" s="1"/>
  <c r="G1564" i="1" a="1"/>
  <c r="G1564" i="1" s="1"/>
  <c r="G1565" i="1" a="1"/>
  <c r="G1565" i="1" s="1"/>
  <c r="G1566" i="1" a="1"/>
  <c r="G1566" i="1" s="1"/>
  <c r="G1567" i="1" a="1"/>
  <c r="G1567" i="1" s="1"/>
  <c r="G1568" i="1" a="1"/>
  <c r="G1568" i="1" s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 s="1"/>
  <c r="G1574" i="1" a="1"/>
  <c r="G1574" i="1" s="1"/>
  <c r="G1575" i="1" a="1"/>
  <c r="G1575" i="1" s="1"/>
  <c r="G1576" i="1" a="1"/>
  <c r="G1576" i="1" s="1"/>
  <c r="G1577" i="1" a="1"/>
  <c r="G1577" i="1" s="1"/>
  <c r="G1578" i="1" a="1"/>
  <c r="G1578" i="1" s="1"/>
  <c r="G1579" i="1" a="1"/>
  <c r="G1579" i="1" s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 s="1"/>
  <c r="G1589" i="1" a="1"/>
  <c r="G1589" i="1" s="1"/>
  <c r="G1590" i="1" a="1"/>
  <c r="G1590" i="1" s="1"/>
  <c r="G1591" i="1" a="1"/>
  <c r="G1591" i="1" s="1"/>
  <c r="G1592" i="1" a="1"/>
  <c r="G1592" i="1" s="1"/>
  <c r="G1593" i="1" a="1"/>
  <c r="G1593" i="1" s="1"/>
  <c r="G1594" i="1" a="1"/>
  <c r="G1594" i="1" s="1"/>
  <c r="G1595" i="1" a="1"/>
  <c r="G1595" i="1" s="1"/>
  <c r="G1596" i="1" a="1"/>
  <c r="G1596" i="1" s="1"/>
  <c r="G1597" i="1" a="1"/>
  <c r="G1597" i="1" s="1"/>
  <c r="G1598" i="1" a="1"/>
  <c r="G1598" i="1" s="1"/>
  <c r="G1599" i="1" a="1"/>
  <c r="G1599" i="1" s="1"/>
  <c r="G1600" i="1" a="1"/>
  <c r="G1600" i="1" s="1"/>
  <c r="G1601" i="1" a="1"/>
  <c r="G1601" i="1" s="1"/>
  <c r="G1602" i="1" a="1"/>
  <c r="G1602" i="1" s="1"/>
  <c r="G1603" i="1" a="1"/>
  <c r="G1603" i="1" s="1"/>
  <c r="G1604" i="1" a="1"/>
  <c r="G1604" i="1" s="1"/>
  <c r="G1605" i="1" a="1"/>
  <c r="G1605" i="1" s="1"/>
  <c r="G1606" i="1" a="1"/>
  <c r="G1606" i="1" s="1"/>
  <c r="G1607" i="1" a="1"/>
  <c r="G1607" i="1" s="1"/>
  <c r="G1608" i="1" a="1"/>
  <c r="G1608" i="1" s="1"/>
  <c r="G1609" i="1" a="1"/>
  <c r="G1609" i="1"/>
  <c r="G1610" i="1" a="1"/>
  <c r="G1610" i="1"/>
  <c r="G1611" i="1" a="1"/>
  <c r="G1611" i="1"/>
  <c r="G1612" i="1" a="1"/>
  <c r="G1612" i="1"/>
  <c r="G1613" i="1" a="1"/>
  <c r="G1613" i="1"/>
  <c r="G1614" i="1" a="1"/>
  <c r="G1614" i="1"/>
  <c r="G1615" i="1" a="1"/>
  <c r="G1615" i="1"/>
  <c r="G1616" i="1" a="1"/>
  <c r="G1616" i="1"/>
  <c r="G1617" i="1" a="1"/>
  <c r="G1617" i="1"/>
  <c r="G1618" i="1" a="1"/>
  <c r="G1618" i="1"/>
  <c r="G1619" i="1" a="1"/>
  <c r="G1619" i="1"/>
  <c r="G1620" i="1" a="1"/>
  <c r="G1620" i="1"/>
  <c r="G1621" i="1" a="1"/>
  <c r="G1621" i="1"/>
  <c r="G1622" i="1" a="1"/>
  <c r="G1622" i="1"/>
  <c r="G1623" i="1" a="1"/>
  <c r="G1623" i="1"/>
  <c r="G1624" i="1" a="1"/>
  <c r="G1624" i="1"/>
  <c r="G1625" i="1" a="1"/>
  <c r="G1625" i="1"/>
  <c r="G1626" i="1" a="1"/>
  <c r="G1626" i="1"/>
  <c r="G1627" i="1" a="1"/>
  <c r="G1627" i="1"/>
  <c r="G1628" i="1" a="1"/>
  <c r="G1628" i="1"/>
  <c r="G1629" i="1" a="1"/>
  <c r="G1629" i="1"/>
  <c r="G1630" i="1" a="1"/>
  <c r="G1630" i="1"/>
  <c r="G1631" i="1" a="1"/>
  <c r="G1631" i="1"/>
  <c r="G1632" i="1" a="1"/>
  <c r="G1632" i="1"/>
  <c r="G1633" i="1" a="1"/>
  <c r="G1633" i="1"/>
  <c r="G1634" i="1" a="1"/>
  <c r="G1634" i="1"/>
  <c r="G1635" i="1" a="1"/>
  <c r="G1635" i="1"/>
  <c r="G1636" i="1" a="1"/>
  <c r="G1636" i="1"/>
  <c r="G1637" i="1" a="1"/>
  <c r="G1637" i="1"/>
  <c r="G1638" i="1" a="1"/>
  <c r="G1638" i="1"/>
  <c r="G1639" i="1" a="1"/>
  <c r="G1639" i="1"/>
  <c r="G1640" i="1" a="1"/>
  <c r="G1640" i="1"/>
  <c r="G1641" i="1" a="1"/>
  <c r="G1641" i="1"/>
  <c r="G1642" i="1" a="1"/>
  <c r="G1642" i="1"/>
  <c r="G1643" i="1" a="1"/>
  <c r="G1643" i="1"/>
  <c r="G1644" i="1" a="1"/>
  <c r="G1644" i="1"/>
  <c r="G1645" i="1" a="1"/>
  <c r="G1645" i="1"/>
  <c r="G1646" i="1" a="1"/>
  <c r="G1646" i="1"/>
  <c r="G1647" i="1" a="1"/>
  <c r="G1647" i="1"/>
  <c r="G1648" i="1" a="1"/>
  <c r="G1648" i="1"/>
  <c r="G1649" i="1" a="1"/>
  <c r="G1649" i="1"/>
  <c r="G1650" i="1" a="1"/>
  <c r="G1650" i="1"/>
  <c r="G1651" i="1" a="1"/>
  <c r="G1651" i="1"/>
  <c r="G1652" i="1" a="1"/>
  <c r="G1652" i="1"/>
  <c r="G1653" i="1" a="1"/>
  <c r="G1653" i="1"/>
  <c r="G1654" i="1" a="1"/>
  <c r="G1654" i="1"/>
  <c r="G1655" i="1" a="1"/>
  <c r="G1655" i="1"/>
  <c r="G1656" i="1" a="1"/>
  <c r="G1656" i="1"/>
  <c r="G1657" i="1" a="1"/>
  <c r="G1657" i="1"/>
  <c r="G1658" i="1" a="1"/>
  <c r="G1658" i="1"/>
  <c r="G1659" i="1" a="1"/>
  <c r="G1659" i="1"/>
  <c r="G1660" i="1" a="1"/>
  <c r="G1660" i="1"/>
  <c r="G1661" i="1" a="1"/>
  <c r="G1661" i="1"/>
  <c r="G1662" i="1" a="1"/>
  <c r="G1662" i="1"/>
  <c r="G1663" i="1" a="1"/>
  <c r="G1663" i="1"/>
  <c r="G1664" i="1" a="1"/>
  <c r="G1664" i="1"/>
  <c r="G1665" i="1" a="1"/>
  <c r="G1665" i="1"/>
  <c r="G1666" i="1" a="1"/>
  <c r="G1666" i="1"/>
  <c r="G1667" i="1" a="1"/>
  <c r="G1667" i="1"/>
  <c r="G1668" i="1" a="1"/>
  <c r="G1668" i="1"/>
  <c r="G1669" i="1" a="1"/>
  <c r="G1669" i="1"/>
  <c r="G1670" i="1" a="1"/>
  <c r="G1670" i="1"/>
  <c r="G1671" i="1" a="1"/>
  <c r="G1671" i="1"/>
  <c r="G1672" i="1" a="1"/>
  <c r="G1672" i="1"/>
  <c r="G1673" i="1" a="1"/>
  <c r="G1673" i="1"/>
  <c r="G1674" i="1" a="1"/>
  <c r="G1674" i="1"/>
  <c r="G1675" i="1" a="1"/>
  <c r="G1675" i="1"/>
  <c r="G1676" i="1" a="1"/>
  <c r="G1676" i="1"/>
  <c r="G1677" i="1" a="1"/>
  <c r="G1677" i="1"/>
  <c r="G1678" i="1" a="1"/>
  <c r="G1678" i="1"/>
  <c r="G1679" i="1" a="1"/>
  <c r="G1679" i="1"/>
  <c r="G1680" i="1" a="1"/>
  <c r="G1680" i="1"/>
  <c r="G1681" i="1" a="1"/>
  <c r="G1681" i="1"/>
  <c r="G1682" i="1" a="1"/>
  <c r="G1682" i="1"/>
  <c r="G1683" i="1" a="1"/>
  <c r="G1683" i="1"/>
  <c r="G1684" i="1" a="1"/>
  <c r="G1684" i="1"/>
  <c r="G1685" i="1" a="1"/>
  <c r="G1685" i="1"/>
  <c r="G1686" i="1" a="1"/>
  <c r="G1686" i="1"/>
  <c r="G1687" i="1" a="1"/>
  <c r="G1687" i="1"/>
  <c r="G1688" i="1" a="1"/>
  <c r="G1688" i="1"/>
  <c r="G1689" i="1" a="1"/>
  <c r="G1689" i="1"/>
  <c r="G1690" i="1" a="1"/>
  <c r="G1690" i="1"/>
  <c r="G1691" i="1" a="1"/>
  <c r="G1691" i="1"/>
  <c r="G1692" i="1" a="1"/>
  <c r="G1692" i="1"/>
  <c r="G1693" i="1" a="1"/>
  <c r="G1693" i="1"/>
  <c r="G1694" i="1" a="1"/>
  <c r="G1694" i="1"/>
  <c r="G1695" i="1" a="1"/>
  <c r="G1695" i="1"/>
  <c r="G1696" i="1" a="1"/>
  <c r="G1696" i="1"/>
  <c r="G1697" i="1" a="1"/>
  <c r="G1697" i="1"/>
  <c r="G1698" i="1" a="1"/>
  <c r="G1698" i="1"/>
  <c r="G1699" i="1" a="1"/>
  <c r="G1699" i="1"/>
  <c r="G1700" i="1" a="1"/>
  <c r="G1700" i="1"/>
  <c r="G1701" i="1" a="1"/>
  <c r="G1701" i="1"/>
  <c r="G1702" i="1" a="1"/>
  <c r="G1702" i="1"/>
  <c r="G1703" i="1" a="1"/>
  <c r="G1703" i="1"/>
  <c r="G1704" i="1" a="1"/>
  <c r="G1704" i="1"/>
  <c r="G1705" i="1" a="1"/>
  <c r="G1705" i="1"/>
  <c r="G1706" i="1" a="1"/>
  <c r="G1706" i="1"/>
  <c r="G1707" i="1" a="1"/>
  <c r="G1707" i="1"/>
  <c r="G1708" i="1" a="1"/>
  <c r="G1708" i="1"/>
  <c r="G1709" i="1" a="1"/>
  <c r="G1709" i="1"/>
  <c r="G1710" i="1" a="1"/>
  <c r="G1710" i="1"/>
  <c r="G1711" i="1" a="1"/>
  <c r="G1711" i="1"/>
  <c r="G1712" i="1" a="1"/>
  <c r="G1712" i="1"/>
  <c r="G1713" i="1" a="1"/>
  <c r="G1713" i="1"/>
  <c r="G1714" i="1" a="1"/>
  <c r="G1714" i="1"/>
  <c r="G1715" i="1" a="1"/>
  <c r="G1715" i="1"/>
  <c r="G1716" i="1" a="1"/>
  <c r="G1716" i="1"/>
  <c r="G1717" i="1" a="1"/>
  <c r="G1717" i="1"/>
  <c r="G1718" i="1" a="1"/>
  <c r="G1718" i="1"/>
  <c r="G1719" i="1" a="1"/>
  <c r="G1719" i="1"/>
  <c r="G1720" i="1" a="1"/>
  <c r="G1720" i="1"/>
  <c r="G1721" i="1" a="1"/>
  <c r="G1721" i="1"/>
  <c r="G1722" i="1" a="1"/>
  <c r="G1722" i="1"/>
  <c r="G1723" i="1" a="1"/>
  <c r="G1723" i="1"/>
  <c r="G1724" i="1" a="1"/>
  <c r="G1724" i="1"/>
  <c r="G1725" i="1" a="1"/>
  <c r="G1725" i="1"/>
  <c r="G1726" i="1" a="1"/>
  <c r="G1726" i="1"/>
  <c r="G1727" i="1" a="1"/>
  <c r="G1727" i="1"/>
  <c r="G1728" i="1" a="1"/>
  <c r="G1728" i="1"/>
  <c r="G1729" i="1" a="1"/>
  <c r="G1729" i="1"/>
  <c r="G1730" i="1" a="1"/>
  <c r="G1730" i="1"/>
  <c r="G1731" i="1" a="1"/>
  <c r="G1731" i="1"/>
  <c r="G1732" i="1" a="1"/>
  <c r="G1732" i="1"/>
  <c r="G1733" i="1" a="1"/>
  <c r="G1733" i="1"/>
  <c r="G1734" i="1" a="1"/>
  <c r="G1734" i="1"/>
  <c r="G1735" i="1" a="1"/>
  <c r="G1735" i="1"/>
  <c r="G1736" i="1" a="1"/>
  <c r="G1736" i="1"/>
  <c r="G1737" i="1" a="1"/>
  <c r="G1737" i="1"/>
  <c r="G1738" i="1" a="1"/>
  <c r="G1738" i="1"/>
  <c r="G1739" i="1" a="1"/>
  <c r="G1739" i="1"/>
  <c r="G1740" i="1" a="1"/>
  <c r="G1740" i="1"/>
  <c r="G1741" i="1" a="1"/>
  <c r="G1741" i="1"/>
  <c r="G1742" i="1" a="1"/>
  <c r="G1742" i="1"/>
  <c r="G1743" i="1" a="1"/>
  <c r="G1743" i="1"/>
  <c r="G1744" i="1" a="1"/>
  <c r="G1744" i="1"/>
  <c r="G1745" i="1" a="1"/>
  <c r="G1745" i="1"/>
  <c r="G1746" i="1" a="1"/>
  <c r="G1746" i="1"/>
  <c r="G1747" i="1" a="1"/>
  <c r="G1747" i="1"/>
  <c r="G1748" i="1" a="1"/>
  <c r="G1748" i="1"/>
  <c r="G1749" i="1" a="1"/>
  <c r="G1749" i="1"/>
  <c r="G1750" i="1" a="1"/>
  <c r="G1750" i="1"/>
  <c r="G1751" i="1" a="1"/>
  <c r="G1751" i="1"/>
  <c r="G1752" i="1" a="1"/>
  <c r="G1752" i="1"/>
  <c r="G1753" i="1" a="1"/>
  <c r="G1753" i="1"/>
  <c r="G1754" i="1" a="1"/>
  <c r="G1754" i="1"/>
  <c r="G1755" i="1" a="1"/>
  <c r="G1755" i="1"/>
  <c r="G1756" i="1" a="1"/>
  <c r="G1756" i="1"/>
  <c r="G1757" i="1" a="1"/>
  <c r="G1757" i="1"/>
  <c r="G1758" i="1" a="1"/>
  <c r="G1758" i="1"/>
  <c r="G1759" i="1" a="1"/>
  <c r="G1759" i="1"/>
  <c r="G1760" i="1" a="1"/>
  <c r="G1760" i="1"/>
  <c r="G1761" i="1" a="1"/>
  <c r="G1761" i="1"/>
  <c r="G1762" i="1" a="1"/>
  <c r="G1762" i="1"/>
  <c r="G1763" i="1" a="1"/>
  <c r="G1763" i="1"/>
  <c r="G1764" i="1" a="1"/>
  <c r="G1764" i="1"/>
  <c r="G1765" i="1" a="1"/>
  <c r="G1765" i="1" s="1"/>
  <c r="H1765" i="1" s="1" a="1"/>
  <c r="H1765" i="1" s="1"/>
  <c r="I1765" i="1" s="1" a="1"/>
  <c r="I1765" i="1" s="1"/>
  <c r="J1765" i="1" s="1" a="1"/>
  <c r="J1765" i="1" s="1"/>
  <c r="K1765" i="1" s="1" a="1"/>
  <c r="K1765" i="1" s="1"/>
  <c r="L1765" i="1" s="1" a="1"/>
  <c r="L1765" i="1" s="1"/>
  <c r="G1766" i="1" a="1"/>
  <c r="G1766" i="1" s="1"/>
  <c r="H1766" i="1" s="1" a="1"/>
  <c r="H1766" i="1" s="1"/>
  <c r="I1766" i="1" s="1" a="1"/>
  <c r="I1766" i="1" s="1"/>
  <c r="J1766" i="1" s="1" a="1"/>
  <c r="J1766" i="1" s="1"/>
  <c r="K1766" i="1" s="1" a="1"/>
  <c r="K1766" i="1" s="1"/>
  <c r="L1766" i="1" s="1" a="1"/>
  <c r="L1766" i="1" s="1"/>
  <c r="M1766" i="1" s="1" a="1"/>
  <c r="M1766" i="1" s="1"/>
  <c r="G1767" i="1" a="1"/>
  <c r="G1767" i="1" s="1"/>
  <c r="H1767" i="1" s="1" a="1"/>
  <c r="H1767" i="1" s="1"/>
  <c r="I1767" i="1" s="1" a="1"/>
  <c r="I1767" i="1" s="1"/>
  <c r="J1767" i="1" s="1" a="1"/>
  <c r="J1767" i="1" s="1"/>
  <c r="K1767" i="1" s="1" a="1"/>
  <c r="K1767" i="1" s="1"/>
  <c r="L1767" i="1" s="1" a="1"/>
  <c r="L1767" i="1" s="1"/>
  <c r="G1768" i="1" a="1"/>
  <c r="G1768" i="1" s="1"/>
  <c r="H1768" i="1" s="1" a="1"/>
  <c r="H1768" i="1" s="1"/>
  <c r="I1768" i="1" s="1" a="1"/>
  <c r="I1768" i="1" s="1"/>
  <c r="J1768" i="1" s="1" a="1"/>
  <c r="J1768" i="1" s="1"/>
  <c r="K1768" i="1" s="1" a="1"/>
  <c r="K1768" i="1" s="1"/>
  <c r="L1768" i="1" s="1" a="1"/>
  <c r="L1768" i="1" s="1"/>
  <c r="M1768" i="1" s="1" a="1"/>
  <c r="M1768" i="1" s="1"/>
  <c r="G1769" i="1" a="1"/>
  <c r="G1769" i="1" s="1"/>
  <c r="H1769" i="1" s="1" a="1"/>
  <c r="H1769" i="1" s="1"/>
  <c r="I1769" i="1" s="1" a="1"/>
  <c r="I1769" i="1" s="1"/>
  <c r="J1769" i="1" s="1" a="1"/>
  <c r="J1769" i="1" s="1"/>
  <c r="K1769" i="1" s="1" a="1"/>
  <c r="K1769" i="1" s="1"/>
  <c r="L1769" i="1" s="1" a="1"/>
  <c r="L1769" i="1" s="1"/>
  <c r="G1770" i="1" a="1"/>
  <c r="G1770" i="1" s="1"/>
  <c r="H1770" i="1" s="1" a="1"/>
  <c r="H1770" i="1" s="1"/>
  <c r="I1770" i="1" s="1" a="1"/>
  <c r="I1770" i="1" s="1"/>
  <c r="J1770" i="1" s="1" a="1"/>
  <c r="J1770" i="1" s="1"/>
  <c r="K1770" i="1" s="1" a="1"/>
  <c r="K1770" i="1" s="1"/>
  <c r="L1770" i="1" s="1" a="1"/>
  <c r="L1770" i="1" s="1"/>
  <c r="G1771" i="1" a="1"/>
  <c r="G1771" i="1" s="1"/>
  <c r="H1771" i="1" s="1" a="1"/>
  <c r="H1771" i="1" s="1"/>
  <c r="I1771" i="1" s="1" a="1"/>
  <c r="I1771" i="1" s="1"/>
  <c r="J1771" i="1" s="1" a="1"/>
  <c r="J1771" i="1" s="1"/>
  <c r="K1771" i="1" s="1" a="1"/>
  <c r="K1771" i="1" s="1"/>
  <c r="L1771" i="1" s="1" a="1"/>
  <c r="L1771" i="1" s="1"/>
  <c r="M1771" i="1" s="1" a="1"/>
  <c r="M1771" i="1" s="1"/>
  <c r="G1772" i="1" a="1"/>
  <c r="G1772" i="1" s="1"/>
  <c r="H1772" i="1" s="1" a="1"/>
  <c r="H1772" i="1" s="1"/>
  <c r="I1772" i="1" s="1" a="1"/>
  <c r="I1772" i="1" s="1"/>
  <c r="J1772" i="1" s="1" a="1"/>
  <c r="J1772" i="1" s="1"/>
  <c r="K1772" i="1" s="1" a="1"/>
  <c r="K1772" i="1" s="1"/>
  <c r="L1772" i="1" s="1" a="1"/>
  <c r="L1772" i="1" s="1"/>
  <c r="G1773" i="1" a="1"/>
  <c r="G1773" i="1" s="1"/>
  <c r="H1773" i="1" s="1" a="1"/>
  <c r="H1773" i="1" s="1"/>
  <c r="I1773" i="1" s="1" a="1"/>
  <c r="I1773" i="1" s="1"/>
  <c r="J1773" i="1" s="1" a="1"/>
  <c r="J1773" i="1" s="1"/>
  <c r="K1773" i="1" s="1" a="1"/>
  <c r="K1773" i="1" s="1"/>
  <c r="L1773" i="1" s="1" a="1"/>
  <c r="L1773" i="1" s="1"/>
  <c r="G1774" i="1" a="1"/>
  <c r="G1774" i="1" s="1"/>
  <c r="H1774" i="1" s="1" a="1"/>
  <c r="H1774" i="1" s="1"/>
  <c r="I1774" i="1" s="1" a="1"/>
  <c r="I1774" i="1" s="1"/>
  <c r="J1774" i="1" s="1" a="1"/>
  <c r="J1774" i="1" s="1"/>
  <c r="K1774" i="1" s="1" a="1"/>
  <c r="K1774" i="1" s="1"/>
  <c r="L1774" i="1" s="1" a="1"/>
  <c r="L1774" i="1" s="1"/>
  <c r="G1775" i="1" a="1"/>
  <c r="G1775" i="1" s="1"/>
  <c r="H1775" i="1" s="1" a="1"/>
  <c r="H1775" i="1" s="1"/>
  <c r="I1775" i="1" s="1" a="1"/>
  <c r="I1775" i="1" s="1"/>
  <c r="J1775" i="1" s="1" a="1"/>
  <c r="J1775" i="1" s="1"/>
  <c r="K1775" i="1" s="1" a="1"/>
  <c r="K1775" i="1" s="1"/>
  <c r="L1775" i="1" s="1" a="1"/>
  <c r="L1775" i="1" s="1"/>
  <c r="G1776" i="1" a="1"/>
  <c r="G1776" i="1" s="1"/>
  <c r="H1776" i="1" s="1" a="1"/>
  <c r="H1776" i="1" s="1"/>
  <c r="I1776" i="1" s="1" a="1"/>
  <c r="I1776" i="1" s="1"/>
  <c r="J1776" i="1" s="1" a="1"/>
  <c r="J1776" i="1" s="1"/>
  <c r="K1776" i="1" s="1" a="1"/>
  <c r="K1776" i="1" s="1"/>
  <c r="L1776" i="1" s="1" a="1"/>
  <c r="L1776" i="1" s="1"/>
  <c r="M1776" i="1" s="1" a="1"/>
  <c r="M1776" i="1" s="1"/>
  <c r="G1777" i="1" a="1"/>
  <c r="G1777" i="1"/>
  <c r="H1777" i="1" s="1" a="1"/>
  <c r="H1777" i="1" s="1"/>
  <c r="I1777" i="1" s="1" a="1"/>
  <c r="I1777" i="1" s="1"/>
  <c r="J1777" i="1" s="1" a="1"/>
  <c r="J1777" i="1" s="1"/>
  <c r="K1777" i="1" s="1" a="1"/>
  <c r="K1777" i="1" s="1"/>
  <c r="L1777" i="1" s="1" a="1"/>
  <c r="L1777" i="1" s="1"/>
  <c r="G1778" i="1" a="1"/>
  <c r="G1778" i="1" s="1"/>
  <c r="H1778" i="1" s="1" a="1"/>
  <c r="H1778" i="1" s="1"/>
  <c r="I1778" i="1" s="1" a="1"/>
  <c r="I1778" i="1" s="1"/>
  <c r="J1778" i="1" s="1" a="1"/>
  <c r="J1778" i="1" s="1"/>
  <c r="K1778" i="1" s="1" a="1"/>
  <c r="K1778" i="1" s="1"/>
  <c r="L1778" i="1" s="1" a="1"/>
  <c r="L1778" i="1" s="1"/>
  <c r="G1779" i="1" a="1"/>
  <c r="G1779" i="1" s="1"/>
  <c r="H1779" i="1" s="1" a="1"/>
  <c r="H1779" i="1" s="1"/>
  <c r="I1779" i="1" s="1" a="1"/>
  <c r="I1779" i="1" s="1"/>
  <c r="J1779" i="1" s="1" a="1"/>
  <c r="J1779" i="1" s="1"/>
  <c r="K1779" i="1" s="1" a="1"/>
  <c r="K1779" i="1" s="1"/>
  <c r="L1779" i="1" s="1" a="1"/>
  <c r="L1779" i="1" s="1"/>
  <c r="M1779" i="1" s="1" a="1"/>
  <c r="M1779" i="1" s="1"/>
  <c r="G1780" i="1" a="1"/>
  <c r="G1780" i="1" s="1"/>
  <c r="H1780" i="1" s="1" a="1"/>
  <c r="H1780" i="1" s="1"/>
  <c r="I1780" i="1" s="1" a="1"/>
  <c r="I1780" i="1" s="1"/>
  <c r="J1780" i="1" s="1" a="1"/>
  <c r="J1780" i="1" s="1"/>
  <c r="K1780" i="1" s="1" a="1"/>
  <c r="K1780" i="1" s="1"/>
  <c r="L1780" i="1" s="1" a="1"/>
  <c r="L1780" i="1" s="1"/>
  <c r="G1781" i="1" a="1"/>
  <c r="G1781" i="1" s="1"/>
  <c r="H1781" i="1" s="1" a="1"/>
  <c r="H1781" i="1" s="1"/>
  <c r="I1781" i="1" s="1" a="1"/>
  <c r="I1781" i="1" s="1"/>
  <c r="J1781" i="1" s="1" a="1"/>
  <c r="J1781" i="1" s="1"/>
  <c r="K1781" i="1" s="1" a="1"/>
  <c r="K1781" i="1" s="1"/>
  <c r="L1781" i="1" s="1" a="1"/>
  <c r="L1781" i="1" s="1"/>
  <c r="G1782" i="1" a="1"/>
  <c r="G1782" i="1" s="1"/>
  <c r="H1782" i="1" s="1" a="1"/>
  <c r="H1782" i="1" s="1"/>
  <c r="I1782" i="1" s="1" a="1"/>
  <c r="I1782" i="1" s="1"/>
  <c r="J1782" i="1" s="1" a="1"/>
  <c r="J1782" i="1" s="1"/>
  <c r="K1782" i="1" s="1" a="1"/>
  <c r="K1782" i="1" s="1"/>
  <c r="L1782" i="1" s="1" a="1"/>
  <c r="L1782" i="1" s="1"/>
  <c r="G1783" i="1" a="1"/>
  <c r="G1783" i="1" s="1"/>
  <c r="H1783" i="1" s="1" a="1"/>
  <c r="H1783" i="1" s="1"/>
  <c r="I1783" i="1" s="1" a="1"/>
  <c r="I1783" i="1" s="1"/>
  <c r="J1783" i="1" s="1" a="1"/>
  <c r="J1783" i="1" s="1"/>
  <c r="K1783" i="1" s="1" a="1"/>
  <c r="K1783" i="1" s="1"/>
  <c r="L1783" i="1" s="1" a="1"/>
  <c r="L1783" i="1" s="1"/>
  <c r="M1783" i="1" s="1" a="1"/>
  <c r="M1783" i="1" s="1"/>
  <c r="G1784" i="1" a="1"/>
  <c r="G1784" i="1" s="1"/>
  <c r="H1784" i="1" s="1" a="1"/>
  <c r="H1784" i="1" s="1"/>
  <c r="I1784" i="1" s="1" a="1"/>
  <c r="I1784" i="1" s="1"/>
  <c r="J1784" i="1" s="1" a="1"/>
  <c r="J1784" i="1" s="1"/>
  <c r="K1784" i="1" s="1" a="1"/>
  <c r="K1784" i="1" s="1"/>
  <c r="L1784" i="1" s="1" a="1"/>
  <c r="L1784" i="1" s="1"/>
  <c r="G1785" i="1" a="1"/>
  <c r="G1785" i="1" s="1"/>
  <c r="H1785" i="1" s="1" a="1"/>
  <c r="H1785" i="1" s="1"/>
  <c r="I1785" i="1" s="1" a="1"/>
  <c r="I1785" i="1" s="1"/>
  <c r="J1785" i="1" s="1" a="1"/>
  <c r="J1785" i="1" s="1"/>
  <c r="K1785" i="1" s="1" a="1"/>
  <c r="K1785" i="1" s="1"/>
  <c r="L1785" i="1" s="1" a="1"/>
  <c r="L1785" i="1" s="1"/>
  <c r="G1786" i="1" a="1"/>
  <c r="G1786" i="1" s="1"/>
  <c r="H1786" i="1" s="1" a="1"/>
  <c r="H1786" i="1" s="1"/>
  <c r="I1786" i="1" s="1" a="1"/>
  <c r="I1786" i="1" s="1"/>
  <c r="J1786" i="1" s="1" a="1"/>
  <c r="J1786" i="1" s="1"/>
  <c r="K1786" i="1" s="1" a="1"/>
  <c r="K1786" i="1" s="1"/>
  <c r="L1786" i="1" s="1" a="1"/>
  <c r="L1786" i="1" s="1"/>
  <c r="M1786" i="1" s="1" a="1"/>
  <c r="M1786" i="1" s="1"/>
  <c r="G1787" i="1" a="1"/>
  <c r="G1787" i="1" s="1"/>
  <c r="H1787" i="1" s="1" a="1"/>
  <c r="H1787" i="1" s="1"/>
  <c r="I1787" i="1" s="1" a="1"/>
  <c r="I1787" i="1" s="1"/>
  <c r="J1787" i="1" s="1" a="1"/>
  <c r="J1787" i="1" s="1"/>
  <c r="K1787" i="1" s="1" a="1"/>
  <c r="K1787" i="1" s="1"/>
  <c r="L1787" i="1" s="1" a="1"/>
  <c r="L1787" i="1" s="1"/>
  <c r="G1788" i="1" a="1"/>
  <c r="G1788" i="1" s="1"/>
  <c r="H1788" i="1" s="1" a="1"/>
  <c r="H1788" i="1" s="1"/>
  <c r="I1788" i="1" s="1" a="1"/>
  <c r="I1788" i="1" s="1"/>
  <c r="J1788" i="1" s="1" a="1"/>
  <c r="J1788" i="1" s="1"/>
  <c r="K1788" i="1" s="1" a="1"/>
  <c r="K1788" i="1" s="1"/>
  <c r="L1788" i="1" s="1" a="1"/>
  <c r="L1788" i="1" s="1"/>
  <c r="G1789" i="1" a="1"/>
  <c r="G1789" i="1" s="1"/>
  <c r="H1789" i="1" s="1" a="1"/>
  <c r="H1789" i="1" s="1"/>
  <c r="I1789" i="1" s="1" a="1"/>
  <c r="I1789" i="1" s="1"/>
  <c r="J1789" i="1" s="1" a="1"/>
  <c r="J1789" i="1" s="1"/>
  <c r="K1789" i="1" s="1" a="1"/>
  <c r="K1789" i="1" s="1"/>
  <c r="L1789" i="1" s="1" a="1"/>
  <c r="L1789" i="1" s="1"/>
  <c r="M1789" i="1" s="1" a="1"/>
  <c r="M1789" i="1" s="1"/>
  <c r="G1790" i="1" a="1"/>
  <c r="G1790" i="1" s="1"/>
  <c r="H1790" i="1" s="1" a="1"/>
  <c r="H1790" i="1" s="1"/>
  <c r="I1790" i="1" s="1" a="1"/>
  <c r="I1790" i="1" s="1"/>
  <c r="J1790" i="1" s="1" a="1"/>
  <c r="J1790" i="1" s="1"/>
  <c r="K1790" i="1" s="1" a="1"/>
  <c r="K1790" i="1" s="1"/>
  <c r="L1790" i="1" s="1" a="1"/>
  <c r="L1790" i="1" s="1"/>
  <c r="G1791" i="1" a="1"/>
  <c r="G1791" i="1" s="1"/>
  <c r="H1791" i="1" s="1" a="1"/>
  <c r="H1791" i="1" s="1"/>
  <c r="I1791" i="1" s="1" a="1"/>
  <c r="I1791" i="1" s="1"/>
  <c r="J1791" i="1" s="1" a="1"/>
  <c r="J1791" i="1" s="1"/>
  <c r="K1791" i="1" s="1" a="1"/>
  <c r="K1791" i="1" s="1"/>
  <c r="L1791" i="1" s="1" a="1"/>
  <c r="L1791" i="1" s="1"/>
  <c r="G1792" i="1" a="1"/>
  <c r="G1792" i="1" s="1"/>
  <c r="H1792" i="1" s="1" a="1"/>
  <c r="H1792" i="1" s="1"/>
  <c r="I1792" i="1" s="1" a="1"/>
  <c r="I1792" i="1" s="1"/>
  <c r="J1792" i="1" s="1" a="1"/>
  <c r="J1792" i="1" s="1"/>
  <c r="K1792" i="1" s="1" a="1"/>
  <c r="K1792" i="1" s="1"/>
  <c r="L1792" i="1" s="1" a="1"/>
  <c r="L1792" i="1" s="1"/>
  <c r="M1792" i="1" s="1" a="1"/>
  <c r="M1792" i="1" s="1"/>
  <c r="G1793" i="1" a="1"/>
  <c r="G1793" i="1" s="1"/>
  <c r="H1793" i="1" s="1" a="1"/>
  <c r="H1793" i="1" s="1"/>
  <c r="I1793" i="1" s="1" a="1"/>
  <c r="I1793" i="1" s="1"/>
  <c r="J1793" i="1" s="1" a="1"/>
  <c r="J1793" i="1" s="1"/>
  <c r="K1793" i="1" s="1" a="1"/>
  <c r="K1793" i="1" s="1"/>
  <c r="L1793" i="1" s="1" a="1"/>
  <c r="L1793" i="1" s="1"/>
  <c r="G1794" i="1" a="1"/>
  <c r="G1794" i="1" s="1"/>
  <c r="H1794" i="1" s="1" a="1"/>
  <c r="H1794" i="1" s="1"/>
  <c r="I1794" i="1" s="1" a="1"/>
  <c r="I1794" i="1" s="1"/>
  <c r="J1794" i="1" s="1" a="1"/>
  <c r="J1794" i="1" s="1"/>
  <c r="K1794" i="1" s="1" a="1"/>
  <c r="K1794" i="1" s="1"/>
  <c r="L1794" i="1" s="1" a="1"/>
  <c r="L1794" i="1" s="1"/>
  <c r="G1795" i="1" a="1"/>
  <c r="G1795" i="1" s="1"/>
  <c r="H1795" i="1" s="1" a="1"/>
  <c r="H1795" i="1" s="1"/>
  <c r="I1795" i="1" s="1" a="1"/>
  <c r="I1795" i="1" s="1"/>
  <c r="J1795" i="1" s="1" a="1"/>
  <c r="J1795" i="1" s="1"/>
  <c r="K1795" i="1" s="1" a="1"/>
  <c r="K1795" i="1" s="1"/>
  <c r="L1795" i="1" s="1" a="1"/>
  <c r="L1795" i="1" s="1"/>
  <c r="G1796" i="1" a="1"/>
  <c r="G1796" i="1" s="1"/>
  <c r="H1796" i="1" s="1" a="1"/>
  <c r="H1796" i="1" s="1"/>
  <c r="I1796" i="1" s="1" a="1"/>
  <c r="I1796" i="1" s="1"/>
  <c r="J1796" i="1" s="1" a="1"/>
  <c r="J1796" i="1" s="1"/>
  <c r="K1796" i="1" s="1" a="1"/>
  <c r="K1796" i="1" s="1"/>
  <c r="L1796" i="1" s="1" a="1"/>
  <c r="L1796" i="1" s="1"/>
  <c r="M1796" i="1" s="1" a="1"/>
  <c r="M1796" i="1" s="1"/>
  <c r="G1797" i="1" a="1"/>
  <c r="G1797" i="1" s="1"/>
  <c r="H1797" i="1" s="1" a="1"/>
  <c r="H1797" i="1" s="1"/>
  <c r="I1797" i="1" s="1" a="1"/>
  <c r="I1797" i="1" s="1"/>
  <c r="J1797" i="1" s="1" a="1"/>
  <c r="J1797" i="1" s="1"/>
  <c r="K1797" i="1" s="1" a="1"/>
  <c r="K1797" i="1" s="1"/>
  <c r="L1797" i="1" s="1" a="1"/>
  <c r="L1797" i="1" s="1"/>
  <c r="G1798" i="1" a="1"/>
  <c r="G1798" i="1" s="1"/>
  <c r="H1798" i="1" s="1" a="1"/>
  <c r="H1798" i="1" s="1"/>
  <c r="I1798" i="1" s="1" a="1"/>
  <c r="I1798" i="1" s="1"/>
  <c r="J1798" i="1" s="1" a="1"/>
  <c r="J1798" i="1" s="1"/>
  <c r="K1798" i="1" s="1" a="1"/>
  <c r="K1798" i="1" s="1"/>
  <c r="L1798" i="1" s="1" a="1"/>
  <c r="L1798" i="1" s="1"/>
  <c r="G1799" i="1" a="1"/>
  <c r="G1799" i="1" s="1"/>
  <c r="H1799" i="1" s="1" a="1"/>
  <c r="H1799" i="1" s="1"/>
  <c r="I1799" i="1" s="1" a="1"/>
  <c r="I1799" i="1" s="1"/>
  <c r="J1799" i="1" s="1" a="1"/>
  <c r="J1799" i="1" s="1"/>
  <c r="K1799" i="1" s="1" a="1"/>
  <c r="K1799" i="1" s="1"/>
  <c r="L1799" i="1" s="1" a="1"/>
  <c r="L1799" i="1" s="1"/>
  <c r="G1800" i="1" a="1"/>
  <c r="G1800" i="1" s="1"/>
  <c r="H1800" i="1" s="1" a="1"/>
  <c r="H1800" i="1" s="1"/>
  <c r="I1800" i="1" s="1" a="1"/>
  <c r="I1800" i="1" s="1"/>
  <c r="J1800" i="1" s="1" a="1"/>
  <c r="J1800" i="1" s="1"/>
  <c r="K1800" i="1" s="1" a="1"/>
  <c r="K1800" i="1" s="1"/>
  <c r="L1800" i="1" s="1" a="1"/>
  <c r="L1800" i="1" s="1"/>
  <c r="M1800" i="1" s="1" a="1"/>
  <c r="M1800" i="1" s="1"/>
  <c r="G1801" i="1" a="1"/>
  <c r="G1801" i="1" s="1"/>
  <c r="H1801" i="1" s="1" a="1"/>
  <c r="H1801" i="1" s="1"/>
  <c r="I1801" i="1" s="1" a="1"/>
  <c r="I1801" i="1" s="1"/>
  <c r="J1801" i="1" s="1" a="1"/>
  <c r="J1801" i="1" s="1"/>
  <c r="K1801" i="1" s="1" a="1"/>
  <c r="K1801" i="1" s="1"/>
  <c r="L1801" i="1" s="1" a="1"/>
  <c r="L1801" i="1" s="1"/>
  <c r="G1802" i="1" a="1"/>
  <c r="G1802" i="1" s="1"/>
  <c r="H1802" i="1" s="1" a="1"/>
  <c r="H1802" i="1" s="1"/>
  <c r="I1802" i="1" s="1" a="1"/>
  <c r="I1802" i="1" s="1"/>
  <c r="J1802" i="1" s="1" a="1"/>
  <c r="J1802" i="1" s="1"/>
  <c r="K1802" i="1" s="1" a="1"/>
  <c r="K1802" i="1" s="1"/>
  <c r="L1802" i="1" s="1" a="1"/>
  <c r="L1802" i="1" s="1"/>
  <c r="G1803" i="1" a="1"/>
  <c r="G1803" i="1" s="1"/>
  <c r="H1803" i="1" s="1" a="1"/>
  <c r="H1803" i="1" s="1"/>
  <c r="I1803" i="1" s="1" a="1"/>
  <c r="I1803" i="1" s="1"/>
  <c r="J1803" i="1" s="1" a="1"/>
  <c r="J1803" i="1" s="1"/>
  <c r="K1803" i="1" s="1" a="1"/>
  <c r="K1803" i="1" s="1"/>
  <c r="L1803" i="1" s="1" a="1"/>
  <c r="L1803" i="1" s="1"/>
  <c r="G1804" i="1" a="1"/>
  <c r="G1804" i="1" s="1"/>
  <c r="H1804" i="1" s="1" a="1"/>
  <c r="H1804" i="1" s="1"/>
  <c r="I1804" i="1" s="1" a="1"/>
  <c r="I1804" i="1" s="1"/>
  <c r="J1804" i="1" s="1" a="1"/>
  <c r="J1804" i="1" s="1"/>
  <c r="K1804" i="1" s="1" a="1"/>
  <c r="K1804" i="1" s="1"/>
  <c r="L1804" i="1" s="1" a="1"/>
  <c r="L1804" i="1" s="1"/>
  <c r="M1804" i="1" s="1" a="1"/>
  <c r="M1804" i="1" s="1"/>
  <c r="G1805" i="1" a="1"/>
  <c r="G1805" i="1" s="1"/>
  <c r="H1805" i="1" s="1" a="1"/>
  <c r="H1805" i="1" s="1"/>
  <c r="I1805" i="1" s="1" a="1"/>
  <c r="I1805" i="1" s="1"/>
  <c r="J1805" i="1" s="1" a="1"/>
  <c r="J1805" i="1" s="1"/>
  <c r="K1805" i="1" s="1" a="1"/>
  <c r="K1805" i="1" s="1"/>
  <c r="L1805" i="1" s="1" a="1"/>
  <c r="L1805" i="1" s="1"/>
  <c r="G1806" i="1" a="1"/>
  <c r="G1806" i="1" s="1"/>
  <c r="H1806" i="1" s="1" a="1"/>
  <c r="H1806" i="1" s="1"/>
  <c r="I1806" i="1" s="1" a="1"/>
  <c r="I1806" i="1" s="1"/>
  <c r="J1806" i="1" s="1" a="1"/>
  <c r="J1806" i="1" s="1"/>
  <c r="K1806" i="1" s="1" a="1"/>
  <c r="K1806" i="1" s="1"/>
  <c r="L1806" i="1" s="1" a="1"/>
  <c r="L1806" i="1" s="1"/>
  <c r="G1807" i="1" a="1"/>
  <c r="G1807" i="1" s="1"/>
  <c r="H1807" i="1" s="1" a="1"/>
  <c r="H1807" i="1" s="1"/>
  <c r="I1807" i="1" s="1" a="1"/>
  <c r="I1807" i="1" s="1"/>
  <c r="J1807" i="1" s="1" a="1"/>
  <c r="J1807" i="1" s="1"/>
  <c r="K1807" i="1" s="1" a="1"/>
  <c r="K1807" i="1" s="1"/>
  <c r="L1807" i="1" s="1" a="1"/>
  <c r="L1807" i="1" s="1"/>
  <c r="M1807" i="1" s="1" a="1"/>
  <c r="M1807" i="1" s="1"/>
  <c r="G1808" i="1" a="1"/>
  <c r="G1808" i="1" s="1"/>
  <c r="H1808" i="1" s="1" a="1"/>
  <c r="H1808" i="1" s="1"/>
  <c r="I1808" i="1" s="1" a="1"/>
  <c r="I1808" i="1" s="1"/>
  <c r="J1808" i="1" s="1" a="1"/>
  <c r="J1808" i="1" s="1"/>
  <c r="K1808" i="1" s="1" a="1"/>
  <c r="K1808" i="1" s="1"/>
  <c r="L1808" i="1" s="1" a="1"/>
  <c r="L1808" i="1" s="1"/>
  <c r="G1809" i="1" a="1"/>
  <c r="G1809" i="1" s="1"/>
  <c r="H1809" i="1" s="1" a="1"/>
  <c r="H1809" i="1" s="1"/>
  <c r="I1809" i="1" s="1" a="1"/>
  <c r="I1809" i="1" s="1"/>
  <c r="J1809" i="1" s="1" a="1"/>
  <c r="J1809" i="1" s="1"/>
  <c r="K1809" i="1" s="1" a="1"/>
  <c r="K1809" i="1" s="1"/>
  <c r="L1809" i="1" s="1" a="1"/>
  <c r="L1809" i="1" s="1"/>
  <c r="G1810" i="1" a="1"/>
  <c r="G1810" i="1" s="1"/>
  <c r="H1810" i="1" s="1" a="1"/>
  <c r="H1810" i="1" s="1"/>
  <c r="I1810" i="1" s="1" a="1"/>
  <c r="I1810" i="1" s="1"/>
  <c r="J1810" i="1" s="1" a="1"/>
  <c r="J1810" i="1" s="1"/>
  <c r="K1810" i="1" s="1" a="1"/>
  <c r="K1810" i="1" s="1"/>
  <c r="L1810" i="1" s="1" a="1"/>
  <c r="L1810" i="1" s="1"/>
  <c r="G1811" i="1" a="1"/>
  <c r="G1811" i="1" s="1"/>
  <c r="H1811" i="1" s="1" a="1"/>
  <c r="H1811" i="1" s="1"/>
  <c r="I1811" i="1" s="1" a="1"/>
  <c r="I1811" i="1" s="1"/>
  <c r="J1811" i="1" s="1" a="1"/>
  <c r="J1811" i="1" s="1"/>
  <c r="K1811" i="1" s="1" a="1"/>
  <c r="K1811" i="1" s="1"/>
  <c r="L1811" i="1" s="1" a="1"/>
  <c r="L1811" i="1" s="1"/>
  <c r="M1811" i="1" s="1" a="1"/>
  <c r="M1811" i="1" s="1"/>
  <c r="G1812" i="1" a="1"/>
  <c r="G1812" i="1" s="1"/>
  <c r="H1812" i="1" s="1" a="1"/>
  <c r="H1812" i="1" s="1"/>
  <c r="I1812" i="1" s="1" a="1"/>
  <c r="I1812" i="1" s="1"/>
  <c r="J1812" i="1" s="1" a="1"/>
  <c r="J1812" i="1" s="1"/>
  <c r="K1812" i="1" s="1" a="1"/>
  <c r="K1812" i="1" s="1"/>
  <c r="L1812" i="1" s="1" a="1"/>
  <c r="L1812" i="1" s="1"/>
  <c r="G1813" i="1" a="1"/>
  <c r="G1813" i="1" s="1"/>
  <c r="H1813" i="1" s="1" a="1"/>
  <c r="H1813" i="1" s="1"/>
  <c r="I1813" i="1" s="1" a="1"/>
  <c r="I1813" i="1" s="1"/>
  <c r="J1813" i="1" s="1" a="1"/>
  <c r="J1813" i="1" s="1"/>
  <c r="K1813" i="1" s="1" a="1"/>
  <c r="K1813" i="1" s="1"/>
  <c r="L1813" i="1" s="1" a="1"/>
  <c r="L1813" i="1" s="1"/>
  <c r="G1814" i="1" a="1"/>
  <c r="G1814" i="1" s="1"/>
  <c r="H1814" i="1" s="1" a="1"/>
  <c r="H1814" i="1" s="1"/>
  <c r="I1814" i="1" s="1" a="1"/>
  <c r="I1814" i="1" s="1"/>
  <c r="J1814" i="1" s="1" a="1"/>
  <c r="J1814" i="1" s="1"/>
  <c r="K1814" i="1" s="1" a="1"/>
  <c r="K1814" i="1" s="1"/>
  <c r="L1814" i="1" s="1" a="1"/>
  <c r="L1814" i="1" s="1"/>
  <c r="G1815" i="1" a="1"/>
  <c r="G1815" i="1" s="1"/>
  <c r="H1815" i="1" s="1" a="1"/>
  <c r="H1815" i="1" s="1"/>
  <c r="I1815" i="1" s="1" a="1"/>
  <c r="I1815" i="1" s="1"/>
  <c r="J1815" i="1" s="1" a="1"/>
  <c r="J1815" i="1" s="1"/>
  <c r="K1815" i="1" s="1" a="1"/>
  <c r="K1815" i="1" s="1"/>
  <c r="L1815" i="1" s="1" a="1"/>
  <c r="L1815" i="1" s="1"/>
  <c r="M1815" i="1" s="1" a="1"/>
  <c r="M1815" i="1" s="1"/>
  <c r="G1816" i="1" a="1"/>
  <c r="G1816" i="1" s="1"/>
  <c r="H1816" i="1" s="1" a="1"/>
  <c r="H1816" i="1" s="1"/>
  <c r="I1816" i="1" s="1" a="1"/>
  <c r="I1816" i="1" s="1"/>
  <c r="J1816" i="1" s="1" a="1"/>
  <c r="J1816" i="1" s="1"/>
  <c r="K1816" i="1" s="1" a="1"/>
  <c r="K1816" i="1" s="1"/>
  <c r="L1816" i="1" s="1" a="1"/>
  <c r="L1816" i="1" s="1"/>
  <c r="G1817" i="1" a="1"/>
  <c r="G1817" i="1" s="1"/>
  <c r="H1817" i="1" s="1" a="1"/>
  <c r="H1817" i="1" s="1"/>
  <c r="I1817" i="1" s="1" a="1"/>
  <c r="I1817" i="1" s="1"/>
  <c r="J1817" i="1" s="1" a="1"/>
  <c r="J1817" i="1" s="1"/>
  <c r="K1817" i="1" s="1" a="1"/>
  <c r="K1817" i="1" s="1"/>
  <c r="L1817" i="1" s="1" a="1"/>
  <c r="L1817" i="1" s="1"/>
  <c r="G1818" i="1" a="1"/>
  <c r="G1818" i="1" s="1"/>
  <c r="H1818" i="1" s="1" a="1"/>
  <c r="H1818" i="1" s="1"/>
  <c r="I1818" i="1" s="1" a="1"/>
  <c r="I1818" i="1" s="1"/>
  <c r="J1818" i="1" s="1" a="1"/>
  <c r="J1818" i="1" s="1"/>
  <c r="K1818" i="1" s="1" a="1"/>
  <c r="K1818" i="1" s="1"/>
  <c r="L1818" i="1" s="1" a="1"/>
  <c r="L1818" i="1" s="1"/>
  <c r="G1819" i="1" a="1"/>
  <c r="G1819" i="1" s="1"/>
  <c r="H1819" i="1" s="1" a="1"/>
  <c r="H1819" i="1" s="1"/>
  <c r="I1819" i="1" s="1" a="1"/>
  <c r="I1819" i="1" s="1"/>
  <c r="J1819" i="1" s="1" a="1"/>
  <c r="J1819" i="1" s="1"/>
  <c r="K1819" i="1" s="1" a="1"/>
  <c r="K1819" i="1" s="1"/>
  <c r="L1819" i="1" s="1" a="1"/>
  <c r="L1819" i="1" s="1"/>
  <c r="M1819" i="1" s="1" a="1"/>
  <c r="M1819" i="1" s="1"/>
  <c r="G1820" i="1" a="1"/>
  <c r="G1820" i="1" s="1"/>
  <c r="H1820" i="1" s="1" a="1"/>
  <c r="H1820" i="1" s="1"/>
  <c r="I1820" i="1" s="1" a="1"/>
  <c r="I1820" i="1" s="1"/>
  <c r="J1820" i="1" s="1" a="1"/>
  <c r="J1820" i="1" s="1"/>
  <c r="K1820" i="1" s="1" a="1"/>
  <c r="K1820" i="1" s="1"/>
  <c r="L1820" i="1" s="1" a="1"/>
  <c r="L1820" i="1" s="1"/>
  <c r="G1821" i="1" a="1"/>
  <c r="G1821" i="1" s="1"/>
  <c r="H1821" i="1" s="1" a="1"/>
  <c r="H1821" i="1" s="1"/>
  <c r="I1821" i="1" s="1" a="1"/>
  <c r="I1821" i="1" s="1"/>
  <c r="J1821" i="1" s="1" a="1"/>
  <c r="J1821" i="1" s="1"/>
  <c r="K1821" i="1" s="1" a="1"/>
  <c r="K1821" i="1" s="1"/>
  <c r="L1821" i="1" s="1" a="1"/>
  <c r="L1821" i="1" s="1"/>
  <c r="M1821" i="1" s="1" a="1"/>
  <c r="M1821" i="1" s="1"/>
  <c r="G1822" i="1" a="1"/>
  <c r="G1822" i="1" s="1"/>
  <c r="H1822" i="1" s="1" a="1"/>
  <c r="H1822" i="1" s="1"/>
  <c r="I1822" i="1" s="1" a="1"/>
  <c r="I1822" i="1" s="1"/>
  <c r="J1822" i="1" s="1" a="1"/>
  <c r="J1822" i="1" s="1"/>
  <c r="K1822" i="1" s="1" a="1"/>
  <c r="K1822" i="1" s="1"/>
  <c r="L1822" i="1" s="1" a="1"/>
  <c r="L1822" i="1" s="1"/>
  <c r="G1823" i="1" a="1"/>
  <c r="G1823" i="1" s="1"/>
  <c r="H1823" i="1" s="1" a="1"/>
  <c r="H1823" i="1" s="1"/>
  <c r="I1823" i="1" s="1" a="1"/>
  <c r="I1823" i="1" s="1"/>
  <c r="J1823" i="1" s="1" a="1"/>
  <c r="J1823" i="1" s="1"/>
  <c r="K1823" i="1" s="1" a="1"/>
  <c r="K1823" i="1" s="1"/>
  <c r="L1823" i="1" s="1" a="1"/>
  <c r="L1823" i="1" s="1"/>
  <c r="M1823" i="1" s="1" a="1"/>
  <c r="M1823" i="1" s="1"/>
  <c r="G1824" i="1" a="1"/>
  <c r="G1824" i="1"/>
  <c r="G1825" i="1" a="1"/>
  <c r="G1825" i="1"/>
  <c r="G1826" i="1" a="1"/>
  <c r="G1826" i="1"/>
  <c r="G1827" i="1" a="1"/>
  <c r="G1827" i="1"/>
  <c r="G1828" i="1" a="1"/>
  <c r="G1828" i="1"/>
  <c r="G1829" i="1" a="1"/>
  <c r="G1829" i="1"/>
  <c r="G1830" i="1" a="1"/>
  <c r="G1830" i="1"/>
  <c r="G2" i="1" a="1"/>
  <c r="G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2" i="1"/>
  <c r="L5" i="7" l="1"/>
  <c r="B10" i="9"/>
  <c r="B12" i="9" s="1"/>
  <c r="B13" i="9" s="1"/>
  <c r="M326" i="1" a="1"/>
  <c r="M326" i="1" s="1"/>
  <c r="M327" i="1" a="1"/>
  <c r="M327" i="1" s="1"/>
  <c r="M328" i="1" a="1"/>
  <c r="M328" i="1" s="1"/>
  <c r="M330" i="1" a="1"/>
  <c r="M330" i="1" s="1"/>
  <c r="M331" i="1" a="1"/>
  <c r="M331" i="1" s="1"/>
  <c r="M333" i="1" a="1"/>
  <c r="M333" i="1" s="1"/>
  <c r="M438" i="1" a="1"/>
  <c r="M438" i="1" s="1"/>
  <c r="M439" i="1" a="1"/>
  <c r="M439" i="1" s="1"/>
  <c r="M441" i="1" a="1"/>
  <c r="M441" i="1" s="1"/>
  <c r="M442" i="1" a="1"/>
  <c r="M442" i="1" s="1"/>
  <c r="M516" i="1" a="1"/>
  <c r="M516" i="1" s="1"/>
  <c r="M517" i="1" a="1"/>
  <c r="M517" i="1" s="1"/>
  <c r="M519" i="1" a="1"/>
  <c r="M519" i="1" s="1"/>
  <c r="M520" i="1" a="1"/>
  <c r="M520" i="1" s="1"/>
  <c r="M522" i="1" a="1"/>
  <c r="M522" i="1" s="1"/>
  <c r="M523" i="1" a="1"/>
  <c r="M523" i="1" s="1"/>
  <c r="M524" i="1" a="1"/>
  <c r="M524" i="1" s="1"/>
  <c r="M526" i="1" a="1"/>
  <c r="M526" i="1" s="1"/>
  <c r="M527" i="1" a="1"/>
  <c r="M527" i="1" s="1"/>
  <c r="M529" i="1" a="1"/>
  <c r="M529" i="1" s="1"/>
  <c r="M530" i="1" a="1"/>
  <c r="M530" i="1" s="1"/>
  <c r="M531" i="1" a="1"/>
  <c r="M531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6" i="1" a="1"/>
  <c r="M546" i="1" s="1"/>
  <c r="M547" i="1" a="1"/>
  <c r="M547" i="1" s="1"/>
  <c r="M548" i="1" a="1"/>
  <c r="M548" i="1" s="1"/>
  <c r="M550" i="1" a="1"/>
  <c r="M550" i="1" s="1"/>
  <c r="M551" i="1" a="1"/>
  <c r="M551" i="1" s="1"/>
  <c r="M553" i="1" a="1"/>
  <c r="M553" i="1" s="1"/>
  <c r="M555" i="1" a="1"/>
  <c r="M555" i="1" s="1"/>
  <c r="M556" i="1" a="1"/>
  <c r="M556" i="1" s="1"/>
  <c r="M557" i="1" a="1"/>
  <c r="M557" i="1" s="1"/>
  <c r="M559" i="1" a="1"/>
  <c r="M559" i="1" s="1"/>
  <c r="M560" i="1" a="1"/>
  <c r="M560" i="1" s="1"/>
  <c r="M561" i="1" a="1"/>
  <c r="M561" i="1" s="1"/>
  <c r="M563" i="1" a="1"/>
  <c r="M563" i="1" s="1"/>
  <c r="M564" i="1" a="1"/>
  <c r="M564" i="1" s="1"/>
  <c r="M565" i="1" a="1"/>
  <c r="M565" i="1" s="1"/>
  <c r="M567" i="1" a="1"/>
  <c r="M567" i="1" s="1"/>
  <c r="M568" i="1" a="1"/>
  <c r="M568" i="1" s="1"/>
  <c r="M569" i="1" a="1"/>
  <c r="M569" i="1" s="1"/>
  <c r="M571" i="1" a="1"/>
  <c r="M571" i="1" s="1"/>
  <c r="M572" i="1" a="1"/>
  <c r="M572" i="1" s="1"/>
  <c r="M573" i="1" a="1"/>
  <c r="M573" i="1" s="1"/>
  <c r="M575" i="1" a="1"/>
  <c r="M575" i="1" s="1"/>
  <c r="M576" i="1" a="1"/>
  <c r="M576" i="1" s="1"/>
  <c r="M577" i="1" a="1"/>
  <c r="M577" i="1" s="1"/>
  <c r="M579" i="1" a="1"/>
  <c r="M579" i="1" s="1"/>
  <c r="M580" i="1" a="1"/>
  <c r="M580" i="1" s="1"/>
  <c r="M581" i="1" a="1"/>
  <c r="M581" i="1" s="1"/>
  <c r="M583" i="1" a="1"/>
  <c r="M583" i="1" s="1"/>
  <c r="M584" i="1" a="1"/>
  <c r="M584" i="1" s="1"/>
  <c r="M586" i="1" a="1"/>
  <c r="M586" i="1" s="1"/>
  <c r="M587" i="1" a="1"/>
  <c r="M587" i="1" s="1"/>
  <c r="M588" i="1" a="1"/>
  <c r="M588" i="1" s="1"/>
  <c r="M590" i="1" a="1"/>
  <c r="M590" i="1" s="1"/>
  <c r="M591" i="1" a="1"/>
  <c r="M591" i="1" s="1"/>
  <c r="M592" i="1" a="1"/>
  <c r="M592" i="1" s="1"/>
  <c r="M594" i="1" a="1"/>
  <c r="M594" i="1" s="1"/>
  <c r="M595" i="1" a="1"/>
  <c r="M595" i="1" s="1"/>
  <c r="M596" i="1" a="1"/>
  <c r="M596" i="1" s="1"/>
  <c r="M598" i="1" a="1"/>
  <c r="M598" i="1" s="1"/>
  <c r="M599" i="1" a="1"/>
  <c r="M599" i="1" s="1"/>
  <c r="M600" i="1" a="1"/>
  <c r="M600" i="1" s="1"/>
  <c r="M602" i="1" a="1"/>
  <c r="M602" i="1" s="1"/>
  <c r="M603" i="1" a="1"/>
  <c r="M603" i="1" s="1"/>
  <c r="M604" i="1" a="1"/>
  <c r="M604" i="1" s="1"/>
  <c r="M606" i="1" a="1"/>
  <c r="M606" i="1" s="1"/>
  <c r="M607" i="1" a="1"/>
  <c r="M607" i="1" s="1"/>
  <c r="M609" i="1" a="1"/>
  <c r="M609" i="1" s="1"/>
  <c r="M610" i="1" a="1"/>
  <c r="M610" i="1" s="1"/>
  <c r="M611" i="1" a="1"/>
  <c r="M611" i="1" s="1"/>
  <c r="M612" i="1" a="1"/>
  <c r="M612" i="1" s="1"/>
  <c r="M614" i="1" a="1"/>
  <c r="M614" i="1" s="1"/>
  <c r="M615" i="1" a="1"/>
  <c r="M615" i="1" s="1"/>
  <c r="M616" i="1" a="1"/>
  <c r="M616" i="1" s="1"/>
  <c r="M618" i="1" a="1"/>
  <c r="M618" i="1" s="1"/>
  <c r="M619" i="1" a="1"/>
  <c r="M619" i="1" s="1"/>
  <c r="M620" i="1" a="1"/>
  <c r="M620" i="1" s="1"/>
  <c r="M622" i="1" a="1"/>
  <c r="M622" i="1" s="1"/>
  <c r="M623" i="1" a="1"/>
  <c r="M623" i="1" s="1"/>
  <c r="M624" i="1" a="1"/>
  <c r="M624" i="1" s="1"/>
  <c r="M626" i="1" a="1"/>
  <c r="M626" i="1" s="1"/>
  <c r="M627" i="1" a="1"/>
  <c r="M627" i="1" s="1"/>
  <c r="M628" i="1" a="1"/>
  <c r="M628" i="1" s="1"/>
  <c r="M630" i="1" a="1"/>
  <c r="M630" i="1" s="1"/>
  <c r="M631" i="1" a="1"/>
  <c r="M631" i="1" s="1"/>
  <c r="M632" i="1" a="1"/>
  <c r="M632" i="1" s="1"/>
  <c r="M633" i="1" a="1"/>
  <c r="M633" i="1" s="1"/>
  <c r="M635" i="1" a="1"/>
  <c r="M635" i="1" s="1"/>
  <c r="M636" i="1" a="1"/>
  <c r="M636" i="1" s="1"/>
  <c r="M637" i="1" a="1"/>
  <c r="M637" i="1" s="1"/>
  <c r="M639" i="1" a="1"/>
  <c r="M639" i="1" s="1"/>
  <c r="M640" i="1" a="1"/>
  <c r="M640" i="1" s="1"/>
  <c r="M641" i="1" a="1"/>
  <c r="M641" i="1" s="1"/>
  <c r="M643" i="1" a="1"/>
  <c r="M643" i="1" s="1"/>
  <c r="M644" i="1" a="1"/>
  <c r="M644" i="1" s="1"/>
  <c r="M646" i="1" a="1"/>
  <c r="M646" i="1" s="1"/>
  <c r="M647" i="1" a="1"/>
  <c r="M647" i="1" s="1"/>
  <c r="M648" i="1" a="1"/>
  <c r="M648" i="1" s="1"/>
  <c r="M649" i="1" a="1"/>
  <c r="M649" i="1" s="1"/>
  <c r="M651" i="1" a="1"/>
  <c r="M651" i="1" s="1"/>
  <c r="M652" i="1" a="1"/>
  <c r="M652" i="1" s="1"/>
  <c r="M653" i="1" a="1"/>
  <c r="M653" i="1" s="1"/>
  <c r="M655" i="1" a="1"/>
  <c r="M655" i="1" s="1"/>
  <c r="M656" i="1" a="1"/>
  <c r="M656" i="1" s="1"/>
  <c r="M658" i="1" a="1"/>
  <c r="M658" i="1" s="1"/>
  <c r="M659" i="1" a="1"/>
  <c r="M659" i="1" s="1"/>
  <c r="M660" i="1" a="1"/>
  <c r="M660" i="1" s="1"/>
  <c r="M662" i="1" a="1"/>
  <c r="M662" i="1" s="1"/>
  <c r="M663" i="1" a="1"/>
  <c r="M663" i="1" s="1"/>
  <c r="M664" i="1" a="1"/>
  <c r="M664" i="1" s="1"/>
  <c r="M666" i="1" a="1"/>
  <c r="M666" i="1" s="1"/>
  <c r="M667" i="1" a="1"/>
  <c r="M667" i="1" s="1"/>
  <c r="M668" i="1" a="1"/>
  <c r="M668" i="1" s="1"/>
  <c r="M669" i="1" a="1"/>
  <c r="M669" i="1" s="1"/>
  <c r="M671" i="1" a="1"/>
  <c r="M671" i="1" s="1"/>
  <c r="M672" i="1" a="1"/>
  <c r="M672" i="1" s="1"/>
  <c r="M674" i="1" a="1"/>
  <c r="M674" i="1" s="1"/>
  <c r="M675" i="1" a="1"/>
  <c r="M675" i="1" s="1"/>
  <c r="M676" i="1" a="1"/>
  <c r="M676" i="1" s="1"/>
  <c r="M678" i="1" a="1"/>
  <c r="M678" i="1" s="1"/>
  <c r="M679" i="1" a="1"/>
  <c r="M679" i="1" s="1"/>
  <c r="M680" i="1" a="1"/>
  <c r="M680" i="1" s="1"/>
  <c r="M682" i="1" a="1"/>
  <c r="M682" i="1" s="1"/>
  <c r="M683" i="1" a="1"/>
  <c r="M683" i="1" s="1"/>
  <c r="M684" i="1" a="1"/>
  <c r="M684" i="1" s="1"/>
  <c r="M685" i="1" a="1"/>
  <c r="M685" i="1" s="1"/>
  <c r="M687" i="1" a="1"/>
  <c r="M687" i="1" s="1"/>
  <c r="M688" i="1" a="1"/>
  <c r="M688" i="1" s="1"/>
  <c r="M689" i="1" a="1"/>
  <c r="M689" i="1" s="1"/>
  <c r="M691" i="1" a="1"/>
  <c r="M691" i="1" s="1"/>
  <c r="M692" i="1" a="1"/>
  <c r="M692" i="1" s="1"/>
  <c r="M693" i="1" a="1"/>
  <c r="M693" i="1" s="1"/>
  <c r="M695" i="1" a="1"/>
  <c r="M695" i="1" s="1"/>
  <c r="M696" i="1" a="1"/>
  <c r="M696" i="1" s="1"/>
  <c r="M697" i="1" a="1"/>
  <c r="M697" i="1" s="1"/>
  <c r="M699" i="1" a="1"/>
  <c r="M699" i="1" s="1"/>
  <c r="M700" i="1" a="1"/>
  <c r="M700" i="1" s="1"/>
  <c r="M701" i="1" a="1"/>
  <c r="M701" i="1" s="1"/>
  <c r="M703" i="1" a="1"/>
  <c r="M703" i="1" s="1"/>
  <c r="M704" i="1" a="1"/>
  <c r="M704" i="1" s="1"/>
  <c r="M705" i="1" a="1"/>
  <c r="M705" i="1" s="1"/>
  <c r="M707" i="1" a="1"/>
  <c r="M707" i="1" s="1"/>
  <c r="M708" i="1" a="1"/>
  <c r="M708" i="1" s="1"/>
  <c r="M709" i="1" a="1"/>
  <c r="M709" i="1" s="1"/>
  <c r="M711" i="1" a="1"/>
  <c r="M711" i="1" s="1"/>
  <c r="M712" i="1" a="1"/>
  <c r="M712" i="1" s="1"/>
  <c r="M713" i="1" a="1"/>
  <c r="M713" i="1" s="1"/>
  <c r="M715" i="1" a="1"/>
  <c r="M715" i="1" s="1"/>
  <c r="M716" i="1" a="1"/>
  <c r="M716" i="1" s="1"/>
  <c r="M717" i="1" a="1"/>
  <c r="M717" i="1" s="1"/>
  <c r="M719" i="1" a="1"/>
  <c r="M719" i="1" s="1"/>
  <c r="M720" i="1" a="1"/>
  <c r="M720" i="1" s="1"/>
  <c r="M721" i="1" a="1"/>
  <c r="M721" i="1" s="1"/>
  <c r="M723" i="1" a="1"/>
  <c r="M723" i="1" s="1"/>
  <c r="M724" i="1" a="1"/>
  <c r="M724" i="1" s="1"/>
  <c r="M725" i="1" a="1"/>
  <c r="M725" i="1" s="1"/>
  <c r="M727" i="1" a="1"/>
  <c r="M727" i="1" s="1"/>
  <c r="M728" i="1" a="1"/>
  <c r="M728" i="1" s="1"/>
  <c r="M729" i="1" a="1"/>
  <c r="M729" i="1" s="1"/>
  <c r="M731" i="1" a="1"/>
  <c r="M731" i="1" s="1"/>
  <c r="M732" i="1" a="1"/>
  <c r="M732" i="1" s="1"/>
  <c r="M733" i="1" a="1"/>
  <c r="M733" i="1" s="1"/>
  <c r="M735" i="1" a="1"/>
  <c r="M735" i="1" s="1"/>
  <c r="M736" i="1" a="1"/>
  <c r="M736" i="1" s="1"/>
  <c r="M737" i="1" a="1"/>
  <c r="M737" i="1" s="1"/>
  <c r="M739" i="1" a="1"/>
  <c r="M739" i="1" s="1"/>
  <c r="M740" i="1" a="1"/>
  <c r="M740" i="1" s="1"/>
  <c r="M741" i="1" a="1"/>
  <c r="M741" i="1" s="1"/>
  <c r="M743" i="1" a="1"/>
  <c r="M743" i="1" s="1"/>
  <c r="M744" i="1" a="1"/>
  <c r="M744" i="1" s="1"/>
  <c r="M745" i="1" a="1"/>
  <c r="M745" i="1" s="1"/>
  <c r="M747" i="1" a="1"/>
  <c r="M747" i="1" s="1"/>
  <c r="M748" i="1" a="1"/>
  <c r="M748" i="1" s="1"/>
  <c r="M749" i="1" a="1"/>
  <c r="M749" i="1" s="1"/>
  <c r="M751" i="1" a="1"/>
  <c r="M751" i="1" s="1"/>
  <c r="M752" i="1" a="1"/>
  <c r="M752" i="1" s="1"/>
  <c r="M753" i="1" a="1"/>
  <c r="M753" i="1" s="1"/>
  <c r="M755" i="1" a="1"/>
  <c r="M755" i="1" s="1"/>
  <c r="M756" i="1" a="1"/>
  <c r="M756" i="1" s="1"/>
  <c r="M757" i="1" a="1"/>
  <c r="M757" i="1" s="1"/>
  <c r="M759" i="1" a="1"/>
  <c r="M759" i="1" s="1"/>
  <c r="M760" i="1" a="1"/>
  <c r="M760" i="1" s="1"/>
  <c r="M761" i="1" a="1"/>
  <c r="M761" i="1" s="1"/>
  <c r="M763" i="1" a="1"/>
  <c r="M763" i="1" s="1"/>
  <c r="M764" i="1" a="1"/>
  <c r="M764" i="1" s="1"/>
  <c r="M765" i="1" a="1"/>
  <c r="M765" i="1" s="1"/>
  <c r="M767" i="1" a="1"/>
  <c r="M767" i="1" s="1"/>
  <c r="M768" i="1" a="1"/>
  <c r="M768" i="1" s="1"/>
  <c r="M769" i="1" a="1"/>
  <c r="M769" i="1" s="1"/>
  <c r="M771" i="1" a="1"/>
  <c r="M771" i="1" s="1"/>
  <c r="M772" i="1" a="1"/>
  <c r="M772" i="1" s="1"/>
  <c r="M774" i="1" a="1"/>
  <c r="M774" i="1" s="1"/>
  <c r="M775" i="1" a="1"/>
  <c r="M775" i="1" s="1"/>
  <c r="M776" i="1" a="1"/>
  <c r="M776" i="1" s="1"/>
  <c r="M778" i="1" a="1"/>
  <c r="M778" i="1" s="1"/>
  <c r="M779" i="1" a="1"/>
  <c r="M779" i="1" s="1"/>
  <c r="M780" i="1" a="1"/>
  <c r="M780" i="1" s="1"/>
  <c r="M782" i="1" a="1"/>
  <c r="M782" i="1" s="1"/>
  <c r="M783" i="1" a="1"/>
  <c r="M783" i="1" s="1"/>
  <c r="M784" i="1" a="1"/>
  <c r="M784" i="1" s="1"/>
  <c r="M786" i="1" a="1"/>
  <c r="M786" i="1" s="1"/>
  <c r="M787" i="1" a="1"/>
  <c r="M787" i="1" s="1"/>
  <c r="M789" i="1" a="1"/>
  <c r="M789" i="1" s="1"/>
  <c r="M790" i="1" a="1"/>
  <c r="M790" i="1" s="1"/>
  <c r="M791" i="1" a="1"/>
  <c r="M791" i="1" s="1"/>
  <c r="M793" i="1" a="1"/>
  <c r="M793" i="1" s="1"/>
  <c r="M794" i="1" a="1"/>
  <c r="M794" i="1" s="1"/>
  <c r="M795" i="1" a="1"/>
  <c r="M795" i="1" s="1"/>
  <c r="M797" i="1" a="1"/>
  <c r="M797" i="1" s="1"/>
  <c r="M798" i="1" a="1"/>
  <c r="M798" i="1" s="1"/>
  <c r="M799" i="1" a="1"/>
  <c r="M799" i="1" s="1"/>
  <c r="M801" i="1" a="1"/>
  <c r="M801" i="1" s="1"/>
  <c r="M802" i="1" a="1"/>
  <c r="M802" i="1" s="1"/>
  <c r="M803" i="1" a="1"/>
  <c r="M803" i="1" s="1"/>
  <c r="M805" i="1" a="1"/>
  <c r="M805" i="1" s="1"/>
  <c r="M806" i="1" a="1"/>
  <c r="M806" i="1" s="1"/>
  <c r="M807" i="1" a="1"/>
  <c r="M807" i="1" s="1"/>
  <c r="M808" i="1" a="1"/>
  <c r="M808" i="1" s="1"/>
  <c r="M810" i="1" a="1"/>
  <c r="M810" i="1" s="1"/>
  <c r="M811" i="1" a="1"/>
  <c r="M811" i="1" s="1"/>
  <c r="M812" i="1" a="1"/>
  <c r="M812" i="1" s="1"/>
  <c r="M814" i="1" a="1"/>
  <c r="M814" i="1" s="1"/>
  <c r="M815" i="1" a="1"/>
  <c r="M815" i="1" s="1"/>
  <c r="M816" i="1" a="1"/>
  <c r="M816" i="1" s="1"/>
  <c r="M818" i="1" a="1"/>
  <c r="M818" i="1" s="1"/>
  <c r="M819" i="1" a="1"/>
  <c r="M819" i="1" s="1"/>
  <c r="M820" i="1" a="1"/>
  <c r="M820" i="1" s="1"/>
  <c r="M822" i="1" a="1"/>
  <c r="M822" i="1" s="1"/>
  <c r="M823" i="1" a="1"/>
  <c r="M823" i="1" s="1"/>
  <c r="M824" i="1" a="1"/>
  <c r="M824" i="1" s="1"/>
  <c r="M826" i="1" a="1"/>
  <c r="M826" i="1" s="1"/>
  <c r="M827" i="1" a="1"/>
  <c r="M827" i="1" s="1"/>
  <c r="M828" i="1" a="1"/>
  <c r="M828" i="1" s="1"/>
  <c r="M830" i="1" a="1"/>
  <c r="M830" i="1" s="1"/>
  <c r="M831" i="1" a="1"/>
  <c r="M831" i="1" s="1"/>
  <c r="M832" i="1" a="1"/>
  <c r="M832" i="1" s="1"/>
  <c r="M834" i="1" a="1"/>
  <c r="M834" i="1" s="1"/>
  <c r="M835" i="1" a="1"/>
  <c r="M835" i="1" s="1"/>
  <c r="M837" i="1" a="1"/>
  <c r="M837" i="1" s="1"/>
  <c r="M838" i="1" a="1"/>
  <c r="M838" i="1" s="1"/>
  <c r="M839" i="1" a="1"/>
  <c r="M839" i="1" s="1"/>
  <c r="M841" i="1" a="1"/>
  <c r="M841" i="1" s="1"/>
  <c r="M842" i="1" a="1"/>
  <c r="M842" i="1" s="1"/>
  <c r="M843" i="1" a="1"/>
  <c r="M843" i="1" s="1"/>
  <c r="M845" i="1" a="1"/>
  <c r="M845" i="1" s="1"/>
  <c r="M846" i="1" a="1"/>
  <c r="M846" i="1" s="1"/>
  <c r="M847" i="1" a="1"/>
  <c r="M847" i="1" s="1"/>
  <c r="M849" i="1" a="1"/>
  <c r="M849" i="1" s="1"/>
  <c r="M850" i="1" a="1"/>
  <c r="M850" i="1" s="1"/>
  <c r="M851" i="1" a="1"/>
  <c r="M851" i="1" s="1"/>
  <c r="M853" i="1" a="1"/>
  <c r="M853" i="1" s="1"/>
  <c r="M854" i="1" a="1"/>
  <c r="M854" i="1" s="1"/>
  <c r="M855" i="1" a="1"/>
  <c r="M855" i="1" s="1"/>
  <c r="M857" i="1" a="1"/>
  <c r="M857" i="1" s="1"/>
  <c r="M858" i="1" a="1"/>
  <c r="M858" i="1" s="1"/>
  <c r="M859" i="1" a="1"/>
  <c r="M859" i="1" s="1"/>
  <c r="M861" i="1" a="1"/>
  <c r="M861" i="1" s="1"/>
  <c r="M862" i="1" a="1"/>
  <c r="M862" i="1" s="1"/>
  <c r="M863" i="1" a="1"/>
  <c r="M863" i="1" s="1"/>
  <c r="M865" i="1" a="1"/>
  <c r="M865" i="1" s="1"/>
  <c r="M866" i="1" a="1"/>
  <c r="M866" i="1" s="1"/>
  <c r="M867" i="1" a="1"/>
  <c r="M867" i="1" s="1"/>
  <c r="M869" i="1" a="1"/>
  <c r="M869" i="1" s="1"/>
  <c r="M870" i="1" a="1"/>
  <c r="M870" i="1" s="1"/>
  <c r="M871" i="1" a="1"/>
  <c r="M871" i="1" s="1"/>
  <c r="M873" i="1" a="1"/>
  <c r="M873" i="1" s="1"/>
  <c r="M874" i="1" a="1"/>
  <c r="M874" i="1" s="1"/>
  <c r="M875" i="1" a="1"/>
  <c r="M875" i="1" s="1"/>
  <c r="M877" i="1" a="1"/>
  <c r="M877" i="1" s="1"/>
  <c r="M878" i="1" a="1"/>
  <c r="M878" i="1" s="1"/>
  <c r="M879" i="1" a="1"/>
  <c r="M879" i="1" s="1"/>
  <c r="M881" i="1" a="1"/>
  <c r="M881" i="1" s="1"/>
  <c r="M882" i="1" a="1"/>
  <c r="M882" i="1" s="1"/>
  <c r="M883" i="1" a="1"/>
  <c r="M883" i="1" s="1"/>
  <c r="M885" i="1" a="1"/>
  <c r="M885" i="1" s="1"/>
  <c r="M886" i="1" a="1"/>
  <c r="M886" i="1" s="1"/>
  <c r="M887" i="1" a="1"/>
  <c r="M887" i="1" s="1"/>
  <c r="M889" i="1" a="1"/>
  <c r="M889" i="1" s="1"/>
  <c r="M890" i="1" a="1"/>
  <c r="M890" i="1" s="1"/>
  <c r="M891" i="1" a="1"/>
  <c r="M891" i="1" s="1"/>
  <c r="M893" i="1" a="1"/>
  <c r="M893" i="1" s="1"/>
  <c r="M894" i="1" a="1"/>
  <c r="M894" i="1" s="1"/>
  <c r="M896" i="1" a="1"/>
  <c r="M896" i="1" s="1"/>
  <c r="M897" i="1" a="1"/>
  <c r="M897" i="1" s="1"/>
  <c r="M898" i="1" a="1"/>
  <c r="M898" i="1" s="1"/>
  <c r="M900" i="1" a="1"/>
  <c r="M900" i="1" s="1"/>
  <c r="M901" i="1" a="1"/>
  <c r="M901" i="1" s="1"/>
  <c r="M902" i="1" a="1"/>
  <c r="M902" i="1" s="1"/>
  <c r="M904" i="1" a="1"/>
  <c r="M904" i="1" s="1"/>
  <c r="M905" i="1" a="1"/>
  <c r="M905" i="1" s="1"/>
  <c r="M906" i="1" a="1"/>
  <c r="M906" i="1" s="1"/>
  <c r="M907" i="1" a="1"/>
  <c r="M907" i="1" s="1"/>
  <c r="M909" i="1" a="1"/>
  <c r="M909" i="1" s="1"/>
  <c r="M910" i="1" a="1"/>
  <c r="M910" i="1" s="1"/>
  <c r="M911" i="1" a="1"/>
  <c r="M911" i="1" s="1"/>
  <c r="M913" i="1" a="1"/>
  <c r="M913" i="1" s="1"/>
  <c r="M914" i="1" a="1"/>
  <c r="M914" i="1" s="1"/>
  <c r="M915" i="1" a="1"/>
  <c r="M915" i="1" s="1"/>
  <c r="M917" i="1" a="1"/>
  <c r="M917" i="1" s="1"/>
  <c r="M918" i="1" a="1"/>
  <c r="M918" i="1" s="1"/>
  <c r="M920" i="1" a="1"/>
  <c r="M920" i="1" s="1"/>
  <c r="M921" i="1" a="1"/>
  <c r="M921" i="1" s="1"/>
  <c r="M922" i="1" a="1"/>
  <c r="M922" i="1" s="1"/>
  <c r="M924" i="1" a="1"/>
  <c r="M924" i="1" s="1"/>
  <c r="M925" i="1" a="1"/>
  <c r="M925" i="1" s="1"/>
  <c r="M926" i="1" a="1"/>
  <c r="M926" i="1" s="1"/>
  <c r="M928" i="1" a="1"/>
  <c r="M928" i="1" s="1"/>
  <c r="M929" i="1" a="1"/>
  <c r="M929" i="1" s="1"/>
  <c r="M930" i="1" a="1"/>
  <c r="M930" i="1" s="1"/>
  <c r="M932" i="1" a="1"/>
  <c r="M932" i="1" s="1"/>
  <c r="M933" i="1" a="1"/>
  <c r="M933" i="1" s="1"/>
  <c r="M934" i="1" a="1"/>
  <c r="M934" i="1" s="1"/>
  <c r="M936" i="1" a="1"/>
  <c r="M936" i="1" s="1"/>
  <c r="M937" i="1" a="1"/>
  <c r="M937" i="1" s="1"/>
  <c r="M938" i="1" a="1"/>
  <c r="M938" i="1" s="1"/>
  <c r="M940" i="1" a="1"/>
  <c r="M940" i="1" s="1"/>
  <c r="M941" i="1" a="1"/>
  <c r="M941" i="1" s="1"/>
  <c r="M942" i="1" a="1"/>
  <c r="M942" i="1" s="1"/>
  <c r="M944" i="1" a="1"/>
  <c r="M944" i="1" s="1"/>
  <c r="M945" i="1" a="1"/>
  <c r="M945" i="1" s="1"/>
  <c r="M946" i="1" a="1"/>
  <c r="M946" i="1" s="1"/>
  <c r="M948" i="1" a="1"/>
  <c r="M948" i="1" s="1"/>
  <c r="M949" i="1" a="1"/>
  <c r="M949" i="1" s="1"/>
  <c r="M950" i="1" a="1"/>
  <c r="M950" i="1" s="1"/>
  <c r="M952" i="1" a="1"/>
  <c r="M952" i="1" s="1"/>
  <c r="M953" i="1" a="1"/>
  <c r="M953" i="1" s="1"/>
  <c r="M954" i="1" a="1"/>
  <c r="M954" i="1" s="1"/>
  <c r="M956" i="1" a="1"/>
  <c r="M956" i="1" s="1"/>
  <c r="M957" i="1" a="1"/>
  <c r="M957" i="1" s="1"/>
  <c r="M958" i="1" a="1"/>
  <c r="M958" i="1" s="1"/>
  <c r="M960" i="1" a="1"/>
  <c r="M960" i="1" s="1"/>
  <c r="M961" i="1" a="1"/>
  <c r="M961" i="1" s="1"/>
  <c r="M962" i="1" a="1"/>
  <c r="M962" i="1" s="1"/>
  <c r="M964" i="1" a="1"/>
  <c r="M964" i="1" s="1"/>
  <c r="M965" i="1" a="1"/>
  <c r="M965" i="1" s="1"/>
  <c r="M966" i="1" a="1"/>
  <c r="M966" i="1" s="1"/>
  <c r="M968" i="1" a="1"/>
  <c r="M968" i="1" s="1"/>
  <c r="M969" i="1" a="1"/>
  <c r="M969" i="1" s="1"/>
  <c r="M970" i="1" a="1"/>
  <c r="M970" i="1" s="1"/>
  <c r="M972" i="1" a="1"/>
  <c r="M972" i="1" s="1"/>
  <c r="M973" i="1" a="1"/>
  <c r="M973" i="1" s="1"/>
  <c r="M974" i="1" a="1"/>
  <c r="M974" i="1" s="1"/>
  <c r="M975" i="1" a="1"/>
  <c r="M975" i="1" s="1"/>
  <c r="M977" i="1" a="1"/>
  <c r="M977" i="1" s="1"/>
  <c r="M978" i="1" a="1"/>
  <c r="M978" i="1" s="1"/>
  <c r="M979" i="1" a="1"/>
  <c r="M979" i="1" s="1"/>
  <c r="M981" i="1" a="1"/>
  <c r="M981" i="1" s="1"/>
  <c r="M982" i="1" a="1"/>
  <c r="M982" i="1" s="1"/>
  <c r="M983" i="1" a="1"/>
  <c r="M983" i="1" s="1"/>
  <c r="M985" i="1" a="1"/>
  <c r="M985" i="1" s="1"/>
  <c r="M986" i="1" a="1"/>
  <c r="M986" i="1" s="1"/>
  <c r="M987" i="1" a="1"/>
  <c r="M987" i="1" s="1"/>
  <c r="M989" i="1" a="1"/>
  <c r="M989" i="1" s="1"/>
  <c r="M990" i="1" a="1"/>
  <c r="M990" i="1" s="1"/>
  <c r="M991" i="1" a="1"/>
  <c r="M991" i="1" s="1"/>
  <c r="M993" i="1" a="1"/>
  <c r="M993" i="1" s="1"/>
  <c r="M994" i="1" a="1"/>
  <c r="M994" i="1" s="1"/>
  <c r="M995" i="1" a="1"/>
  <c r="M995" i="1" s="1"/>
  <c r="M996" i="1" a="1"/>
  <c r="M996" i="1" s="1"/>
  <c r="M998" i="1" a="1"/>
  <c r="M998" i="1" s="1"/>
  <c r="M999" i="1" a="1"/>
  <c r="M999" i="1" s="1"/>
  <c r="M1001" i="1" a="1"/>
  <c r="M1001" i="1" s="1"/>
  <c r="M1002" i="1" a="1"/>
  <c r="M1002" i="1" s="1"/>
  <c r="M1003" i="1" a="1"/>
  <c r="M1003" i="1" s="1"/>
  <c r="M1005" i="1" a="1"/>
  <c r="M1005" i="1" s="1"/>
  <c r="M1006" i="1" a="1"/>
  <c r="M1006" i="1" s="1"/>
  <c r="M1007" i="1" a="1"/>
  <c r="M1007" i="1" s="1"/>
  <c r="M1008" i="1" a="1"/>
  <c r="M1008" i="1" s="1"/>
  <c r="M1010" i="1" a="1"/>
  <c r="M1010" i="1" s="1"/>
  <c r="M1011" i="1" a="1"/>
  <c r="M1011" i="1" s="1"/>
  <c r="M1012" i="1" a="1"/>
  <c r="M1012" i="1" s="1"/>
  <c r="M1013" i="1" a="1"/>
  <c r="M1013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2" i="1" a="1"/>
  <c r="M1022" i="1" s="1"/>
  <c r="M1023" i="1" a="1"/>
  <c r="M1023" i="1" s="1"/>
  <c r="M1024" i="1" a="1"/>
  <c r="M1024" i="1" s="1"/>
  <c r="M1026" i="1" a="1"/>
  <c r="M1026" i="1" s="1"/>
  <c r="M1027" i="1" a="1"/>
  <c r="M1027" i="1" s="1"/>
  <c r="M1028" i="1" a="1"/>
  <c r="M1028" i="1" s="1"/>
  <c r="M1030" i="1" a="1"/>
  <c r="M1030" i="1" s="1"/>
  <c r="M1031" i="1" a="1"/>
  <c r="M1031" i="1" s="1"/>
  <c r="M1032" i="1" a="1"/>
  <c r="M1032" i="1" s="1"/>
  <c r="M1034" i="1" a="1"/>
  <c r="M1034" i="1" s="1"/>
  <c r="M1035" i="1" a="1"/>
  <c r="M1035" i="1" s="1"/>
  <c r="M1036" i="1" a="1"/>
  <c r="M1036" i="1" s="1"/>
  <c r="M1038" i="1" a="1"/>
  <c r="M1038" i="1" s="1"/>
  <c r="M1039" i="1" a="1"/>
  <c r="M1039" i="1" s="1"/>
  <c r="M1041" i="1" a="1"/>
  <c r="M1041" i="1" s="1"/>
  <c r="M1042" i="1" a="1"/>
  <c r="M1042" i="1" s="1"/>
  <c r="M1043" i="1" a="1"/>
  <c r="M1043" i="1" s="1"/>
  <c r="M1045" i="1" a="1"/>
  <c r="M1045" i="1" s="1"/>
  <c r="M1046" i="1" a="1"/>
  <c r="M1046" i="1" s="1"/>
  <c r="M1047" i="1" a="1"/>
  <c r="M1047" i="1" s="1"/>
  <c r="M1049" i="1" a="1"/>
  <c r="M1049" i="1" s="1"/>
  <c r="M1050" i="1" a="1"/>
  <c r="M1050" i="1" s="1"/>
  <c r="M1051" i="1" a="1"/>
  <c r="M1051" i="1" s="1"/>
  <c r="M1053" i="1" a="1"/>
  <c r="M1053" i="1" s="1"/>
  <c r="M1054" i="1" a="1"/>
  <c r="M1054" i="1" s="1"/>
  <c r="M1055" i="1" a="1"/>
  <c r="M1055" i="1" s="1"/>
  <c r="M1057" i="1" a="1"/>
  <c r="M1057" i="1" s="1"/>
  <c r="M1058" i="1" a="1"/>
  <c r="M1058" i="1" s="1"/>
  <c r="M1059" i="1" a="1"/>
  <c r="M1059" i="1" s="1"/>
  <c r="M1061" i="1" a="1"/>
  <c r="M1061" i="1" s="1"/>
  <c r="M1062" i="1" a="1"/>
  <c r="M1062" i="1" s="1"/>
  <c r="M1063" i="1" a="1"/>
  <c r="M1063" i="1" s="1"/>
  <c r="M1065" i="1" a="1"/>
  <c r="M1065" i="1" s="1"/>
  <c r="M1066" i="1" a="1"/>
  <c r="M1066" i="1" s="1"/>
  <c r="M1067" i="1" a="1"/>
  <c r="M1067" i="1" s="1"/>
  <c r="M1069" i="1" a="1"/>
  <c r="M1069" i="1" s="1"/>
  <c r="M1070" i="1" a="1"/>
  <c r="M1070" i="1" s="1"/>
  <c r="M1071" i="1" a="1"/>
  <c r="M1071" i="1" s="1"/>
  <c r="M1073" i="1" a="1"/>
  <c r="M1073" i="1" s="1"/>
  <c r="M1074" i="1" a="1"/>
  <c r="M1074" i="1" s="1"/>
  <c r="M1075" i="1" a="1"/>
  <c r="M1075" i="1" s="1"/>
  <c r="M1077" i="1" a="1"/>
  <c r="M1077" i="1" s="1"/>
  <c r="M1078" i="1" a="1"/>
  <c r="M1078" i="1" s="1"/>
  <c r="M1079" i="1" a="1"/>
  <c r="M1079" i="1" s="1"/>
  <c r="M1081" i="1" a="1"/>
  <c r="M1081" i="1" s="1"/>
  <c r="M1082" i="1" a="1"/>
  <c r="M1082" i="1" s="1"/>
  <c r="M1083" i="1" a="1"/>
  <c r="M1083" i="1" s="1"/>
  <c r="M1085" i="1" a="1"/>
  <c r="M1085" i="1" s="1"/>
  <c r="M1086" i="1" a="1"/>
  <c r="M1086" i="1" s="1"/>
  <c r="M1087" i="1" a="1"/>
  <c r="M1087" i="1" s="1"/>
  <c r="M1089" i="1" a="1"/>
  <c r="M1089" i="1" s="1"/>
  <c r="M1090" i="1" a="1"/>
  <c r="M1090" i="1" s="1"/>
  <c r="M1091" i="1" a="1"/>
  <c r="M1091" i="1" s="1"/>
  <c r="M1093" i="1" a="1"/>
  <c r="M1093" i="1" s="1"/>
  <c r="M1094" i="1" a="1"/>
  <c r="M1094" i="1" s="1"/>
  <c r="M1096" i="1" a="1"/>
  <c r="M1096" i="1" s="1"/>
  <c r="M1097" i="1" a="1"/>
  <c r="M1097" i="1" s="1"/>
  <c r="M1098" i="1" a="1"/>
  <c r="M1098" i="1" s="1"/>
  <c r="M1100" i="1" a="1"/>
  <c r="M1100" i="1" s="1"/>
  <c r="M1101" i="1" a="1"/>
  <c r="M1101" i="1" s="1"/>
  <c r="M1102" i="1" a="1"/>
  <c r="M1102" i="1" s="1"/>
  <c r="M1104" i="1" a="1"/>
  <c r="M1104" i="1" s="1"/>
  <c r="M1105" i="1" a="1"/>
  <c r="M1105" i="1" s="1"/>
  <c r="M1106" i="1" a="1"/>
  <c r="M1106" i="1" s="1"/>
  <c r="M1108" i="1" a="1"/>
  <c r="M1108" i="1" s="1"/>
  <c r="M1109" i="1" a="1"/>
  <c r="M1109" i="1" s="1"/>
  <c r="M1110" i="1" a="1"/>
  <c r="M1110" i="1" s="1"/>
  <c r="M1111" i="1" a="1"/>
  <c r="M1111" i="1" s="1"/>
  <c r="M1113" i="1" a="1"/>
  <c r="M1113" i="1" s="1"/>
  <c r="M1114" i="1" a="1"/>
  <c r="M1114" i="1" s="1"/>
  <c r="M1116" i="1" a="1"/>
  <c r="M1116" i="1" s="1"/>
  <c r="M1117" i="1" a="1"/>
  <c r="M1117" i="1" s="1"/>
  <c r="M1118" i="1" a="1"/>
  <c r="M1118" i="1" s="1"/>
  <c r="M1120" i="1" a="1"/>
  <c r="M1120" i="1" s="1"/>
  <c r="M1121" i="1" a="1"/>
  <c r="M1121" i="1" s="1"/>
  <c r="M1122" i="1" a="1"/>
  <c r="M1122" i="1" s="1"/>
  <c r="M1124" i="1" a="1"/>
  <c r="M1124" i="1" s="1"/>
  <c r="M1125" i="1" a="1"/>
  <c r="M1125" i="1" s="1"/>
  <c r="M1126" i="1" a="1"/>
  <c r="M1126" i="1" s="1"/>
  <c r="M1128" i="1" a="1"/>
  <c r="M1128" i="1" s="1"/>
  <c r="M1129" i="1" a="1"/>
  <c r="M1129" i="1" s="1"/>
  <c r="M1130" i="1" a="1"/>
  <c r="M1130" i="1" s="1"/>
  <c r="M1132" i="1" a="1"/>
  <c r="M1132" i="1" s="1"/>
  <c r="M1133" i="1" a="1"/>
  <c r="M1133" i="1" s="1"/>
  <c r="M1134" i="1" a="1"/>
  <c r="M1134" i="1" s="1"/>
  <c r="M1136" i="1" a="1"/>
  <c r="M1136" i="1" s="1"/>
  <c r="M1137" i="1" a="1"/>
  <c r="M1137" i="1" s="1"/>
  <c r="M1138" i="1" a="1"/>
  <c r="M1138" i="1" s="1"/>
  <c r="M1140" i="1" a="1"/>
  <c r="M1140" i="1" s="1"/>
  <c r="M1141" i="1" a="1"/>
  <c r="M1141" i="1" s="1"/>
  <c r="M1142" i="1" a="1"/>
  <c r="M1142" i="1" s="1"/>
  <c r="M1144" i="1" a="1"/>
  <c r="M1144" i="1" s="1"/>
  <c r="M1145" i="1" a="1"/>
  <c r="M1145" i="1" s="1"/>
  <c r="M1146" i="1" a="1"/>
  <c r="M1146" i="1" s="1"/>
  <c r="M1148" i="1" a="1"/>
  <c r="M1148" i="1" s="1"/>
  <c r="M1149" i="1" a="1"/>
  <c r="M1149" i="1" s="1"/>
  <c r="M1150" i="1" a="1"/>
  <c r="M1150" i="1" s="1"/>
  <c r="M1152" i="1" a="1"/>
  <c r="M1152" i="1" s="1"/>
  <c r="M1153" i="1" a="1"/>
  <c r="M1153" i="1" s="1"/>
  <c r="M1154" i="1" a="1"/>
  <c r="M1154" i="1" s="1"/>
  <c r="M1156" i="1" a="1"/>
  <c r="M1156" i="1" s="1"/>
  <c r="M1157" i="1" a="1"/>
  <c r="M1157" i="1" s="1"/>
  <c r="M1158" i="1" a="1"/>
  <c r="M1158" i="1" s="1"/>
  <c r="M1160" i="1" a="1"/>
  <c r="M1160" i="1" s="1"/>
  <c r="M1161" i="1" a="1"/>
  <c r="M1161" i="1" s="1"/>
  <c r="M1162" i="1" a="1"/>
  <c r="M1162" i="1" s="1"/>
  <c r="M1164" i="1" a="1"/>
  <c r="M1164" i="1" s="1"/>
  <c r="M1165" i="1" a="1"/>
  <c r="M1165" i="1" s="1"/>
  <c r="M1166" i="1" a="1"/>
  <c r="M1166" i="1" s="1"/>
  <c r="M1168" i="1" a="1"/>
  <c r="M1168" i="1" s="1"/>
  <c r="M1169" i="1" a="1"/>
  <c r="M1169" i="1" s="1"/>
  <c r="M1171" i="1" a="1"/>
  <c r="M1171" i="1" s="1"/>
  <c r="M1172" i="1" a="1"/>
  <c r="M1172" i="1" s="1"/>
  <c r="M1173" i="1" a="1"/>
  <c r="M1173" i="1" s="1"/>
  <c r="M1174" i="1" a="1"/>
  <c r="M1174" i="1" s="1"/>
  <c r="M1176" i="1" a="1"/>
  <c r="M1176" i="1" s="1"/>
  <c r="M1177" i="1" a="1"/>
  <c r="M1177" i="1" s="1"/>
  <c r="M1179" i="1" a="1"/>
  <c r="M1179" i="1" s="1"/>
  <c r="M1180" i="1" a="1"/>
  <c r="M1180" i="1" s="1"/>
  <c r="M1181" i="1" a="1"/>
  <c r="M1181" i="1" s="1"/>
  <c r="M1183" i="1" a="1"/>
  <c r="M1183" i="1" s="1"/>
  <c r="M1184" i="1" a="1"/>
  <c r="M1184" i="1" s="1"/>
  <c r="M1185" i="1" a="1"/>
  <c r="M1185" i="1" s="1"/>
  <c r="M1187" i="1" a="1"/>
  <c r="M1187" i="1" s="1"/>
  <c r="M1188" i="1" a="1"/>
  <c r="M1188" i="1" s="1"/>
  <c r="M1189" i="1" a="1"/>
  <c r="M1189" i="1" s="1"/>
  <c r="M1191" i="1" a="1"/>
  <c r="M1191" i="1" s="1"/>
  <c r="M1192" i="1" a="1"/>
  <c r="M1192" i="1" s="1"/>
  <c r="M1193" i="1" a="1"/>
  <c r="M1193" i="1" s="1"/>
  <c r="M1195" i="1" a="1"/>
  <c r="M1195" i="1" s="1"/>
  <c r="M1196" i="1" a="1"/>
  <c r="M1196" i="1" s="1"/>
  <c r="M1197" i="1" a="1"/>
  <c r="M1197" i="1" s="1"/>
  <c r="M1199" i="1" a="1"/>
  <c r="M1199" i="1" s="1"/>
  <c r="M1200" i="1" a="1"/>
  <c r="M1200" i="1" s="1"/>
  <c r="M1201" i="1" a="1"/>
  <c r="M1201" i="1" s="1"/>
  <c r="M1203" i="1" a="1"/>
  <c r="M1203" i="1" s="1"/>
  <c r="M1204" i="1" a="1"/>
  <c r="M1204" i="1" s="1"/>
  <c r="M1205" i="1" a="1"/>
  <c r="M1205" i="1" s="1"/>
  <c r="M1207" i="1" a="1"/>
  <c r="M1207" i="1" s="1"/>
  <c r="M1208" i="1" a="1"/>
  <c r="M1208" i="1" s="1"/>
  <c r="M1209" i="1" a="1"/>
  <c r="M1209" i="1" s="1"/>
  <c r="M1211" i="1" a="1"/>
  <c r="M1211" i="1" s="1"/>
  <c r="M1212" i="1" a="1"/>
  <c r="M1212" i="1" s="1"/>
  <c r="M1213" i="1" a="1"/>
  <c r="M1213" i="1" s="1"/>
  <c r="M1215" i="1" a="1"/>
  <c r="M1215" i="1" s="1"/>
  <c r="M1216" i="1" a="1"/>
  <c r="M1216" i="1" s="1"/>
  <c r="M1217" i="1" a="1"/>
  <c r="M1217" i="1" s="1"/>
  <c r="M1219" i="1" a="1"/>
  <c r="M1219" i="1" s="1"/>
  <c r="M1220" i="1" a="1"/>
  <c r="M1220" i="1" s="1"/>
  <c r="M1221" i="1" a="1"/>
  <c r="M1221" i="1" s="1"/>
  <c r="M1223" i="1" a="1"/>
  <c r="M1223" i="1" s="1"/>
  <c r="M1224" i="1" a="1"/>
  <c r="M1224" i="1" s="1"/>
  <c r="M1225" i="1" a="1"/>
  <c r="M1225" i="1" s="1"/>
  <c r="M1227" i="1" a="1"/>
  <c r="M1227" i="1" s="1"/>
  <c r="M1228" i="1" a="1"/>
  <c r="M1228" i="1" s="1"/>
  <c r="M1230" i="1" a="1"/>
  <c r="M1230" i="1" s="1"/>
  <c r="M1231" i="1" a="1"/>
  <c r="M1231" i="1" s="1"/>
  <c r="M1232" i="1" a="1"/>
  <c r="M1232" i="1" s="1"/>
  <c r="M1233" i="1" a="1"/>
  <c r="M1233" i="1" s="1"/>
  <c r="M1235" i="1" a="1"/>
  <c r="M1235" i="1" s="1"/>
  <c r="M1236" i="1" a="1"/>
  <c r="M1236" i="1" s="1"/>
  <c r="M1237" i="1" a="1"/>
  <c r="M1237" i="1" s="1"/>
  <c r="M1239" i="1" a="1"/>
  <c r="M1239" i="1" s="1"/>
  <c r="M1240" i="1" a="1"/>
  <c r="M1240" i="1" s="1"/>
  <c r="M1241" i="1" a="1"/>
  <c r="M1241" i="1" s="1"/>
  <c r="M1243" i="1" a="1"/>
  <c r="M1243" i="1" s="1"/>
  <c r="M1244" i="1" a="1"/>
  <c r="M1244" i="1" s="1"/>
  <c r="M1245" i="1" a="1"/>
  <c r="M1245" i="1" s="1"/>
  <c r="M1247" i="1" a="1"/>
  <c r="M1247" i="1" s="1"/>
  <c r="M1248" i="1" a="1"/>
  <c r="M1248" i="1" s="1"/>
  <c r="M1249" i="1" a="1"/>
  <c r="M1249" i="1" s="1"/>
  <c r="M1251" i="1" a="1"/>
  <c r="M1251" i="1" s="1"/>
  <c r="M1252" i="1" a="1"/>
  <c r="M1252" i="1" s="1"/>
  <c r="M1253" i="1" a="1"/>
  <c r="M1253" i="1" s="1"/>
  <c r="M1255" i="1" a="1"/>
  <c r="M1255" i="1" s="1"/>
  <c r="M1256" i="1" a="1"/>
  <c r="M1256" i="1" s="1"/>
  <c r="M1258" i="1" a="1"/>
  <c r="M1258" i="1" s="1"/>
  <c r="M1259" i="1" a="1"/>
  <c r="M1259" i="1" s="1"/>
  <c r="M1260" i="1" a="1"/>
  <c r="M1260" i="1" s="1"/>
  <c r="M1261" i="1" a="1"/>
  <c r="M1261" i="1" s="1"/>
  <c r="M1263" i="1" a="1"/>
  <c r="M1263" i="1" s="1"/>
  <c r="M1264" i="1" a="1"/>
  <c r="M1264" i="1" s="1"/>
  <c r="M1265" i="1" a="1"/>
  <c r="M1265" i="1" s="1"/>
  <c r="M1267" i="1" a="1"/>
  <c r="M1267" i="1" s="1"/>
  <c r="M1268" i="1" a="1"/>
  <c r="M1268" i="1" s="1"/>
  <c r="M1269" i="1" a="1"/>
  <c r="M1269" i="1" s="1"/>
  <c r="M1271" i="1" a="1"/>
  <c r="M1271" i="1" s="1"/>
  <c r="M1272" i="1" a="1"/>
  <c r="M1272" i="1" s="1"/>
  <c r="M1274" i="1" a="1"/>
  <c r="M1274" i="1" s="1"/>
  <c r="M1275" i="1" a="1"/>
  <c r="M1275" i="1" s="1"/>
  <c r="M1276" i="1" a="1"/>
  <c r="M1276" i="1" s="1"/>
  <c r="M1277" i="1" a="1"/>
  <c r="M1277" i="1" s="1"/>
  <c r="M1279" i="1" a="1"/>
  <c r="M1279" i="1" s="1"/>
  <c r="M1280" i="1" a="1"/>
  <c r="M1280" i="1" s="1"/>
  <c r="M1282" i="1" a="1"/>
  <c r="M1282" i="1" s="1"/>
  <c r="M1283" i="1" a="1"/>
  <c r="M1283" i="1" s="1"/>
  <c r="M1284" i="1" a="1"/>
  <c r="M1284" i="1" s="1"/>
  <c r="M1286" i="1" a="1"/>
  <c r="M1286" i="1" s="1"/>
  <c r="M1287" i="1" a="1"/>
  <c r="M1287" i="1" s="1"/>
  <c r="M1288" i="1" a="1"/>
  <c r="M1288" i="1" s="1"/>
  <c r="M1290" i="1" a="1"/>
  <c r="M1290" i="1" s="1"/>
  <c r="M1291" i="1" a="1"/>
  <c r="M1291" i="1" s="1"/>
  <c r="M1292" i="1" a="1"/>
  <c r="M1292" i="1" s="1"/>
  <c r="M1293" i="1" a="1"/>
  <c r="M1293" i="1" s="1"/>
  <c r="M1295" i="1" a="1"/>
  <c r="M1295" i="1" s="1"/>
  <c r="M1296" i="1" a="1"/>
  <c r="M1296" i="1" s="1"/>
  <c r="M1298" i="1" a="1"/>
  <c r="M1298" i="1" s="1"/>
  <c r="M1299" i="1" a="1"/>
  <c r="M1299" i="1" s="1"/>
  <c r="M1300" i="1" a="1"/>
  <c r="M1300" i="1" s="1"/>
  <c r="M1302" i="1" a="1"/>
  <c r="M1302" i="1" s="1"/>
  <c r="M1303" i="1" a="1"/>
  <c r="M1303" i="1" s="1"/>
  <c r="M1304" i="1" a="1"/>
  <c r="M1304" i="1" s="1"/>
  <c r="M1306" i="1" a="1"/>
  <c r="M1306" i="1" s="1"/>
  <c r="M1307" i="1" a="1"/>
  <c r="M1307" i="1" s="1"/>
  <c r="M1308" i="1" a="1"/>
  <c r="M1308" i="1" s="1"/>
  <c r="M1310" i="1" a="1"/>
  <c r="M1310" i="1" s="1"/>
  <c r="M1311" i="1" a="1"/>
  <c r="M1311" i="1" s="1"/>
  <c r="M1312" i="1" a="1"/>
  <c r="M1312" i="1" s="1"/>
  <c r="M1314" i="1" a="1"/>
  <c r="M1314" i="1" s="1"/>
  <c r="M1315" i="1" a="1"/>
  <c r="M1315" i="1" s="1"/>
  <c r="M1316" i="1" a="1"/>
  <c r="M1316" i="1" s="1"/>
  <c r="M1318" i="1" a="1"/>
  <c r="M1318" i="1" s="1"/>
  <c r="M1319" i="1" a="1"/>
  <c r="M1319" i="1" s="1"/>
  <c r="M1320" i="1" a="1"/>
  <c r="M1320" i="1" s="1"/>
  <c r="M1321" i="1" a="1"/>
  <c r="M1321" i="1" s="1"/>
  <c r="M1323" i="1" a="1"/>
  <c r="M1323" i="1" s="1"/>
  <c r="M1324" i="1" a="1"/>
  <c r="M1324" i="1" s="1"/>
  <c r="M1325" i="1" a="1"/>
  <c r="M1325" i="1" s="1"/>
  <c r="M1327" i="1" a="1"/>
  <c r="M1327" i="1" s="1"/>
  <c r="M1328" i="1" a="1"/>
  <c r="M1328" i="1" s="1"/>
  <c r="M1329" i="1" a="1"/>
  <c r="M1329" i="1" s="1"/>
  <c r="M1330" i="1" a="1"/>
  <c r="M1330" i="1" s="1"/>
  <c r="M1332" i="1" a="1"/>
  <c r="M1332" i="1" s="1"/>
  <c r="M1333" i="1" a="1"/>
  <c r="M1333" i="1" s="1"/>
  <c r="M1334" i="1" a="1"/>
  <c r="M1334" i="1" s="1"/>
  <c r="M1336" i="1" a="1"/>
  <c r="M1336" i="1" s="1"/>
  <c r="M1337" i="1" a="1"/>
  <c r="M1337" i="1" s="1"/>
  <c r="M1339" i="1" a="1"/>
  <c r="M1339" i="1" s="1"/>
  <c r="M1340" i="1" a="1"/>
  <c r="M1340" i="1" s="1"/>
  <c r="M1341" i="1" a="1"/>
  <c r="M1341" i="1" s="1"/>
  <c r="M1343" i="1" a="1"/>
  <c r="M1343" i="1" s="1"/>
  <c r="M1344" i="1" a="1"/>
  <c r="M1344" i="1" s="1"/>
  <c r="M1345" i="1" a="1"/>
  <c r="M1345" i="1" s="1"/>
  <c r="M1347" i="1" a="1"/>
  <c r="M1347" i="1" s="1"/>
  <c r="M1348" i="1" a="1"/>
  <c r="M1348" i="1" s="1"/>
  <c r="M1350" i="1" a="1"/>
  <c r="M1350" i="1" s="1"/>
  <c r="M1351" i="1" a="1"/>
  <c r="M1351" i="1" s="1"/>
  <c r="M1352" i="1" a="1"/>
  <c r="M1352" i="1" s="1"/>
  <c r="M1354" i="1" a="1"/>
  <c r="M1354" i="1" s="1"/>
  <c r="M1355" i="1" a="1"/>
  <c r="M1355" i="1" s="1"/>
  <c r="M1356" i="1" a="1"/>
  <c r="M1356" i="1" s="1"/>
  <c r="M1358" i="1" a="1"/>
  <c r="M1358" i="1" s="1"/>
  <c r="M1359" i="1" a="1"/>
  <c r="M1359" i="1" s="1"/>
  <c r="M1360" i="1" a="1"/>
  <c r="M1360" i="1" s="1"/>
  <c r="M1362" i="1" a="1"/>
  <c r="M1362" i="1" s="1"/>
  <c r="M1363" i="1" a="1"/>
  <c r="M1363" i="1" s="1"/>
  <c r="M1364" i="1" a="1"/>
  <c r="M1364" i="1" s="1"/>
  <c r="M1366" i="1" a="1"/>
  <c r="M1366" i="1" s="1"/>
  <c r="M1367" i="1" a="1"/>
  <c r="M1367" i="1" s="1"/>
  <c r="M1368" i="1" a="1"/>
  <c r="M1368" i="1" s="1"/>
  <c r="M1370" i="1" a="1"/>
  <c r="M1370" i="1" s="1"/>
  <c r="M1371" i="1" a="1"/>
  <c r="M1371" i="1" s="1"/>
  <c r="M1372" i="1" a="1"/>
  <c r="M1372" i="1" s="1"/>
  <c r="M1374" i="1" a="1"/>
  <c r="M1374" i="1" s="1"/>
  <c r="M1375" i="1" a="1"/>
  <c r="M1375" i="1" s="1"/>
  <c r="M1376" i="1" a="1"/>
  <c r="M1376" i="1" s="1"/>
  <c r="M1377" i="1" a="1"/>
  <c r="M1377" i="1" s="1"/>
  <c r="M1379" i="1" a="1"/>
  <c r="M1379" i="1" s="1"/>
  <c r="M1380" i="1" a="1"/>
  <c r="M1380" i="1" s="1"/>
  <c r="M1381" i="1" a="1"/>
  <c r="M1381" i="1" s="1"/>
  <c r="M1383" i="1" a="1"/>
  <c r="M1383" i="1" s="1"/>
  <c r="M1384" i="1" a="1"/>
  <c r="M1384" i="1" s="1"/>
  <c r="M1385" i="1" a="1"/>
  <c r="M1385" i="1" s="1"/>
  <c r="M1387" i="1" a="1"/>
  <c r="M1387" i="1" s="1"/>
  <c r="M1388" i="1" a="1"/>
  <c r="M1388" i="1" s="1"/>
  <c r="M1389" i="1" a="1"/>
  <c r="M1389" i="1" s="1"/>
  <c r="M1391" i="1" a="1"/>
  <c r="M1391" i="1" s="1"/>
  <c r="M1392" i="1" a="1"/>
  <c r="M1392" i="1" s="1"/>
  <c r="M1393" i="1" a="1"/>
  <c r="M1393" i="1" s="1"/>
  <c r="M1395" i="1" a="1"/>
  <c r="M1395" i="1" s="1"/>
  <c r="M1396" i="1" a="1"/>
  <c r="M1396" i="1" s="1"/>
  <c r="M1398" i="1" a="1"/>
  <c r="M1398" i="1" s="1"/>
  <c r="M1399" i="1" a="1"/>
  <c r="M1399" i="1" s="1"/>
  <c r="M1400" i="1" a="1"/>
  <c r="M1400" i="1" s="1"/>
  <c r="M1402" i="1" a="1"/>
  <c r="M1402" i="1" s="1"/>
  <c r="M1403" i="1" a="1"/>
  <c r="M1403" i="1" s="1"/>
  <c r="M1404" i="1" a="1"/>
  <c r="M1404" i="1" s="1"/>
  <c r="M1406" i="1" a="1"/>
  <c r="M1406" i="1" s="1"/>
  <c r="M1407" i="1" a="1"/>
  <c r="M1407" i="1" s="1"/>
  <c r="M1408" i="1" a="1"/>
  <c r="M1408" i="1" s="1"/>
  <c r="M1410" i="1" a="1"/>
  <c r="M1410" i="1" s="1"/>
  <c r="M1411" i="1" a="1"/>
  <c r="M1411" i="1" s="1"/>
  <c r="M1412" i="1" a="1"/>
  <c r="M1412" i="1" s="1"/>
  <c r="M1414" i="1" a="1"/>
  <c r="M1414" i="1" s="1"/>
  <c r="M1415" i="1" a="1"/>
  <c r="M1415" i="1" s="1"/>
  <c r="M1416" i="1" a="1"/>
  <c r="M1416" i="1" s="1"/>
  <c r="M1418" i="1" a="1"/>
  <c r="M1418" i="1" s="1"/>
  <c r="M1419" i="1" a="1"/>
  <c r="M1419" i="1" s="1"/>
  <c r="M1420" i="1" a="1"/>
  <c r="M1420" i="1" s="1"/>
  <c r="M1422" i="1" a="1"/>
  <c r="M1422" i="1" s="1"/>
  <c r="M1423" i="1" a="1"/>
  <c r="M1423" i="1" s="1"/>
  <c r="M1424" i="1" a="1"/>
  <c r="M1424" i="1" s="1"/>
  <c r="M1426" i="1" a="1"/>
  <c r="M1426" i="1" s="1"/>
  <c r="M1427" i="1" a="1"/>
  <c r="M1427" i="1" s="1"/>
  <c r="M1428" i="1" a="1"/>
  <c r="M1428" i="1" s="1"/>
  <c r="M1430" i="1" a="1"/>
  <c r="M1430" i="1" s="1"/>
  <c r="M1431" i="1" a="1"/>
  <c r="M1431" i="1" s="1"/>
  <c r="M1432" i="1" a="1"/>
  <c r="M1432" i="1" s="1"/>
  <c r="M1434" i="1" a="1"/>
  <c r="M1434" i="1" s="1"/>
  <c r="M1435" i="1" a="1"/>
  <c r="M1435" i="1" s="1"/>
  <c r="M1436" i="1" a="1"/>
  <c r="M1436" i="1" s="1"/>
  <c r="M1438" i="1" a="1"/>
  <c r="M1438" i="1" s="1"/>
  <c r="M1439" i="1" a="1"/>
  <c r="M1439" i="1" s="1"/>
  <c r="M1440" i="1" a="1"/>
  <c r="M1440" i="1" s="1"/>
  <c r="M1442" i="1" a="1"/>
  <c r="M1442" i="1" s="1"/>
  <c r="M1443" i="1" a="1"/>
  <c r="M1443" i="1" s="1"/>
  <c r="M1444" i="1" a="1"/>
  <c r="M1444" i="1" s="1"/>
  <c r="M1446" i="1" a="1"/>
  <c r="M1446" i="1" s="1"/>
  <c r="M1447" i="1" a="1"/>
  <c r="M1447" i="1" s="1"/>
  <c r="M1448" i="1" a="1"/>
  <c r="M1448" i="1" s="1"/>
  <c r="M1450" i="1" a="1"/>
  <c r="M1450" i="1" s="1"/>
  <c r="M1451" i="1" a="1"/>
  <c r="M1451" i="1" s="1"/>
  <c r="M1452" i="1" a="1"/>
  <c r="M1452" i="1" s="1"/>
  <c r="M1454" i="1" a="1"/>
  <c r="M1454" i="1" s="1"/>
  <c r="M1455" i="1" a="1"/>
  <c r="M1455" i="1" s="1"/>
  <c r="M1456" i="1" a="1"/>
  <c r="M1456" i="1" s="1"/>
  <c r="M1458" i="1" a="1"/>
  <c r="M1458" i="1" s="1"/>
  <c r="M1459" i="1" a="1"/>
  <c r="M1459" i="1" s="1"/>
  <c r="M1460" i="1" a="1"/>
  <c r="M1460" i="1" s="1"/>
  <c r="M1461" i="1" a="1"/>
  <c r="M1461" i="1" s="1"/>
  <c r="M1463" i="1" a="1"/>
  <c r="M1463" i="1" s="1"/>
  <c r="M1464" i="1" a="1"/>
  <c r="M1464" i="1" s="1"/>
  <c r="M1465" i="1" a="1"/>
  <c r="M1465" i="1" s="1"/>
  <c r="M1467" i="1" a="1"/>
  <c r="M1467" i="1" s="1"/>
  <c r="M1468" i="1" a="1"/>
  <c r="M1468" i="1" s="1"/>
  <c r="M1469" i="1" a="1"/>
  <c r="M1469" i="1" s="1"/>
  <c r="M1470" i="1" a="1"/>
  <c r="M1470" i="1" s="1"/>
  <c r="M1472" i="1" a="1"/>
  <c r="M1472" i="1" s="1"/>
  <c r="M1473" i="1" a="1"/>
  <c r="M1473" i="1" s="1"/>
  <c r="M1474" i="1" a="1"/>
  <c r="M1474" i="1" s="1"/>
  <c r="M1476" i="1" a="1"/>
  <c r="M1476" i="1" s="1"/>
  <c r="M1477" i="1" a="1"/>
  <c r="M1477" i="1" s="1"/>
  <c r="M1479" i="1" a="1"/>
  <c r="M1479" i="1" s="1"/>
  <c r="M1480" i="1" a="1"/>
  <c r="M1480" i="1" s="1"/>
  <c r="M1481" i="1" a="1"/>
  <c r="M1481" i="1" s="1"/>
  <c r="M1483" i="1" a="1"/>
  <c r="M1483" i="1" s="1"/>
  <c r="M1484" i="1" a="1"/>
  <c r="M1484" i="1" s="1"/>
  <c r="M1485" i="1" a="1"/>
  <c r="M1485" i="1" s="1"/>
  <c r="M1487" i="1" a="1"/>
  <c r="M1487" i="1" s="1"/>
  <c r="M1488" i="1" a="1"/>
  <c r="M1488" i="1" s="1"/>
  <c r="M1489" i="1" a="1"/>
  <c r="M1489" i="1" s="1"/>
  <c r="M1491" i="1" a="1"/>
  <c r="M1491" i="1" s="1"/>
  <c r="M1492" i="1" a="1"/>
  <c r="M1492" i="1" s="1"/>
  <c r="M1493" i="1" a="1"/>
  <c r="M1493" i="1" s="1"/>
  <c r="M1495" i="1" a="1"/>
  <c r="M1495" i="1" s="1"/>
  <c r="M1496" i="1" a="1"/>
  <c r="M1496" i="1" s="1"/>
  <c r="M1497" i="1" a="1"/>
  <c r="M1497" i="1" s="1"/>
  <c r="M1499" i="1" a="1"/>
  <c r="M1499" i="1" s="1"/>
  <c r="M1500" i="1" a="1"/>
  <c r="M1500" i="1" s="1"/>
  <c r="M1501" i="1" a="1"/>
  <c r="M1501" i="1" s="1"/>
  <c r="M1503" i="1" a="1"/>
  <c r="M1503" i="1" s="1"/>
  <c r="M1504" i="1" a="1"/>
  <c r="M1504" i="1" s="1"/>
  <c r="M1505" i="1" a="1"/>
  <c r="M1505" i="1" s="1"/>
  <c r="M1506" i="1" a="1"/>
  <c r="M1506" i="1" s="1"/>
  <c r="M1508" i="1" a="1"/>
  <c r="M1508" i="1" s="1"/>
  <c r="M1509" i="1" a="1"/>
  <c r="M1509" i="1" s="1"/>
  <c r="M1510" i="1" a="1"/>
  <c r="M1510" i="1" s="1"/>
  <c r="M1512" i="1" a="1"/>
  <c r="M1512" i="1" s="1"/>
  <c r="M1513" i="1" a="1"/>
  <c r="M1513" i="1" s="1"/>
  <c r="M1514" i="1" a="1"/>
  <c r="M1514" i="1" s="1"/>
  <c r="M1516" i="1" a="1"/>
  <c r="M1516" i="1" s="1"/>
  <c r="M1517" i="1" a="1"/>
  <c r="M1517" i="1" s="1"/>
  <c r="M1518" i="1" a="1"/>
  <c r="M1518" i="1" s="1"/>
  <c r="M1520" i="1" a="1"/>
  <c r="M1520" i="1" s="1"/>
  <c r="M1521" i="1" a="1"/>
  <c r="M1521" i="1" s="1"/>
  <c r="M1522" i="1" a="1"/>
  <c r="M1522" i="1" s="1"/>
  <c r="M1524" i="1" a="1"/>
  <c r="M1524" i="1" s="1"/>
  <c r="M1525" i="1" a="1"/>
  <c r="M1525" i="1" s="1"/>
  <c r="M1526" i="1" a="1"/>
  <c r="M1526" i="1" s="1"/>
  <c r="M1528" i="1" a="1"/>
  <c r="M1528" i="1" s="1"/>
  <c r="M1529" i="1" a="1"/>
  <c r="M1529" i="1" s="1"/>
  <c r="M1530" i="1" a="1"/>
  <c r="M1530" i="1" s="1"/>
  <c r="M1532" i="1" a="1"/>
  <c r="M1532" i="1" s="1"/>
  <c r="M1533" i="1" a="1"/>
  <c r="M1533" i="1" s="1"/>
  <c r="M1534" i="1" a="1"/>
  <c r="M1534" i="1" s="1"/>
  <c r="M1536" i="1" a="1"/>
  <c r="M1536" i="1" s="1"/>
  <c r="M1537" i="1" a="1"/>
  <c r="M1537" i="1" s="1"/>
  <c r="M1538" i="1" a="1"/>
  <c r="M1538" i="1" s="1"/>
  <c r="M1540" i="1" a="1"/>
  <c r="M1540" i="1" s="1"/>
  <c r="M1541" i="1" a="1"/>
  <c r="M1541" i="1" s="1"/>
  <c r="M1542" i="1" a="1"/>
  <c r="M1542" i="1" s="1"/>
  <c r="M1544" i="1" a="1"/>
  <c r="M1544" i="1" s="1"/>
  <c r="M1545" i="1" a="1"/>
  <c r="M1545" i="1" s="1"/>
  <c r="M1546" i="1" a="1"/>
  <c r="M1546" i="1" s="1"/>
  <c r="M1548" i="1" a="1"/>
  <c r="M1548" i="1" s="1"/>
  <c r="M1549" i="1" a="1"/>
  <c r="M1549" i="1" s="1"/>
  <c r="M1550" i="1" a="1"/>
  <c r="M1550" i="1" s="1"/>
  <c r="M1552" i="1" a="1"/>
  <c r="M1552" i="1" s="1"/>
  <c r="M1553" i="1" a="1"/>
  <c r="M1553" i="1" s="1"/>
  <c r="M1554" i="1" a="1"/>
  <c r="M1554" i="1" s="1"/>
  <c r="M1556" i="1" a="1"/>
  <c r="M1556" i="1" s="1"/>
  <c r="M1557" i="1" a="1"/>
  <c r="M1557" i="1" s="1"/>
  <c r="M1559" i="1" a="1"/>
  <c r="M1559" i="1" s="1"/>
  <c r="M1560" i="1" a="1"/>
  <c r="M1560" i="1" s="1"/>
  <c r="M1561" i="1" a="1"/>
  <c r="M1561" i="1" s="1"/>
  <c r="M1563" i="1" a="1"/>
  <c r="M1563" i="1" s="1"/>
  <c r="M1564" i="1" a="1"/>
  <c r="M1564" i="1" s="1"/>
  <c r="M1565" i="1" a="1"/>
  <c r="M1565" i="1" s="1"/>
  <c r="M1567" i="1" a="1"/>
  <c r="M1567" i="1" s="1"/>
  <c r="M1568" i="1" a="1"/>
  <c r="M1568" i="1" s="1"/>
  <c r="M1569" i="1" a="1"/>
  <c r="M1569" i="1" s="1"/>
  <c r="M1571" i="1" a="1"/>
  <c r="M1571" i="1" s="1"/>
  <c r="M1572" i="1" a="1"/>
  <c r="M1572" i="1" s="1"/>
  <c r="M1573" i="1" a="1"/>
  <c r="M1573" i="1" s="1"/>
  <c r="M1575" i="1" a="1"/>
  <c r="M1575" i="1" s="1"/>
  <c r="M1576" i="1" a="1"/>
  <c r="M1576" i="1" s="1"/>
  <c r="M1577" i="1" a="1"/>
  <c r="M1577" i="1" s="1"/>
  <c r="M1579" i="1" a="1"/>
  <c r="M1579" i="1" s="1"/>
  <c r="M1580" i="1" a="1"/>
  <c r="M1580" i="1" s="1"/>
  <c r="M1581" i="1" a="1"/>
  <c r="M1581" i="1" s="1"/>
  <c r="M1583" i="1" a="1"/>
  <c r="M1583" i="1" s="1"/>
  <c r="M1584" i="1" a="1"/>
  <c r="M1584" i="1" s="1"/>
  <c r="M1585" i="1" a="1"/>
  <c r="M1585" i="1" s="1"/>
  <c r="M1587" i="1" a="1"/>
  <c r="M1587" i="1" s="1"/>
  <c r="M1588" i="1" a="1"/>
  <c r="M1588" i="1" s="1"/>
  <c r="M1590" i="1" a="1"/>
  <c r="M1590" i="1" s="1"/>
  <c r="M1592" i="1" a="1"/>
  <c r="M1592" i="1" s="1"/>
  <c r="M1594" i="1" a="1"/>
  <c r="M1594" i="1" s="1"/>
  <c r="M1595" i="1" a="1"/>
  <c r="M1595" i="1" s="1"/>
  <c r="M1596" i="1" a="1"/>
  <c r="M1596" i="1" s="1"/>
  <c r="M1597" i="1" a="1"/>
  <c r="M1597" i="1" s="1"/>
  <c r="M1598" i="1" a="1"/>
  <c r="M1598" i="1" s="1"/>
  <c r="M1599" i="1" a="1"/>
  <c r="M1599" i="1" s="1"/>
  <c r="M1600" i="1" a="1"/>
  <c r="M1600" i="1" s="1"/>
  <c r="M1601" i="1" a="1"/>
  <c r="M1601" i="1" s="1"/>
  <c r="M1602" i="1" a="1"/>
  <c r="M1602" i="1" s="1"/>
  <c r="M1603" i="1" a="1"/>
  <c r="M1603" i="1" s="1"/>
  <c r="M1604" i="1" a="1"/>
  <c r="M1604" i="1" s="1"/>
  <c r="M1605" i="1" a="1"/>
  <c r="M1605" i="1" s="1"/>
  <c r="M1606" i="1" a="1"/>
  <c r="M1606" i="1" s="1"/>
  <c r="M1607" i="1" a="1"/>
  <c r="M1607" i="1" s="1"/>
  <c r="M1608" i="1" a="1"/>
  <c r="M1608" i="1" s="1"/>
  <c r="M1610" i="1" a="1"/>
  <c r="M1610" i="1" s="1"/>
  <c r="M1611" i="1" a="1"/>
  <c r="M1611" i="1" s="1"/>
  <c r="M1612" i="1" a="1"/>
  <c r="M1612" i="1" s="1"/>
  <c r="M1614" i="1" a="1"/>
  <c r="M1614" i="1" s="1"/>
  <c r="M1615" i="1" a="1"/>
  <c r="M1615" i="1" s="1"/>
  <c r="M1617" i="1" a="1"/>
  <c r="M1617" i="1" s="1"/>
  <c r="M1618" i="1" a="1"/>
  <c r="M1618" i="1" s="1"/>
  <c r="M1620" i="1" a="1"/>
  <c r="M1620" i="1" s="1"/>
  <c r="M1621" i="1" a="1"/>
  <c r="M1621" i="1" s="1"/>
  <c r="M1622" i="1" a="1"/>
  <c r="M1622" i="1" s="1"/>
  <c r="M1624" i="1" a="1"/>
  <c r="M1624" i="1" s="1"/>
  <c r="M1625" i="1" a="1"/>
  <c r="M1625" i="1" s="1"/>
  <c r="M1627" i="1" a="1"/>
  <c r="M1627" i="1" s="1"/>
  <c r="M1628" i="1" a="1"/>
  <c r="M1628" i="1" s="1"/>
  <c r="M1630" i="1" a="1"/>
  <c r="M1630" i="1" s="1"/>
  <c r="M1631" i="1" a="1"/>
  <c r="M1631" i="1" s="1"/>
  <c r="M1632" i="1" a="1"/>
  <c r="M1632" i="1" s="1"/>
  <c r="M1634" i="1" a="1"/>
  <c r="M1634" i="1" s="1"/>
  <c r="M1635" i="1" a="1"/>
  <c r="M1635" i="1" s="1"/>
  <c r="M1637" i="1" a="1"/>
  <c r="M1637" i="1" s="1"/>
  <c r="M1638" i="1" a="1"/>
  <c r="M1638" i="1" s="1"/>
  <c r="M1640" i="1" a="1"/>
  <c r="M1640" i="1" s="1"/>
  <c r="M1642" i="1" a="1"/>
  <c r="M1642" i="1" s="1"/>
  <c r="M1644" i="1" a="1"/>
  <c r="M1644" i="1" s="1"/>
  <c r="M1645" i="1" a="1"/>
  <c r="M1645" i="1" s="1"/>
  <c r="M1647" i="1" a="1"/>
  <c r="M1647" i="1" s="1"/>
  <c r="M1648" i="1" a="1"/>
  <c r="M1648" i="1" s="1"/>
  <c r="M1650" i="1" a="1"/>
  <c r="M1650" i="1" s="1"/>
  <c r="M1651" i="1" a="1"/>
  <c r="M1651" i="1" s="1"/>
  <c r="M1652" i="1" a="1"/>
  <c r="M1652" i="1" s="1"/>
  <c r="M1653" i="1" a="1"/>
  <c r="M1653" i="1" s="1"/>
  <c r="M1654" i="1" a="1"/>
  <c r="M1654" i="1" s="1"/>
  <c r="M1655" i="1" a="1"/>
  <c r="M1655" i="1" s="1"/>
  <c r="M1656" i="1" a="1"/>
  <c r="M1656" i="1" s="1"/>
  <c r="M1657" i="1" a="1"/>
  <c r="M1657" i="1" s="1"/>
  <c r="M1658" i="1" a="1"/>
  <c r="M1658" i="1" s="1"/>
  <c r="M1659" i="1" a="1"/>
  <c r="M1659" i="1" s="1"/>
  <c r="M1660" i="1" a="1"/>
  <c r="M1660" i="1" s="1"/>
  <c r="M1661" i="1" a="1"/>
  <c r="M1661" i="1" s="1"/>
  <c r="M1662" i="1" a="1"/>
  <c r="M1662" i="1" s="1"/>
  <c r="M1663" i="1" a="1"/>
  <c r="M1663" i="1" s="1"/>
  <c r="M1664" i="1" a="1"/>
  <c r="M1664" i="1" s="1"/>
  <c r="M1665" i="1" a="1"/>
  <c r="M1665" i="1" s="1"/>
  <c r="M1666" i="1" a="1"/>
  <c r="M1666" i="1" s="1"/>
  <c r="M1667" i="1" a="1"/>
  <c r="M1667" i="1" s="1"/>
  <c r="M1668" i="1" a="1"/>
  <c r="M1668" i="1" s="1"/>
  <c r="M1669" i="1" a="1"/>
  <c r="M1669" i="1" s="1"/>
  <c r="M1670" i="1" a="1"/>
  <c r="M1670" i="1" s="1"/>
  <c r="M1671" i="1" a="1"/>
  <c r="M1671" i="1" s="1"/>
  <c r="M1672" i="1" a="1"/>
  <c r="M1672" i="1" s="1"/>
  <c r="M1673" i="1" a="1"/>
  <c r="M1673" i="1" s="1"/>
  <c r="M1675" i="1" a="1"/>
  <c r="M1675" i="1" s="1"/>
  <c r="M1676" i="1" a="1"/>
  <c r="M1676" i="1" s="1"/>
  <c r="M1678" i="1" a="1"/>
  <c r="M1678" i="1" s="1"/>
  <c r="M1679" i="1" a="1"/>
  <c r="M1679" i="1" s="1"/>
  <c r="M1681" i="1" a="1"/>
  <c r="M1681" i="1" s="1"/>
  <c r="M1682" i="1" a="1"/>
  <c r="M1682" i="1" s="1"/>
  <c r="M1683" i="1" a="1"/>
  <c r="M1683" i="1" s="1"/>
  <c r="M1685" i="1" a="1"/>
  <c r="M1685" i="1" s="1"/>
  <c r="M1686" i="1" a="1"/>
  <c r="M1686" i="1" s="1"/>
  <c r="M1688" i="1" a="1"/>
  <c r="M1688" i="1" s="1"/>
  <c r="M1689" i="1" a="1"/>
  <c r="M1689" i="1" s="1"/>
  <c r="M1691" i="1" a="1"/>
  <c r="M1691" i="1" s="1"/>
  <c r="M1692" i="1" a="1"/>
  <c r="M1692" i="1" s="1"/>
  <c r="M1693" i="1" a="1"/>
  <c r="M1693" i="1" s="1"/>
  <c r="M1695" i="1" a="1"/>
  <c r="M1695" i="1" s="1"/>
  <c r="M1696" i="1" a="1"/>
  <c r="M1696" i="1" s="1"/>
  <c r="M1698" i="1" a="1"/>
  <c r="M1698" i="1" s="1"/>
  <c r="M1699" i="1" a="1"/>
  <c r="M1699" i="1" s="1"/>
  <c r="M1701" i="1" a="1"/>
  <c r="M1701" i="1" s="1"/>
  <c r="M1703" i="1" a="1"/>
  <c r="M1703" i="1" s="1"/>
  <c r="M1705" i="1" a="1"/>
  <c r="M1705" i="1" s="1"/>
  <c r="M1706" i="1" a="1"/>
  <c r="M1706" i="1" s="1"/>
  <c r="M1708" i="1" a="1"/>
  <c r="M1708" i="1" s="1"/>
  <c r="M1710" i="1" a="1"/>
  <c r="M1710" i="1" s="1"/>
  <c r="M1711" i="1" a="1"/>
  <c r="M1711" i="1" s="1"/>
  <c r="M1713" i="1" a="1"/>
  <c r="M1713" i="1" s="1"/>
  <c r="M1715" i="1" a="1"/>
  <c r="M1715" i="1" s="1"/>
  <c r="M1716" i="1" a="1"/>
  <c r="M1716" i="1" s="1"/>
  <c r="M1718" i="1" a="1"/>
  <c r="M1718" i="1" s="1"/>
  <c r="M1719" i="1" a="1"/>
  <c r="M1719" i="1" s="1"/>
  <c r="M1720" i="1" a="1"/>
  <c r="M1720" i="1" s="1"/>
  <c r="M1721" i="1" a="1"/>
  <c r="M1721" i="1" s="1"/>
  <c r="M1722" i="1" a="1"/>
  <c r="M1722" i="1" s="1"/>
  <c r="M1723" i="1" a="1"/>
  <c r="M1723" i="1" s="1"/>
  <c r="M1724" i="1" a="1"/>
  <c r="M1724" i="1" s="1"/>
  <c r="M1725" i="1" a="1"/>
  <c r="M1725" i="1" s="1"/>
  <c r="M1726" i="1" a="1"/>
  <c r="M1726" i="1" s="1"/>
  <c r="M1727" i="1" a="1"/>
  <c r="M1727" i="1" s="1"/>
  <c r="M1729" i="1" a="1"/>
  <c r="M1729" i="1" s="1"/>
  <c r="M1730" i="1" a="1"/>
  <c r="M1730" i="1" s="1"/>
  <c r="M1731" i="1" a="1"/>
  <c r="M1731" i="1" s="1"/>
  <c r="M1733" i="1" a="1"/>
  <c r="M1733" i="1" s="1"/>
  <c r="M1734" i="1" a="1"/>
  <c r="M1734" i="1" s="1"/>
  <c r="M1735" i="1" a="1"/>
  <c r="M1735" i="1" s="1"/>
  <c r="M1737" i="1" a="1"/>
  <c r="M1737" i="1" s="1"/>
  <c r="M1738" i="1" a="1"/>
  <c r="M1738" i="1" s="1"/>
  <c r="M1739" i="1" a="1"/>
  <c r="M1739" i="1" s="1"/>
  <c r="M1741" i="1" a="1"/>
  <c r="M1741" i="1" s="1"/>
  <c r="M1742" i="1" a="1"/>
  <c r="M1742" i="1" s="1"/>
  <c r="M1743" i="1" a="1"/>
  <c r="M1743" i="1" s="1"/>
  <c r="M1745" i="1" a="1"/>
  <c r="M1745" i="1" s="1"/>
  <c r="M1746" i="1" a="1"/>
  <c r="M1746" i="1" s="1"/>
  <c r="M1748" i="1" a="1"/>
  <c r="M1748" i="1" s="1"/>
  <c r="M1750" i="1" a="1"/>
  <c r="M1750" i="1" s="1"/>
  <c r="M1752" i="1" a="1"/>
  <c r="M1752" i="1" s="1"/>
  <c r="M1753" i="1" a="1"/>
  <c r="M1753" i="1" s="1"/>
  <c r="M1755" i="1" a="1"/>
  <c r="M1755" i="1" s="1"/>
  <c r="M1757" i="1" a="1"/>
  <c r="M1757" i="1" s="1"/>
  <c r="M1759" i="1" a="1"/>
  <c r="M1759" i="1" s="1"/>
  <c r="M1760" i="1" a="1"/>
  <c r="M1760" i="1" s="1"/>
  <c r="M1762" i="1" a="1"/>
  <c r="M1762" i="1" s="1"/>
  <c r="M1763" i="1" a="1"/>
  <c r="M1763" i="1" s="1"/>
  <c r="M1765" i="1" a="1"/>
  <c r="M1765" i="1" s="1"/>
  <c r="M1767" i="1" a="1"/>
  <c r="M1767" i="1" s="1"/>
  <c r="M1769" i="1" a="1"/>
  <c r="M1769" i="1" s="1"/>
  <c r="M1770" i="1" a="1"/>
  <c r="M1770" i="1" s="1"/>
  <c r="M1772" i="1" a="1"/>
  <c r="M1772" i="1" s="1"/>
  <c r="M1773" i="1" a="1"/>
  <c r="M1773" i="1" s="1"/>
  <c r="M1774" i="1" a="1"/>
  <c r="M1774" i="1" s="1"/>
  <c r="M1775" i="1" a="1"/>
  <c r="M1775" i="1" s="1"/>
  <c r="M1777" i="1" a="1"/>
  <c r="M1777" i="1" s="1"/>
  <c r="M1778" i="1" a="1"/>
  <c r="M1778" i="1" s="1"/>
  <c r="M1780" i="1" a="1"/>
  <c r="M1780" i="1" s="1"/>
  <c r="M1781" i="1" a="1"/>
  <c r="M1781" i="1" s="1"/>
  <c r="M1782" i="1" a="1"/>
  <c r="M1782" i="1" s="1"/>
  <c r="M1784" i="1" a="1"/>
  <c r="M1784" i="1" s="1"/>
  <c r="M1785" i="1" a="1"/>
  <c r="M1785" i="1" s="1"/>
  <c r="M1787" i="1" a="1"/>
  <c r="M1787" i="1" s="1"/>
  <c r="M1788" i="1" a="1"/>
  <c r="M1788" i="1" s="1"/>
  <c r="M1790" i="1" a="1"/>
  <c r="M1790" i="1" s="1"/>
  <c r="M1791" i="1" a="1"/>
  <c r="M1791" i="1" s="1"/>
  <c r="M1793" i="1" a="1"/>
  <c r="M1793" i="1" s="1"/>
  <c r="M1794" i="1" a="1"/>
  <c r="M1794" i="1" s="1"/>
  <c r="M1795" i="1" a="1"/>
  <c r="M1795" i="1" s="1"/>
  <c r="M1797" i="1" a="1"/>
  <c r="M1797" i="1" s="1"/>
  <c r="M1798" i="1" a="1"/>
  <c r="M1798" i="1" s="1"/>
  <c r="M1799" i="1" a="1"/>
  <c r="M1799" i="1" s="1"/>
  <c r="M1801" i="1" a="1"/>
  <c r="M1801" i="1" s="1"/>
  <c r="M1802" i="1" a="1"/>
  <c r="M1802" i="1" s="1"/>
  <c r="M1803" i="1" a="1"/>
  <c r="M1803" i="1" s="1"/>
  <c r="M1805" i="1" a="1"/>
  <c r="M1805" i="1" s="1"/>
  <c r="M1806" i="1" a="1"/>
  <c r="M1806" i="1" s="1"/>
  <c r="M1808" i="1" a="1"/>
  <c r="M1808" i="1" s="1"/>
  <c r="M1809" i="1" a="1"/>
  <c r="M1809" i="1" s="1"/>
  <c r="M1810" i="1" a="1"/>
  <c r="M1810" i="1" s="1"/>
  <c r="M1812" i="1" a="1"/>
  <c r="M1812" i="1" s="1"/>
  <c r="M1813" i="1" a="1"/>
  <c r="M1813" i="1" s="1"/>
  <c r="M1814" i="1" a="1"/>
  <c r="M1814" i="1" s="1"/>
  <c r="M1816" i="1" a="1"/>
  <c r="M1816" i="1" s="1"/>
  <c r="M1817" i="1" a="1"/>
  <c r="M1817" i="1" s="1"/>
  <c r="M1818" i="1" a="1"/>
  <c r="M1818" i="1" s="1"/>
  <c r="M1820" i="1" a="1"/>
  <c r="M1820" i="1" s="1"/>
  <c r="M1822" i="1" a="1"/>
  <c r="M1822" i="1" s="1"/>
  <c r="M1824" i="1" a="1"/>
  <c r="M1824" i="1" s="1"/>
  <c r="M1825" i="1" a="1"/>
  <c r="M1825" i="1" s="1"/>
  <c r="M1826" i="1" a="1"/>
  <c r="M1826" i="1" s="1"/>
  <c r="M1827" i="1" a="1"/>
  <c r="M1827" i="1" s="1"/>
  <c r="M1828" i="1" a="1"/>
  <c r="M1828" i="1" s="1"/>
  <c r="M1829" i="1" a="1"/>
  <c r="M1829" i="1" s="1"/>
  <c r="M1830" i="1" a="1"/>
  <c r="M1830" i="1" s="1"/>
  <c r="M53" i="1" a="1"/>
  <c r="M53" i="1" s="1"/>
  <c r="M56" i="1" a="1"/>
  <c r="M56" i="1" s="1"/>
  <c r="M59" i="1" a="1"/>
  <c r="M59" i="1" s="1"/>
  <c r="M63" i="1" a="1"/>
  <c r="M63" i="1" s="1"/>
  <c r="M66" i="1" a="1"/>
  <c r="M66" i="1" s="1"/>
  <c r="M245" i="1" a="1"/>
  <c r="M245" i="1" s="1"/>
  <c r="M247" i="1" a="1"/>
  <c r="M247" i="1" s="1"/>
  <c r="M248" i="1" a="1"/>
  <c r="M248" i="1" s="1"/>
  <c r="M250" i="1" a="1"/>
  <c r="M250" i="1" s="1"/>
  <c r="M35" i="1" a="1"/>
  <c r="M35" i="1" s="1"/>
  <c r="M39" i="1" a="1"/>
  <c r="M39" i="1" s="1"/>
  <c r="M43" i="1" a="1"/>
  <c r="M43" i="1" s="1"/>
  <c r="M47" i="1" a="1"/>
  <c r="M47" i="1" s="1"/>
  <c r="M50" i="1" a="1"/>
  <c r="M50" i="1" s="1"/>
  <c r="M180" i="1" a="1"/>
  <c r="M180" i="1" s="1"/>
  <c r="M183" i="1" a="1"/>
  <c r="M183" i="1" s="1"/>
  <c r="M187" i="1" a="1"/>
  <c r="M187" i="1" s="1"/>
  <c r="M225" i="1" a="1"/>
  <c r="M225" i="1" s="1"/>
  <c r="M228" i="1" a="1"/>
  <c r="M228" i="1" s="1"/>
  <c r="M233" i="1" a="1"/>
  <c r="M233" i="1" s="1"/>
  <c r="M235" i="1" a="1"/>
  <c r="M235" i="1" s="1"/>
  <c r="M237" i="1" a="1"/>
  <c r="M237" i="1" s="1"/>
  <c r="M240" i="1" a="1"/>
  <c r="M240" i="1" s="1"/>
  <c r="M243" i="1" a="1"/>
  <c r="M243" i="1" s="1"/>
  <c r="M254" i="1" a="1"/>
  <c r="M254" i="1" s="1"/>
  <c r="M257" i="1" a="1"/>
  <c r="M257" i="1" s="1"/>
  <c r="M285" i="1" a="1"/>
  <c r="M285" i="1" s="1"/>
  <c r="M288" i="1" a="1"/>
  <c r="M288" i="1" s="1"/>
  <c r="M291" i="1" a="1"/>
  <c r="M291" i="1" s="1"/>
  <c r="M312" i="1" a="1"/>
  <c r="M312" i="1" s="1"/>
  <c r="M315" i="1" a="1"/>
  <c r="M315" i="1" s="1"/>
  <c r="M323" i="1" a="1"/>
  <c r="M323" i="1" s="1"/>
  <c r="M449" i="1" a="1"/>
  <c r="M449" i="1" s="1"/>
  <c r="M453" i="1" a="1"/>
  <c r="M453" i="1" s="1"/>
  <c r="M457" i="1" a="1"/>
  <c r="M457" i="1" s="1"/>
  <c r="M460" i="1" a="1"/>
  <c r="M460" i="1" s="1"/>
  <c r="K2" i="1" a="1"/>
  <c r="K2" i="1" s="1"/>
  <c r="M2" i="1" s="1" a="1"/>
  <c r="M2" i="1" s="1"/>
  <c r="H8" i="7" l="1"/>
  <c r="H2" i="7"/>
  <c r="H7" i="7"/>
  <c r="H3" i="7"/>
  <c r="H6" i="7"/>
  <c r="H5" i="7"/>
  <c r="H9" i="7"/>
  <c r="H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<sst xmlns="http://schemas.openxmlformats.org/spreadsheetml/2006/main" count="138" uniqueCount="69">
  <si>
    <t>Id</t>
  </si>
  <si>
    <t>Date</t>
  </si>
  <si>
    <t>Rating</t>
  </si>
  <si>
    <t>New_Rating</t>
  </si>
  <si>
    <t>Count of 1999</t>
  </si>
  <si>
    <t>Row Labels</t>
  </si>
  <si>
    <t>Grand Total</t>
  </si>
  <si>
    <t>Column Labels</t>
  </si>
  <si>
    <t>Count of 2000</t>
  </si>
  <si>
    <t>Count of 2001</t>
  </si>
  <si>
    <t>Count of 2002</t>
  </si>
  <si>
    <t>Count of 2003</t>
  </si>
  <si>
    <t>Count of 2004</t>
  </si>
  <si>
    <t>NR</t>
  </si>
  <si>
    <t>1 YEAR ODR</t>
  </si>
  <si>
    <t>Conditional</t>
  </si>
  <si>
    <t>Unconditional</t>
  </si>
  <si>
    <t>Survival</t>
  </si>
  <si>
    <t>Average ttc</t>
  </si>
  <si>
    <t>PIT SCORE</t>
  </si>
  <si>
    <t>Mean</t>
  </si>
  <si>
    <t>SD of PIT Score</t>
  </si>
  <si>
    <t>RHO</t>
  </si>
  <si>
    <t>k</t>
  </si>
  <si>
    <t>Z Score</t>
  </si>
  <si>
    <t>Identity Matrix</t>
  </si>
  <si>
    <t>Mehod 1</t>
  </si>
  <si>
    <t>Trace</t>
  </si>
  <si>
    <t>N</t>
  </si>
  <si>
    <t>mobility</t>
  </si>
  <si>
    <t>method 2</t>
  </si>
  <si>
    <t>Determinant</t>
  </si>
  <si>
    <t>method 3</t>
  </si>
  <si>
    <t>Distance</t>
  </si>
  <si>
    <t>Eucleadean Dist</t>
  </si>
  <si>
    <t>method 4</t>
  </si>
  <si>
    <t>2 YEAR ODR</t>
  </si>
  <si>
    <t>Vasicek model to convert TTC PD to PIT PD</t>
  </si>
  <si>
    <t>PITDR= ((𝑵.𝒊𝒏𝒗(𝑻𝑻𝑪 𝑷𝑫)     − √(𝝆 )     𝒁)/√(𝟏−𝝆) )</t>
  </si>
  <si>
    <t>PD</t>
  </si>
  <si>
    <t>N-1(PD)</t>
  </si>
  <si>
    <t>p</t>
  </si>
  <si>
    <t>Sqrt(p)</t>
  </si>
  <si>
    <t>Z</t>
  </si>
  <si>
    <t>Sqrt(1-p)</t>
  </si>
  <si>
    <t>Num</t>
  </si>
  <si>
    <t>Den</t>
  </si>
  <si>
    <t>Brackets</t>
  </si>
  <si>
    <t>PITDR</t>
  </si>
  <si>
    <t>AAA</t>
  </si>
  <si>
    <t>AA</t>
  </si>
  <si>
    <t>A</t>
  </si>
  <si>
    <t>BBB</t>
  </si>
  <si>
    <t>BB</t>
  </si>
  <si>
    <t>B</t>
  </si>
  <si>
    <t>CC</t>
  </si>
  <si>
    <t>D</t>
  </si>
  <si>
    <t>Z -Ve</t>
  </si>
  <si>
    <t>Macro -Bad</t>
  </si>
  <si>
    <t>GDP-Low</t>
  </si>
  <si>
    <t>Unemployment  High</t>
  </si>
  <si>
    <t>PIT PD Higher than TTC PD</t>
  </si>
  <si>
    <t>Z +Ve</t>
  </si>
  <si>
    <t>Macro Good</t>
  </si>
  <si>
    <t>GDP High</t>
  </si>
  <si>
    <t>Unemployment low</t>
  </si>
  <si>
    <t>PIT PD  Lower than TTC PD</t>
  </si>
  <si>
    <t>PIT PD MATRIX</t>
  </si>
  <si>
    <t>conversion Feed the Transistion matrix and Zvalues as predicted by model in reverse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</si>
</sst>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1" xfId="0" applyBorder="1"/>
    <xf numFmtId="2" fontId="0" fillId="2" borderId="1" xfId="0" applyNumberFormat="1" applyFill="1" applyBorder="1"/>
    <xf numFmtId="0" fontId="1" fillId="0" borderId="1" xfId="0" applyFont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0" fillId="4" borderId="0" xfId="0" applyFill="1"/>
    <xf numFmtId="10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0" fontId="0" fillId="1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ana T" refreshedDate="45811.617436689812" createdVersion="8" refreshedVersion="8" minRefreshableVersion="3" recordCount="1829" xr:uid="{C8316F98-B726-4DC4-B85E-5E1A190E6741}">
  <cacheSource type="worksheet">
    <worksheetSource ref="G1:M1830" sheet="Sheet1"/>
  </cacheSource>
  <cacheFields count="7">
    <cacheField name="1999" numFmtId="0">
      <sharedItems containsSemiMixedTypes="0" containsString="0" containsNumber="1" containsInteger="1" minValue="0" maxValue="9" count="10">
        <n v="9"/>
        <n v="5"/>
        <n v="4"/>
        <n v="6"/>
        <n v="1"/>
        <n v="3"/>
        <n v="0"/>
        <n v="2"/>
        <n v="8"/>
        <n v="7"/>
      </sharedItems>
    </cacheField>
    <cacheField name="2000" numFmtId="0">
      <sharedItems containsSemiMixedTypes="0" containsString="0" containsNumber="1" containsInteger="1" minValue="0" maxValue="9" count="10">
        <n v="6"/>
        <n v="9"/>
        <n v="2"/>
        <n v="4"/>
        <n v="0"/>
        <n v="5"/>
        <n v="1"/>
        <n v="3"/>
        <n v="8"/>
        <n v="7"/>
      </sharedItems>
    </cacheField>
    <cacheField name="2001" numFmtId="0">
      <sharedItems containsSemiMixedTypes="0" containsString="0" containsNumber="1" containsInteger="1" minValue="0" maxValue="9" count="10">
        <n v="6"/>
        <n v="9"/>
        <n v="5"/>
        <n v="2"/>
        <n v="4"/>
        <n v="0"/>
        <n v="7"/>
        <n v="1"/>
        <n v="3"/>
        <n v="8"/>
      </sharedItems>
    </cacheField>
    <cacheField name="2002" numFmtId="0">
      <sharedItems containsSemiMixedTypes="0" containsString="0" containsNumber="1" containsInteger="1" minValue="0" maxValue="9" count="10">
        <n v="6"/>
        <n v="9"/>
        <n v="5"/>
        <n v="2"/>
        <n v="4"/>
        <n v="3"/>
        <n v="0"/>
        <n v="8"/>
        <n v="1"/>
        <n v="7"/>
      </sharedItems>
    </cacheField>
    <cacheField name="2003" numFmtId="0">
      <sharedItems containsSemiMixedTypes="0" containsString="0" containsNumber="1" containsInteger="1" minValue="0" maxValue="9" count="10">
        <n v="6"/>
        <n v="5"/>
        <n v="2"/>
        <n v="4"/>
        <n v="3"/>
        <n v="0"/>
        <n v="9"/>
        <n v="8"/>
        <n v="1"/>
        <n v="7"/>
      </sharedItems>
    </cacheField>
    <cacheField name="2004" numFmtId="0">
      <sharedItems containsSemiMixedTypes="0" containsString="0" containsNumber="1" containsInteger="1" minValue="0" maxValue="9" count="10">
        <n v="6"/>
        <n v="5"/>
        <n v="2"/>
        <n v="4"/>
        <n v="3"/>
        <n v="0"/>
        <n v="8"/>
        <n v="1"/>
        <n v="9"/>
        <n v="7"/>
      </sharedItems>
    </cacheField>
    <cacheField name="2005" numFmtId="0">
      <sharedItems containsSemiMixedTypes="0" containsString="0" containsNumber="1" containsInteger="1" minValue="0" maxValue="8" count="9">
        <n v="6"/>
        <n v="5"/>
        <n v="2"/>
        <n v="4"/>
        <n v="3"/>
        <n v="0"/>
        <n v="8"/>
        <n v="1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9">
  <r>
    <x v="0"/>
    <x v="0"/>
    <x v="0"/>
    <x v="0"/>
    <x v="0"/>
    <x v="0"/>
    <x v="0"/>
  </r>
  <r>
    <x v="0"/>
    <x v="1"/>
    <x v="1"/>
    <x v="1"/>
    <x v="0"/>
    <x v="0"/>
    <x v="0"/>
  </r>
  <r>
    <x v="1"/>
    <x v="0"/>
    <x v="2"/>
    <x v="2"/>
    <x v="1"/>
    <x v="1"/>
    <x v="1"/>
  </r>
  <r>
    <x v="0"/>
    <x v="1"/>
    <x v="2"/>
    <x v="0"/>
    <x v="0"/>
    <x v="0"/>
    <x v="0"/>
  </r>
  <r>
    <x v="0"/>
    <x v="2"/>
    <x v="3"/>
    <x v="3"/>
    <x v="2"/>
    <x v="2"/>
    <x v="2"/>
  </r>
  <r>
    <x v="2"/>
    <x v="3"/>
    <x v="4"/>
    <x v="4"/>
    <x v="3"/>
    <x v="3"/>
    <x v="3"/>
  </r>
  <r>
    <x v="0"/>
    <x v="1"/>
    <x v="1"/>
    <x v="4"/>
    <x v="0"/>
    <x v="1"/>
    <x v="1"/>
  </r>
  <r>
    <x v="0"/>
    <x v="1"/>
    <x v="1"/>
    <x v="5"/>
    <x v="4"/>
    <x v="4"/>
    <x v="4"/>
  </r>
  <r>
    <x v="0"/>
    <x v="4"/>
    <x v="5"/>
    <x v="6"/>
    <x v="5"/>
    <x v="5"/>
    <x v="5"/>
  </r>
  <r>
    <x v="0"/>
    <x v="1"/>
    <x v="1"/>
    <x v="1"/>
    <x v="6"/>
    <x v="1"/>
    <x v="1"/>
  </r>
  <r>
    <x v="3"/>
    <x v="0"/>
    <x v="6"/>
    <x v="7"/>
    <x v="7"/>
    <x v="6"/>
    <x v="6"/>
  </r>
  <r>
    <x v="0"/>
    <x v="4"/>
    <x v="5"/>
    <x v="6"/>
    <x v="5"/>
    <x v="5"/>
    <x v="5"/>
  </r>
  <r>
    <x v="2"/>
    <x v="3"/>
    <x v="4"/>
    <x v="4"/>
    <x v="1"/>
    <x v="1"/>
    <x v="1"/>
  </r>
  <r>
    <x v="1"/>
    <x v="5"/>
    <x v="2"/>
    <x v="0"/>
    <x v="0"/>
    <x v="1"/>
    <x v="1"/>
  </r>
  <r>
    <x v="0"/>
    <x v="1"/>
    <x v="1"/>
    <x v="1"/>
    <x v="3"/>
    <x v="3"/>
    <x v="3"/>
  </r>
  <r>
    <x v="4"/>
    <x v="6"/>
    <x v="7"/>
    <x v="8"/>
    <x v="8"/>
    <x v="5"/>
    <x v="5"/>
  </r>
  <r>
    <x v="5"/>
    <x v="7"/>
    <x v="8"/>
    <x v="5"/>
    <x v="4"/>
    <x v="4"/>
    <x v="4"/>
  </r>
  <r>
    <x v="3"/>
    <x v="0"/>
    <x v="0"/>
    <x v="0"/>
    <x v="0"/>
    <x v="0"/>
    <x v="0"/>
  </r>
  <r>
    <x v="6"/>
    <x v="4"/>
    <x v="5"/>
    <x v="6"/>
    <x v="5"/>
    <x v="5"/>
    <x v="5"/>
  </r>
  <r>
    <x v="0"/>
    <x v="5"/>
    <x v="0"/>
    <x v="0"/>
    <x v="0"/>
    <x v="0"/>
    <x v="0"/>
  </r>
  <r>
    <x v="0"/>
    <x v="2"/>
    <x v="3"/>
    <x v="3"/>
    <x v="2"/>
    <x v="2"/>
    <x v="2"/>
  </r>
  <r>
    <x v="0"/>
    <x v="1"/>
    <x v="1"/>
    <x v="1"/>
    <x v="6"/>
    <x v="6"/>
    <x v="6"/>
  </r>
  <r>
    <x v="1"/>
    <x v="5"/>
    <x v="2"/>
    <x v="2"/>
    <x v="1"/>
    <x v="1"/>
    <x v="1"/>
  </r>
  <r>
    <x v="0"/>
    <x v="4"/>
    <x v="5"/>
    <x v="6"/>
    <x v="5"/>
    <x v="5"/>
    <x v="5"/>
  </r>
  <r>
    <x v="0"/>
    <x v="7"/>
    <x v="8"/>
    <x v="5"/>
    <x v="4"/>
    <x v="4"/>
    <x v="4"/>
  </r>
  <r>
    <x v="2"/>
    <x v="3"/>
    <x v="4"/>
    <x v="4"/>
    <x v="3"/>
    <x v="3"/>
    <x v="3"/>
  </r>
  <r>
    <x v="0"/>
    <x v="1"/>
    <x v="1"/>
    <x v="1"/>
    <x v="6"/>
    <x v="2"/>
    <x v="2"/>
  </r>
  <r>
    <x v="0"/>
    <x v="1"/>
    <x v="1"/>
    <x v="1"/>
    <x v="6"/>
    <x v="3"/>
    <x v="3"/>
  </r>
  <r>
    <x v="0"/>
    <x v="7"/>
    <x v="8"/>
    <x v="5"/>
    <x v="4"/>
    <x v="4"/>
    <x v="4"/>
  </r>
  <r>
    <x v="0"/>
    <x v="1"/>
    <x v="7"/>
    <x v="8"/>
    <x v="1"/>
    <x v="5"/>
    <x v="5"/>
  </r>
  <r>
    <x v="0"/>
    <x v="4"/>
    <x v="5"/>
    <x v="6"/>
    <x v="5"/>
    <x v="5"/>
    <x v="5"/>
  </r>
  <r>
    <x v="0"/>
    <x v="1"/>
    <x v="1"/>
    <x v="1"/>
    <x v="4"/>
    <x v="4"/>
    <x v="4"/>
  </r>
  <r>
    <x v="0"/>
    <x v="1"/>
    <x v="5"/>
    <x v="6"/>
    <x v="5"/>
    <x v="5"/>
    <x v="5"/>
  </r>
  <r>
    <x v="0"/>
    <x v="2"/>
    <x v="3"/>
    <x v="5"/>
    <x v="4"/>
    <x v="4"/>
    <x v="4"/>
  </r>
  <r>
    <x v="0"/>
    <x v="1"/>
    <x v="1"/>
    <x v="5"/>
    <x v="4"/>
    <x v="4"/>
    <x v="4"/>
  </r>
  <r>
    <x v="0"/>
    <x v="3"/>
    <x v="4"/>
    <x v="4"/>
    <x v="3"/>
    <x v="3"/>
    <x v="3"/>
  </r>
  <r>
    <x v="0"/>
    <x v="1"/>
    <x v="1"/>
    <x v="1"/>
    <x v="6"/>
    <x v="2"/>
    <x v="2"/>
  </r>
  <r>
    <x v="0"/>
    <x v="7"/>
    <x v="8"/>
    <x v="5"/>
    <x v="4"/>
    <x v="4"/>
    <x v="4"/>
  </r>
  <r>
    <x v="0"/>
    <x v="2"/>
    <x v="3"/>
    <x v="8"/>
    <x v="8"/>
    <x v="7"/>
    <x v="7"/>
  </r>
  <r>
    <x v="5"/>
    <x v="7"/>
    <x v="8"/>
    <x v="5"/>
    <x v="4"/>
    <x v="4"/>
    <x v="4"/>
  </r>
  <r>
    <x v="0"/>
    <x v="4"/>
    <x v="5"/>
    <x v="6"/>
    <x v="5"/>
    <x v="5"/>
    <x v="5"/>
  </r>
  <r>
    <x v="0"/>
    <x v="1"/>
    <x v="1"/>
    <x v="1"/>
    <x v="6"/>
    <x v="4"/>
    <x v="4"/>
  </r>
  <r>
    <x v="0"/>
    <x v="1"/>
    <x v="4"/>
    <x v="0"/>
    <x v="0"/>
    <x v="1"/>
    <x v="1"/>
  </r>
  <r>
    <x v="0"/>
    <x v="1"/>
    <x v="1"/>
    <x v="1"/>
    <x v="6"/>
    <x v="8"/>
    <x v="3"/>
  </r>
  <r>
    <x v="0"/>
    <x v="1"/>
    <x v="1"/>
    <x v="8"/>
    <x v="8"/>
    <x v="7"/>
    <x v="7"/>
  </r>
  <r>
    <x v="7"/>
    <x v="2"/>
    <x v="3"/>
    <x v="3"/>
    <x v="4"/>
    <x v="4"/>
    <x v="4"/>
  </r>
  <r>
    <x v="0"/>
    <x v="1"/>
    <x v="1"/>
    <x v="4"/>
    <x v="3"/>
    <x v="3"/>
    <x v="3"/>
  </r>
  <r>
    <x v="2"/>
    <x v="3"/>
    <x v="4"/>
    <x v="4"/>
    <x v="3"/>
    <x v="3"/>
    <x v="3"/>
  </r>
  <r>
    <x v="0"/>
    <x v="1"/>
    <x v="1"/>
    <x v="3"/>
    <x v="2"/>
    <x v="2"/>
    <x v="2"/>
  </r>
  <r>
    <x v="0"/>
    <x v="7"/>
    <x v="8"/>
    <x v="5"/>
    <x v="4"/>
    <x v="4"/>
    <x v="4"/>
  </r>
  <r>
    <x v="0"/>
    <x v="1"/>
    <x v="5"/>
    <x v="6"/>
    <x v="5"/>
    <x v="5"/>
    <x v="5"/>
  </r>
  <r>
    <x v="2"/>
    <x v="3"/>
    <x v="4"/>
    <x v="5"/>
    <x v="4"/>
    <x v="4"/>
    <x v="4"/>
  </r>
  <r>
    <x v="0"/>
    <x v="2"/>
    <x v="3"/>
    <x v="3"/>
    <x v="2"/>
    <x v="2"/>
    <x v="2"/>
  </r>
  <r>
    <x v="0"/>
    <x v="0"/>
    <x v="6"/>
    <x v="7"/>
    <x v="7"/>
    <x v="6"/>
    <x v="6"/>
  </r>
  <r>
    <x v="0"/>
    <x v="1"/>
    <x v="1"/>
    <x v="6"/>
    <x v="5"/>
    <x v="5"/>
    <x v="5"/>
  </r>
  <r>
    <x v="0"/>
    <x v="1"/>
    <x v="1"/>
    <x v="2"/>
    <x v="0"/>
    <x v="0"/>
    <x v="0"/>
  </r>
  <r>
    <x v="5"/>
    <x v="7"/>
    <x v="8"/>
    <x v="5"/>
    <x v="4"/>
    <x v="5"/>
    <x v="5"/>
  </r>
  <r>
    <x v="0"/>
    <x v="1"/>
    <x v="1"/>
    <x v="1"/>
    <x v="6"/>
    <x v="2"/>
    <x v="2"/>
  </r>
  <r>
    <x v="0"/>
    <x v="1"/>
    <x v="1"/>
    <x v="1"/>
    <x v="6"/>
    <x v="3"/>
    <x v="3"/>
  </r>
  <r>
    <x v="1"/>
    <x v="5"/>
    <x v="2"/>
    <x v="6"/>
    <x v="5"/>
    <x v="5"/>
    <x v="5"/>
  </r>
  <r>
    <x v="0"/>
    <x v="3"/>
    <x v="4"/>
    <x v="4"/>
    <x v="3"/>
    <x v="3"/>
    <x v="3"/>
  </r>
  <r>
    <x v="5"/>
    <x v="7"/>
    <x v="8"/>
    <x v="5"/>
    <x v="4"/>
    <x v="4"/>
    <x v="4"/>
  </r>
  <r>
    <x v="5"/>
    <x v="7"/>
    <x v="8"/>
    <x v="5"/>
    <x v="4"/>
    <x v="4"/>
    <x v="4"/>
  </r>
  <r>
    <x v="0"/>
    <x v="1"/>
    <x v="1"/>
    <x v="2"/>
    <x v="3"/>
    <x v="3"/>
    <x v="3"/>
  </r>
  <r>
    <x v="0"/>
    <x v="5"/>
    <x v="2"/>
    <x v="4"/>
    <x v="3"/>
    <x v="3"/>
    <x v="3"/>
  </r>
  <r>
    <x v="0"/>
    <x v="1"/>
    <x v="1"/>
    <x v="1"/>
    <x v="6"/>
    <x v="3"/>
    <x v="3"/>
  </r>
  <r>
    <x v="0"/>
    <x v="7"/>
    <x v="8"/>
    <x v="5"/>
    <x v="4"/>
    <x v="3"/>
    <x v="3"/>
  </r>
  <r>
    <x v="0"/>
    <x v="1"/>
    <x v="1"/>
    <x v="1"/>
    <x v="6"/>
    <x v="3"/>
    <x v="3"/>
  </r>
  <r>
    <x v="0"/>
    <x v="7"/>
    <x v="8"/>
    <x v="5"/>
    <x v="4"/>
    <x v="4"/>
    <x v="4"/>
  </r>
  <r>
    <x v="0"/>
    <x v="7"/>
    <x v="8"/>
    <x v="4"/>
    <x v="3"/>
    <x v="3"/>
    <x v="3"/>
  </r>
  <r>
    <x v="0"/>
    <x v="1"/>
    <x v="1"/>
    <x v="1"/>
    <x v="6"/>
    <x v="3"/>
    <x v="3"/>
  </r>
  <r>
    <x v="2"/>
    <x v="3"/>
    <x v="4"/>
    <x v="4"/>
    <x v="3"/>
    <x v="3"/>
    <x v="3"/>
  </r>
  <r>
    <x v="1"/>
    <x v="5"/>
    <x v="2"/>
    <x v="4"/>
    <x v="3"/>
    <x v="3"/>
    <x v="3"/>
  </r>
  <r>
    <x v="1"/>
    <x v="5"/>
    <x v="2"/>
    <x v="4"/>
    <x v="3"/>
    <x v="3"/>
    <x v="3"/>
  </r>
  <r>
    <x v="5"/>
    <x v="7"/>
    <x v="8"/>
    <x v="5"/>
    <x v="4"/>
    <x v="4"/>
    <x v="4"/>
  </r>
  <r>
    <x v="0"/>
    <x v="1"/>
    <x v="1"/>
    <x v="5"/>
    <x v="4"/>
    <x v="5"/>
    <x v="5"/>
  </r>
  <r>
    <x v="0"/>
    <x v="1"/>
    <x v="4"/>
    <x v="4"/>
    <x v="0"/>
    <x v="0"/>
    <x v="0"/>
  </r>
  <r>
    <x v="0"/>
    <x v="1"/>
    <x v="1"/>
    <x v="8"/>
    <x v="8"/>
    <x v="7"/>
    <x v="7"/>
  </r>
  <r>
    <x v="0"/>
    <x v="1"/>
    <x v="1"/>
    <x v="1"/>
    <x v="6"/>
    <x v="2"/>
    <x v="2"/>
  </r>
  <r>
    <x v="0"/>
    <x v="1"/>
    <x v="8"/>
    <x v="6"/>
    <x v="5"/>
    <x v="5"/>
    <x v="5"/>
  </r>
  <r>
    <x v="0"/>
    <x v="1"/>
    <x v="8"/>
    <x v="4"/>
    <x v="3"/>
    <x v="3"/>
    <x v="3"/>
  </r>
  <r>
    <x v="0"/>
    <x v="1"/>
    <x v="4"/>
    <x v="4"/>
    <x v="3"/>
    <x v="3"/>
    <x v="3"/>
  </r>
  <r>
    <x v="1"/>
    <x v="5"/>
    <x v="0"/>
    <x v="0"/>
    <x v="0"/>
    <x v="0"/>
    <x v="0"/>
  </r>
  <r>
    <x v="3"/>
    <x v="0"/>
    <x v="0"/>
    <x v="0"/>
    <x v="5"/>
    <x v="5"/>
    <x v="5"/>
  </r>
  <r>
    <x v="0"/>
    <x v="1"/>
    <x v="1"/>
    <x v="1"/>
    <x v="6"/>
    <x v="3"/>
    <x v="3"/>
  </r>
  <r>
    <x v="0"/>
    <x v="5"/>
    <x v="2"/>
    <x v="2"/>
    <x v="1"/>
    <x v="0"/>
    <x v="0"/>
  </r>
  <r>
    <x v="0"/>
    <x v="1"/>
    <x v="1"/>
    <x v="5"/>
    <x v="4"/>
    <x v="4"/>
    <x v="4"/>
  </r>
  <r>
    <x v="1"/>
    <x v="5"/>
    <x v="2"/>
    <x v="2"/>
    <x v="1"/>
    <x v="1"/>
    <x v="1"/>
  </r>
  <r>
    <x v="0"/>
    <x v="1"/>
    <x v="4"/>
    <x v="4"/>
    <x v="3"/>
    <x v="3"/>
    <x v="3"/>
  </r>
  <r>
    <x v="0"/>
    <x v="4"/>
    <x v="5"/>
    <x v="6"/>
    <x v="5"/>
    <x v="5"/>
    <x v="5"/>
  </r>
  <r>
    <x v="7"/>
    <x v="2"/>
    <x v="3"/>
    <x v="3"/>
    <x v="4"/>
    <x v="5"/>
    <x v="5"/>
  </r>
  <r>
    <x v="1"/>
    <x v="5"/>
    <x v="2"/>
    <x v="2"/>
    <x v="1"/>
    <x v="3"/>
    <x v="3"/>
  </r>
  <r>
    <x v="0"/>
    <x v="1"/>
    <x v="1"/>
    <x v="4"/>
    <x v="3"/>
    <x v="3"/>
    <x v="3"/>
  </r>
  <r>
    <x v="0"/>
    <x v="3"/>
    <x v="4"/>
    <x v="4"/>
    <x v="3"/>
    <x v="3"/>
    <x v="3"/>
  </r>
  <r>
    <x v="0"/>
    <x v="1"/>
    <x v="1"/>
    <x v="1"/>
    <x v="6"/>
    <x v="8"/>
    <x v="3"/>
  </r>
  <r>
    <x v="0"/>
    <x v="7"/>
    <x v="8"/>
    <x v="5"/>
    <x v="4"/>
    <x v="4"/>
    <x v="4"/>
  </r>
  <r>
    <x v="0"/>
    <x v="1"/>
    <x v="4"/>
    <x v="4"/>
    <x v="3"/>
    <x v="1"/>
    <x v="1"/>
  </r>
  <r>
    <x v="0"/>
    <x v="1"/>
    <x v="1"/>
    <x v="5"/>
    <x v="4"/>
    <x v="4"/>
    <x v="4"/>
  </r>
  <r>
    <x v="0"/>
    <x v="1"/>
    <x v="1"/>
    <x v="6"/>
    <x v="5"/>
    <x v="5"/>
    <x v="5"/>
  </r>
  <r>
    <x v="2"/>
    <x v="3"/>
    <x v="4"/>
    <x v="4"/>
    <x v="4"/>
    <x v="4"/>
    <x v="4"/>
  </r>
  <r>
    <x v="0"/>
    <x v="1"/>
    <x v="1"/>
    <x v="5"/>
    <x v="4"/>
    <x v="4"/>
    <x v="4"/>
  </r>
  <r>
    <x v="0"/>
    <x v="1"/>
    <x v="1"/>
    <x v="1"/>
    <x v="5"/>
    <x v="5"/>
    <x v="5"/>
  </r>
  <r>
    <x v="6"/>
    <x v="4"/>
    <x v="5"/>
    <x v="6"/>
    <x v="5"/>
    <x v="5"/>
    <x v="5"/>
  </r>
  <r>
    <x v="5"/>
    <x v="7"/>
    <x v="8"/>
    <x v="6"/>
    <x v="5"/>
    <x v="5"/>
    <x v="5"/>
  </r>
  <r>
    <x v="5"/>
    <x v="7"/>
    <x v="8"/>
    <x v="5"/>
    <x v="4"/>
    <x v="4"/>
    <x v="4"/>
  </r>
  <r>
    <x v="0"/>
    <x v="1"/>
    <x v="1"/>
    <x v="4"/>
    <x v="1"/>
    <x v="1"/>
    <x v="1"/>
  </r>
  <r>
    <x v="2"/>
    <x v="3"/>
    <x v="4"/>
    <x v="4"/>
    <x v="3"/>
    <x v="3"/>
    <x v="3"/>
  </r>
  <r>
    <x v="5"/>
    <x v="7"/>
    <x v="8"/>
    <x v="5"/>
    <x v="4"/>
    <x v="4"/>
    <x v="4"/>
  </r>
  <r>
    <x v="0"/>
    <x v="1"/>
    <x v="1"/>
    <x v="1"/>
    <x v="5"/>
    <x v="5"/>
    <x v="5"/>
  </r>
  <r>
    <x v="0"/>
    <x v="7"/>
    <x v="8"/>
    <x v="5"/>
    <x v="4"/>
    <x v="4"/>
    <x v="4"/>
  </r>
  <r>
    <x v="0"/>
    <x v="1"/>
    <x v="3"/>
    <x v="3"/>
    <x v="2"/>
    <x v="2"/>
    <x v="2"/>
  </r>
  <r>
    <x v="0"/>
    <x v="1"/>
    <x v="1"/>
    <x v="1"/>
    <x v="6"/>
    <x v="1"/>
    <x v="1"/>
  </r>
  <r>
    <x v="2"/>
    <x v="3"/>
    <x v="4"/>
    <x v="4"/>
    <x v="3"/>
    <x v="3"/>
    <x v="3"/>
  </r>
  <r>
    <x v="0"/>
    <x v="1"/>
    <x v="1"/>
    <x v="5"/>
    <x v="4"/>
    <x v="4"/>
    <x v="4"/>
  </r>
  <r>
    <x v="5"/>
    <x v="7"/>
    <x v="8"/>
    <x v="5"/>
    <x v="4"/>
    <x v="4"/>
    <x v="4"/>
  </r>
  <r>
    <x v="2"/>
    <x v="7"/>
    <x v="8"/>
    <x v="5"/>
    <x v="4"/>
    <x v="4"/>
    <x v="4"/>
  </r>
  <r>
    <x v="2"/>
    <x v="7"/>
    <x v="8"/>
    <x v="5"/>
    <x v="4"/>
    <x v="4"/>
    <x v="4"/>
  </r>
  <r>
    <x v="0"/>
    <x v="1"/>
    <x v="1"/>
    <x v="1"/>
    <x v="6"/>
    <x v="8"/>
    <x v="3"/>
  </r>
  <r>
    <x v="0"/>
    <x v="1"/>
    <x v="1"/>
    <x v="1"/>
    <x v="5"/>
    <x v="5"/>
    <x v="5"/>
  </r>
  <r>
    <x v="2"/>
    <x v="3"/>
    <x v="4"/>
    <x v="4"/>
    <x v="3"/>
    <x v="3"/>
    <x v="3"/>
  </r>
  <r>
    <x v="0"/>
    <x v="1"/>
    <x v="1"/>
    <x v="1"/>
    <x v="6"/>
    <x v="3"/>
    <x v="3"/>
  </r>
  <r>
    <x v="0"/>
    <x v="7"/>
    <x v="8"/>
    <x v="5"/>
    <x v="2"/>
    <x v="2"/>
    <x v="2"/>
  </r>
  <r>
    <x v="0"/>
    <x v="1"/>
    <x v="1"/>
    <x v="1"/>
    <x v="4"/>
    <x v="4"/>
    <x v="4"/>
  </r>
  <r>
    <x v="5"/>
    <x v="7"/>
    <x v="8"/>
    <x v="5"/>
    <x v="4"/>
    <x v="4"/>
    <x v="4"/>
  </r>
  <r>
    <x v="7"/>
    <x v="2"/>
    <x v="3"/>
    <x v="3"/>
    <x v="2"/>
    <x v="2"/>
    <x v="2"/>
  </r>
  <r>
    <x v="0"/>
    <x v="1"/>
    <x v="1"/>
    <x v="2"/>
    <x v="1"/>
    <x v="3"/>
    <x v="3"/>
  </r>
  <r>
    <x v="3"/>
    <x v="0"/>
    <x v="0"/>
    <x v="0"/>
    <x v="0"/>
    <x v="1"/>
    <x v="1"/>
  </r>
  <r>
    <x v="7"/>
    <x v="2"/>
    <x v="3"/>
    <x v="5"/>
    <x v="5"/>
    <x v="5"/>
    <x v="5"/>
  </r>
  <r>
    <x v="0"/>
    <x v="1"/>
    <x v="1"/>
    <x v="1"/>
    <x v="6"/>
    <x v="4"/>
    <x v="4"/>
  </r>
  <r>
    <x v="0"/>
    <x v="1"/>
    <x v="1"/>
    <x v="6"/>
    <x v="5"/>
    <x v="5"/>
    <x v="5"/>
  </r>
  <r>
    <x v="0"/>
    <x v="1"/>
    <x v="1"/>
    <x v="1"/>
    <x v="6"/>
    <x v="5"/>
    <x v="5"/>
  </r>
  <r>
    <x v="0"/>
    <x v="7"/>
    <x v="8"/>
    <x v="5"/>
    <x v="4"/>
    <x v="4"/>
    <x v="4"/>
  </r>
  <r>
    <x v="0"/>
    <x v="1"/>
    <x v="1"/>
    <x v="1"/>
    <x v="5"/>
    <x v="5"/>
    <x v="5"/>
  </r>
  <r>
    <x v="7"/>
    <x v="2"/>
    <x v="3"/>
    <x v="3"/>
    <x v="2"/>
    <x v="2"/>
    <x v="2"/>
  </r>
  <r>
    <x v="0"/>
    <x v="7"/>
    <x v="8"/>
    <x v="5"/>
    <x v="4"/>
    <x v="4"/>
    <x v="4"/>
  </r>
  <r>
    <x v="0"/>
    <x v="1"/>
    <x v="1"/>
    <x v="1"/>
    <x v="4"/>
    <x v="5"/>
    <x v="5"/>
  </r>
  <r>
    <x v="0"/>
    <x v="1"/>
    <x v="4"/>
    <x v="4"/>
    <x v="3"/>
    <x v="3"/>
    <x v="3"/>
  </r>
  <r>
    <x v="0"/>
    <x v="4"/>
    <x v="5"/>
    <x v="6"/>
    <x v="5"/>
    <x v="5"/>
    <x v="5"/>
  </r>
  <r>
    <x v="5"/>
    <x v="7"/>
    <x v="4"/>
    <x v="4"/>
    <x v="3"/>
    <x v="3"/>
    <x v="3"/>
  </r>
  <r>
    <x v="0"/>
    <x v="1"/>
    <x v="1"/>
    <x v="1"/>
    <x v="6"/>
    <x v="8"/>
    <x v="4"/>
  </r>
  <r>
    <x v="0"/>
    <x v="1"/>
    <x v="1"/>
    <x v="1"/>
    <x v="5"/>
    <x v="5"/>
    <x v="5"/>
  </r>
  <r>
    <x v="0"/>
    <x v="1"/>
    <x v="2"/>
    <x v="2"/>
    <x v="1"/>
    <x v="3"/>
    <x v="3"/>
  </r>
  <r>
    <x v="2"/>
    <x v="7"/>
    <x v="8"/>
    <x v="5"/>
    <x v="4"/>
    <x v="4"/>
    <x v="4"/>
  </r>
  <r>
    <x v="0"/>
    <x v="1"/>
    <x v="1"/>
    <x v="1"/>
    <x v="3"/>
    <x v="3"/>
    <x v="3"/>
  </r>
  <r>
    <x v="0"/>
    <x v="7"/>
    <x v="8"/>
    <x v="5"/>
    <x v="4"/>
    <x v="4"/>
    <x v="4"/>
  </r>
  <r>
    <x v="0"/>
    <x v="1"/>
    <x v="7"/>
    <x v="8"/>
    <x v="8"/>
    <x v="7"/>
    <x v="7"/>
  </r>
  <r>
    <x v="0"/>
    <x v="2"/>
    <x v="3"/>
    <x v="6"/>
    <x v="5"/>
    <x v="5"/>
    <x v="5"/>
  </r>
  <r>
    <x v="0"/>
    <x v="7"/>
    <x v="8"/>
    <x v="5"/>
    <x v="4"/>
    <x v="4"/>
    <x v="4"/>
  </r>
  <r>
    <x v="0"/>
    <x v="1"/>
    <x v="1"/>
    <x v="4"/>
    <x v="4"/>
    <x v="4"/>
    <x v="4"/>
  </r>
  <r>
    <x v="0"/>
    <x v="1"/>
    <x v="3"/>
    <x v="3"/>
    <x v="2"/>
    <x v="2"/>
    <x v="2"/>
  </r>
  <r>
    <x v="0"/>
    <x v="4"/>
    <x v="5"/>
    <x v="6"/>
    <x v="5"/>
    <x v="5"/>
    <x v="5"/>
  </r>
  <r>
    <x v="0"/>
    <x v="1"/>
    <x v="1"/>
    <x v="1"/>
    <x v="2"/>
    <x v="2"/>
    <x v="2"/>
  </r>
  <r>
    <x v="0"/>
    <x v="3"/>
    <x v="4"/>
    <x v="4"/>
    <x v="3"/>
    <x v="3"/>
    <x v="3"/>
  </r>
  <r>
    <x v="0"/>
    <x v="1"/>
    <x v="1"/>
    <x v="8"/>
    <x v="8"/>
    <x v="7"/>
    <x v="7"/>
  </r>
  <r>
    <x v="0"/>
    <x v="1"/>
    <x v="1"/>
    <x v="1"/>
    <x v="3"/>
    <x v="3"/>
    <x v="3"/>
  </r>
  <r>
    <x v="3"/>
    <x v="0"/>
    <x v="0"/>
    <x v="0"/>
    <x v="9"/>
    <x v="0"/>
    <x v="0"/>
  </r>
  <r>
    <x v="0"/>
    <x v="1"/>
    <x v="1"/>
    <x v="5"/>
    <x v="4"/>
    <x v="5"/>
    <x v="5"/>
  </r>
  <r>
    <x v="6"/>
    <x v="4"/>
    <x v="5"/>
    <x v="6"/>
    <x v="5"/>
    <x v="5"/>
    <x v="5"/>
  </r>
  <r>
    <x v="1"/>
    <x v="5"/>
    <x v="2"/>
    <x v="2"/>
    <x v="5"/>
    <x v="5"/>
    <x v="5"/>
  </r>
  <r>
    <x v="0"/>
    <x v="1"/>
    <x v="3"/>
    <x v="3"/>
    <x v="4"/>
    <x v="4"/>
    <x v="4"/>
  </r>
  <r>
    <x v="3"/>
    <x v="0"/>
    <x v="0"/>
    <x v="9"/>
    <x v="9"/>
    <x v="9"/>
    <x v="8"/>
  </r>
  <r>
    <x v="3"/>
    <x v="0"/>
    <x v="0"/>
    <x v="0"/>
    <x v="0"/>
    <x v="0"/>
    <x v="0"/>
  </r>
  <r>
    <x v="0"/>
    <x v="1"/>
    <x v="1"/>
    <x v="5"/>
    <x v="4"/>
    <x v="4"/>
    <x v="4"/>
  </r>
  <r>
    <x v="6"/>
    <x v="4"/>
    <x v="5"/>
    <x v="6"/>
    <x v="5"/>
    <x v="5"/>
    <x v="5"/>
  </r>
  <r>
    <x v="0"/>
    <x v="1"/>
    <x v="1"/>
    <x v="0"/>
    <x v="9"/>
    <x v="0"/>
    <x v="0"/>
  </r>
  <r>
    <x v="0"/>
    <x v="7"/>
    <x v="8"/>
    <x v="2"/>
    <x v="1"/>
    <x v="1"/>
    <x v="1"/>
  </r>
  <r>
    <x v="2"/>
    <x v="3"/>
    <x v="4"/>
    <x v="4"/>
    <x v="3"/>
    <x v="4"/>
    <x v="4"/>
  </r>
  <r>
    <x v="0"/>
    <x v="1"/>
    <x v="1"/>
    <x v="1"/>
    <x v="6"/>
    <x v="3"/>
    <x v="3"/>
  </r>
  <r>
    <x v="0"/>
    <x v="2"/>
    <x v="3"/>
    <x v="3"/>
    <x v="2"/>
    <x v="2"/>
    <x v="2"/>
  </r>
  <r>
    <x v="0"/>
    <x v="1"/>
    <x v="8"/>
    <x v="5"/>
    <x v="3"/>
    <x v="5"/>
    <x v="5"/>
  </r>
  <r>
    <x v="0"/>
    <x v="7"/>
    <x v="8"/>
    <x v="5"/>
    <x v="4"/>
    <x v="4"/>
    <x v="4"/>
  </r>
  <r>
    <x v="0"/>
    <x v="1"/>
    <x v="1"/>
    <x v="1"/>
    <x v="4"/>
    <x v="4"/>
    <x v="4"/>
  </r>
  <r>
    <x v="0"/>
    <x v="1"/>
    <x v="3"/>
    <x v="5"/>
    <x v="5"/>
    <x v="2"/>
    <x v="2"/>
  </r>
  <r>
    <x v="6"/>
    <x v="4"/>
    <x v="5"/>
    <x v="6"/>
    <x v="5"/>
    <x v="5"/>
    <x v="5"/>
  </r>
  <r>
    <x v="0"/>
    <x v="1"/>
    <x v="1"/>
    <x v="1"/>
    <x v="6"/>
    <x v="3"/>
    <x v="3"/>
  </r>
  <r>
    <x v="1"/>
    <x v="5"/>
    <x v="2"/>
    <x v="6"/>
    <x v="5"/>
    <x v="5"/>
    <x v="5"/>
  </r>
  <r>
    <x v="0"/>
    <x v="1"/>
    <x v="1"/>
    <x v="1"/>
    <x v="6"/>
    <x v="8"/>
    <x v="2"/>
  </r>
  <r>
    <x v="0"/>
    <x v="1"/>
    <x v="5"/>
    <x v="6"/>
    <x v="5"/>
    <x v="5"/>
    <x v="5"/>
  </r>
  <r>
    <x v="0"/>
    <x v="1"/>
    <x v="5"/>
    <x v="6"/>
    <x v="5"/>
    <x v="5"/>
    <x v="5"/>
  </r>
  <r>
    <x v="0"/>
    <x v="1"/>
    <x v="1"/>
    <x v="1"/>
    <x v="6"/>
    <x v="8"/>
    <x v="2"/>
  </r>
  <r>
    <x v="0"/>
    <x v="1"/>
    <x v="1"/>
    <x v="1"/>
    <x v="6"/>
    <x v="3"/>
    <x v="4"/>
  </r>
  <r>
    <x v="0"/>
    <x v="1"/>
    <x v="8"/>
    <x v="5"/>
    <x v="4"/>
    <x v="4"/>
    <x v="4"/>
  </r>
  <r>
    <x v="0"/>
    <x v="1"/>
    <x v="1"/>
    <x v="1"/>
    <x v="6"/>
    <x v="5"/>
    <x v="5"/>
  </r>
  <r>
    <x v="0"/>
    <x v="1"/>
    <x v="1"/>
    <x v="1"/>
    <x v="4"/>
    <x v="4"/>
    <x v="4"/>
  </r>
  <r>
    <x v="0"/>
    <x v="1"/>
    <x v="1"/>
    <x v="1"/>
    <x v="6"/>
    <x v="4"/>
    <x v="4"/>
  </r>
  <r>
    <x v="4"/>
    <x v="6"/>
    <x v="5"/>
    <x v="6"/>
    <x v="5"/>
    <x v="5"/>
    <x v="5"/>
  </r>
  <r>
    <x v="0"/>
    <x v="2"/>
    <x v="3"/>
    <x v="3"/>
    <x v="2"/>
    <x v="2"/>
    <x v="2"/>
  </r>
  <r>
    <x v="0"/>
    <x v="7"/>
    <x v="8"/>
    <x v="5"/>
    <x v="4"/>
    <x v="4"/>
    <x v="4"/>
  </r>
  <r>
    <x v="0"/>
    <x v="1"/>
    <x v="1"/>
    <x v="4"/>
    <x v="3"/>
    <x v="3"/>
    <x v="3"/>
  </r>
  <r>
    <x v="0"/>
    <x v="1"/>
    <x v="1"/>
    <x v="1"/>
    <x v="4"/>
    <x v="5"/>
    <x v="5"/>
  </r>
  <r>
    <x v="0"/>
    <x v="1"/>
    <x v="1"/>
    <x v="2"/>
    <x v="1"/>
    <x v="1"/>
    <x v="1"/>
  </r>
  <r>
    <x v="0"/>
    <x v="7"/>
    <x v="8"/>
    <x v="5"/>
    <x v="4"/>
    <x v="4"/>
    <x v="4"/>
  </r>
  <r>
    <x v="7"/>
    <x v="2"/>
    <x v="3"/>
    <x v="3"/>
    <x v="5"/>
    <x v="5"/>
    <x v="5"/>
  </r>
  <r>
    <x v="0"/>
    <x v="1"/>
    <x v="1"/>
    <x v="5"/>
    <x v="4"/>
    <x v="4"/>
    <x v="4"/>
  </r>
  <r>
    <x v="0"/>
    <x v="3"/>
    <x v="4"/>
    <x v="4"/>
    <x v="3"/>
    <x v="3"/>
    <x v="3"/>
  </r>
  <r>
    <x v="1"/>
    <x v="5"/>
    <x v="5"/>
    <x v="6"/>
    <x v="5"/>
    <x v="5"/>
    <x v="5"/>
  </r>
  <r>
    <x v="0"/>
    <x v="1"/>
    <x v="1"/>
    <x v="1"/>
    <x v="2"/>
    <x v="2"/>
    <x v="2"/>
  </r>
  <r>
    <x v="2"/>
    <x v="3"/>
    <x v="4"/>
    <x v="4"/>
    <x v="1"/>
    <x v="1"/>
    <x v="1"/>
  </r>
  <r>
    <x v="0"/>
    <x v="1"/>
    <x v="1"/>
    <x v="6"/>
    <x v="5"/>
    <x v="5"/>
    <x v="5"/>
  </r>
  <r>
    <x v="2"/>
    <x v="3"/>
    <x v="4"/>
    <x v="4"/>
    <x v="3"/>
    <x v="3"/>
    <x v="3"/>
  </r>
  <r>
    <x v="0"/>
    <x v="1"/>
    <x v="1"/>
    <x v="1"/>
    <x v="6"/>
    <x v="3"/>
    <x v="3"/>
  </r>
  <r>
    <x v="1"/>
    <x v="5"/>
    <x v="2"/>
    <x v="2"/>
    <x v="1"/>
    <x v="1"/>
    <x v="1"/>
  </r>
  <r>
    <x v="0"/>
    <x v="1"/>
    <x v="1"/>
    <x v="1"/>
    <x v="0"/>
    <x v="0"/>
    <x v="0"/>
  </r>
  <r>
    <x v="0"/>
    <x v="1"/>
    <x v="8"/>
    <x v="4"/>
    <x v="3"/>
    <x v="5"/>
    <x v="5"/>
  </r>
  <r>
    <x v="0"/>
    <x v="1"/>
    <x v="1"/>
    <x v="6"/>
    <x v="5"/>
    <x v="5"/>
    <x v="5"/>
  </r>
  <r>
    <x v="0"/>
    <x v="3"/>
    <x v="4"/>
    <x v="4"/>
    <x v="3"/>
    <x v="1"/>
    <x v="1"/>
  </r>
  <r>
    <x v="0"/>
    <x v="1"/>
    <x v="7"/>
    <x v="6"/>
    <x v="5"/>
    <x v="5"/>
    <x v="5"/>
  </r>
  <r>
    <x v="0"/>
    <x v="1"/>
    <x v="1"/>
    <x v="2"/>
    <x v="1"/>
    <x v="1"/>
    <x v="1"/>
  </r>
  <r>
    <x v="0"/>
    <x v="1"/>
    <x v="5"/>
    <x v="6"/>
    <x v="5"/>
    <x v="5"/>
    <x v="5"/>
  </r>
  <r>
    <x v="0"/>
    <x v="1"/>
    <x v="1"/>
    <x v="1"/>
    <x v="6"/>
    <x v="5"/>
    <x v="5"/>
  </r>
  <r>
    <x v="7"/>
    <x v="2"/>
    <x v="3"/>
    <x v="3"/>
    <x v="2"/>
    <x v="2"/>
    <x v="2"/>
  </r>
  <r>
    <x v="0"/>
    <x v="1"/>
    <x v="1"/>
    <x v="1"/>
    <x v="6"/>
    <x v="3"/>
    <x v="3"/>
  </r>
  <r>
    <x v="0"/>
    <x v="1"/>
    <x v="1"/>
    <x v="4"/>
    <x v="3"/>
    <x v="3"/>
    <x v="3"/>
  </r>
  <r>
    <x v="2"/>
    <x v="3"/>
    <x v="4"/>
    <x v="4"/>
    <x v="3"/>
    <x v="3"/>
    <x v="3"/>
  </r>
  <r>
    <x v="0"/>
    <x v="1"/>
    <x v="1"/>
    <x v="5"/>
    <x v="4"/>
    <x v="4"/>
    <x v="4"/>
  </r>
  <r>
    <x v="7"/>
    <x v="2"/>
    <x v="3"/>
    <x v="8"/>
    <x v="8"/>
    <x v="7"/>
    <x v="7"/>
  </r>
  <r>
    <x v="0"/>
    <x v="1"/>
    <x v="1"/>
    <x v="1"/>
    <x v="6"/>
    <x v="5"/>
    <x v="5"/>
  </r>
  <r>
    <x v="0"/>
    <x v="1"/>
    <x v="1"/>
    <x v="2"/>
    <x v="5"/>
    <x v="5"/>
    <x v="5"/>
  </r>
  <r>
    <x v="0"/>
    <x v="1"/>
    <x v="1"/>
    <x v="1"/>
    <x v="4"/>
    <x v="4"/>
    <x v="4"/>
  </r>
  <r>
    <x v="0"/>
    <x v="3"/>
    <x v="4"/>
    <x v="4"/>
    <x v="3"/>
    <x v="3"/>
    <x v="3"/>
  </r>
  <r>
    <x v="2"/>
    <x v="3"/>
    <x v="4"/>
    <x v="4"/>
    <x v="3"/>
    <x v="3"/>
    <x v="3"/>
  </r>
  <r>
    <x v="0"/>
    <x v="7"/>
    <x v="8"/>
    <x v="5"/>
    <x v="4"/>
    <x v="4"/>
    <x v="4"/>
  </r>
  <r>
    <x v="0"/>
    <x v="1"/>
    <x v="1"/>
    <x v="4"/>
    <x v="3"/>
    <x v="3"/>
    <x v="3"/>
  </r>
  <r>
    <x v="0"/>
    <x v="5"/>
    <x v="2"/>
    <x v="2"/>
    <x v="0"/>
    <x v="0"/>
    <x v="0"/>
  </r>
  <r>
    <x v="6"/>
    <x v="4"/>
    <x v="5"/>
    <x v="6"/>
    <x v="5"/>
    <x v="5"/>
    <x v="5"/>
  </r>
  <r>
    <x v="2"/>
    <x v="3"/>
    <x v="4"/>
    <x v="4"/>
    <x v="3"/>
    <x v="4"/>
    <x v="5"/>
  </r>
  <r>
    <x v="0"/>
    <x v="1"/>
    <x v="1"/>
    <x v="1"/>
    <x v="4"/>
    <x v="4"/>
    <x v="4"/>
  </r>
  <r>
    <x v="8"/>
    <x v="8"/>
    <x v="9"/>
    <x v="7"/>
    <x v="7"/>
    <x v="6"/>
    <x v="6"/>
  </r>
  <r>
    <x v="0"/>
    <x v="7"/>
    <x v="8"/>
    <x v="5"/>
    <x v="4"/>
    <x v="4"/>
    <x v="4"/>
  </r>
  <r>
    <x v="0"/>
    <x v="1"/>
    <x v="1"/>
    <x v="4"/>
    <x v="3"/>
    <x v="4"/>
    <x v="4"/>
  </r>
  <r>
    <x v="6"/>
    <x v="4"/>
    <x v="8"/>
    <x v="5"/>
    <x v="3"/>
    <x v="3"/>
    <x v="3"/>
  </r>
  <r>
    <x v="5"/>
    <x v="7"/>
    <x v="8"/>
    <x v="5"/>
    <x v="4"/>
    <x v="4"/>
    <x v="4"/>
  </r>
  <r>
    <x v="0"/>
    <x v="1"/>
    <x v="4"/>
    <x v="4"/>
    <x v="3"/>
    <x v="3"/>
    <x v="3"/>
  </r>
  <r>
    <x v="0"/>
    <x v="2"/>
    <x v="3"/>
    <x v="3"/>
    <x v="2"/>
    <x v="2"/>
    <x v="2"/>
  </r>
  <r>
    <x v="2"/>
    <x v="3"/>
    <x v="4"/>
    <x v="4"/>
    <x v="3"/>
    <x v="3"/>
    <x v="3"/>
  </r>
  <r>
    <x v="0"/>
    <x v="1"/>
    <x v="5"/>
    <x v="6"/>
    <x v="5"/>
    <x v="5"/>
    <x v="5"/>
  </r>
  <r>
    <x v="0"/>
    <x v="7"/>
    <x v="8"/>
    <x v="5"/>
    <x v="4"/>
    <x v="4"/>
    <x v="4"/>
  </r>
  <r>
    <x v="0"/>
    <x v="7"/>
    <x v="8"/>
    <x v="5"/>
    <x v="4"/>
    <x v="4"/>
    <x v="4"/>
  </r>
  <r>
    <x v="0"/>
    <x v="1"/>
    <x v="8"/>
    <x v="5"/>
    <x v="4"/>
    <x v="4"/>
    <x v="4"/>
  </r>
  <r>
    <x v="0"/>
    <x v="5"/>
    <x v="5"/>
    <x v="6"/>
    <x v="5"/>
    <x v="5"/>
    <x v="5"/>
  </r>
  <r>
    <x v="1"/>
    <x v="3"/>
    <x v="4"/>
    <x v="5"/>
    <x v="4"/>
    <x v="4"/>
    <x v="4"/>
  </r>
  <r>
    <x v="0"/>
    <x v="1"/>
    <x v="1"/>
    <x v="2"/>
    <x v="1"/>
    <x v="4"/>
    <x v="4"/>
  </r>
  <r>
    <x v="0"/>
    <x v="7"/>
    <x v="8"/>
    <x v="5"/>
    <x v="4"/>
    <x v="4"/>
    <x v="4"/>
  </r>
  <r>
    <x v="2"/>
    <x v="3"/>
    <x v="4"/>
    <x v="4"/>
    <x v="3"/>
    <x v="4"/>
    <x v="4"/>
  </r>
  <r>
    <x v="9"/>
    <x v="9"/>
    <x v="6"/>
    <x v="9"/>
    <x v="5"/>
    <x v="5"/>
    <x v="5"/>
  </r>
  <r>
    <x v="0"/>
    <x v="7"/>
    <x v="4"/>
    <x v="4"/>
    <x v="5"/>
    <x v="5"/>
    <x v="5"/>
  </r>
  <r>
    <x v="5"/>
    <x v="7"/>
    <x v="8"/>
    <x v="4"/>
    <x v="3"/>
    <x v="3"/>
    <x v="3"/>
  </r>
  <r>
    <x v="0"/>
    <x v="1"/>
    <x v="2"/>
    <x v="2"/>
    <x v="0"/>
    <x v="0"/>
    <x v="1"/>
  </r>
  <r>
    <x v="0"/>
    <x v="1"/>
    <x v="2"/>
    <x v="0"/>
    <x v="0"/>
    <x v="0"/>
    <x v="0"/>
  </r>
  <r>
    <x v="0"/>
    <x v="7"/>
    <x v="4"/>
    <x v="4"/>
    <x v="3"/>
    <x v="3"/>
    <x v="3"/>
  </r>
  <r>
    <x v="3"/>
    <x v="0"/>
    <x v="0"/>
    <x v="0"/>
    <x v="0"/>
    <x v="0"/>
    <x v="0"/>
  </r>
  <r>
    <x v="0"/>
    <x v="3"/>
    <x v="4"/>
    <x v="4"/>
    <x v="3"/>
    <x v="3"/>
    <x v="3"/>
  </r>
  <r>
    <x v="0"/>
    <x v="5"/>
    <x v="2"/>
    <x v="2"/>
    <x v="1"/>
    <x v="1"/>
    <x v="1"/>
  </r>
  <r>
    <x v="0"/>
    <x v="1"/>
    <x v="0"/>
    <x v="0"/>
    <x v="0"/>
    <x v="0"/>
    <x v="0"/>
  </r>
  <r>
    <x v="0"/>
    <x v="1"/>
    <x v="2"/>
    <x v="2"/>
    <x v="0"/>
    <x v="0"/>
    <x v="0"/>
  </r>
  <r>
    <x v="5"/>
    <x v="7"/>
    <x v="4"/>
    <x v="4"/>
    <x v="3"/>
    <x v="3"/>
    <x v="3"/>
  </r>
  <r>
    <x v="0"/>
    <x v="1"/>
    <x v="4"/>
    <x v="4"/>
    <x v="3"/>
    <x v="3"/>
    <x v="1"/>
  </r>
  <r>
    <x v="0"/>
    <x v="1"/>
    <x v="8"/>
    <x v="5"/>
    <x v="4"/>
    <x v="4"/>
    <x v="4"/>
  </r>
  <r>
    <x v="1"/>
    <x v="5"/>
    <x v="0"/>
    <x v="0"/>
    <x v="0"/>
    <x v="1"/>
    <x v="1"/>
  </r>
  <r>
    <x v="6"/>
    <x v="4"/>
    <x v="5"/>
    <x v="6"/>
    <x v="5"/>
    <x v="5"/>
    <x v="5"/>
  </r>
  <r>
    <x v="0"/>
    <x v="1"/>
    <x v="1"/>
    <x v="5"/>
    <x v="3"/>
    <x v="3"/>
    <x v="3"/>
  </r>
  <r>
    <x v="0"/>
    <x v="2"/>
    <x v="3"/>
    <x v="8"/>
    <x v="8"/>
    <x v="7"/>
    <x v="7"/>
  </r>
  <r>
    <x v="0"/>
    <x v="1"/>
    <x v="1"/>
    <x v="0"/>
    <x v="0"/>
    <x v="0"/>
    <x v="0"/>
  </r>
  <r>
    <x v="0"/>
    <x v="7"/>
    <x v="4"/>
    <x v="4"/>
    <x v="3"/>
    <x v="3"/>
    <x v="1"/>
  </r>
  <r>
    <x v="0"/>
    <x v="8"/>
    <x v="9"/>
    <x v="7"/>
    <x v="7"/>
    <x v="6"/>
    <x v="6"/>
  </r>
  <r>
    <x v="0"/>
    <x v="3"/>
    <x v="4"/>
    <x v="5"/>
    <x v="4"/>
    <x v="4"/>
    <x v="4"/>
  </r>
  <r>
    <x v="0"/>
    <x v="1"/>
    <x v="1"/>
    <x v="1"/>
    <x v="6"/>
    <x v="4"/>
    <x v="4"/>
  </r>
  <r>
    <x v="3"/>
    <x v="0"/>
    <x v="5"/>
    <x v="6"/>
    <x v="5"/>
    <x v="5"/>
    <x v="5"/>
  </r>
  <r>
    <x v="0"/>
    <x v="3"/>
    <x v="4"/>
    <x v="2"/>
    <x v="0"/>
    <x v="0"/>
    <x v="0"/>
  </r>
  <r>
    <x v="0"/>
    <x v="1"/>
    <x v="1"/>
    <x v="2"/>
    <x v="1"/>
    <x v="1"/>
    <x v="1"/>
  </r>
  <r>
    <x v="0"/>
    <x v="7"/>
    <x v="3"/>
    <x v="3"/>
    <x v="2"/>
    <x v="2"/>
    <x v="2"/>
  </r>
  <r>
    <x v="0"/>
    <x v="1"/>
    <x v="8"/>
    <x v="4"/>
    <x v="3"/>
    <x v="3"/>
    <x v="3"/>
  </r>
  <r>
    <x v="0"/>
    <x v="1"/>
    <x v="4"/>
    <x v="4"/>
    <x v="3"/>
    <x v="1"/>
    <x v="1"/>
  </r>
  <r>
    <x v="0"/>
    <x v="1"/>
    <x v="8"/>
    <x v="5"/>
    <x v="4"/>
    <x v="4"/>
    <x v="4"/>
  </r>
  <r>
    <x v="7"/>
    <x v="2"/>
    <x v="3"/>
    <x v="3"/>
    <x v="2"/>
    <x v="2"/>
    <x v="2"/>
  </r>
  <r>
    <x v="7"/>
    <x v="2"/>
    <x v="3"/>
    <x v="3"/>
    <x v="2"/>
    <x v="2"/>
    <x v="2"/>
  </r>
  <r>
    <x v="0"/>
    <x v="1"/>
    <x v="1"/>
    <x v="1"/>
    <x v="6"/>
    <x v="8"/>
    <x v="2"/>
  </r>
  <r>
    <x v="6"/>
    <x v="4"/>
    <x v="5"/>
    <x v="6"/>
    <x v="5"/>
    <x v="5"/>
    <x v="5"/>
  </r>
  <r>
    <x v="0"/>
    <x v="5"/>
    <x v="4"/>
    <x v="6"/>
    <x v="5"/>
    <x v="5"/>
    <x v="5"/>
  </r>
  <r>
    <x v="0"/>
    <x v="1"/>
    <x v="4"/>
    <x v="4"/>
    <x v="1"/>
    <x v="0"/>
    <x v="0"/>
  </r>
  <r>
    <x v="1"/>
    <x v="3"/>
    <x v="4"/>
    <x v="6"/>
    <x v="5"/>
    <x v="5"/>
    <x v="5"/>
  </r>
  <r>
    <x v="0"/>
    <x v="1"/>
    <x v="8"/>
    <x v="5"/>
    <x v="4"/>
    <x v="4"/>
    <x v="4"/>
  </r>
  <r>
    <x v="0"/>
    <x v="7"/>
    <x v="4"/>
    <x v="2"/>
    <x v="0"/>
    <x v="0"/>
    <x v="0"/>
  </r>
  <r>
    <x v="0"/>
    <x v="4"/>
    <x v="5"/>
    <x v="6"/>
    <x v="5"/>
    <x v="5"/>
    <x v="5"/>
  </r>
  <r>
    <x v="3"/>
    <x v="0"/>
    <x v="0"/>
    <x v="0"/>
    <x v="0"/>
    <x v="0"/>
    <x v="0"/>
  </r>
  <r>
    <x v="0"/>
    <x v="1"/>
    <x v="8"/>
    <x v="5"/>
    <x v="4"/>
    <x v="4"/>
    <x v="4"/>
  </r>
  <r>
    <x v="0"/>
    <x v="1"/>
    <x v="8"/>
    <x v="4"/>
    <x v="3"/>
    <x v="3"/>
    <x v="3"/>
  </r>
  <r>
    <x v="0"/>
    <x v="1"/>
    <x v="8"/>
    <x v="5"/>
    <x v="4"/>
    <x v="4"/>
    <x v="4"/>
  </r>
  <r>
    <x v="0"/>
    <x v="1"/>
    <x v="1"/>
    <x v="5"/>
    <x v="4"/>
    <x v="4"/>
    <x v="4"/>
  </r>
  <r>
    <x v="0"/>
    <x v="1"/>
    <x v="1"/>
    <x v="1"/>
    <x v="3"/>
    <x v="3"/>
    <x v="3"/>
  </r>
  <r>
    <x v="0"/>
    <x v="1"/>
    <x v="7"/>
    <x v="8"/>
    <x v="8"/>
    <x v="7"/>
    <x v="7"/>
  </r>
  <r>
    <x v="2"/>
    <x v="3"/>
    <x v="5"/>
    <x v="6"/>
    <x v="5"/>
    <x v="5"/>
    <x v="5"/>
  </r>
  <r>
    <x v="2"/>
    <x v="3"/>
    <x v="4"/>
    <x v="4"/>
    <x v="3"/>
    <x v="1"/>
    <x v="1"/>
  </r>
  <r>
    <x v="0"/>
    <x v="1"/>
    <x v="1"/>
    <x v="2"/>
    <x v="5"/>
    <x v="5"/>
    <x v="5"/>
  </r>
  <r>
    <x v="0"/>
    <x v="1"/>
    <x v="9"/>
    <x v="7"/>
    <x v="7"/>
    <x v="6"/>
    <x v="6"/>
  </r>
  <r>
    <x v="0"/>
    <x v="1"/>
    <x v="0"/>
    <x v="0"/>
    <x v="9"/>
    <x v="9"/>
    <x v="8"/>
  </r>
  <r>
    <x v="6"/>
    <x v="4"/>
    <x v="5"/>
    <x v="6"/>
    <x v="5"/>
    <x v="5"/>
    <x v="5"/>
  </r>
  <r>
    <x v="0"/>
    <x v="1"/>
    <x v="1"/>
    <x v="3"/>
    <x v="5"/>
    <x v="5"/>
    <x v="5"/>
  </r>
  <r>
    <x v="5"/>
    <x v="4"/>
    <x v="5"/>
    <x v="6"/>
    <x v="5"/>
    <x v="5"/>
    <x v="5"/>
  </r>
  <r>
    <x v="0"/>
    <x v="1"/>
    <x v="1"/>
    <x v="1"/>
    <x v="6"/>
    <x v="8"/>
    <x v="3"/>
  </r>
  <r>
    <x v="0"/>
    <x v="1"/>
    <x v="4"/>
    <x v="4"/>
    <x v="3"/>
    <x v="3"/>
    <x v="3"/>
  </r>
  <r>
    <x v="2"/>
    <x v="3"/>
    <x v="4"/>
    <x v="4"/>
    <x v="5"/>
    <x v="5"/>
    <x v="5"/>
  </r>
  <r>
    <x v="0"/>
    <x v="1"/>
    <x v="1"/>
    <x v="1"/>
    <x v="1"/>
    <x v="1"/>
    <x v="1"/>
  </r>
  <r>
    <x v="0"/>
    <x v="1"/>
    <x v="7"/>
    <x v="8"/>
    <x v="8"/>
    <x v="7"/>
    <x v="2"/>
  </r>
  <r>
    <x v="0"/>
    <x v="1"/>
    <x v="2"/>
    <x v="2"/>
    <x v="1"/>
    <x v="1"/>
    <x v="1"/>
  </r>
  <r>
    <x v="2"/>
    <x v="3"/>
    <x v="4"/>
    <x v="4"/>
    <x v="3"/>
    <x v="3"/>
    <x v="3"/>
  </r>
  <r>
    <x v="0"/>
    <x v="1"/>
    <x v="1"/>
    <x v="1"/>
    <x v="4"/>
    <x v="4"/>
    <x v="4"/>
  </r>
  <r>
    <x v="0"/>
    <x v="1"/>
    <x v="1"/>
    <x v="1"/>
    <x v="6"/>
    <x v="8"/>
    <x v="2"/>
  </r>
  <r>
    <x v="2"/>
    <x v="3"/>
    <x v="5"/>
    <x v="6"/>
    <x v="5"/>
    <x v="5"/>
    <x v="5"/>
  </r>
  <r>
    <x v="0"/>
    <x v="1"/>
    <x v="4"/>
    <x v="6"/>
    <x v="5"/>
    <x v="5"/>
    <x v="5"/>
  </r>
  <r>
    <x v="0"/>
    <x v="1"/>
    <x v="4"/>
    <x v="6"/>
    <x v="5"/>
    <x v="5"/>
    <x v="5"/>
  </r>
  <r>
    <x v="3"/>
    <x v="0"/>
    <x v="0"/>
    <x v="0"/>
    <x v="0"/>
    <x v="0"/>
    <x v="0"/>
  </r>
  <r>
    <x v="0"/>
    <x v="1"/>
    <x v="1"/>
    <x v="3"/>
    <x v="4"/>
    <x v="4"/>
    <x v="4"/>
  </r>
  <r>
    <x v="9"/>
    <x v="9"/>
    <x v="6"/>
    <x v="9"/>
    <x v="9"/>
    <x v="9"/>
    <x v="8"/>
  </r>
  <r>
    <x v="0"/>
    <x v="1"/>
    <x v="1"/>
    <x v="1"/>
    <x v="6"/>
    <x v="8"/>
    <x v="1"/>
  </r>
  <r>
    <x v="0"/>
    <x v="1"/>
    <x v="1"/>
    <x v="1"/>
    <x v="6"/>
    <x v="3"/>
    <x v="3"/>
  </r>
  <r>
    <x v="0"/>
    <x v="1"/>
    <x v="9"/>
    <x v="7"/>
    <x v="7"/>
    <x v="6"/>
    <x v="6"/>
  </r>
  <r>
    <x v="0"/>
    <x v="5"/>
    <x v="2"/>
    <x v="2"/>
    <x v="1"/>
    <x v="3"/>
    <x v="3"/>
  </r>
  <r>
    <x v="0"/>
    <x v="1"/>
    <x v="1"/>
    <x v="1"/>
    <x v="3"/>
    <x v="3"/>
    <x v="3"/>
  </r>
  <r>
    <x v="9"/>
    <x v="4"/>
    <x v="5"/>
    <x v="6"/>
    <x v="5"/>
    <x v="5"/>
    <x v="5"/>
  </r>
  <r>
    <x v="0"/>
    <x v="7"/>
    <x v="8"/>
    <x v="5"/>
    <x v="4"/>
    <x v="4"/>
    <x v="5"/>
  </r>
  <r>
    <x v="5"/>
    <x v="7"/>
    <x v="4"/>
    <x v="4"/>
    <x v="3"/>
    <x v="3"/>
    <x v="3"/>
  </r>
  <r>
    <x v="5"/>
    <x v="7"/>
    <x v="8"/>
    <x v="5"/>
    <x v="4"/>
    <x v="1"/>
    <x v="1"/>
  </r>
  <r>
    <x v="0"/>
    <x v="1"/>
    <x v="1"/>
    <x v="1"/>
    <x v="6"/>
    <x v="4"/>
    <x v="4"/>
  </r>
  <r>
    <x v="3"/>
    <x v="0"/>
    <x v="5"/>
    <x v="6"/>
    <x v="5"/>
    <x v="5"/>
    <x v="5"/>
  </r>
  <r>
    <x v="0"/>
    <x v="1"/>
    <x v="1"/>
    <x v="1"/>
    <x v="6"/>
    <x v="4"/>
    <x v="4"/>
  </r>
  <r>
    <x v="0"/>
    <x v="1"/>
    <x v="8"/>
    <x v="5"/>
    <x v="4"/>
    <x v="4"/>
    <x v="5"/>
  </r>
  <r>
    <x v="3"/>
    <x v="5"/>
    <x v="2"/>
    <x v="2"/>
    <x v="1"/>
    <x v="1"/>
    <x v="1"/>
  </r>
  <r>
    <x v="0"/>
    <x v="1"/>
    <x v="0"/>
    <x v="0"/>
    <x v="9"/>
    <x v="9"/>
    <x v="8"/>
  </r>
  <r>
    <x v="0"/>
    <x v="1"/>
    <x v="1"/>
    <x v="1"/>
    <x v="0"/>
    <x v="0"/>
    <x v="0"/>
  </r>
  <r>
    <x v="3"/>
    <x v="9"/>
    <x v="6"/>
    <x v="9"/>
    <x v="9"/>
    <x v="9"/>
    <x v="8"/>
  </r>
  <r>
    <x v="0"/>
    <x v="7"/>
    <x v="8"/>
    <x v="5"/>
    <x v="4"/>
    <x v="5"/>
    <x v="5"/>
  </r>
  <r>
    <x v="6"/>
    <x v="4"/>
    <x v="5"/>
    <x v="6"/>
    <x v="5"/>
    <x v="5"/>
    <x v="5"/>
  </r>
  <r>
    <x v="8"/>
    <x v="8"/>
    <x v="9"/>
    <x v="7"/>
    <x v="7"/>
    <x v="6"/>
    <x v="6"/>
  </r>
  <r>
    <x v="0"/>
    <x v="1"/>
    <x v="4"/>
    <x v="4"/>
    <x v="4"/>
    <x v="4"/>
    <x v="4"/>
  </r>
  <r>
    <x v="0"/>
    <x v="1"/>
    <x v="1"/>
    <x v="1"/>
    <x v="3"/>
    <x v="3"/>
    <x v="3"/>
  </r>
  <r>
    <x v="0"/>
    <x v="1"/>
    <x v="1"/>
    <x v="4"/>
    <x v="3"/>
    <x v="3"/>
    <x v="3"/>
  </r>
  <r>
    <x v="0"/>
    <x v="7"/>
    <x v="8"/>
    <x v="5"/>
    <x v="4"/>
    <x v="4"/>
    <x v="4"/>
  </r>
  <r>
    <x v="2"/>
    <x v="3"/>
    <x v="4"/>
    <x v="4"/>
    <x v="3"/>
    <x v="3"/>
    <x v="3"/>
  </r>
  <r>
    <x v="1"/>
    <x v="5"/>
    <x v="2"/>
    <x v="2"/>
    <x v="0"/>
    <x v="0"/>
    <x v="0"/>
  </r>
  <r>
    <x v="0"/>
    <x v="1"/>
    <x v="1"/>
    <x v="1"/>
    <x v="6"/>
    <x v="2"/>
    <x v="2"/>
  </r>
  <r>
    <x v="3"/>
    <x v="0"/>
    <x v="9"/>
    <x v="7"/>
    <x v="7"/>
    <x v="6"/>
    <x v="6"/>
  </r>
  <r>
    <x v="0"/>
    <x v="1"/>
    <x v="1"/>
    <x v="4"/>
    <x v="3"/>
    <x v="4"/>
    <x v="4"/>
  </r>
  <r>
    <x v="0"/>
    <x v="1"/>
    <x v="4"/>
    <x v="4"/>
    <x v="3"/>
    <x v="3"/>
    <x v="3"/>
  </r>
  <r>
    <x v="1"/>
    <x v="4"/>
    <x v="5"/>
    <x v="2"/>
    <x v="1"/>
    <x v="1"/>
    <x v="5"/>
  </r>
  <r>
    <x v="0"/>
    <x v="1"/>
    <x v="4"/>
    <x v="2"/>
    <x v="1"/>
    <x v="1"/>
    <x v="1"/>
  </r>
  <r>
    <x v="0"/>
    <x v="1"/>
    <x v="1"/>
    <x v="1"/>
    <x v="6"/>
    <x v="3"/>
    <x v="3"/>
  </r>
  <r>
    <x v="5"/>
    <x v="7"/>
    <x v="8"/>
    <x v="5"/>
    <x v="4"/>
    <x v="4"/>
    <x v="4"/>
  </r>
  <r>
    <x v="6"/>
    <x v="4"/>
    <x v="5"/>
    <x v="6"/>
    <x v="5"/>
    <x v="5"/>
    <x v="5"/>
  </r>
  <r>
    <x v="1"/>
    <x v="5"/>
    <x v="0"/>
    <x v="0"/>
    <x v="0"/>
    <x v="5"/>
    <x v="5"/>
  </r>
  <r>
    <x v="0"/>
    <x v="8"/>
    <x v="9"/>
    <x v="7"/>
    <x v="7"/>
    <x v="6"/>
    <x v="6"/>
  </r>
  <r>
    <x v="0"/>
    <x v="1"/>
    <x v="4"/>
    <x v="4"/>
    <x v="3"/>
    <x v="3"/>
    <x v="3"/>
  </r>
  <r>
    <x v="0"/>
    <x v="7"/>
    <x v="8"/>
    <x v="5"/>
    <x v="4"/>
    <x v="5"/>
    <x v="5"/>
  </r>
  <r>
    <x v="0"/>
    <x v="3"/>
    <x v="4"/>
    <x v="4"/>
    <x v="3"/>
    <x v="1"/>
    <x v="1"/>
  </r>
  <r>
    <x v="3"/>
    <x v="0"/>
    <x v="9"/>
    <x v="7"/>
    <x v="7"/>
    <x v="6"/>
    <x v="6"/>
  </r>
  <r>
    <x v="0"/>
    <x v="1"/>
    <x v="1"/>
    <x v="5"/>
    <x v="3"/>
    <x v="3"/>
    <x v="3"/>
  </r>
  <r>
    <x v="0"/>
    <x v="7"/>
    <x v="3"/>
    <x v="3"/>
    <x v="2"/>
    <x v="2"/>
    <x v="2"/>
  </r>
  <r>
    <x v="2"/>
    <x v="3"/>
    <x v="4"/>
    <x v="4"/>
    <x v="3"/>
    <x v="3"/>
    <x v="3"/>
  </r>
  <r>
    <x v="6"/>
    <x v="4"/>
    <x v="5"/>
    <x v="6"/>
    <x v="5"/>
    <x v="5"/>
    <x v="5"/>
  </r>
  <r>
    <x v="0"/>
    <x v="1"/>
    <x v="3"/>
    <x v="3"/>
    <x v="2"/>
    <x v="2"/>
    <x v="2"/>
  </r>
  <r>
    <x v="0"/>
    <x v="1"/>
    <x v="1"/>
    <x v="1"/>
    <x v="3"/>
    <x v="3"/>
    <x v="3"/>
  </r>
  <r>
    <x v="0"/>
    <x v="7"/>
    <x v="8"/>
    <x v="5"/>
    <x v="4"/>
    <x v="4"/>
    <x v="4"/>
  </r>
  <r>
    <x v="0"/>
    <x v="1"/>
    <x v="1"/>
    <x v="1"/>
    <x v="5"/>
    <x v="5"/>
    <x v="5"/>
  </r>
  <r>
    <x v="0"/>
    <x v="1"/>
    <x v="8"/>
    <x v="5"/>
    <x v="3"/>
    <x v="3"/>
    <x v="3"/>
  </r>
  <r>
    <x v="0"/>
    <x v="1"/>
    <x v="1"/>
    <x v="3"/>
    <x v="2"/>
    <x v="2"/>
    <x v="2"/>
  </r>
  <r>
    <x v="0"/>
    <x v="4"/>
    <x v="5"/>
    <x v="6"/>
    <x v="5"/>
    <x v="5"/>
    <x v="5"/>
  </r>
  <r>
    <x v="0"/>
    <x v="4"/>
    <x v="5"/>
    <x v="6"/>
    <x v="5"/>
    <x v="5"/>
    <x v="5"/>
  </r>
  <r>
    <x v="3"/>
    <x v="0"/>
    <x v="0"/>
    <x v="6"/>
    <x v="5"/>
    <x v="5"/>
    <x v="5"/>
  </r>
  <r>
    <x v="0"/>
    <x v="1"/>
    <x v="1"/>
    <x v="8"/>
    <x v="8"/>
    <x v="7"/>
    <x v="7"/>
  </r>
  <r>
    <x v="6"/>
    <x v="4"/>
    <x v="5"/>
    <x v="6"/>
    <x v="5"/>
    <x v="5"/>
    <x v="5"/>
  </r>
  <r>
    <x v="0"/>
    <x v="6"/>
    <x v="7"/>
    <x v="8"/>
    <x v="8"/>
    <x v="7"/>
    <x v="7"/>
  </r>
  <r>
    <x v="5"/>
    <x v="2"/>
    <x v="3"/>
    <x v="3"/>
    <x v="5"/>
    <x v="5"/>
    <x v="5"/>
  </r>
  <r>
    <x v="5"/>
    <x v="7"/>
    <x v="3"/>
    <x v="3"/>
    <x v="2"/>
    <x v="2"/>
    <x v="2"/>
  </r>
  <r>
    <x v="0"/>
    <x v="2"/>
    <x v="3"/>
    <x v="3"/>
    <x v="2"/>
    <x v="2"/>
    <x v="2"/>
  </r>
  <r>
    <x v="0"/>
    <x v="1"/>
    <x v="1"/>
    <x v="1"/>
    <x v="6"/>
    <x v="2"/>
    <x v="2"/>
  </r>
  <r>
    <x v="5"/>
    <x v="7"/>
    <x v="4"/>
    <x v="4"/>
    <x v="1"/>
    <x v="1"/>
    <x v="1"/>
  </r>
  <r>
    <x v="0"/>
    <x v="1"/>
    <x v="1"/>
    <x v="1"/>
    <x v="3"/>
    <x v="3"/>
    <x v="3"/>
  </r>
  <r>
    <x v="0"/>
    <x v="1"/>
    <x v="1"/>
    <x v="1"/>
    <x v="3"/>
    <x v="3"/>
    <x v="3"/>
  </r>
  <r>
    <x v="0"/>
    <x v="1"/>
    <x v="1"/>
    <x v="1"/>
    <x v="2"/>
    <x v="2"/>
    <x v="2"/>
  </r>
  <r>
    <x v="0"/>
    <x v="7"/>
    <x v="8"/>
    <x v="5"/>
    <x v="4"/>
    <x v="4"/>
    <x v="4"/>
  </r>
  <r>
    <x v="0"/>
    <x v="1"/>
    <x v="1"/>
    <x v="1"/>
    <x v="2"/>
    <x v="5"/>
    <x v="5"/>
  </r>
  <r>
    <x v="0"/>
    <x v="7"/>
    <x v="3"/>
    <x v="3"/>
    <x v="2"/>
    <x v="2"/>
    <x v="2"/>
  </r>
  <r>
    <x v="0"/>
    <x v="4"/>
    <x v="5"/>
    <x v="6"/>
    <x v="5"/>
    <x v="5"/>
    <x v="5"/>
  </r>
  <r>
    <x v="0"/>
    <x v="1"/>
    <x v="1"/>
    <x v="6"/>
    <x v="5"/>
    <x v="5"/>
    <x v="5"/>
  </r>
  <r>
    <x v="0"/>
    <x v="1"/>
    <x v="1"/>
    <x v="1"/>
    <x v="6"/>
    <x v="8"/>
    <x v="1"/>
  </r>
  <r>
    <x v="3"/>
    <x v="0"/>
    <x v="0"/>
    <x v="0"/>
    <x v="0"/>
    <x v="0"/>
    <x v="8"/>
  </r>
  <r>
    <x v="5"/>
    <x v="7"/>
    <x v="8"/>
    <x v="5"/>
    <x v="4"/>
    <x v="4"/>
    <x v="4"/>
  </r>
  <r>
    <x v="0"/>
    <x v="1"/>
    <x v="1"/>
    <x v="5"/>
    <x v="4"/>
    <x v="4"/>
    <x v="4"/>
  </r>
  <r>
    <x v="5"/>
    <x v="7"/>
    <x v="8"/>
    <x v="5"/>
    <x v="4"/>
    <x v="4"/>
    <x v="4"/>
  </r>
  <r>
    <x v="7"/>
    <x v="2"/>
    <x v="3"/>
    <x v="5"/>
    <x v="2"/>
    <x v="2"/>
    <x v="2"/>
  </r>
  <r>
    <x v="0"/>
    <x v="7"/>
    <x v="8"/>
    <x v="3"/>
    <x v="2"/>
    <x v="5"/>
    <x v="5"/>
  </r>
  <r>
    <x v="0"/>
    <x v="7"/>
    <x v="8"/>
    <x v="5"/>
    <x v="4"/>
    <x v="4"/>
    <x v="4"/>
  </r>
  <r>
    <x v="0"/>
    <x v="0"/>
    <x v="2"/>
    <x v="2"/>
    <x v="1"/>
    <x v="1"/>
    <x v="1"/>
  </r>
  <r>
    <x v="0"/>
    <x v="1"/>
    <x v="1"/>
    <x v="1"/>
    <x v="6"/>
    <x v="1"/>
    <x v="1"/>
  </r>
  <r>
    <x v="6"/>
    <x v="4"/>
    <x v="5"/>
    <x v="6"/>
    <x v="5"/>
    <x v="5"/>
    <x v="5"/>
  </r>
  <r>
    <x v="0"/>
    <x v="3"/>
    <x v="8"/>
    <x v="5"/>
    <x v="4"/>
    <x v="4"/>
    <x v="4"/>
  </r>
  <r>
    <x v="0"/>
    <x v="1"/>
    <x v="1"/>
    <x v="5"/>
    <x v="4"/>
    <x v="4"/>
    <x v="4"/>
  </r>
  <r>
    <x v="0"/>
    <x v="1"/>
    <x v="3"/>
    <x v="3"/>
    <x v="2"/>
    <x v="2"/>
    <x v="2"/>
  </r>
  <r>
    <x v="5"/>
    <x v="7"/>
    <x v="8"/>
    <x v="5"/>
    <x v="4"/>
    <x v="5"/>
    <x v="5"/>
  </r>
  <r>
    <x v="0"/>
    <x v="1"/>
    <x v="1"/>
    <x v="6"/>
    <x v="5"/>
    <x v="5"/>
    <x v="5"/>
  </r>
  <r>
    <x v="2"/>
    <x v="3"/>
    <x v="4"/>
    <x v="4"/>
    <x v="3"/>
    <x v="4"/>
    <x v="4"/>
  </r>
  <r>
    <x v="6"/>
    <x v="4"/>
    <x v="5"/>
    <x v="6"/>
    <x v="5"/>
    <x v="5"/>
    <x v="5"/>
  </r>
  <r>
    <x v="2"/>
    <x v="3"/>
    <x v="4"/>
    <x v="4"/>
    <x v="3"/>
    <x v="3"/>
    <x v="4"/>
  </r>
  <r>
    <x v="0"/>
    <x v="2"/>
    <x v="3"/>
    <x v="3"/>
    <x v="2"/>
    <x v="2"/>
    <x v="2"/>
  </r>
  <r>
    <x v="0"/>
    <x v="2"/>
    <x v="3"/>
    <x v="3"/>
    <x v="2"/>
    <x v="2"/>
    <x v="2"/>
  </r>
  <r>
    <x v="8"/>
    <x v="8"/>
    <x v="9"/>
    <x v="7"/>
    <x v="7"/>
    <x v="6"/>
    <x v="6"/>
  </r>
  <r>
    <x v="0"/>
    <x v="1"/>
    <x v="1"/>
    <x v="1"/>
    <x v="5"/>
    <x v="5"/>
    <x v="5"/>
  </r>
  <r>
    <x v="0"/>
    <x v="1"/>
    <x v="1"/>
    <x v="1"/>
    <x v="5"/>
    <x v="5"/>
    <x v="5"/>
  </r>
  <r>
    <x v="0"/>
    <x v="1"/>
    <x v="1"/>
    <x v="5"/>
    <x v="4"/>
    <x v="2"/>
    <x v="2"/>
  </r>
  <r>
    <x v="6"/>
    <x v="4"/>
    <x v="5"/>
    <x v="6"/>
    <x v="5"/>
    <x v="5"/>
    <x v="5"/>
  </r>
  <r>
    <x v="3"/>
    <x v="0"/>
    <x v="0"/>
    <x v="0"/>
    <x v="5"/>
    <x v="5"/>
    <x v="5"/>
  </r>
  <r>
    <x v="1"/>
    <x v="3"/>
    <x v="4"/>
    <x v="4"/>
    <x v="5"/>
    <x v="5"/>
    <x v="5"/>
  </r>
  <r>
    <x v="5"/>
    <x v="2"/>
    <x v="3"/>
    <x v="3"/>
    <x v="2"/>
    <x v="2"/>
    <x v="2"/>
  </r>
  <r>
    <x v="0"/>
    <x v="1"/>
    <x v="1"/>
    <x v="1"/>
    <x v="2"/>
    <x v="2"/>
    <x v="2"/>
  </r>
  <r>
    <x v="7"/>
    <x v="2"/>
    <x v="3"/>
    <x v="3"/>
    <x v="2"/>
    <x v="2"/>
    <x v="2"/>
  </r>
  <r>
    <x v="0"/>
    <x v="1"/>
    <x v="8"/>
    <x v="5"/>
    <x v="4"/>
    <x v="4"/>
    <x v="4"/>
  </r>
  <r>
    <x v="0"/>
    <x v="7"/>
    <x v="8"/>
    <x v="5"/>
    <x v="4"/>
    <x v="4"/>
    <x v="4"/>
  </r>
  <r>
    <x v="0"/>
    <x v="1"/>
    <x v="3"/>
    <x v="3"/>
    <x v="2"/>
    <x v="2"/>
    <x v="2"/>
  </r>
  <r>
    <x v="0"/>
    <x v="1"/>
    <x v="3"/>
    <x v="3"/>
    <x v="2"/>
    <x v="2"/>
    <x v="2"/>
  </r>
  <r>
    <x v="6"/>
    <x v="4"/>
    <x v="5"/>
    <x v="6"/>
    <x v="5"/>
    <x v="5"/>
    <x v="5"/>
  </r>
  <r>
    <x v="0"/>
    <x v="3"/>
    <x v="4"/>
    <x v="2"/>
    <x v="1"/>
    <x v="1"/>
    <x v="1"/>
  </r>
  <r>
    <x v="1"/>
    <x v="3"/>
    <x v="4"/>
    <x v="4"/>
    <x v="3"/>
    <x v="3"/>
    <x v="3"/>
  </r>
  <r>
    <x v="0"/>
    <x v="1"/>
    <x v="1"/>
    <x v="1"/>
    <x v="6"/>
    <x v="3"/>
    <x v="3"/>
  </r>
  <r>
    <x v="0"/>
    <x v="2"/>
    <x v="3"/>
    <x v="3"/>
    <x v="4"/>
    <x v="4"/>
    <x v="4"/>
  </r>
  <r>
    <x v="0"/>
    <x v="2"/>
    <x v="3"/>
    <x v="5"/>
    <x v="4"/>
    <x v="4"/>
    <x v="4"/>
  </r>
  <r>
    <x v="0"/>
    <x v="1"/>
    <x v="8"/>
    <x v="5"/>
    <x v="4"/>
    <x v="4"/>
    <x v="4"/>
  </r>
  <r>
    <x v="0"/>
    <x v="7"/>
    <x v="8"/>
    <x v="5"/>
    <x v="4"/>
    <x v="4"/>
    <x v="4"/>
  </r>
  <r>
    <x v="0"/>
    <x v="1"/>
    <x v="8"/>
    <x v="5"/>
    <x v="4"/>
    <x v="4"/>
    <x v="4"/>
  </r>
  <r>
    <x v="0"/>
    <x v="1"/>
    <x v="1"/>
    <x v="4"/>
    <x v="3"/>
    <x v="3"/>
    <x v="3"/>
  </r>
  <r>
    <x v="0"/>
    <x v="2"/>
    <x v="3"/>
    <x v="5"/>
    <x v="4"/>
    <x v="4"/>
    <x v="4"/>
  </r>
  <r>
    <x v="0"/>
    <x v="2"/>
    <x v="3"/>
    <x v="5"/>
    <x v="4"/>
    <x v="4"/>
    <x v="4"/>
  </r>
  <r>
    <x v="0"/>
    <x v="1"/>
    <x v="8"/>
    <x v="5"/>
    <x v="4"/>
    <x v="4"/>
    <x v="4"/>
  </r>
  <r>
    <x v="1"/>
    <x v="0"/>
    <x v="2"/>
    <x v="2"/>
    <x v="5"/>
    <x v="5"/>
    <x v="5"/>
  </r>
  <r>
    <x v="0"/>
    <x v="1"/>
    <x v="1"/>
    <x v="1"/>
    <x v="4"/>
    <x v="4"/>
    <x v="4"/>
  </r>
  <r>
    <x v="0"/>
    <x v="1"/>
    <x v="8"/>
    <x v="0"/>
    <x v="0"/>
    <x v="1"/>
    <x v="1"/>
  </r>
  <r>
    <x v="0"/>
    <x v="1"/>
    <x v="4"/>
    <x v="4"/>
    <x v="3"/>
    <x v="3"/>
    <x v="3"/>
  </r>
  <r>
    <x v="0"/>
    <x v="1"/>
    <x v="0"/>
    <x v="0"/>
    <x v="5"/>
    <x v="5"/>
    <x v="5"/>
  </r>
  <r>
    <x v="5"/>
    <x v="7"/>
    <x v="8"/>
    <x v="5"/>
    <x v="4"/>
    <x v="4"/>
    <x v="4"/>
  </r>
  <r>
    <x v="2"/>
    <x v="3"/>
    <x v="4"/>
    <x v="2"/>
    <x v="1"/>
    <x v="5"/>
    <x v="5"/>
  </r>
  <r>
    <x v="0"/>
    <x v="4"/>
    <x v="5"/>
    <x v="6"/>
    <x v="5"/>
    <x v="5"/>
    <x v="5"/>
  </r>
  <r>
    <x v="0"/>
    <x v="1"/>
    <x v="1"/>
    <x v="5"/>
    <x v="4"/>
    <x v="4"/>
    <x v="5"/>
  </r>
  <r>
    <x v="0"/>
    <x v="1"/>
    <x v="1"/>
    <x v="5"/>
    <x v="4"/>
    <x v="4"/>
    <x v="4"/>
  </r>
  <r>
    <x v="5"/>
    <x v="7"/>
    <x v="8"/>
    <x v="5"/>
    <x v="4"/>
    <x v="4"/>
    <x v="4"/>
  </r>
  <r>
    <x v="0"/>
    <x v="2"/>
    <x v="3"/>
    <x v="3"/>
    <x v="4"/>
    <x v="4"/>
    <x v="4"/>
  </r>
  <r>
    <x v="2"/>
    <x v="3"/>
    <x v="4"/>
    <x v="4"/>
    <x v="3"/>
    <x v="3"/>
    <x v="3"/>
  </r>
  <r>
    <x v="0"/>
    <x v="2"/>
    <x v="3"/>
    <x v="3"/>
    <x v="4"/>
    <x v="4"/>
    <x v="4"/>
  </r>
  <r>
    <x v="0"/>
    <x v="1"/>
    <x v="1"/>
    <x v="3"/>
    <x v="2"/>
    <x v="2"/>
    <x v="2"/>
  </r>
  <r>
    <x v="0"/>
    <x v="1"/>
    <x v="1"/>
    <x v="1"/>
    <x v="6"/>
    <x v="8"/>
    <x v="3"/>
  </r>
  <r>
    <x v="0"/>
    <x v="1"/>
    <x v="1"/>
    <x v="1"/>
    <x v="4"/>
    <x v="4"/>
    <x v="4"/>
  </r>
  <r>
    <x v="2"/>
    <x v="5"/>
    <x v="2"/>
    <x v="2"/>
    <x v="1"/>
    <x v="5"/>
    <x v="5"/>
  </r>
  <r>
    <x v="1"/>
    <x v="5"/>
    <x v="2"/>
    <x v="2"/>
    <x v="1"/>
    <x v="1"/>
    <x v="1"/>
  </r>
  <r>
    <x v="0"/>
    <x v="0"/>
    <x v="9"/>
    <x v="7"/>
    <x v="7"/>
    <x v="6"/>
    <x v="6"/>
  </r>
  <r>
    <x v="0"/>
    <x v="0"/>
    <x v="0"/>
    <x v="0"/>
    <x v="0"/>
    <x v="0"/>
    <x v="0"/>
  </r>
  <r>
    <x v="3"/>
    <x v="0"/>
    <x v="0"/>
    <x v="0"/>
    <x v="1"/>
    <x v="1"/>
    <x v="1"/>
  </r>
  <r>
    <x v="0"/>
    <x v="1"/>
    <x v="1"/>
    <x v="4"/>
    <x v="3"/>
    <x v="3"/>
    <x v="3"/>
  </r>
  <r>
    <x v="0"/>
    <x v="1"/>
    <x v="1"/>
    <x v="6"/>
    <x v="5"/>
    <x v="0"/>
    <x v="0"/>
  </r>
  <r>
    <x v="3"/>
    <x v="0"/>
    <x v="6"/>
    <x v="9"/>
    <x v="9"/>
    <x v="0"/>
    <x v="0"/>
  </r>
  <r>
    <x v="0"/>
    <x v="1"/>
    <x v="1"/>
    <x v="1"/>
    <x v="1"/>
    <x v="3"/>
    <x v="3"/>
  </r>
  <r>
    <x v="0"/>
    <x v="1"/>
    <x v="8"/>
    <x v="5"/>
    <x v="4"/>
    <x v="4"/>
    <x v="4"/>
  </r>
  <r>
    <x v="0"/>
    <x v="1"/>
    <x v="1"/>
    <x v="1"/>
    <x v="0"/>
    <x v="0"/>
    <x v="0"/>
  </r>
  <r>
    <x v="0"/>
    <x v="1"/>
    <x v="5"/>
    <x v="6"/>
    <x v="5"/>
    <x v="5"/>
    <x v="5"/>
  </r>
  <r>
    <x v="5"/>
    <x v="7"/>
    <x v="8"/>
    <x v="5"/>
    <x v="4"/>
    <x v="4"/>
    <x v="4"/>
  </r>
  <r>
    <x v="0"/>
    <x v="4"/>
    <x v="5"/>
    <x v="6"/>
    <x v="5"/>
    <x v="5"/>
    <x v="5"/>
  </r>
  <r>
    <x v="0"/>
    <x v="1"/>
    <x v="1"/>
    <x v="1"/>
    <x v="2"/>
    <x v="2"/>
    <x v="2"/>
  </r>
  <r>
    <x v="0"/>
    <x v="1"/>
    <x v="2"/>
    <x v="0"/>
    <x v="0"/>
    <x v="0"/>
    <x v="0"/>
  </r>
  <r>
    <x v="0"/>
    <x v="1"/>
    <x v="1"/>
    <x v="1"/>
    <x v="6"/>
    <x v="5"/>
    <x v="5"/>
  </r>
  <r>
    <x v="0"/>
    <x v="1"/>
    <x v="1"/>
    <x v="5"/>
    <x v="4"/>
    <x v="4"/>
    <x v="4"/>
  </r>
  <r>
    <x v="0"/>
    <x v="5"/>
    <x v="2"/>
    <x v="2"/>
    <x v="1"/>
    <x v="1"/>
    <x v="1"/>
  </r>
  <r>
    <x v="0"/>
    <x v="7"/>
    <x v="8"/>
    <x v="5"/>
    <x v="4"/>
    <x v="4"/>
    <x v="4"/>
  </r>
  <r>
    <x v="5"/>
    <x v="7"/>
    <x v="8"/>
    <x v="5"/>
    <x v="4"/>
    <x v="4"/>
    <x v="4"/>
  </r>
  <r>
    <x v="0"/>
    <x v="3"/>
    <x v="4"/>
    <x v="2"/>
    <x v="1"/>
    <x v="1"/>
    <x v="1"/>
  </r>
  <r>
    <x v="0"/>
    <x v="1"/>
    <x v="3"/>
    <x v="3"/>
    <x v="2"/>
    <x v="2"/>
    <x v="2"/>
  </r>
  <r>
    <x v="2"/>
    <x v="3"/>
    <x v="4"/>
    <x v="4"/>
    <x v="3"/>
    <x v="3"/>
    <x v="3"/>
  </r>
  <r>
    <x v="0"/>
    <x v="0"/>
    <x v="0"/>
    <x v="0"/>
    <x v="0"/>
    <x v="0"/>
    <x v="0"/>
  </r>
  <r>
    <x v="0"/>
    <x v="1"/>
    <x v="1"/>
    <x v="1"/>
    <x v="6"/>
    <x v="2"/>
    <x v="2"/>
  </r>
  <r>
    <x v="0"/>
    <x v="3"/>
    <x v="4"/>
    <x v="4"/>
    <x v="3"/>
    <x v="4"/>
    <x v="4"/>
  </r>
  <r>
    <x v="0"/>
    <x v="1"/>
    <x v="1"/>
    <x v="3"/>
    <x v="4"/>
    <x v="4"/>
    <x v="4"/>
  </r>
  <r>
    <x v="0"/>
    <x v="1"/>
    <x v="1"/>
    <x v="1"/>
    <x v="6"/>
    <x v="2"/>
    <x v="2"/>
  </r>
  <r>
    <x v="5"/>
    <x v="7"/>
    <x v="8"/>
    <x v="5"/>
    <x v="3"/>
    <x v="3"/>
    <x v="3"/>
  </r>
  <r>
    <x v="5"/>
    <x v="7"/>
    <x v="8"/>
    <x v="5"/>
    <x v="3"/>
    <x v="3"/>
    <x v="3"/>
  </r>
  <r>
    <x v="0"/>
    <x v="7"/>
    <x v="4"/>
    <x v="2"/>
    <x v="1"/>
    <x v="1"/>
    <x v="1"/>
  </r>
  <r>
    <x v="7"/>
    <x v="2"/>
    <x v="3"/>
    <x v="3"/>
    <x v="2"/>
    <x v="2"/>
    <x v="2"/>
  </r>
  <r>
    <x v="0"/>
    <x v="7"/>
    <x v="8"/>
    <x v="5"/>
    <x v="4"/>
    <x v="4"/>
    <x v="4"/>
  </r>
  <r>
    <x v="0"/>
    <x v="1"/>
    <x v="1"/>
    <x v="5"/>
    <x v="3"/>
    <x v="3"/>
    <x v="3"/>
  </r>
  <r>
    <x v="0"/>
    <x v="1"/>
    <x v="1"/>
    <x v="1"/>
    <x v="6"/>
    <x v="5"/>
    <x v="5"/>
  </r>
  <r>
    <x v="0"/>
    <x v="1"/>
    <x v="0"/>
    <x v="0"/>
    <x v="5"/>
    <x v="5"/>
    <x v="5"/>
  </r>
  <r>
    <x v="0"/>
    <x v="7"/>
    <x v="4"/>
    <x v="4"/>
    <x v="3"/>
    <x v="3"/>
    <x v="3"/>
  </r>
  <r>
    <x v="0"/>
    <x v="7"/>
    <x v="8"/>
    <x v="5"/>
    <x v="4"/>
    <x v="4"/>
    <x v="4"/>
  </r>
  <r>
    <x v="0"/>
    <x v="1"/>
    <x v="1"/>
    <x v="5"/>
    <x v="4"/>
    <x v="4"/>
    <x v="4"/>
  </r>
  <r>
    <x v="0"/>
    <x v="1"/>
    <x v="1"/>
    <x v="1"/>
    <x v="5"/>
    <x v="5"/>
    <x v="5"/>
  </r>
  <r>
    <x v="0"/>
    <x v="1"/>
    <x v="1"/>
    <x v="1"/>
    <x v="6"/>
    <x v="4"/>
    <x v="4"/>
  </r>
  <r>
    <x v="0"/>
    <x v="1"/>
    <x v="4"/>
    <x v="4"/>
    <x v="3"/>
    <x v="5"/>
    <x v="5"/>
  </r>
  <r>
    <x v="0"/>
    <x v="1"/>
    <x v="1"/>
    <x v="1"/>
    <x v="4"/>
    <x v="4"/>
    <x v="4"/>
  </r>
  <r>
    <x v="0"/>
    <x v="1"/>
    <x v="1"/>
    <x v="1"/>
    <x v="1"/>
    <x v="5"/>
    <x v="5"/>
  </r>
  <r>
    <x v="3"/>
    <x v="0"/>
    <x v="0"/>
    <x v="0"/>
    <x v="0"/>
    <x v="0"/>
    <x v="0"/>
  </r>
  <r>
    <x v="0"/>
    <x v="1"/>
    <x v="1"/>
    <x v="4"/>
    <x v="3"/>
    <x v="3"/>
    <x v="3"/>
  </r>
  <r>
    <x v="0"/>
    <x v="2"/>
    <x v="3"/>
    <x v="3"/>
    <x v="2"/>
    <x v="2"/>
    <x v="2"/>
  </r>
  <r>
    <x v="0"/>
    <x v="1"/>
    <x v="1"/>
    <x v="1"/>
    <x v="6"/>
    <x v="0"/>
    <x v="0"/>
  </r>
  <r>
    <x v="8"/>
    <x v="8"/>
    <x v="9"/>
    <x v="7"/>
    <x v="7"/>
    <x v="6"/>
    <x v="6"/>
  </r>
  <r>
    <x v="0"/>
    <x v="1"/>
    <x v="1"/>
    <x v="1"/>
    <x v="1"/>
    <x v="1"/>
    <x v="1"/>
  </r>
  <r>
    <x v="1"/>
    <x v="0"/>
    <x v="5"/>
    <x v="6"/>
    <x v="5"/>
    <x v="5"/>
    <x v="5"/>
  </r>
  <r>
    <x v="0"/>
    <x v="1"/>
    <x v="1"/>
    <x v="0"/>
    <x v="5"/>
    <x v="5"/>
    <x v="5"/>
  </r>
  <r>
    <x v="5"/>
    <x v="7"/>
    <x v="8"/>
    <x v="5"/>
    <x v="2"/>
    <x v="2"/>
    <x v="2"/>
  </r>
  <r>
    <x v="1"/>
    <x v="3"/>
    <x v="2"/>
    <x v="2"/>
    <x v="0"/>
    <x v="0"/>
    <x v="0"/>
  </r>
  <r>
    <x v="1"/>
    <x v="4"/>
    <x v="5"/>
    <x v="6"/>
    <x v="5"/>
    <x v="5"/>
    <x v="5"/>
  </r>
  <r>
    <x v="0"/>
    <x v="1"/>
    <x v="1"/>
    <x v="1"/>
    <x v="5"/>
    <x v="5"/>
    <x v="5"/>
  </r>
  <r>
    <x v="5"/>
    <x v="7"/>
    <x v="8"/>
    <x v="5"/>
    <x v="4"/>
    <x v="4"/>
    <x v="4"/>
  </r>
  <r>
    <x v="0"/>
    <x v="1"/>
    <x v="1"/>
    <x v="1"/>
    <x v="5"/>
    <x v="5"/>
    <x v="5"/>
  </r>
  <r>
    <x v="0"/>
    <x v="1"/>
    <x v="1"/>
    <x v="4"/>
    <x v="3"/>
    <x v="3"/>
    <x v="3"/>
  </r>
  <r>
    <x v="0"/>
    <x v="7"/>
    <x v="8"/>
    <x v="5"/>
    <x v="4"/>
    <x v="4"/>
    <x v="4"/>
  </r>
  <r>
    <x v="0"/>
    <x v="1"/>
    <x v="1"/>
    <x v="1"/>
    <x v="3"/>
    <x v="3"/>
    <x v="3"/>
  </r>
  <r>
    <x v="0"/>
    <x v="1"/>
    <x v="1"/>
    <x v="4"/>
    <x v="3"/>
    <x v="3"/>
    <x v="3"/>
  </r>
  <r>
    <x v="0"/>
    <x v="3"/>
    <x v="4"/>
    <x v="4"/>
    <x v="3"/>
    <x v="3"/>
    <x v="3"/>
  </r>
  <r>
    <x v="0"/>
    <x v="1"/>
    <x v="1"/>
    <x v="1"/>
    <x v="2"/>
    <x v="2"/>
    <x v="2"/>
  </r>
  <r>
    <x v="4"/>
    <x v="6"/>
    <x v="5"/>
    <x v="6"/>
    <x v="5"/>
    <x v="5"/>
    <x v="5"/>
  </r>
  <r>
    <x v="0"/>
    <x v="1"/>
    <x v="3"/>
    <x v="3"/>
    <x v="2"/>
    <x v="2"/>
    <x v="2"/>
  </r>
  <r>
    <x v="2"/>
    <x v="3"/>
    <x v="4"/>
    <x v="4"/>
    <x v="3"/>
    <x v="3"/>
    <x v="3"/>
  </r>
  <r>
    <x v="0"/>
    <x v="1"/>
    <x v="1"/>
    <x v="3"/>
    <x v="5"/>
    <x v="5"/>
    <x v="5"/>
  </r>
  <r>
    <x v="5"/>
    <x v="7"/>
    <x v="8"/>
    <x v="6"/>
    <x v="5"/>
    <x v="5"/>
    <x v="5"/>
  </r>
  <r>
    <x v="0"/>
    <x v="1"/>
    <x v="1"/>
    <x v="5"/>
    <x v="4"/>
    <x v="4"/>
    <x v="4"/>
  </r>
  <r>
    <x v="0"/>
    <x v="1"/>
    <x v="8"/>
    <x v="5"/>
    <x v="4"/>
    <x v="4"/>
    <x v="4"/>
  </r>
  <r>
    <x v="0"/>
    <x v="7"/>
    <x v="8"/>
    <x v="5"/>
    <x v="3"/>
    <x v="3"/>
    <x v="3"/>
  </r>
  <r>
    <x v="1"/>
    <x v="5"/>
    <x v="5"/>
    <x v="6"/>
    <x v="5"/>
    <x v="5"/>
    <x v="5"/>
  </r>
  <r>
    <x v="0"/>
    <x v="2"/>
    <x v="3"/>
    <x v="8"/>
    <x v="8"/>
    <x v="7"/>
    <x v="7"/>
  </r>
  <r>
    <x v="0"/>
    <x v="1"/>
    <x v="1"/>
    <x v="1"/>
    <x v="3"/>
    <x v="3"/>
    <x v="3"/>
  </r>
  <r>
    <x v="0"/>
    <x v="1"/>
    <x v="1"/>
    <x v="5"/>
    <x v="4"/>
    <x v="4"/>
    <x v="4"/>
  </r>
  <r>
    <x v="0"/>
    <x v="1"/>
    <x v="1"/>
    <x v="1"/>
    <x v="6"/>
    <x v="3"/>
    <x v="3"/>
  </r>
  <r>
    <x v="0"/>
    <x v="3"/>
    <x v="4"/>
    <x v="6"/>
    <x v="5"/>
    <x v="5"/>
    <x v="5"/>
  </r>
  <r>
    <x v="0"/>
    <x v="1"/>
    <x v="1"/>
    <x v="1"/>
    <x v="6"/>
    <x v="4"/>
    <x v="4"/>
  </r>
  <r>
    <x v="1"/>
    <x v="8"/>
    <x v="9"/>
    <x v="7"/>
    <x v="7"/>
    <x v="6"/>
    <x v="6"/>
  </r>
  <r>
    <x v="0"/>
    <x v="1"/>
    <x v="1"/>
    <x v="1"/>
    <x v="2"/>
    <x v="2"/>
    <x v="2"/>
  </r>
  <r>
    <x v="0"/>
    <x v="1"/>
    <x v="1"/>
    <x v="5"/>
    <x v="4"/>
    <x v="4"/>
    <x v="4"/>
  </r>
  <r>
    <x v="0"/>
    <x v="3"/>
    <x v="4"/>
    <x v="4"/>
    <x v="3"/>
    <x v="3"/>
    <x v="3"/>
  </r>
  <r>
    <x v="0"/>
    <x v="1"/>
    <x v="1"/>
    <x v="5"/>
    <x v="4"/>
    <x v="4"/>
    <x v="4"/>
  </r>
  <r>
    <x v="0"/>
    <x v="3"/>
    <x v="4"/>
    <x v="4"/>
    <x v="3"/>
    <x v="3"/>
    <x v="3"/>
  </r>
  <r>
    <x v="5"/>
    <x v="7"/>
    <x v="3"/>
    <x v="3"/>
    <x v="2"/>
    <x v="2"/>
    <x v="2"/>
  </r>
  <r>
    <x v="0"/>
    <x v="1"/>
    <x v="5"/>
    <x v="6"/>
    <x v="5"/>
    <x v="5"/>
    <x v="5"/>
  </r>
  <r>
    <x v="2"/>
    <x v="3"/>
    <x v="4"/>
    <x v="4"/>
    <x v="3"/>
    <x v="3"/>
    <x v="3"/>
  </r>
  <r>
    <x v="0"/>
    <x v="1"/>
    <x v="1"/>
    <x v="4"/>
    <x v="3"/>
    <x v="3"/>
    <x v="3"/>
  </r>
  <r>
    <x v="0"/>
    <x v="1"/>
    <x v="1"/>
    <x v="1"/>
    <x v="4"/>
    <x v="4"/>
    <x v="4"/>
  </r>
  <r>
    <x v="0"/>
    <x v="1"/>
    <x v="2"/>
    <x v="2"/>
    <x v="0"/>
    <x v="0"/>
    <x v="0"/>
  </r>
  <r>
    <x v="0"/>
    <x v="1"/>
    <x v="8"/>
    <x v="5"/>
    <x v="4"/>
    <x v="4"/>
    <x v="4"/>
  </r>
  <r>
    <x v="1"/>
    <x v="5"/>
    <x v="2"/>
    <x v="2"/>
    <x v="1"/>
    <x v="1"/>
    <x v="1"/>
  </r>
  <r>
    <x v="0"/>
    <x v="7"/>
    <x v="8"/>
    <x v="6"/>
    <x v="5"/>
    <x v="5"/>
    <x v="5"/>
  </r>
  <r>
    <x v="0"/>
    <x v="1"/>
    <x v="1"/>
    <x v="5"/>
    <x v="4"/>
    <x v="4"/>
    <x v="4"/>
  </r>
  <r>
    <x v="0"/>
    <x v="1"/>
    <x v="4"/>
    <x v="4"/>
    <x v="3"/>
    <x v="3"/>
    <x v="3"/>
  </r>
  <r>
    <x v="0"/>
    <x v="1"/>
    <x v="0"/>
    <x v="0"/>
    <x v="7"/>
    <x v="6"/>
    <x v="6"/>
  </r>
  <r>
    <x v="0"/>
    <x v="7"/>
    <x v="8"/>
    <x v="5"/>
    <x v="4"/>
    <x v="4"/>
    <x v="4"/>
  </r>
  <r>
    <x v="0"/>
    <x v="1"/>
    <x v="1"/>
    <x v="1"/>
    <x v="4"/>
    <x v="4"/>
    <x v="4"/>
  </r>
  <r>
    <x v="5"/>
    <x v="7"/>
    <x v="8"/>
    <x v="6"/>
    <x v="5"/>
    <x v="5"/>
    <x v="5"/>
  </r>
  <r>
    <x v="0"/>
    <x v="4"/>
    <x v="5"/>
    <x v="5"/>
    <x v="2"/>
    <x v="2"/>
    <x v="2"/>
  </r>
  <r>
    <x v="0"/>
    <x v="1"/>
    <x v="1"/>
    <x v="5"/>
    <x v="4"/>
    <x v="4"/>
    <x v="4"/>
  </r>
  <r>
    <x v="0"/>
    <x v="0"/>
    <x v="0"/>
    <x v="7"/>
    <x v="7"/>
    <x v="6"/>
    <x v="6"/>
  </r>
  <r>
    <x v="0"/>
    <x v="3"/>
    <x v="4"/>
    <x v="4"/>
    <x v="3"/>
    <x v="3"/>
    <x v="3"/>
  </r>
  <r>
    <x v="0"/>
    <x v="1"/>
    <x v="0"/>
    <x v="0"/>
    <x v="9"/>
    <x v="9"/>
    <x v="8"/>
  </r>
  <r>
    <x v="0"/>
    <x v="1"/>
    <x v="2"/>
    <x v="2"/>
    <x v="1"/>
    <x v="1"/>
    <x v="0"/>
  </r>
  <r>
    <x v="0"/>
    <x v="1"/>
    <x v="8"/>
    <x v="5"/>
    <x v="4"/>
    <x v="4"/>
    <x v="4"/>
  </r>
  <r>
    <x v="3"/>
    <x v="0"/>
    <x v="0"/>
    <x v="0"/>
    <x v="0"/>
    <x v="0"/>
    <x v="0"/>
  </r>
  <r>
    <x v="3"/>
    <x v="0"/>
    <x v="0"/>
    <x v="0"/>
    <x v="5"/>
    <x v="5"/>
    <x v="5"/>
  </r>
  <r>
    <x v="0"/>
    <x v="1"/>
    <x v="1"/>
    <x v="5"/>
    <x v="4"/>
    <x v="2"/>
    <x v="2"/>
  </r>
  <r>
    <x v="0"/>
    <x v="1"/>
    <x v="1"/>
    <x v="3"/>
    <x v="2"/>
    <x v="2"/>
    <x v="2"/>
  </r>
  <r>
    <x v="0"/>
    <x v="1"/>
    <x v="1"/>
    <x v="5"/>
    <x v="4"/>
    <x v="2"/>
    <x v="2"/>
  </r>
  <r>
    <x v="0"/>
    <x v="1"/>
    <x v="1"/>
    <x v="3"/>
    <x v="5"/>
    <x v="5"/>
    <x v="5"/>
  </r>
  <r>
    <x v="2"/>
    <x v="7"/>
    <x v="8"/>
    <x v="5"/>
    <x v="4"/>
    <x v="4"/>
    <x v="4"/>
  </r>
  <r>
    <x v="0"/>
    <x v="1"/>
    <x v="1"/>
    <x v="1"/>
    <x v="6"/>
    <x v="5"/>
    <x v="5"/>
  </r>
  <r>
    <x v="0"/>
    <x v="1"/>
    <x v="1"/>
    <x v="3"/>
    <x v="2"/>
    <x v="2"/>
    <x v="2"/>
  </r>
  <r>
    <x v="0"/>
    <x v="1"/>
    <x v="1"/>
    <x v="3"/>
    <x v="2"/>
    <x v="2"/>
    <x v="2"/>
  </r>
  <r>
    <x v="0"/>
    <x v="1"/>
    <x v="1"/>
    <x v="3"/>
    <x v="2"/>
    <x v="2"/>
    <x v="2"/>
  </r>
  <r>
    <x v="0"/>
    <x v="1"/>
    <x v="1"/>
    <x v="5"/>
    <x v="4"/>
    <x v="4"/>
    <x v="4"/>
  </r>
  <r>
    <x v="0"/>
    <x v="1"/>
    <x v="1"/>
    <x v="3"/>
    <x v="2"/>
    <x v="2"/>
    <x v="2"/>
  </r>
  <r>
    <x v="1"/>
    <x v="5"/>
    <x v="0"/>
    <x v="0"/>
    <x v="0"/>
    <x v="0"/>
    <x v="0"/>
  </r>
  <r>
    <x v="0"/>
    <x v="1"/>
    <x v="1"/>
    <x v="1"/>
    <x v="6"/>
    <x v="3"/>
    <x v="3"/>
  </r>
  <r>
    <x v="1"/>
    <x v="4"/>
    <x v="5"/>
    <x v="6"/>
    <x v="5"/>
    <x v="5"/>
    <x v="5"/>
  </r>
  <r>
    <x v="0"/>
    <x v="1"/>
    <x v="1"/>
    <x v="1"/>
    <x v="4"/>
    <x v="4"/>
    <x v="4"/>
  </r>
  <r>
    <x v="0"/>
    <x v="1"/>
    <x v="3"/>
    <x v="3"/>
    <x v="2"/>
    <x v="2"/>
    <x v="2"/>
  </r>
  <r>
    <x v="2"/>
    <x v="3"/>
    <x v="4"/>
    <x v="4"/>
    <x v="3"/>
    <x v="3"/>
    <x v="3"/>
  </r>
  <r>
    <x v="5"/>
    <x v="7"/>
    <x v="8"/>
    <x v="5"/>
    <x v="4"/>
    <x v="4"/>
    <x v="4"/>
  </r>
  <r>
    <x v="5"/>
    <x v="7"/>
    <x v="8"/>
    <x v="5"/>
    <x v="4"/>
    <x v="4"/>
    <x v="4"/>
  </r>
  <r>
    <x v="0"/>
    <x v="2"/>
    <x v="3"/>
    <x v="5"/>
    <x v="5"/>
    <x v="5"/>
    <x v="5"/>
  </r>
  <r>
    <x v="0"/>
    <x v="2"/>
    <x v="3"/>
    <x v="5"/>
    <x v="4"/>
    <x v="4"/>
    <x v="4"/>
  </r>
  <r>
    <x v="0"/>
    <x v="1"/>
    <x v="0"/>
    <x v="0"/>
    <x v="0"/>
    <x v="1"/>
    <x v="1"/>
  </r>
  <r>
    <x v="0"/>
    <x v="1"/>
    <x v="1"/>
    <x v="1"/>
    <x v="4"/>
    <x v="4"/>
    <x v="4"/>
  </r>
  <r>
    <x v="1"/>
    <x v="5"/>
    <x v="2"/>
    <x v="2"/>
    <x v="0"/>
    <x v="0"/>
    <x v="0"/>
  </r>
  <r>
    <x v="0"/>
    <x v="1"/>
    <x v="1"/>
    <x v="1"/>
    <x v="3"/>
    <x v="3"/>
    <x v="3"/>
  </r>
  <r>
    <x v="2"/>
    <x v="3"/>
    <x v="4"/>
    <x v="4"/>
    <x v="3"/>
    <x v="3"/>
    <x v="1"/>
  </r>
  <r>
    <x v="0"/>
    <x v="1"/>
    <x v="4"/>
    <x v="2"/>
    <x v="1"/>
    <x v="1"/>
    <x v="1"/>
  </r>
  <r>
    <x v="0"/>
    <x v="1"/>
    <x v="1"/>
    <x v="2"/>
    <x v="1"/>
    <x v="1"/>
    <x v="1"/>
  </r>
  <r>
    <x v="0"/>
    <x v="1"/>
    <x v="0"/>
    <x v="0"/>
    <x v="9"/>
    <x v="9"/>
    <x v="8"/>
  </r>
  <r>
    <x v="0"/>
    <x v="5"/>
    <x v="2"/>
    <x v="2"/>
    <x v="1"/>
    <x v="1"/>
    <x v="1"/>
  </r>
  <r>
    <x v="0"/>
    <x v="1"/>
    <x v="1"/>
    <x v="1"/>
    <x v="1"/>
    <x v="1"/>
    <x v="1"/>
  </r>
  <r>
    <x v="0"/>
    <x v="1"/>
    <x v="3"/>
    <x v="3"/>
    <x v="2"/>
    <x v="2"/>
    <x v="2"/>
  </r>
  <r>
    <x v="2"/>
    <x v="3"/>
    <x v="4"/>
    <x v="4"/>
    <x v="3"/>
    <x v="5"/>
    <x v="5"/>
  </r>
  <r>
    <x v="2"/>
    <x v="3"/>
    <x v="4"/>
    <x v="2"/>
    <x v="1"/>
    <x v="1"/>
    <x v="1"/>
  </r>
  <r>
    <x v="0"/>
    <x v="7"/>
    <x v="8"/>
    <x v="5"/>
    <x v="4"/>
    <x v="4"/>
    <x v="4"/>
  </r>
  <r>
    <x v="0"/>
    <x v="3"/>
    <x v="4"/>
    <x v="4"/>
    <x v="3"/>
    <x v="3"/>
    <x v="3"/>
  </r>
  <r>
    <x v="9"/>
    <x v="0"/>
    <x v="0"/>
    <x v="0"/>
    <x v="0"/>
    <x v="0"/>
    <x v="0"/>
  </r>
  <r>
    <x v="2"/>
    <x v="3"/>
    <x v="5"/>
    <x v="6"/>
    <x v="5"/>
    <x v="5"/>
    <x v="5"/>
  </r>
  <r>
    <x v="0"/>
    <x v="1"/>
    <x v="9"/>
    <x v="7"/>
    <x v="7"/>
    <x v="6"/>
    <x v="6"/>
  </r>
  <r>
    <x v="0"/>
    <x v="1"/>
    <x v="1"/>
    <x v="1"/>
    <x v="4"/>
    <x v="4"/>
    <x v="4"/>
  </r>
  <r>
    <x v="0"/>
    <x v="1"/>
    <x v="1"/>
    <x v="1"/>
    <x v="4"/>
    <x v="4"/>
    <x v="4"/>
  </r>
  <r>
    <x v="0"/>
    <x v="1"/>
    <x v="1"/>
    <x v="4"/>
    <x v="3"/>
    <x v="3"/>
    <x v="3"/>
  </r>
  <r>
    <x v="0"/>
    <x v="5"/>
    <x v="4"/>
    <x v="4"/>
    <x v="3"/>
    <x v="3"/>
    <x v="3"/>
  </r>
  <r>
    <x v="0"/>
    <x v="1"/>
    <x v="1"/>
    <x v="1"/>
    <x v="6"/>
    <x v="4"/>
    <x v="4"/>
  </r>
  <r>
    <x v="2"/>
    <x v="3"/>
    <x v="4"/>
    <x v="2"/>
    <x v="9"/>
    <x v="9"/>
    <x v="8"/>
  </r>
  <r>
    <x v="2"/>
    <x v="3"/>
    <x v="4"/>
    <x v="4"/>
    <x v="3"/>
    <x v="3"/>
    <x v="3"/>
  </r>
  <r>
    <x v="3"/>
    <x v="9"/>
    <x v="6"/>
    <x v="6"/>
    <x v="5"/>
    <x v="5"/>
    <x v="5"/>
  </r>
  <r>
    <x v="0"/>
    <x v="1"/>
    <x v="4"/>
    <x v="4"/>
    <x v="3"/>
    <x v="3"/>
    <x v="3"/>
  </r>
  <r>
    <x v="0"/>
    <x v="1"/>
    <x v="3"/>
    <x v="3"/>
    <x v="2"/>
    <x v="2"/>
    <x v="2"/>
  </r>
  <r>
    <x v="0"/>
    <x v="1"/>
    <x v="4"/>
    <x v="4"/>
    <x v="3"/>
    <x v="3"/>
    <x v="3"/>
  </r>
  <r>
    <x v="1"/>
    <x v="5"/>
    <x v="2"/>
    <x v="2"/>
    <x v="1"/>
    <x v="1"/>
    <x v="1"/>
  </r>
  <r>
    <x v="2"/>
    <x v="3"/>
    <x v="4"/>
    <x v="2"/>
    <x v="0"/>
    <x v="0"/>
    <x v="0"/>
  </r>
  <r>
    <x v="2"/>
    <x v="7"/>
    <x v="8"/>
    <x v="6"/>
    <x v="5"/>
    <x v="5"/>
    <x v="5"/>
  </r>
  <r>
    <x v="0"/>
    <x v="1"/>
    <x v="1"/>
    <x v="4"/>
    <x v="3"/>
    <x v="3"/>
    <x v="3"/>
  </r>
  <r>
    <x v="0"/>
    <x v="1"/>
    <x v="8"/>
    <x v="5"/>
    <x v="4"/>
    <x v="4"/>
    <x v="4"/>
  </r>
  <r>
    <x v="0"/>
    <x v="1"/>
    <x v="1"/>
    <x v="4"/>
    <x v="3"/>
    <x v="3"/>
    <x v="3"/>
  </r>
  <r>
    <x v="0"/>
    <x v="3"/>
    <x v="2"/>
    <x v="6"/>
    <x v="5"/>
    <x v="5"/>
    <x v="5"/>
  </r>
  <r>
    <x v="2"/>
    <x v="3"/>
    <x v="4"/>
    <x v="4"/>
    <x v="3"/>
    <x v="3"/>
    <x v="3"/>
  </r>
  <r>
    <x v="0"/>
    <x v="3"/>
    <x v="8"/>
    <x v="5"/>
    <x v="4"/>
    <x v="4"/>
    <x v="4"/>
  </r>
  <r>
    <x v="0"/>
    <x v="1"/>
    <x v="8"/>
    <x v="5"/>
    <x v="4"/>
    <x v="4"/>
    <x v="4"/>
  </r>
  <r>
    <x v="0"/>
    <x v="1"/>
    <x v="3"/>
    <x v="3"/>
    <x v="2"/>
    <x v="2"/>
    <x v="2"/>
  </r>
  <r>
    <x v="1"/>
    <x v="0"/>
    <x v="2"/>
    <x v="2"/>
    <x v="1"/>
    <x v="1"/>
    <x v="1"/>
  </r>
  <r>
    <x v="0"/>
    <x v="1"/>
    <x v="1"/>
    <x v="4"/>
    <x v="3"/>
    <x v="3"/>
    <x v="3"/>
  </r>
  <r>
    <x v="0"/>
    <x v="1"/>
    <x v="8"/>
    <x v="5"/>
    <x v="4"/>
    <x v="4"/>
    <x v="4"/>
  </r>
  <r>
    <x v="0"/>
    <x v="1"/>
    <x v="8"/>
    <x v="5"/>
    <x v="4"/>
    <x v="4"/>
    <x v="4"/>
  </r>
  <r>
    <x v="0"/>
    <x v="1"/>
    <x v="8"/>
    <x v="5"/>
    <x v="4"/>
    <x v="4"/>
    <x v="4"/>
  </r>
  <r>
    <x v="5"/>
    <x v="2"/>
    <x v="3"/>
    <x v="3"/>
    <x v="2"/>
    <x v="2"/>
    <x v="2"/>
  </r>
  <r>
    <x v="0"/>
    <x v="7"/>
    <x v="8"/>
    <x v="5"/>
    <x v="4"/>
    <x v="4"/>
    <x v="4"/>
  </r>
  <r>
    <x v="0"/>
    <x v="3"/>
    <x v="4"/>
    <x v="4"/>
    <x v="3"/>
    <x v="1"/>
    <x v="1"/>
  </r>
  <r>
    <x v="0"/>
    <x v="1"/>
    <x v="1"/>
    <x v="1"/>
    <x v="4"/>
    <x v="4"/>
    <x v="4"/>
  </r>
  <r>
    <x v="5"/>
    <x v="2"/>
    <x v="5"/>
    <x v="6"/>
    <x v="5"/>
    <x v="5"/>
    <x v="5"/>
  </r>
  <r>
    <x v="2"/>
    <x v="3"/>
    <x v="4"/>
    <x v="4"/>
    <x v="3"/>
    <x v="3"/>
    <x v="3"/>
  </r>
  <r>
    <x v="0"/>
    <x v="1"/>
    <x v="1"/>
    <x v="4"/>
    <x v="3"/>
    <x v="1"/>
    <x v="1"/>
  </r>
  <r>
    <x v="5"/>
    <x v="7"/>
    <x v="8"/>
    <x v="5"/>
    <x v="4"/>
    <x v="4"/>
    <x v="4"/>
  </r>
  <r>
    <x v="0"/>
    <x v="3"/>
    <x v="4"/>
    <x v="5"/>
    <x v="4"/>
    <x v="4"/>
    <x v="4"/>
  </r>
  <r>
    <x v="3"/>
    <x v="9"/>
    <x v="6"/>
    <x v="9"/>
    <x v="5"/>
    <x v="5"/>
    <x v="5"/>
  </r>
  <r>
    <x v="0"/>
    <x v="1"/>
    <x v="0"/>
    <x v="0"/>
    <x v="9"/>
    <x v="9"/>
    <x v="8"/>
  </r>
  <r>
    <x v="1"/>
    <x v="5"/>
    <x v="8"/>
    <x v="5"/>
    <x v="4"/>
    <x v="4"/>
    <x v="3"/>
  </r>
  <r>
    <x v="0"/>
    <x v="1"/>
    <x v="3"/>
    <x v="3"/>
    <x v="2"/>
    <x v="2"/>
    <x v="2"/>
  </r>
  <r>
    <x v="3"/>
    <x v="5"/>
    <x v="2"/>
    <x v="2"/>
    <x v="1"/>
    <x v="5"/>
    <x v="5"/>
  </r>
  <r>
    <x v="0"/>
    <x v="1"/>
    <x v="4"/>
    <x v="5"/>
    <x v="4"/>
    <x v="4"/>
    <x v="4"/>
  </r>
  <r>
    <x v="2"/>
    <x v="0"/>
    <x v="0"/>
    <x v="7"/>
    <x v="7"/>
    <x v="6"/>
    <x v="6"/>
  </r>
  <r>
    <x v="0"/>
    <x v="1"/>
    <x v="1"/>
    <x v="1"/>
    <x v="6"/>
    <x v="7"/>
    <x v="7"/>
  </r>
  <r>
    <x v="0"/>
    <x v="1"/>
    <x v="8"/>
    <x v="5"/>
    <x v="4"/>
    <x v="4"/>
    <x v="4"/>
  </r>
  <r>
    <x v="2"/>
    <x v="3"/>
    <x v="4"/>
    <x v="4"/>
    <x v="3"/>
    <x v="3"/>
    <x v="3"/>
  </r>
  <r>
    <x v="3"/>
    <x v="0"/>
    <x v="5"/>
    <x v="6"/>
    <x v="5"/>
    <x v="5"/>
    <x v="5"/>
  </r>
  <r>
    <x v="5"/>
    <x v="7"/>
    <x v="8"/>
    <x v="5"/>
    <x v="4"/>
    <x v="4"/>
    <x v="4"/>
  </r>
  <r>
    <x v="0"/>
    <x v="3"/>
    <x v="4"/>
    <x v="4"/>
    <x v="3"/>
    <x v="3"/>
    <x v="3"/>
  </r>
  <r>
    <x v="0"/>
    <x v="1"/>
    <x v="8"/>
    <x v="5"/>
    <x v="4"/>
    <x v="4"/>
    <x v="4"/>
  </r>
  <r>
    <x v="0"/>
    <x v="1"/>
    <x v="0"/>
    <x v="0"/>
    <x v="9"/>
    <x v="9"/>
    <x v="8"/>
  </r>
  <r>
    <x v="2"/>
    <x v="7"/>
    <x v="4"/>
    <x v="4"/>
    <x v="3"/>
    <x v="3"/>
    <x v="3"/>
  </r>
  <r>
    <x v="0"/>
    <x v="3"/>
    <x v="4"/>
    <x v="4"/>
    <x v="3"/>
    <x v="3"/>
    <x v="3"/>
  </r>
  <r>
    <x v="1"/>
    <x v="5"/>
    <x v="2"/>
    <x v="2"/>
    <x v="5"/>
    <x v="5"/>
    <x v="5"/>
  </r>
  <r>
    <x v="0"/>
    <x v="1"/>
    <x v="4"/>
    <x v="4"/>
    <x v="3"/>
    <x v="3"/>
    <x v="3"/>
  </r>
  <r>
    <x v="2"/>
    <x v="3"/>
    <x v="5"/>
    <x v="6"/>
    <x v="5"/>
    <x v="5"/>
    <x v="5"/>
  </r>
  <r>
    <x v="0"/>
    <x v="1"/>
    <x v="3"/>
    <x v="3"/>
    <x v="2"/>
    <x v="2"/>
    <x v="2"/>
  </r>
  <r>
    <x v="0"/>
    <x v="1"/>
    <x v="7"/>
    <x v="8"/>
    <x v="8"/>
    <x v="2"/>
    <x v="2"/>
  </r>
  <r>
    <x v="0"/>
    <x v="1"/>
    <x v="3"/>
    <x v="3"/>
    <x v="2"/>
    <x v="2"/>
    <x v="2"/>
  </r>
  <r>
    <x v="0"/>
    <x v="6"/>
    <x v="7"/>
    <x v="8"/>
    <x v="8"/>
    <x v="7"/>
    <x v="7"/>
  </r>
  <r>
    <x v="0"/>
    <x v="1"/>
    <x v="1"/>
    <x v="5"/>
    <x v="4"/>
    <x v="4"/>
    <x v="4"/>
  </r>
  <r>
    <x v="5"/>
    <x v="7"/>
    <x v="4"/>
    <x v="4"/>
    <x v="3"/>
    <x v="3"/>
    <x v="3"/>
  </r>
  <r>
    <x v="0"/>
    <x v="1"/>
    <x v="1"/>
    <x v="4"/>
    <x v="3"/>
    <x v="3"/>
    <x v="5"/>
  </r>
  <r>
    <x v="0"/>
    <x v="1"/>
    <x v="1"/>
    <x v="1"/>
    <x v="6"/>
    <x v="0"/>
    <x v="0"/>
  </r>
  <r>
    <x v="0"/>
    <x v="7"/>
    <x v="8"/>
    <x v="2"/>
    <x v="1"/>
    <x v="1"/>
    <x v="1"/>
  </r>
  <r>
    <x v="0"/>
    <x v="1"/>
    <x v="8"/>
    <x v="5"/>
    <x v="4"/>
    <x v="4"/>
    <x v="4"/>
  </r>
  <r>
    <x v="0"/>
    <x v="1"/>
    <x v="1"/>
    <x v="1"/>
    <x v="6"/>
    <x v="3"/>
    <x v="3"/>
  </r>
  <r>
    <x v="7"/>
    <x v="2"/>
    <x v="3"/>
    <x v="3"/>
    <x v="2"/>
    <x v="5"/>
    <x v="5"/>
  </r>
  <r>
    <x v="0"/>
    <x v="1"/>
    <x v="0"/>
    <x v="0"/>
    <x v="0"/>
    <x v="0"/>
    <x v="0"/>
  </r>
  <r>
    <x v="0"/>
    <x v="7"/>
    <x v="8"/>
    <x v="5"/>
    <x v="4"/>
    <x v="2"/>
    <x v="2"/>
  </r>
  <r>
    <x v="0"/>
    <x v="7"/>
    <x v="8"/>
    <x v="6"/>
    <x v="5"/>
    <x v="5"/>
    <x v="5"/>
  </r>
  <r>
    <x v="0"/>
    <x v="1"/>
    <x v="3"/>
    <x v="3"/>
    <x v="2"/>
    <x v="2"/>
    <x v="2"/>
  </r>
  <r>
    <x v="0"/>
    <x v="1"/>
    <x v="3"/>
    <x v="3"/>
    <x v="2"/>
    <x v="2"/>
    <x v="2"/>
  </r>
  <r>
    <x v="0"/>
    <x v="1"/>
    <x v="3"/>
    <x v="6"/>
    <x v="5"/>
    <x v="5"/>
    <x v="5"/>
  </r>
  <r>
    <x v="0"/>
    <x v="2"/>
    <x v="3"/>
    <x v="3"/>
    <x v="2"/>
    <x v="2"/>
    <x v="2"/>
  </r>
  <r>
    <x v="0"/>
    <x v="1"/>
    <x v="1"/>
    <x v="9"/>
    <x v="9"/>
    <x v="6"/>
    <x v="6"/>
  </r>
  <r>
    <x v="0"/>
    <x v="3"/>
    <x v="9"/>
    <x v="7"/>
    <x v="7"/>
    <x v="6"/>
    <x v="6"/>
  </r>
  <r>
    <x v="0"/>
    <x v="1"/>
    <x v="4"/>
    <x v="2"/>
    <x v="1"/>
    <x v="1"/>
    <x v="1"/>
  </r>
  <r>
    <x v="0"/>
    <x v="4"/>
    <x v="5"/>
    <x v="6"/>
    <x v="5"/>
    <x v="5"/>
    <x v="5"/>
  </r>
  <r>
    <x v="0"/>
    <x v="1"/>
    <x v="1"/>
    <x v="5"/>
    <x v="4"/>
    <x v="4"/>
    <x v="4"/>
  </r>
  <r>
    <x v="0"/>
    <x v="1"/>
    <x v="8"/>
    <x v="6"/>
    <x v="5"/>
    <x v="5"/>
    <x v="5"/>
  </r>
  <r>
    <x v="2"/>
    <x v="7"/>
    <x v="8"/>
    <x v="5"/>
    <x v="4"/>
    <x v="4"/>
    <x v="4"/>
  </r>
  <r>
    <x v="0"/>
    <x v="0"/>
    <x v="6"/>
    <x v="9"/>
    <x v="9"/>
    <x v="5"/>
    <x v="5"/>
  </r>
  <r>
    <x v="2"/>
    <x v="7"/>
    <x v="8"/>
    <x v="5"/>
    <x v="4"/>
    <x v="4"/>
    <x v="4"/>
  </r>
  <r>
    <x v="2"/>
    <x v="7"/>
    <x v="8"/>
    <x v="5"/>
    <x v="4"/>
    <x v="4"/>
    <x v="4"/>
  </r>
  <r>
    <x v="0"/>
    <x v="1"/>
    <x v="8"/>
    <x v="5"/>
    <x v="4"/>
    <x v="4"/>
    <x v="4"/>
  </r>
  <r>
    <x v="3"/>
    <x v="0"/>
    <x v="6"/>
    <x v="9"/>
    <x v="7"/>
    <x v="6"/>
    <x v="6"/>
  </r>
  <r>
    <x v="0"/>
    <x v="3"/>
    <x v="2"/>
    <x v="2"/>
    <x v="1"/>
    <x v="1"/>
    <x v="1"/>
  </r>
  <r>
    <x v="0"/>
    <x v="1"/>
    <x v="4"/>
    <x v="2"/>
    <x v="1"/>
    <x v="1"/>
    <x v="1"/>
  </r>
  <r>
    <x v="0"/>
    <x v="1"/>
    <x v="1"/>
    <x v="1"/>
    <x v="4"/>
    <x v="4"/>
    <x v="4"/>
  </r>
  <r>
    <x v="3"/>
    <x v="4"/>
    <x v="5"/>
    <x v="6"/>
    <x v="5"/>
    <x v="5"/>
    <x v="5"/>
  </r>
  <r>
    <x v="9"/>
    <x v="9"/>
    <x v="5"/>
    <x v="6"/>
    <x v="5"/>
    <x v="5"/>
    <x v="5"/>
  </r>
  <r>
    <x v="0"/>
    <x v="7"/>
    <x v="8"/>
    <x v="5"/>
    <x v="3"/>
    <x v="1"/>
    <x v="1"/>
  </r>
  <r>
    <x v="0"/>
    <x v="7"/>
    <x v="4"/>
    <x v="0"/>
    <x v="1"/>
    <x v="1"/>
    <x v="1"/>
  </r>
  <r>
    <x v="0"/>
    <x v="1"/>
    <x v="1"/>
    <x v="1"/>
    <x v="6"/>
    <x v="3"/>
    <x v="3"/>
  </r>
  <r>
    <x v="0"/>
    <x v="1"/>
    <x v="4"/>
    <x v="4"/>
    <x v="3"/>
    <x v="3"/>
    <x v="3"/>
  </r>
  <r>
    <x v="0"/>
    <x v="1"/>
    <x v="1"/>
    <x v="5"/>
    <x v="4"/>
    <x v="4"/>
    <x v="4"/>
  </r>
  <r>
    <x v="0"/>
    <x v="7"/>
    <x v="8"/>
    <x v="5"/>
    <x v="4"/>
    <x v="4"/>
    <x v="3"/>
  </r>
  <r>
    <x v="7"/>
    <x v="2"/>
    <x v="3"/>
    <x v="3"/>
    <x v="2"/>
    <x v="2"/>
    <x v="2"/>
  </r>
  <r>
    <x v="0"/>
    <x v="1"/>
    <x v="1"/>
    <x v="1"/>
    <x v="3"/>
    <x v="3"/>
    <x v="3"/>
  </r>
  <r>
    <x v="0"/>
    <x v="4"/>
    <x v="5"/>
    <x v="6"/>
    <x v="5"/>
    <x v="5"/>
    <x v="5"/>
  </r>
  <r>
    <x v="3"/>
    <x v="0"/>
    <x v="0"/>
    <x v="0"/>
    <x v="1"/>
    <x v="1"/>
    <x v="0"/>
  </r>
  <r>
    <x v="0"/>
    <x v="1"/>
    <x v="2"/>
    <x v="2"/>
    <x v="0"/>
    <x v="6"/>
    <x v="6"/>
  </r>
  <r>
    <x v="0"/>
    <x v="1"/>
    <x v="1"/>
    <x v="1"/>
    <x v="6"/>
    <x v="5"/>
    <x v="5"/>
  </r>
  <r>
    <x v="0"/>
    <x v="1"/>
    <x v="5"/>
    <x v="5"/>
    <x v="4"/>
    <x v="3"/>
    <x v="3"/>
  </r>
  <r>
    <x v="0"/>
    <x v="1"/>
    <x v="3"/>
    <x v="3"/>
    <x v="2"/>
    <x v="2"/>
    <x v="2"/>
  </r>
  <r>
    <x v="5"/>
    <x v="7"/>
    <x v="8"/>
    <x v="3"/>
    <x v="2"/>
    <x v="2"/>
    <x v="2"/>
  </r>
  <r>
    <x v="4"/>
    <x v="6"/>
    <x v="7"/>
    <x v="8"/>
    <x v="8"/>
    <x v="7"/>
    <x v="7"/>
  </r>
  <r>
    <x v="0"/>
    <x v="1"/>
    <x v="1"/>
    <x v="1"/>
    <x v="6"/>
    <x v="8"/>
    <x v="1"/>
  </r>
  <r>
    <x v="7"/>
    <x v="2"/>
    <x v="3"/>
    <x v="3"/>
    <x v="2"/>
    <x v="2"/>
    <x v="2"/>
  </r>
  <r>
    <x v="7"/>
    <x v="2"/>
    <x v="3"/>
    <x v="3"/>
    <x v="2"/>
    <x v="2"/>
    <x v="2"/>
  </r>
  <r>
    <x v="0"/>
    <x v="1"/>
    <x v="1"/>
    <x v="3"/>
    <x v="2"/>
    <x v="2"/>
    <x v="2"/>
  </r>
  <r>
    <x v="0"/>
    <x v="3"/>
    <x v="4"/>
    <x v="4"/>
    <x v="3"/>
    <x v="3"/>
    <x v="3"/>
  </r>
  <r>
    <x v="0"/>
    <x v="5"/>
    <x v="2"/>
    <x v="2"/>
    <x v="1"/>
    <x v="3"/>
    <x v="3"/>
  </r>
  <r>
    <x v="2"/>
    <x v="4"/>
    <x v="5"/>
    <x v="6"/>
    <x v="5"/>
    <x v="5"/>
    <x v="5"/>
  </r>
  <r>
    <x v="0"/>
    <x v="1"/>
    <x v="1"/>
    <x v="1"/>
    <x v="0"/>
    <x v="0"/>
    <x v="0"/>
  </r>
  <r>
    <x v="0"/>
    <x v="2"/>
    <x v="3"/>
    <x v="3"/>
    <x v="2"/>
    <x v="2"/>
    <x v="2"/>
  </r>
  <r>
    <x v="3"/>
    <x v="0"/>
    <x v="0"/>
    <x v="0"/>
    <x v="0"/>
    <x v="0"/>
    <x v="0"/>
  </r>
  <r>
    <x v="0"/>
    <x v="7"/>
    <x v="4"/>
    <x v="4"/>
    <x v="3"/>
    <x v="3"/>
    <x v="3"/>
  </r>
  <r>
    <x v="0"/>
    <x v="1"/>
    <x v="1"/>
    <x v="1"/>
    <x v="3"/>
    <x v="3"/>
    <x v="3"/>
  </r>
  <r>
    <x v="0"/>
    <x v="1"/>
    <x v="1"/>
    <x v="3"/>
    <x v="2"/>
    <x v="2"/>
    <x v="2"/>
  </r>
  <r>
    <x v="0"/>
    <x v="5"/>
    <x v="2"/>
    <x v="2"/>
    <x v="1"/>
    <x v="3"/>
    <x v="4"/>
  </r>
  <r>
    <x v="1"/>
    <x v="5"/>
    <x v="2"/>
    <x v="2"/>
    <x v="1"/>
    <x v="0"/>
    <x v="5"/>
  </r>
  <r>
    <x v="0"/>
    <x v="1"/>
    <x v="1"/>
    <x v="1"/>
    <x v="0"/>
    <x v="0"/>
    <x v="0"/>
  </r>
  <r>
    <x v="0"/>
    <x v="4"/>
    <x v="5"/>
    <x v="6"/>
    <x v="5"/>
    <x v="5"/>
    <x v="5"/>
  </r>
  <r>
    <x v="0"/>
    <x v="3"/>
    <x v="4"/>
    <x v="4"/>
    <x v="0"/>
    <x v="0"/>
    <x v="0"/>
  </r>
  <r>
    <x v="0"/>
    <x v="1"/>
    <x v="5"/>
    <x v="6"/>
    <x v="5"/>
    <x v="5"/>
    <x v="5"/>
  </r>
  <r>
    <x v="0"/>
    <x v="1"/>
    <x v="1"/>
    <x v="1"/>
    <x v="3"/>
    <x v="3"/>
    <x v="3"/>
  </r>
  <r>
    <x v="0"/>
    <x v="1"/>
    <x v="8"/>
    <x v="6"/>
    <x v="5"/>
    <x v="5"/>
    <x v="5"/>
  </r>
  <r>
    <x v="3"/>
    <x v="0"/>
    <x v="0"/>
    <x v="0"/>
    <x v="0"/>
    <x v="0"/>
    <x v="0"/>
  </r>
  <r>
    <x v="0"/>
    <x v="3"/>
    <x v="4"/>
    <x v="4"/>
    <x v="3"/>
    <x v="3"/>
    <x v="3"/>
  </r>
  <r>
    <x v="0"/>
    <x v="7"/>
    <x v="3"/>
    <x v="3"/>
    <x v="2"/>
    <x v="2"/>
    <x v="2"/>
  </r>
  <r>
    <x v="0"/>
    <x v="1"/>
    <x v="1"/>
    <x v="6"/>
    <x v="5"/>
    <x v="5"/>
    <x v="5"/>
  </r>
  <r>
    <x v="0"/>
    <x v="1"/>
    <x v="1"/>
    <x v="1"/>
    <x v="6"/>
    <x v="8"/>
    <x v="4"/>
  </r>
  <r>
    <x v="7"/>
    <x v="2"/>
    <x v="3"/>
    <x v="3"/>
    <x v="4"/>
    <x v="4"/>
    <x v="4"/>
  </r>
  <r>
    <x v="0"/>
    <x v="1"/>
    <x v="8"/>
    <x v="4"/>
    <x v="3"/>
    <x v="5"/>
    <x v="5"/>
  </r>
  <r>
    <x v="5"/>
    <x v="7"/>
    <x v="8"/>
    <x v="5"/>
    <x v="3"/>
    <x v="1"/>
    <x v="1"/>
  </r>
  <r>
    <x v="0"/>
    <x v="1"/>
    <x v="1"/>
    <x v="1"/>
    <x v="3"/>
    <x v="3"/>
    <x v="3"/>
  </r>
  <r>
    <x v="1"/>
    <x v="4"/>
    <x v="5"/>
    <x v="6"/>
    <x v="5"/>
    <x v="5"/>
    <x v="5"/>
  </r>
  <r>
    <x v="0"/>
    <x v="1"/>
    <x v="1"/>
    <x v="4"/>
    <x v="3"/>
    <x v="3"/>
    <x v="3"/>
  </r>
  <r>
    <x v="0"/>
    <x v="1"/>
    <x v="0"/>
    <x v="0"/>
    <x v="0"/>
    <x v="0"/>
    <x v="8"/>
  </r>
  <r>
    <x v="5"/>
    <x v="4"/>
    <x v="5"/>
    <x v="6"/>
    <x v="5"/>
    <x v="5"/>
    <x v="5"/>
  </r>
  <r>
    <x v="3"/>
    <x v="0"/>
    <x v="0"/>
    <x v="0"/>
    <x v="5"/>
    <x v="5"/>
    <x v="5"/>
  </r>
  <r>
    <x v="0"/>
    <x v="1"/>
    <x v="1"/>
    <x v="1"/>
    <x v="0"/>
    <x v="0"/>
    <x v="0"/>
  </r>
  <r>
    <x v="0"/>
    <x v="1"/>
    <x v="8"/>
    <x v="4"/>
    <x v="3"/>
    <x v="3"/>
    <x v="1"/>
  </r>
  <r>
    <x v="3"/>
    <x v="0"/>
    <x v="0"/>
    <x v="0"/>
    <x v="0"/>
    <x v="0"/>
    <x v="5"/>
  </r>
  <r>
    <x v="9"/>
    <x v="9"/>
    <x v="5"/>
    <x v="6"/>
    <x v="5"/>
    <x v="5"/>
    <x v="5"/>
  </r>
  <r>
    <x v="6"/>
    <x v="4"/>
    <x v="5"/>
    <x v="6"/>
    <x v="5"/>
    <x v="5"/>
    <x v="5"/>
  </r>
  <r>
    <x v="5"/>
    <x v="7"/>
    <x v="8"/>
    <x v="5"/>
    <x v="4"/>
    <x v="4"/>
    <x v="4"/>
  </r>
  <r>
    <x v="0"/>
    <x v="4"/>
    <x v="5"/>
    <x v="6"/>
    <x v="5"/>
    <x v="5"/>
    <x v="5"/>
  </r>
  <r>
    <x v="6"/>
    <x v="4"/>
    <x v="5"/>
    <x v="6"/>
    <x v="5"/>
    <x v="5"/>
    <x v="5"/>
  </r>
  <r>
    <x v="1"/>
    <x v="5"/>
    <x v="2"/>
    <x v="2"/>
    <x v="1"/>
    <x v="3"/>
    <x v="3"/>
  </r>
  <r>
    <x v="2"/>
    <x v="3"/>
    <x v="4"/>
    <x v="2"/>
    <x v="0"/>
    <x v="0"/>
    <x v="0"/>
  </r>
  <r>
    <x v="0"/>
    <x v="1"/>
    <x v="1"/>
    <x v="3"/>
    <x v="2"/>
    <x v="2"/>
    <x v="2"/>
  </r>
  <r>
    <x v="0"/>
    <x v="3"/>
    <x v="4"/>
    <x v="4"/>
    <x v="3"/>
    <x v="3"/>
    <x v="3"/>
  </r>
  <r>
    <x v="0"/>
    <x v="0"/>
    <x v="0"/>
    <x v="0"/>
    <x v="0"/>
    <x v="0"/>
    <x v="0"/>
  </r>
  <r>
    <x v="0"/>
    <x v="1"/>
    <x v="1"/>
    <x v="9"/>
    <x v="9"/>
    <x v="9"/>
    <x v="8"/>
  </r>
  <r>
    <x v="0"/>
    <x v="1"/>
    <x v="2"/>
    <x v="4"/>
    <x v="3"/>
    <x v="3"/>
    <x v="3"/>
  </r>
  <r>
    <x v="0"/>
    <x v="1"/>
    <x v="1"/>
    <x v="1"/>
    <x v="6"/>
    <x v="5"/>
    <x v="5"/>
  </r>
  <r>
    <x v="0"/>
    <x v="4"/>
    <x v="5"/>
    <x v="6"/>
    <x v="5"/>
    <x v="5"/>
    <x v="5"/>
  </r>
  <r>
    <x v="1"/>
    <x v="5"/>
    <x v="2"/>
    <x v="2"/>
    <x v="1"/>
    <x v="1"/>
    <x v="1"/>
  </r>
  <r>
    <x v="0"/>
    <x v="1"/>
    <x v="1"/>
    <x v="1"/>
    <x v="6"/>
    <x v="4"/>
    <x v="4"/>
  </r>
  <r>
    <x v="0"/>
    <x v="1"/>
    <x v="1"/>
    <x v="5"/>
    <x v="4"/>
    <x v="4"/>
    <x v="4"/>
  </r>
  <r>
    <x v="0"/>
    <x v="1"/>
    <x v="5"/>
    <x v="6"/>
    <x v="5"/>
    <x v="5"/>
    <x v="5"/>
  </r>
  <r>
    <x v="0"/>
    <x v="1"/>
    <x v="4"/>
    <x v="4"/>
    <x v="3"/>
    <x v="3"/>
    <x v="3"/>
  </r>
  <r>
    <x v="8"/>
    <x v="8"/>
    <x v="9"/>
    <x v="7"/>
    <x v="7"/>
    <x v="6"/>
    <x v="6"/>
  </r>
  <r>
    <x v="0"/>
    <x v="1"/>
    <x v="1"/>
    <x v="5"/>
    <x v="4"/>
    <x v="4"/>
    <x v="4"/>
  </r>
  <r>
    <x v="0"/>
    <x v="1"/>
    <x v="6"/>
    <x v="6"/>
    <x v="5"/>
    <x v="5"/>
    <x v="5"/>
  </r>
  <r>
    <x v="7"/>
    <x v="2"/>
    <x v="3"/>
    <x v="3"/>
    <x v="2"/>
    <x v="2"/>
    <x v="2"/>
  </r>
  <r>
    <x v="0"/>
    <x v="1"/>
    <x v="1"/>
    <x v="6"/>
    <x v="5"/>
    <x v="5"/>
    <x v="5"/>
  </r>
  <r>
    <x v="0"/>
    <x v="1"/>
    <x v="3"/>
    <x v="3"/>
    <x v="4"/>
    <x v="4"/>
    <x v="5"/>
  </r>
  <r>
    <x v="0"/>
    <x v="1"/>
    <x v="2"/>
    <x v="6"/>
    <x v="0"/>
    <x v="0"/>
    <x v="0"/>
  </r>
  <r>
    <x v="3"/>
    <x v="0"/>
    <x v="0"/>
    <x v="0"/>
    <x v="9"/>
    <x v="9"/>
    <x v="8"/>
  </r>
  <r>
    <x v="0"/>
    <x v="1"/>
    <x v="9"/>
    <x v="7"/>
    <x v="7"/>
    <x v="6"/>
    <x v="6"/>
  </r>
  <r>
    <x v="0"/>
    <x v="1"/>
    <x v="1"/>
    <x v="1"/>
    <x v="6"/>
    <x v="8"/>
    <x v="5"/>
  </r>
  <r>
    <x v="0"/>
    <x v="2"/>
    <x v="3"/>
    <x v="3"/>
    <x v="2"/>
    <x v="2"/>
    <x v="2"/>
  </r>
  <r>
    <x v="0"/>
    <x v="1"/>
    <x v="5"/>
    <x v="6"/>
    <x v="5"/>
    <x v="5"/>
    <x v="5"/>
  </r>
  <r>
    <x v="0"/>
    <x v="1"/>
    <x v="3"/>
    <x v="5"/>
    <x v="4"/>
    <x v="4"/>
    <x v="4"/>
  </r>
  <r>
    <x v="0"/>
    <x v="1"/>
    <x v="4"/>
    <x v="2"/>
    <x v="1"/>
    <x v="1"/>
    <x v="1"/>
  </r>
  <r>
    <x v="3"/>
    <x v="0"/>
    <x v="0"/>
    <x v="0"/>
    <x v="0"/>
    <x v="0"/>
    <x v="0"/>
  </r>
  <r>
    <x v="0"/>
    <x v="1"/>
    <x v="1"/>
    <x v="4"/>
    <x v="3"/>
    <x v="3"/>
    <x v="3"/>
  </r>
  <r>
    <x v="0"/>
    <x v="2"/>
    <x v="3"/>
    <x v="8"/>
    <x v="8"/>
    <x v="7"/>
    <x v="7"/>
  </r>
  <r>
    <x v="0"/>
    <x v="2"/>
    <x v="3"/>
    <x v="8"/>
    <x v="8"/>
    <x v="7"/>
    <x v="7"/>
  </r>
  <r>
    <x v="0"/>
    <x v="0"/>
    <x v="0"/>
    <x v="6"/>
    <x v="5"/>
    <x v="5"/>
    <x v="5"/>
  </r>
  <r>
    <x v="0"/>
    <x v="5"/>
    <x v="5"/>
    <x v="6"/>
    <x v="5"/>
    <x v="5"/>
    <x v="5"/>
  </r>
  <r>
    <x v="0"/>
    <x v="3"/>
    <x v="4"/>
    <x v="4"/>
    <x v="3"/>
    <x v="3"/>
    <x v="3"/>
  </r>
  <r>
    <x v="2"/>
    <x v="3"/>
    <x v="4"/>
    <x v="4"/>
    <x v="3"/>
    <x v="3"/>
    <x v="3"/>
  </r>
  <r>
    <x v="0"/>
    <x v="1"/>
    <x v="4"/>
    <x v="4"/>
    <x v="3"/>
    <x v="3"/>
    <x v="1"/>
  </r>
  <r>
    <x v="5"/>
    <x v="7"/>
    <x v="4"/>
    <x v="2"/>
    <x v="1"/>
    <x v="1"/>
    <x v="1"/>
  </r>
  <r>
    <x v="5"/>
    <x v="2"/>
    <x v="3"/>
    <x v="3"/>
    <x v="2"/>
    <x v="2"/>
    <x v="2"/>
  </r>
  <r>
    <x v="0"/>
    <x v="1"/>
    <x v="1"/>
    <x v="3"/>
    <x v="2"/>
    <x v="2"/>
    <x v="2"/>
  </r>
  <r>
    <x v="0"/>
    <x v="1"/>
    <x v="5"/>
    <x v="6"/>
    <x v="5"/>
    <x v="5"/>
    <x v="5"/>
  </r>
  <r>
    <x v="5"/>
    <x v="7"/>
    <x v="8"/>
    <x v="5"/>
    <x v="4"/>
    <x v="4"/>
    <x v="4"/>
  </r>
  <r>
    <x v="0"/>
    <x v="1"/>
    <x v="1"/>
    <x v="6"/>
    <x v="5"/>
    <x v="5"/>
    <x v="5"/>
  </r>
  <r>
    <x v="7"/>
    <x v="2"/>
    <x v="3"/>
    <x v="3"/>
    <x v="2"/>
    <x v="2"/>
    <x v="2"/>
  </r>
  <r>
    <x v="5"/>
    <x v="7"/>
    <x v="8"/>
    <x v="5"/>
    <x v="4"/>
    <x v="4"/>
    <x v="4"/>
  </r>
  <r>
    <x v="0"/>
    <x v="1"/>
    <x v="1"/>
    <x v="3"/>
    <x v="2"/>
    <x v="2"/>
    <x v="2"/>
  </r>
  <r>
    <x v="0"/>
    <x v="1"/>
    <x v="1"/>
    <x v="3"/>
    <x v="2"/>
    <x v="2"/>
    <x v="2"/>
  </r>
  <r>
    <x v="9"/>
    <x v="4"/>
    <x v="5"/>
    <x v="6"/>
    <x v="5"/>
    <x v="5"/>
    <x v="5"/>
  </r>
  <r>
    <x v="0"/>
    <x v="2"/>
    <x v="3"/>
    <x v="3"/>
    <x v="2"/>
    <x v="2"/>
    <x v="2"/>
  </r>
  <r>
    <x v="5"/>
    <x v="7"/>
    <x v="8"/>
    <x v="5"/>
    <x v="4"/>
    <x v="4"/>
    <x v="4"/>
  </r>
  <r>
    <x v="0"/>
    <x v="1"/>
    <x v="1"/>
    <x v="1"/>
    <x v="6"/>
    <x v="3"/>
    <x v="3"/>
  </r>
  <r>
    <x v="0"/>
    <x v="1"/>
    <x v="1"/>
    <x v="6"/>
    <x v="5"/>
    <x v="5"/>
    <x v="5"/>
  </r>
  <r>
    <x v="5"/>
    <x v="7"/>
    <x v="8"/>
    <x v="5"/>
    <x v="4"/>
    <x v="4"/>
    <x v="4"/>
  </r>
  <r>
    <x v="6"/>
    <x v="4"/>
    <x v="5"/>
    <x v="6"/>
    <x v="5"/>
    <x v="5"/>
    <x v="5"/>
  </r>
  <r>
    <x v="6"/>
    <x v="4"/>
    <x v="5"/>
    <x v="6"/>
    <x v="5"/>
    <x v="5"/>
    <x v="5"/>
  </r>
  <r>
    <x v="0"/>
    <x v="1"/>
    <x v="1"/>
    <x v="1"/>
    <x v="4"/>
    <x v="4"/>
    <x v="4"/>
  </r>
  <r>
    <x v="0"/>
    <x v="1"/>
    <x v="3"/>
    <x v="3"/>
    <x v="2"/>
    <x v="2"/>
    <x v="2"/>
  </r>
  <r>
    <x v="0"/>
    <x v="2"/>
    <x v="3"/>
    <x v="3"/>
    <x v="2"/>
    <x v="2"/>
    <x v="2"/>
  </r>
  <r>
    <x v="0"/>
    <x v="4"/>
    <x v="5"/>
    <x v="6"/>
    <x v="5"/>
    <x v="5"/>
    <x v="5"/>
  </r>
  <r>
    <x v="0"/>
    <x v="1"/>
    <x v="1"/>
    <x v="3"/>
    <x v="2"/>
    <x v="2"/>
    <x v="2"/>
  </r>
  <r>
    <x v="0"/>
    <x v="1"/>
    <x v="1"/>
    <x v="1"/>
    <x v="6"/>
    <x v="2"/>
    <x v="2"/>
  </r>
  <r>
    <x v="0"/>
    <x v="7"/>
    <x v="8"/>
    <x v="3"/>
    <x v="5"/>
    <x v="5"/>
    <x v="5"/>
  </r>
  <r>
    <x v="0"/>
    <x v="1"/>
    <x v="1"/>
    <x v="3"/>
    <x v="5"/>
    <x v="5"/>
    <x v="5"/>
  </r>
  <r>
    <x v="0"/>
    <x v="1"/>
    <x v="1"/>
    <x v="3"/>
    <x v="2"/>
    <x v="2"/>
    <x v="2"/>
  </r>
  <r>
    <x v="0"/>
    <x v="1"/>
    <x v="1"/>
    <x v="1"/>
    <x v="6"/>
    <x v="5"/>
    <x v="5"/>
  </r>
  <r>
    <x v="5"/>
    <x v="7"/>
    <x v="8"/>
    <x v="5"/>
    <x v="2"/>
    <x v="2"/>
    <x v="2"/>
  </r>
  <r>
    <x v="0"/>
    <x v="2"/>
    <x v="3"/>
    <x v="3"/>
    <x v="8"/>
    <x v="7"/>
    <x v="7"/>
  </r>
  <r>
    <x v="0"/>
    <x v="7"/>
    <x v="8"/>
    <x v="5"/>
    <x v="4"/>
    <x v="4"/>
    <x v="4"/>
  </r>
  <r>
    <x v="0"/>
    <x v="1"/>
    <x v="3"/>
    <x v="3"/>
    <x v="2"/>
    <x v="5"/>
    <x v="5"/>
  </r>
  <r>
    <x v="0"/>
    <x v="1"/>
    <x v="1"/>
    <x v="3"/>
    <x v="2"/>
    <x v="2"/>
    <x v="2"/>
  </r>
  <r>
    <x v="0"/>
    <x v="1"/>
    <x v="1"/>
    <x v="3"/>
    <x v="2"/>
    <x v="2"/>
    <x v="2"/>
  </r>
  <r>
    <x v="3"/>
    <x v="0"/>
    <x v="0"/>
    <x v="0"/>
    <x v="0"/>
    <x v="0"/>
    <x v="0"/>
  </r>
  <r>
    <x v="0"/>
    <x v="7"/>
    <x v="8"/>
    <x v="6"/>
    <x v="5"/>
    <x v="5"/>
    <x v="5"/>
  </r>
  <r>
    <x v="6"/>
    <x v="4"/>
    <x v="5"/>
    <x v="6"/>
    <x v="5"/>
    <x v="5"/>
    <x v="5"/>
  </r>
  <r>
    <x v="0"/>
    <x v="7"/>
    <x v="8"/>
    <x v="3"/>
    <x v="2"/>
    <x v="2"/>
    <x v="2"/>
  </r>
  <r>
    <x v="0"/>
    <x v="5"/>
    <x v="0"/>
    <x v="0"/>
    <x v="0"/>
    <x v="0"/>
    <x v="0"/>
  </r>
  <r>
    <x v="0"/>
    <x v="1"/>
    <x v="2"/>
    <x v="0"/>
    <x v="9"/>
    <x v="9"/>
    <x v="8"/>
  </r>
  <r>
    <x v="0"/>
    <x v="7"/>
    <x v="8"/>
    <x v="5"/>
    <x v="4"/>
    <x v="4"/>
    <x v="4"/>
  </r>
  <r>
    <x v="1"/>
    <x v="5"/>
    <x v="4"/>
    <x v="4"/>
    <x v="3"/>
    <x v="3"/>
    <x v="3"/>
  </r>
  <r>
    <x v="0"/>
    <x v="1"/>
    <x v="5"/>
    <x v="6"/>
    <x v="5"/>
    <x v="5"/>
    <x v="5"/>
  </r>
  <r>
    <x v="0"/>
    <x v="3"/>
    <x v="4"/>
    <x v="2"/>
    <x v="0"/>
    <x v="0"/>
    <x v="0"/>
  </r>
  <r>
    <x v="0"/>
    <x v="7"/>
    <x v="8"/>
    <x v="5"/>
    <x v="4"/>
    <x v="4"/>
    <x v="4"/>
  </r>
  <r>
    <x v="1"/>
    <x v="5"/>
    <x v="2"/>
    <x v="2"/>
    <x v="1"/>
    <x v="1"/>
    <x v="1"/>
  </r>
  <r>
    <x v="0"/>
    <x v="1"/>
    <x v="1"/>
    <x v="2"/>
    <x v="5"/>
    <x v="5"/>
    <x v="5"/>
  </r>
  <r>
    <x v="0"/>
    <x v="7"/>
    <x v="8"/>
    <x v="5"/>
    <x v="4"/>
    <x v="4"/>
    <x v="4"/>
  </r>
  <r>
    <x v="2"/>
    <x v="3"/>
    <x v="4"/>
    <x v="4"/>
    <x v="3"/>
    <x v="3"/>
    <x v="3"/>
  </r>
  <r>
    <x v="0"/>
    <x v="1"/>
    <x v="1"/>
    <x v="1"/>
    <x v="6"/>
    <x v="5"/>
    <x v="5"/>
  </r>
  <r>
    <x v="2"/>
    <x v="3"/>
    <x v="4"/>
    <x v="4"/>
    <x v="3"/>
    <x v="3"/>
    <x v="3"/>
  </r>
  <r>
    <x v="3"/>
    <x v="0"/>
    <x v="2"/>
    <x v="2"/>
    <x v="1"/>
    <x v="1"/>
    <x v="1"/>
  </r>
  <r>
    <x v="5"/>
    <x v="7"/>
    <x v="8"/>
    <x v="4"/>
    <x v="3"/>
    <x v="5"/>
    <x v="5"/>
  </r>
  <r>
    <x v="2"/>
    <x v="5"/>
    <x v="2"/>
    <x v="9"/>
    <x v="9"/>
    <x v="9"/>
    <x v="8"/>
  </r>
  <r>
    <x v="0"/>
    <x v="1"/>
    <x v="2"/>
    <x v="0"/>
    <x v="0"/>
    <x v="0"/>
    <x v="1"/>
  </r>
  <r>
    <x v="0"/>
    <x v="1"/>
    <x v="1"/>
    <x v="1"/>
    <x v="6"/>
    <x v="4"/>
    <x v="4"/>
  </r>
  <r>
    <x v="0"/>
    <x v="1"/>
    <x v="1"/>
    <x v="5"/>
    <x v="4"/>
    <x v="2"/>
    <x v="2"/>
  </r>
  <r>
    <x v="0"/>
    <x v="1"/>
    <x v="8"/>
    <x v="5"/>
    <x v="3"/>
    <x v="3"/>
    <x v="3"/>
  </r>
  <r>
    <x v="0"/>
    <x v="1"/>
    <x v="1"/>
    <x v="5"/>
    <x v="4"/>
    <x v="4"/>
    <x v="4"/>
  </r>
  <r>
    <x v="0"/>
    <x v="1"/>
    <x v="1"/>
    <x v="4"/>
    <x v="3"/>
    <x v="3"/>
    <x v="3"/>
  </r>
  <r>
    <x v="0"/>
    <x v="7"/>
    <x v="8"/>
    <x v="4"/>
    <x v="3"/>
    <x v="3"/>
    <x v="5"/>
  </r>
  <r>
    <x v="0"/>
    <x v="7"/>
    <x v="8"/>
    <x v="5"/>
    <x v="4"/>
    <x v="4"/>
    <x v="5"/>
  </r>
  <r>
    <x v="0"/>
    <x v="2"/>
    <x v="3"/>
    <x v="5"/>
    <x v="4"/>
    <x v="4"/>
    <x v="4"/>
  </r>
  <r>
    <x v="0"/>
    <x v="2"/>
    <x v="3"/>
    <x v="5"/>
    <x v="4"/>
    <x v="4"/>
    <x v="4"/>
  </r>
  <r>
    <x v="0"/>
    <x v="2"/>
    <x v="3"/>
    <x v="5"/>
    <x v="4"/>
    <x v="4"/>
    <x v="4"/>
  </r>
  <r>
    <x v="0"/>
    <x v="1"/>
    <x v="1"/>
    <x v="4"/>
    <x v="3"/>
    <x v="3"/>
    <x v="3"/>
  </r>
  <r>
    <x v="0"/>
    <x v="1"/>
    <x v="8"/>
    <x v="5"/>
    <x v="4"/>
    <x v="4"/>
    <x v="4"/>
  </r>
  <r>
    <x v="0"/>
    <x v="1"/>
    <x v="4"/>
    <x v="2"/>
    <x v="1"/>
    <x v="1"/>
    <x v="3"/>
  </r>
  <r>
    <x v="0"/>
    <x v="1"/>
    <x v="6"/>
    <x v="6"/>
    <x v="5"/>
    <x v="5"/>
    <x v="5"/>
  </r>
  <r>
    <x v="0"/>
    <x v="2"/>
    <x v="3"/>
    <x v="3"/>
    <x v="2"/>
    <x v="2"/>
    <x v="2"/>
  </r>
  <r>
    <x v="1"/>
    <x v="5"/>
    <x v="2"/>
    <x v="2"/>
    <x v="1"/>
    <x v="1"/>
    <x v="1"/>
  </r>
  <r>
    <x v="0"/>
    <x v="1"/>
    <x v="1"/>
    <x v="5"/>
    <x v="4"/>
    <x v="4"/>
    <x v="4"/>
  </r>
  <r>
    <x v="0"/>
    <x v="2"/>
    <x v="3"/>
    <x v="6"/>
    <x v="5"/>
    <x v="5"/>
    <x v="5"/>
  </r>
  <r>
    <x v="0"/>
    <x v="1"/>
    <x v="4"/>
    <x v="4"/>
    <x v="3"/>
    <x v="3"/>
    <x v="3"/>
  </r>
  <r>
    <x v="0"/>
    <x v="1"/>
    <x v="1"/>
    <x v="6"/>
    <x v="5"/>
    <x v="5"/>
    <x v="5"/>
  </r>
  <r>
    <x v="5"/>
    <x v="7"/>
    <x v="8"/>
    <x v="6"/>
    <x v="5"/>
    <x v="5"/>
    <x v="5"/>
  </r>
  <r>
    <x v="0"/>
    <x v="7"/>
    <x v="8"/>
    <x v="5"/>
    <x v="4"/>
    <x v="4"/>
    <x v="4"/>
  </r>
  <r>
    <x v="0"/>
    <x v="7"/>
    <x v="8"/>
    <x v="4"/>
    <x v="3"/>
    <x v="3"/>
    <x v="3"/>
  </r>
  <r>
    <x v="0"/>
    <x v="1"/>
    <x v="1"/>
    <x v="1"/>
    <x v="6"/>
    <x v="3"/>
    <x v="3"/>
  </r>
  <r>
    <x v="0"/>
    <x v="1"/>
    <x v="1"/>
    <x v="1"/>
    <x v="4"/>
    <x v="3"/>
    <x v="3"/>
  </r>
  <r>
    <x v="0"/>
    <x v="4"/>
    <x v="5"/>
    <x v="6"/>
    <x v="5"/>
    <x v="5"/>
    <x v="5"/>
  </r>
  <r>
    <x v="0"/>
    <x v="1"/>
    <x v="1"/>
    <x v="1"/>
    <x v="6"/>
    <x v="3"/>
    <x v="3"/>
  </r>
  <r>
    <x v="0"/>
    <x v="1"/>
    <x v="1"/>
    <x v="1"/>
    <x v="4"/>
    <x v="3"/>
    <x v="3"/>
  </r>
  <r>
    <x v="0"/>
    <x v="3"/>
    <x v="4"/>
    <x v="4"/>
    <x v="3"/>
    <x v="3"/>
    <x v="3"/>
  </r>
  <r>
    <x v="1"/>
    <x v="5"/>
    <x v="2"/>
    <x v="6"/>
    <x v="5"/>
    <x v="5"/>
    <x v="5"/>
  </r>
  <r>
    <x v="0"/>
    <x v="2"/>
    <x v="3"/>
    <x v="5"/>
    <x v="4"/>
    <x v="4"/>
    <x v="4"/>
  </r>
  <r>
    <x v="0"/>
    <x v="7"/>
    <x v="8"/>
    <x v="5"/>
    <x v="4"/>
    <x v="4"/>
    <x v="4"/>
  </r>
  <r>
    <x v="0"/>
    <x v="2"/>
    <x v="3"/>
    <x v="5"/>
    <x v="5"/>
    <x v="5"/>
    <x v="5"/>
  </r>
  <r>
    <x v="0"/>
    <x v="2"/>
    <x v="3"/>
    <x v="6"/>
    <x v="5"/>
    <x v="5"/>
    <x v="5"/>
  </r>
  <r>
    <x v="0"/>
    <x v="2"/>
    <x v="3"/>
    <x v="5"/>
    <x v="5"/>
    <x v="5"/>
    <x v="5"/>
  </r>
  <r>
    <x v="0"/>
    <x v="1"/>
    <x v="1"/>
    <x v="1"/>
    <x v="3"/>
    <x v="3"/>
    <x v="3"/>
  </r>
  <r>
    <x v="0"/>
    <x v="2"/>
    <x v="3"/>
    <x v="5"/>
    <x v="5"/>
    <x v="5"/>
    <x v="5"/>
  </r>
  <r>
    <x v="0"/>
    <x v="1"/>
    <x v="8"/>
    <x v="5"/>
    <x v="4"/>
    <x v="4"/>
    <x v="4"/>
  </r>
  <r>
    <x v="0"/>
    <x v="2"/>
    <x v="3"/>
    <x v="5"/>
    <x v="5"/>
    <x v="5"/>
    <x v="5"/>
  </r>
  <r>
    <x v="0"/>
    <x v="1"/>
    <x v="1"/>
    <x v="1"/>
    <x v="6"/>
    <x v="8"/>
    <x v="2"/>
  </r>
  <r>
    <x v="0"/>
    <x v="2"/>
    <x v="3"/>
    <x v="5"/>
    <x v="5"/>
    <x v="5"/>
    <x v="5"/>
  </r>
  <r>
    <x v="0"/>
    <x v="2"/>
    <x v="3"/>
    <x v="5"/>
    <x v="5"/>
    <x v="5"/>
    <x v="5"/>
  </r>
  <r>
    <x v="0"/>
    <x v="1"/>
    <x v="1"/>
    <x v="1"/>
    <x v="6"/>
    <x v="5"/>
    <x v="5"/>
  </r>
  <r>
    <x v="5"/>
    <x v="7"/>
    <x v="8"/>
    <x v="5"/>
    <x v="4"/>
    <x v="4"/>
    <x v="4"/>
  </r>
  <r>
    <x v="0"/>
    <x v="1"/>
    <x v="1"/>
    <x v="1"/>
    <x v="5"/>
    <x v="5"/>
    <x v="5"/>
  </r>
  <r>
    <x v="1"/>
    <x v="5"/>
    <x v="2"/>
    <x v="2"/>
    <x v="1"/>
    <x v="0"/>
    <x v="0"/>
  </r>
  <r>
    <x v="0"/>
    <x v="1"/>
    <x v="1"/>
    <x v="5"/>
    <x v="2"/>
    <x v="2"/>
    <x v="2"/>
  </r>
  <r>
    <x v="1"/>
    <x v="5"/>
    <x v="0"/>
    <x v="0"/>
    <x v="0"/>
    <x v="0"/>
    <x v="0"/>
  </r>
  <r>
    <x v="0"/>
    <x v="1"/>
    <x v="1"/>
    <x v="6"/>
    <x v="5"/>
    <x v="5"/>
    <x v="5"/>
  </r>
  <r>
    <x v="0"/>
    <x v="3"/>
    <x v="4"/>
    <x v="2"/>
    <x v="1"/>
    <x v="1"/>
    <x v="1"/>
  </r>
  <r>
    <x v="0"/>
    <x v="1"/>
    <x v="1"/>
    <x v="1"/>
    <x v="5"/>
    <x v="5"/>
    <x v="5"/>
  </r>
  <r>
    <x v="2"/>
    <x v="3"/>
    <x v="4"/>
    <x v="2"/>
    <x v="1"/>
    <x v="1"/>
    <x v="1"/>
  </r>
  <r>
    <x v="2"/>
    <x v="4"/>
    <x v="5"/>
    <x v="0"/>
    <x v="0"/>
    <x v="0"/>
    <x v="5"/>
  </r>
  <r>
    <x v="0"/>
    <x v="1"/>
    <x v="4"/>
    <x v="4"/>
    <x v="3"/>
    <x v="3"/>
    <x v="3"/>
  </r>
  <r>
    <x v="0"/>
    <x v="1"/>
    <x v="1"/>
    <x v="6"/>
    <x v="5"/>
    <x v="5"/>
    <x v="5"/>
  </r>
  <r>
    <x v="3"/>
    <x v="2"/>
    <x v="3"/>
    <x v="3"/>
    <x v="2"/>
    <x v="2"/>
    <x v="2"/>
  </r>
  <r>
    <x v="0"/>
    <x v="1"/>
    <x v="1"/>
    <x v="5"/>
    <x v="4"/>
    <x v="4"/>
    <x v="4"/>
  </r>
  <r>
    <x v="0"/>
    <x v="1"/>
    <x v="1"/>
    <x v="1"/>
    <x v="0"/>
    <x v="0"/>
    <x v="0"/>
  </r>
  <r>
    <x v="7"/>
    <x v="2"/>
    <x v="3"/>
    <x v="3"/>
    <x v="2"/>
    <x v="2"/>
    <x v="2"/>
  </r>
  <r>
    <x v="2"/>
    <x v="3"/>
    <x v="4"/>
    <x v="4"/>
    <x v="5"/>
    <x v="5"/>
    <x v="5"/>
  </r>
  <r>
    <x v="0"/>
    <x v="1"/>
    <x v="3"/>
    <x v="3"/>
    <x v="2"/>
    <x v="2"/>
    <x v="2"/>
  </r>
  <r>
    <x v="0"/>
    <x v="7"/>
    <x v="8"/>
    <x v="5"/>
    <x v="4"/>
    <x v="4"/>
    <x v="4"/>
  </r>
  <r>
    <x v="0"/>
    <x v="7"/>
    <x v="8"/>
    <x v="6"/>
    <x v="5"/>
    <x v="5"/>
    <x v="5"/>
  </r>
  <r>
    <x v="6"/>
    <x v="4"/>
    <x v="5"/>
    <x v="6"/>
    <x v="5"/>
    <x v="5"/>
    <x v="5"/>
  </r>
  <r>
    <x v="0"/>
    <x v="5"/>
    <x v="0"/>
    <x v="0"/>
    <x v="0"/>
    <x v="9"/>
    <x v="8"/>
  </r>
  <r>
    <x v="0"/>
    <x v="7"/>
    <x v="8"/>
    <x v="5"/>
    <x v="4"/>
    <x v="4"/>
    <x v="4"/>
  </r>
  <r>
    <x v="5"/>
    <x v="7"/>
    <x v="8"/>
    <x v="5"/>
    <x v="4"/>
    <x v="4"/>
    <x v="4"/>
  </r>
  <r>
    <x v="0"/>
    <x v="5"/>
    <x v="2"/>
    <x v="6"/>
    <x v="5"/>
    <x v="5"/>
    <x v="5"/>
  </r>
  <r>
    <x v="0"/>
    <x v="1"/>
    <x v="1"/>
    <x v="6"/>
    <x v="5"/>
    <x v="5"/>
    <x v="5"/>
  </r>
  <r>
    <x v="5"/>
    <x v="7"/>
    <x v="8"/>
    <x v="5"/>
    <x v="4"/>
    <x v="4"/>
    <x v="4"/>
  </r>
  <r>
    <x v="0"/>
    <x v="1"/>
    <x v="4"/>
    <x v="4"/>
    <x v="3"/>
    <x v="3"/>
    <x v="3"/>
  </r>
  <r>
    <x v="2"/>
    <x v="5"/>
    <x v="2"/>
    <x v="6"/>
    <x v="5"/>
    <x v="5"/>
    <x v="5"/>
  </r>
  <r>
    <x v="0"/>
    <x v="1"/>
    <x v="1"/>
    <x v="1"/>
    <x v="6"/>
    <x v="1"/>
    <x v="1"/>
  </r>
  <r>
    <x v="8"/>
    <x v="8"/>
    <x v="9"/>
    <x v="7"/>
    <x v="7"/>
    <x v="6"/>
    <x v="6"/>
  </r>
  <r>
    <x v="0"/>
    <x v="1"/>
    <x v="4"/>
    <x v="2"/>
    <x v="1"/>
    <x v="5"/>
    <x v="5"/>
  </r>
  <r>
    <x v="0"/>
    <x v="0"/>
    <x v="6"/>
    <x v="6"/>
    <x v="5"/>
    <x v="5"/>
    <x v="5"/>
  </r>
  <r>
    <x v="1"/>
    <x v="9"/>
    <x v="5"/>
    <x v="6"/>
    <x v="5"/>
    <x v="5"/>
    <x v="5"/>
  </r>
  <r>
    <x v="6"/>
    <x v="4"/>
    <x v="5"/>
    <x v="6"/>
    <x v="5"/>
    <x v="5"/>
    <x v="5"/>
  </r>
  <r>
    <x v="0"/>
    <x v="2"/>
    <x v="3"/>
    <x v="5"/>
    <x v="4"/>
    <x v="4"/>
    <x v="4"/>
  </r>
  <r>
    <x v="0"/>
    <x v="1"/>
    <x v="1"/>
    <x v="1"/>
    <x v="6"/>
    <x v="8"/>
    <x v="4"/>
  </r>
  <r>
    <x v="0"/>
    <x v="1"/>
    <x v="1"/>
    <x v="1"/>
    <x v="4"/>
    <x v="4"/>
    <x v="4"/>
  </r>
  <r>
    <x v="0"/>
    <x v="7"/>
    <x v="8"/>
    <x v="5"/>
    <x v="5"/>
    <x v="5"/>
    <x v="5"/>
  </r>
  <r>
    <x v="0"/>
    <x v="1"/>
    <x v="1"/>
    <x v="6"/>
    <x v="5"/>
    <x v="5"/>
    <x v="5"/>
  </r>
  <r>
    <x v="0"/>
    <x v="3"/>
    <x v="4"/>
    <x v="5"/>
    <x v="4"/>
    <x v="4"/>
    <x v="4"/>
  </r>
  <r>
    <x v="0"/>
    <x v="2"/>
    <x v="3"/>
    <x v="3"/>
    <x v="4"/>
    <x v="4"/>
    <x v="4"/>
  </r>
  <r>
    <x v="0"/>
    <x v="3"/>
    <x v="9"/>
    <x v="7"/>
    <x v="7"/>
    <x v="6"/>
    <x v="6"/>
  </r>
  <r>
    <x v="0"/>
    <x v="4"/>
    <x v="5"/>
    <x v="6"/>
    <x v="5"/>
    <x v="5"/>
    <x v="5"/>
  </r>
  <r>
    <x v="7"/>
    <x v="2"/>
    <x v="8"/>
    <x v="4"/>
    <x v="3"/>
    <x v="3"/>
    <x v="3"/>
  </r>
  <r>
    <x v="0"/>
    <x v="1"/>
    <x v="1"/>
    <x v="4"/>
    <x v="1"/>
    <x v="1"/>
    <x v="1"/>
  </r>
  <r>
    <x v="0"/>
    <x v="1"/>
    <x v="5"/>
    <x v="6"/>
    <x v="5"/>
    <x v="5"/>
    <x v="5"/>
  </r>
  <r>
    <x v="0"/>
    <x v="1"/>
    <x v="1"/>
    <x v="1"/>
    <x v="2"/>
    <x v="2"/>
    <x v="2"/>
  </r>
  <r>
    <x v="2"/>
    <x v="3"/>
    <x v="4"/>
    <x v="4"/>
    <x v="3"/>
    <x v="3"/>
    <x v="3"/>
  </r>
  <r>
    <x v="3"/>
    <x v="0"/>
    <x v="6"/>
    <x v="6"/>
    <x v="5"/>
    <x v="5"/>
    <x v="5"/>
  </r>
  <r>
    <x v="0"/>
    <x v="3"/>
    <x v="2"/>
    <x v="2"/>
    <x v="1"/>
    <x v="3"/>
    <x v="3"/>
  </r>
  <r>
    <x v="6"/>
    <x v="4"/>
    <x v="5"/>
    <x v="6"/>
    <x v="5"/>
    <x v="5"/>
    <x v="5"/>
  </r>
  <r>
    <x v="0"/>
    <x v="3"/>
    <x v="4"/>
    <x v="4"/>
    <x v="3"/>
    <x v="3"/>
    <x v="4"/>
  </r>
  <r>
    <x v="0"/>
    <x v="1"/>
    <x v="1"/>
    <x v="1"/>
    <x v="4"/>
    <x v="4"/>
    <x v="4"/>
  </r>
  <r>
    <x v="6"/>
    <x v="3"/>
    <x v="4"/>
    <x v="4"/>
    <x v="3"/>
    <x v="3"/>
    <x v="3"/>
  </r>
  <r>
    <x v="0"/>
    <x v="8"/>
    <x v="9"/>
    <x v="7"/>
    <x v="7"/>
    <x v="6"/>
    <x v="6"/>
  </r>
  <r>
    <x v="0"/>
    <x v="1"/>
    <x v="1"/>
    <x v="1"/>
    <x v="6"/>
    <x v="3"/>
    <x v="3"/>
  </r>
  <r>
    <x v="3"/>
    <x v="0"/>
    <x v="0"/>
    <x v="0"/>
    <x v="5"/>
    <x v="5"/>
    <x v="5"/>
  </r>
  <r>
    <x v="2"/>
    <x v="3"/>
    <x v="4"/>
    <x v="4"/>
    <x v="3"/>
    <x v="3"/>
    <x v="3"/>
  </r>
  <r>
    <x v="8"/>
    <x v="8"/>
    <x v="9"/>
    <x v="7"/>
    <x v="7"/>
    <x v="6"/>
    <x v="6"/>
  </r>
  <r>
    <x v="0"/>
    <x v="1"/>
    <x v="1"/>
    <x v="5"/>
    <x v="4"/>
    <x v="4"/>
    <x v="4"/>
  </r>
  <r>
    <x v="0"/>
    <x v="1"/>
    <x v="7"/>
    <x v="8"/>
    <x v="8"/>
    <x v="7"/>
    <x v="7"/>
  </r>
  <r>
    <x v="0"/>
    <x v="1"/>
    <x v="8"/>
    <x v="5"/>
    <x v="4"/>
    <x v="4"/>
    <x v="4"/>
  </r>
  <r>
    <x v="0"/>
    <x v="5"/>
    <x v="2"/>
    <x v="2"/>
    <x v="1"/>
    <x v="1"/>
    <x v="1"/>
  </r>
  <r>
    <x v="0"/>
    <x v="1"/>
    <x v="5"/>
    <x v="6"/>
    <x v="5"/>
    <x v="5"/>
    <x v="5"/>
  </r>
  <r>
    <x v="6"/>
    <x v="4"/>
    <x v="5"/>
    <x v="6"/>
    <x v="5"/>
    <x v="5"/>
    <x v="5"/>
  </r>
  <r>
    <x v="0"/>
    <x v="1"/>
    <x v="4"/>
    <x v="4"/>
    <x v="3"/>
    <x v="3"/>
    <x v="3"/>
  </r>
  <r>
    <x v="0"/>
    <x v="1"/>
    <x v="3"/>
    <x v="5"/>
    <x v="4"/>
    <x v="4"/>
    <x v="4"/>
  </r>
  <r>
    <x v="0"/>
    <x v="1"/>
    <x v="8"/>
    <x v="5"/>
    <x v="5"/>
    <x v="5"/>
    <x v="5"/>
  </r>
  <r>
    <x v="2"/>
    <x v="3"/>
    <x v="2"/>
    <x v="2"/>
    <x v="1"/>
    <x v="3"/>
    <x v="3"/>
  </r>
  <r>
    <x v="3"/>
    <x v="9"/>
    <x v="9"/>
    <x v="7"/>
    <x v="7"/>
    <x v="6"/>
    <x v="6"/>
  </r>
  <r>
    <x v="3"/>
    <x v="0"/>
    <x v="0"/>
    <x v="9"/>
    <x v="9"/>
    <x v="9"/>
    <x v="0"/>
  </r>
  <r>
    <x v="0"/>
    <x v="1"/>
    <x v="1"/>
    <x v="1"/>
    <x v="6"/>
    <x v="4"/>
    <x v="4"/>
  </r>
  <r>
    <x v="0"/>
    <x v="1"/>
    <x v="1"/>
    <x v="1"/>
    <x v="3"/>
    <x v="3"/>
    <x v="4"/>
  </r>
  <r>
    <x v="5"/>
    <x v="7"/>
    <x v="8"/>
    <x v="5"/>
    <x v="4"/>
    <x v="4"/>
    <x v="4"/>
  </r>
  <r>
    <x v="0"/>
    <x v="1"/>
    <x v="1"/>
    <x v="2"/>
    <x v="1"/>
    <x v="5"/>
    <x v="5"/>
  </r>
  <r>
    <x v="2"/>
    <x v="3"/>
    <x v="4"/>
    <x v="4"/>
    <x v="3"/>
    <x v="0"/>
    <x v="0"/>
  </r>
  <r>
    <x v="2"/>
    <x v="3"/>
    <x v="4"/>
    <x v="4"/>
    <x v="3"/>
    <x v="3"/>
    <x v="3"/>
  </r>
  <r>
    <x v="0"/>
    <x v="0"/>
    <x v="0"/>
    <x v="2"/>
    <x v="1"/>
    <x v="1"/>
    <x v="5"/>
  </r>
  <r>
    <x v="9"/>
    <x v="0"/>
    <x v="0"/>
    <x v="0"/>
    <x v="0"/>
    <x v="0"/>
    <x v="0"/>
  </r>
  <r>
    <x v="0"/>
    <x v="1"/>
    <x v="1"/>
    <x v="1"/>
    <x v="6"/>
    <x v="5"/>
    <x v="5"/>
  </r>
  <r>
    <x v="2"/>
    <x v="3"/>
    <x v="4"/>
    <x v="4"/>
    <x v="3"/>
    <x v="3"/>
    <x v="3"/>
  </r>
  <r>
    <x v="0"/>
    <x v="1"/>
    <x v="1"/>
    <x v="6"/>
    <x v="5"/>
    <x v="5"/>
    <x v="5"/>
  </r>
  <r>
    <x v="0"/>
    <x v="1"/>
    <x v="8"/>
    <x v="5"/>
    <x v="4"/>
    <x v="4"/>
    <x v="4"/>
  </r>
  <r>
    <x v="5"/>
    <x v="2"/>
    <x v="3"/>
    <x v="3"/>
    <x v="4"/>
    <x v="4"/>
    <x v="4"/>
  </r>
  <r>
    <x v="0"/>
    <x v="1"/>
    <x v="1"/>
    <x v="1"/>
    <x v="4"/>
    <x v="4"/>
    <x v="2"/>
  </r>
  <r>
    <x v="0"/>
    <x v="1"/>
    <x v="1"/>
    <x v="1"/>
    <x v="1"/>
    <x v="1"/>
    <x v="1"/>
  </r>
  <r>
    <x v="0"/>
    <x v="1"/>
    <x v="2"/>
    <x v="6"/>
    <x v="5"/>
    <x v="5"/>
    <x v="5"/>
  </r>
  <r>
    <x v="0"/>
    <x v="1"/>
    <x v="4"/>
    <x v="4"/>
    <x v="3"/>
    <x v="3"/>
    <x v="3"/>
  </r>
  <r>
    <x v="2"/>
    <x v="3"/>
    <x v="4"/>
    <x v="6"/>
    <x v="0"/>
    <x v="0"/>
    <x v="0"/>
  </r>
  <r>
    <x v="0"/>
    <x v="1"/>
    <x v="1"/>
    <x v="1"/>
    <x v="4"/>
    <x v="4"/>
    <x v="4"/>
  </r>
  <r>
    <x v="0"/>
    <x v="1"/>
    <x v="1"/>
    <x v="1"/>
    <x v="4"/>
    <x v="4"/>
    <x v="4"/>
  </r>
  <r>
    <x v="0"/>
    <x v="1"/>
    <x v="1"/>
    <x v="4"/>
    <x v="3"/>
    <x v="3"/>
    <x v="3"/>
  </r>
  <r>
    <x v="0"/>
    <x v="2"/>
    <x v="3"/>
    <x v="3"/>
    <x v="2"/>
    <x v="2"/>
    <x v="2"/>
  </r>
  <r>
    <x v="0"/>
    <x v="1"/>
    <x v="1"/>
    <x v="1"/>
    <x v="6"/>
    <x v="1"/>
    <x v="1"/>
  </r>
  <r>
    <x v="0"/>
    <x v="1"/>
    <x v="2"/>
    <x v="6"/>
    <x v="5"/>
    <x v="5"/>
    <x v="5"/>
  </r>
  <r>
    <x v="2"/>
    <x v="7"/>
    <x v="8"/>
    <x v="5"/>
    <x v="4"/>
    <x v="4"/>
    <x v="4"/>
  </r>
  <r>
    <x v="5"/>
    <x v="7"/>
    <x v="8"/>
    <x v="5"/>
    <x v="4"/>
    <x v="4"/>
    <x v="4"/>
  </r>
  <r>
    <x v="0"/>
    <x v="1"/>
    <x v="4"/>
    <x v="4"/>
    <x v="3"/>
    <x v="3"/>
    <x v="3"/>
  </r>
  <r>
    <x v="0"/>
    <x v="1"/>
    <x v="8"/>
    <x v="5"/>
    <x v="4"/>
    <x v="4"/>
    <x v="4"/>
  </r>
  <r>
    <x v="0"/>
    <x v="1"/>
    <x v="1"/>
    <x v="5"/>
    <x v="2"/>
    <x v="2"/>
    <x v="2"/>
  </r>
  <r>
    <x v="0"/>
    <x v="1"/>
    <x v="1"/>
    <x v="3"/>
    <x v="2"/>
    <x v="2"/>
    <x v="2"/>
  </r>
  <r>
    <x v="0"/>
    <x v="1"/>
    <x v="1"/>
    <x v="1"/>
    <x v="6"/>
    <x v="2"/>
    <x v="2"/>
  </r>
  <r>
    <x v="0"/>
    <x v="3"/>
    <x v="4"/>
    <x v="4"/>
    <x v="3"/>
    <x v="3"/>
    <x v="3"/>
  </r>
  <r>
    <x v="0"/>
    <x v="1"/>
    <x v="1"/>
    <x v="1"/>
    <x v="5"/>
    <x v="5"/>
    <x v="5"/>
  </r>
  <r>
    <x v="2"/>
    <x v="7"/>
    <x v="8"/>
    <x v="6"/>
    <x v="5"/>
    <x v="5"/>
    <x v="5"/>
  </r>
  <r>
    <x v="0"/>
    <x v="1"/>
    <x v="1"/>
    <x v="1"/>
    <x v="6"/>
    <x v="8"/>
    <x v="4"/>
  </r>
  <r>
    <x v="2"/>
    <x v="3"/>
    <x v="4"/>
    <x v="4"/>
    <x v="3"/>
    <x v="3"/>
    <x v="3"/>
  </r>
  <r>
    <x v="0"/>
    <x v="1"/>
    <x v="1"/>
    <x v="6"/>
    <x v="0"/>
    <x v="0"/>
    <x v="0"/>
  </r>
  <r>
    <x v="0"/>
    <x v="3"/>
    <x v="4"/>
    <x v="4"/>
    <x v="3"/>
    <x v="3"/>
    <x v="3"/>
  </r>
  <r>
    <x v="0"/>
    <x v="3"/>
    <x v="4"/>
    <x v="4"/>
    <x v="3"/>
    <x v="3"/>
    <x v="3"/>
  </r>
  <r>
    <x v="0"/>
    <x v="2"/>
    <x v="3"/>
    <x v="3"/>
    <x v="2"/>
    <x v="2"/>
    <x v="2"/>
  </r>
  <r>
    <x v="3"/>
    <x v="0"/>
    <x v="0"/>
    <x v="6"/>
    <x v="5"/>
    <x v="5"/>
    <x v="5"/>
  </r>
  <r>
    <x v="0"/>
    <x v="1"/>
    <x v="1"/>
    <x v="1"/>
    <x v="6"/>
    <x v="2"/>
    <x v="2"/>
  </r>
  <r>
    <x v="2"/>
    <x v="3"/>
    <x v="4"/>
    <x v="4"/>
    <x v="3"/>
    <x v="5"/>
    <x v="5"/>
  </r>
  <r>
    <x v="5"/>
    <x v="7"/>
    <x v="8"/>
    <x v="5"/>
    <x v="4"/>
    <x v="4"/>
    <x v="4"/>
  </r>
  <r>
    <x v="6"/>
    <x v="4"/>
    <x v="5"/>
    <x v="6"/>
    <x v="5"/>
    <x v="5"/>
    <x v="5"/>
  </r>
  <r>
    <x v="0"/>
    <x v="5"/>
    <x v="2"/>
    <x v="2"/>
    <x v="5"/>
    <x v="5"/>
    <x v="5"/>
  </r>
  <r>
    <x v="0"/>
    <x v="1"/>
    <x v="1"/>
    <x v="1"/>
    <x v="6"/>
    <x v="3"/>
    <x v="3"/>
  </r>
  <r>
    <x v="3"/>
    <x v="0"/>
    <x v="2"/>
    <x v="0"/>
    <x v="0"/>
    <x v="0"/>
    <x v="0"/>
  </r>
  <r>
    <x v="7"/>
    <x v="2"/>
    <x v="3"/>
    <x v="3"/>
    <x v="2"/>
    <x v="4"/>
    <x v="4"/>
  </r>
  <r>
    <x v="0"/>
    <x v="1"/>
    <x v="4"/>
    <x v="9"/>
    <x v="9"/>
    <x v="1"/>
    <x v="3"/>
  </r>
  <r>
    <x v="0"/>
    <x v="1"/>
    <x v="3"/>
    <x v="3"/>
    <x v="5"/>
    <x v="5"/>
    <x v="5"/>
  </r>
  <r>
    <x v="0"/>
    <x v="1"/>
    <x v="8"/>
    <x v="6"/>
    <x v="5"/>
    <x v="5"/>
    <x v="5"/>
  </r>
  <r>
    <x v="0"/>
    <x v="1"/>
    <x v="8"/>
    <x v="5"/>
    <x v="4"/>
    <x v="4"/>
    <x v="4"/>
  </r>
  <r>
    <x v="0"/>
    <x v="2"/>
    <x v="3"/>
    <x v="6"/>
    <x v="5"/>
    <x v="5"/>
    <x v="5"/>
  </r>
  <r>
    <x v="3"/>
    <x v="0"/>
    <x v="0"/>
    <x v="0"/>
    <x v="0"/>
    <x v="0"/>
    <x v="0"/>
  </r>
  <r>
    <x v="6"/>
    <x v="4"/>
    <x v="5"/>
    <x v="6"/>
    <x v="5"/>
    <x v="5"/>
    <x v="5"/>
  </r>
  <r>
    <x v="5"/>
    <x v="7"/>
    <x v="8"/>
    <x v="5"/>
    <x v="4"/>
    <x v="5"/>
    <x v="5"/>
  </r>
  <r>
    <x v="5"/>
    <x v="7"/>
    <x v="8"/>
    <x v="5"/>
    <x v="4"/>
    <x v="4"/>
    <x v="4"/>
  </r>
  <r>
    <x v="0"/>
    <x v="1"/>
    <x v="1"/>
    <x v="1"/>
    <x v="6"/>
    <x v="0"/>
    <x v="1"/>
  </r>
  <r>
    <x v="1"/>
    <x v="3"/>
    <x v="4"/>
    <x v="4"/>
    <x v="3"/>
    <x v="3"/>
    <x v="3"/>
  </r>
  <r>
    <x v="0"/>
    <x v="4"/>
    <x v="5"/>
    <x v="6"/>
    <x v="5"/>
    <x v="5"/>
    <x v="5"/>
  </r>
  <r>
    <x v="0"/>
    <x v="9"/>
    <x v="6"/>
    <x v="9"/>
    <x v="9"/>
    <x v="9"/>
    <x v="8"/>
  </r>
  <r>
    <x v="0"/>
    <x v="1"/>
    <x v="4"/>
    <x v="4"/>
    <x v="3"/>
    <x v="3"/>
    <x v="3"/>
  </r>
  <r>
    <x v="5"/>
    <x v="2"/>
    <x v="5"/>
    <x v="6"/>
    <x v="5"/>
    <x v="5"/>
    <x v="5"/>
  </r>
  <r>
    <x v="7"/>
    <x v="2"/>
    <x v="3"/>
    <x v="3"/>
    <x v="2"/>
    <x v="4"/>
    <x v="4"/>
  </r>
  <r>
    <x v="0"/>
    <x v="7"/>
    <x v="8"/>
    <x v="4"/>
    <x v="3"/>
    <x v="3"/>
    <x v="3"/>
  </r>
  <r>
    <x v="1"/>
    <x v="5"/>
    <x v="2"/>
    <x v="2"/>
    <x v="0"/>
    <x v="0"/>
    <x v="0"/>
  </r>
  <r>
    <x v="0"/>
    <x v="1"/>
    <x v="1"/>
    <x v="1"/>
    <x v="6"/>
    <x v="8"/>
    <x v="3"/>
  </r>
  <r>
    <x v="0"/>
    <x v="1"/>
    <x v="4"/>
    <x v="4"/>
    <x v="3"/>
    <x v="3"/>
    <x v="3"/>
  </r>
  <r>
    <x v="0"/>
    <x v="1"/>
    <x v="1"/>
    <x v="4"/>
    <x v="3"/>
    <x v="3"/>
    <x v="3"/>
  </r>
  <r>
    <x v="2"/>
    <x v="3"/>
    <x v="4"/>
    <x v="4"/>
    <x v="5"/>
    <x v="3"/>
    <x v="3"/>
  </r>
  <r>
    <x v="0"/>
    <x v="1"/>
    <x v="3"/>
    <x v="3"/>
    <x v="4"/>
    <x v="4"/>
    <x v="4"/>
  </r>
  <r>
    <x v="0"/>
    <x v="3"/>
    <x v="4"/>
    <x v="4"/>
    <x v="3"/>
    <x v="3"/>
    <x v="3"/>
  </r>
  <r>
    <x v="2"/>
    <x v="7"/>
    <x v="8"/>
    <x v="5"/>
    <x v="4"/>
    <x v="4"/>
    <x v="4"/>
  </r>
  <r>
    <x v="0"/>
    <x v="1"/>
    <x v="1"/>
    <x v="1"/>
    <x v="0"/>
    <x v="0"/>
    <x v="0"/>
  </r>
  <r>
    <x v="2"/>
    <x v="7"/>
    <x v="8"/>
    <x v="5"/>
    <x v="4"/>
    <x v="4"/>
    <x v="4"/>
  </r>
  <r>
    <x v="0"/>
    <x v="1"/>
    <x v="8"/>
    <x v="5"/>
    <x v="4"/>
    <x v="2"/>
    <x v="2"/>
  </r>
  <r>
    <x v="3"/>
    <x v="0"/>
    <x v="0"/>
    <x v="7"/>
    <x v="7"/>
    <x v="6"/>
    <x v="6"/>
  </r>
  <r>
    <x v="0"/>
    <x v="3"/>
    <x v="4"/>
    <x v="4"/>
    <x v="3"/>
    <x v="3"/>
    <x v="3"/>
  </r>
  <r>
    <x v="0"/>
    <x v="0"/>
    <x v="0"/>
    <x v="9"/>
    <x v="5"/>
    <x v="5"/>
    <x v="5"/>
  </r>
  <r>
    <x v="0"/>
    <x v="1"/>
    <x v="8"/>
    <x v="5"/>
    <x v="4"/>
    <x v="5"/>
    <x v="5"/>
  </r>
  <r>
    <x v="9"/>
    <x v="9"/>
    <x v="6"/>
    <x v="9"/>
    <x v="9"/>
    <x v="9"/>
    <x v="8"/>
  </r>
  <r>
    <x v="0"/>
    <x v="1"/>
    <x v="5"/>
    <x v="6"/>
    <x v="5"/>
    <x v="5"/>
    <x v="5"/>
  </r>
  <r>
    <x v="0"/>
    <x v="2"/>
    <x v="3"/>
    <x v="3"/>
    <x v="2"/>
    <x v="2"/>
    <x v="2"/>
  </r>
  <r>
    <x v="6"/>
    <x v="4"/>
    <x v="5"/>
    <x v="6"/>
    <x v="5"/>
    <x v="5"/>
    <x v="5"/>
  </r>
  <r>
    <x v="0"/>
    <x v="1"/>
    <x v="0"/>
    <x v="0"/>
    <x v="0"/>
    <x v="5"/>
    <x v="5"/>
  </r>
  <r>
    <x v="0"/>
    <x v="1"/>
    <x v="1"/>
    <x v="4"/>
    <x v="3"/>
    <x v="5"/>
    <x v="5"/>
  </r>
  <r>
    <x v="0"/>
    <x v="4"/>
    <x v="5"/>
    <x v="6"/>
    <x v="5"/>
    <x v="5"/>
    <x v="5"/>
  </r>
  <r>
    <x v="0"/>
    <x v="3"/>
    <x v="4"/>
    <x v="4"/>
    <x v="3"/>
    <x v="3"/>
    <x v="3"/>
  </r>
  <r>
    <x v="1"/>
    <x v="5"/>
    <x v="2"/>
    <x v="2"/>
    <x v="3"/>
    <x v="3"/>
    <x v="3"/>
  </r>
  <r>
    <x v="0"/>
    <x v="1"/>
    <x v="1"/>
    <x v="1"/>
    <x v="5"/>
    <x v="5"/>
    <x v="5"/>
  </r>
  <r>
    <x v="6"/>
    <x v="5"/>
    <x v="2"/>
    <x v="2"/>
    <x v="1"/>
    <x v="1"/>
    <x v="1"/>
  </r>
  <r>
    <x v="3"/>
    <x v="0"/>
    <x v="6"/>
    <x v="6"/>
    <x v="5"/>
    <x v="5"/>
    <x v="5"/>
  </r>
  <r>
    <x v="0"/>
    <x v="1"/>
    <x v="1"/>
    <x v="2"/>
    <x v="1"/>
    <x v="1"/>
    <x v="1"/>
  </r>
  <r>
    <x v="0"/>
    <x v="1"/>
    <x v="1"/>
    <x v="2"/>
    <x v="1"/>
    <x v="3"/>
    <x v="3"/>
  </r>
  <r>
    <x v="0"/>
    <x v="1"/>
    <x v="2"/>
    <x v="2"/>
    <x v="1"/>
    <x v="9"/>
    <x v="5"/>
  </r>
  <r>
    <x v="0"/>
    <x v="1"/>
    <x v="4"/>
    <x v="4"/>
    <x v="3"/>
    <x v="3"/>
    <x v="3"/>
  </r>
  <r>
    <x v="0"/>
    <x v="1"/>
    <x v="8"/>
    <x v="5"/>
    <x v="4"/>
    <x v="4"/>
    <x v="4"/>
  </r>
  <r>
    <x v="0"/>
    <x v="1"/>
    <x v="1"/>
    <x v="1"/>
    <x v="4"/>
    <x v="4"/>
    <x v="4"/>
  </r>
  <r>
    <x v="0"/>
    <x v="1"/>
    <x v="8"/>
    <x v="5"/>
    <x v="3"/>
    <x v="3"/>
    <x v="3"/>
  </r>
  <r>
    <x v="0"/>
    <x v="3"/>
    <x v="4"/>
    <x v="4"/>
    <x v="3"/>
    <x v="3"/>
    <x v="3"/>
  </r>
  <r>
    <x v="0"/>
    <x v="7"/>
    <x v="8"/>
    <x v="5"/>
    <x v="4"/>
    <x v="4"/>
    <x v="4"/>
  </r>
  <r>
    <x v="0"/>
    <x v="2"/>
    <x v="3"/>
    <x v="3"/>
    <x v="2"/>
    <x v="2"/>
    <x v="2"/>
  </r>
  <r>
    <x v="1"/>
    <x v="5"/>
    <x v="2"/>
    <x v="2"/>
    <x v="1"/>
    <x v="1"/>
    <x v="1"/>
  </r>
  <r>
    <x v="0"/>
    <x v="1"/>
    <x v="1"/>
    <x v="3"/>
    <x v="2"/>
    <x v="2"/>
    <x v="2"/>
  </r>
  <r>
    <x v="0"/>
    <x v="1"/>
    <x v="1"/>
    <x v="2"/>
    <x v="1"/>
    <x v="1"/>
    <x v="1"/>
  </r>
  <r>
    <x v="0"/>
    <x v="1"/>
    <x v="3"/>
    <x v="5"/>
    <x v="4"/>
    <x v="4"/>
    <x v="4"/>
  </r>
  <r>
    <x v="0"/>
    <x v="3"/>
    <x v="4"/>
    <x v="2"/>
    <x v="1"/>
    <x v="1"/>
    <x v="1"/>
  </r>
  <r>
    <x v="0"/>
    <x v="1"/>
    <x v="3"/>
    <x v="5"/>
    <x v="4"/>
    <x v="4"/>
    <x v="4"/>
  </r>
  <r>
    <x v="5"/>
    <x v="7"/>
    <x v="8"/>
    <x v="5"/>
    <x v="4"/>
    <x v="3"/>
    <x v="3"/>
  </r>
  <r>
    <x v="3"/>
    <x v="4"/>
    <x v="5"/>
    <x v="6"/>
    <x v="5"/>
    <x v="5"/>
    <x v="5"/>
  </r>
  <r>
    <x v="7"/>
    <x v="2"/>
    <x v="3"/>
    <x v="3"/>
    <x v="2"/>
    <x v="2"/>
    <x v="2"/>
  </r>
  <r>
    <x v="0"/>
    <x v="1"/>
    <x v="1"/>
    <x v="1"/>
    <x v="6"/>
    <x v="7"/>
    <x v="7"/>
  </r>
  <r>
    <x v="0"/>
    <x v="1"/>
    <x v="3"/>
    <x v="5"/>
    <x v="4"/>
    <x v="4"/>
    <x v="4"/>
  </r>
  <r>
    <x v="9"/>
    <x v="4"/>
    <x v="5"/>
    <x v="6"/>
    <x v="5"/>
    <x v="5"/>
    <x v="5"/>
  </r>
  <r>
    <x v="0"/>
    <x v="7"/>
    <x v="8"/>
    <x v="5"/>
    <x v="4"/>
    <x v="4"/>
    <x v="4"/>
  </r>
  <r>
    <x v="0"/>
    <x v="1"/>
    <x v="1"/>
    <x v="5"/>
    <x v="4"/>
    <x v="4"/>
    <x v="4"/>
  </r>
  <r>
    <x v="0"/>
    <x v="1"/>
    <x v="1"/>
    <x v="5"/>
    <x v="4"/>
    <x v="4"/>
    <x v="4"/>
  </r>
  <r>
    <x v="2"/>
    <x v="3"/>
    <x v="4"/>
    <x v="4"/>
    <x v="3"/>
    <x v="3"/>
    <x v="3"/>
  </r>
  <r>
    <x v="0"/>
    <x v="1"/>
    <x v="1"/>
    <x v="1"/>
    <x v="0"/>
    <x v="5"/>
    <x v="5"/>
  </r>
  <r>
    <x v="0"/>
    <x v="1"/>
    <x v="5"/>
    <x v="6"/>
    <x v="5"/>
    <x v="5"/>
    <x v="5"/>
  </r>
  <r>
    <x v="3"/>
    <x v="0"/>
    <x v="0"/>
    <x v="0"/>
    <x v="0"/>
    <x v="0"/>
    <x v="5"/>
  </r>
  <r>
    <x v="0"/>
    <x v="1"/>
    <x v="1"/>
    <x v="1"/>
    <x v="5"/>
    <x v="5"/>
    <x v="5"/>
  </r>
  <r>
    <x v="1"/>
    <x v="3"/>
    <x v="4"/>
    <x v="7"/>
    <x v="7"/>
    <x v="6"/>
    <x v="6"/>
  </r>
  <r>
    <x v="0"/>
    <x v="0"/>
    <x v="0"/>
    <x v="9"/>
    <x v="9"/>
    <x v="9"/>
    <x v="8"/>
  </r>
  <r>
    <x v="5"/>
    <x v="7"/>
    <x v="8"/>
    <x v="6"/>
    <x v="5"/>
    <x v="5"/>
    <x v="5"/>
  </r>
  <r>
    <x v="6"/>
    <x v="4"/>
    <x v="5"/>
    <x v="6"/>
    <x v="5"/>
    <x v="5"/>
    <x v="5"/>
  </r>
  <r>
    <x v="5"/>
    <x v="2"/>
    <x v="3"/>
    <x v="6"/>
    <x v="5"/>
    <x v="5"/>
    <x v="5"/>
  </r>
  <r>
    <x v="7"/>
    <x v="2"/>
    <x v="3"/>
    <x v="3"/>
    <x v="2"/>
    <x v="2"/>
    <x v="2"/>
  </r>
  <r>
    <x v="0"/>
    <x v="1"/>
    <x v="1"/>
    <x v="1"/>
    <x v="4"/>
    <x v="4"/>
    <x v="4"/>
  </r>
  <r>
    <x v="0"/>
    <x v="4"/>
    <x v="5"/>
    <x v="6"/>
    <x v="5"/>
    <x v="0"/>
    <x v="0"/>
  </r>
  <r>
    <x v="0"/>
    <x v="5"/>
    <x v="2"/>
    <x v="2"/>
    <x v="1"/>
    <x v="0"/>
    <x v="0"/>
  </r>
  <r>
    <x v="0"/>
    <x v="5"/>
    <x v="2"/>
    <x v="2"/>
    <x v="1"/>
    <x v="1"/>
    <x v="1"/>
  </r>
  <r>
    <x v="0"/>
    <x v="5"/>
    <x v="2"/>
    <x v="2"/>
    <x v="1"/>
    <x v="1"/>
    <x v="1"/>
  </r>
  <r>
    <x v="0"/>
    <x v="1"/>
    <x v="1"/>
    <x v="1"/>
    <x v="6"/>
    <x v="5"/>
    <x v="5"/>
  </r>
  <r>
    <x v="0"/>
    <x v="1"/>
    <x v="1"/>
    <x v="1"/>
    <x v="6"/>
    <x v="3"/>
    <x v="3"/>
  </r>
  <r>
    <x v="0"/>
    <x v="3"/>
    <x v="4"/>
    <x v="4"/>
    <x v="3"/>
    <x v="3"/>
    <x v="3"/>
  </r>
  <r>
    <x v="6"/>
    <x v="4"/>
    <x v="5"/>
    <x v="4"/>
    <x v="3"/>
    <x v="3"/>
    <x v="3"/>
  </r>
  <r>
    <x v="0"/>
    <x v="1"/>
    <x v="4"/>
    <x v="4"/>
    <x v="3"/>
    <x v="3"/>
    <x v="3"/>
  </r>
  <r>
    <x v="0"/>
    <x v="1"/>
    <x v="1"/>
    <x v="2"/>
    <x v="1"/>
    <x v="1"/>
    <x v="1"/>
  </r>
  <r>
    <x v="0"/>
    <x v="1"/>
    <x v="1"/>
    <x v="5"/>
    <x v="3"/>
    <x v="4"/>
    <x v="4"/>
  </r>
  <r>
    <x v="5"/>
    <x v="7"/>
    <x v="8"/>
    <x v="5"/>
    <x v="4"/>
    <x v="4"/>
    <x v="4"/>
  </r>
  <r>
    <x v="0"/>
    <x v="7"/>
    <x v="8"/>
    <x v="5"/>
    <x v="4"/>
    <x v="4"/>
    <x v="4"/>
  </r>
  <r>
    <x v="0"/>
    <x v="1"/>
    <x v="1"/>
    <x v="1"/>
    <x v="2"/>
    <x v="2"/>
    <x v="2"/>
  </r>
  <r>
    <x v="2"/>
    <x v="3"/>
    <x v="4"/>
    <x v="4"/>
    <x v="3"/>
    <x v="3"/>
    <x v="1"/>
  </r>
  <r>
    <x v="0"/>
    <x v="1"/>
    <x v="1"/>
    <x v="1"/>
    <x v="0"/>
    <x v="0"/>
    <x v="0"/>
  </r>
  <r>
    <x v="0"/>
    <x v="9"/>
    <x v="9"/>
    <x v="7"/>
    <x v="7"/>
    <x v="6"/>
    <x v="6"/>
  </r>
  <r>
    <x v="0"/>
    <x v="1"/>
    <x v="3"/>
    <x v="3"/>
    <x v="2"/>
    <x v="2"/>
    <x v="2"/>
  </r>
  <r>
    <x v="0"/>
    <x v="7"/>
    <x v="8"/>
    <x v="5"/>
    <x v="4"/>
    <x v="4"/>
    <x v="4"/>
  </r>
  <r>
    <x v="1"/>
    <x v="5"/>
    <x v="2"/>
    <x v="0"/>
    <x v="0"/>
    <x v="0"/>
    <x v="0"/>
  </r>
  <r>
    <x v="3"/>
    <x v="4"/>
    <x v="5"/>
    <x v="6"/>
    <x v="5"/>
    <x v="5"/>
    <x v="5"/>
  </r>
  <r>
    <x v="2"/>
    <x v="3"/>
    <x v="4"/>
    <x v="5"/>
    <x v="4"/>
    <x v="4"/>
    <x v="4"/>
  </r>
  <r>
    <x v="2"/>
    <x v="3"/>
    <x v="4"/>
    <x v="5"/>
    <x v="4"/>
    <x v="4"/>
    <x v="4"/>
  </r>
  <r>
    <x v="0"/>
    <x v="4"/>
    <x v="5"/>
    <x v="6"/>
    <x v="5"/>
    <x v="5"/>
    <x v="5"/>
  </r>
  <r>
    <x v="0"/>
    <x v="1"/>
    <x v="1"/>
    <x v="1"/>
    <x v="6"/>
    <x v="3"/>
    <x v="3"/>
  </r>
  <r>
    <x v="0"/>
    <x v="1"/>
    <x v="1"/>
    <x v="1"/>
    <x v="6"/>
    <x v="5"/>
    <x v="5"/>
  </r>
  <r>
    <x v="9"/>
    <x v="9"/>
    <x v="6"/>
    <x v="9"/>
    <x v="9"/>
    <x v="9"/>
    <x v="8"/>
  </r>
  <r>
    <x v="3"/>
    <x v="8"/>
    <x v="9"/>
    <x v="7"/>
    <x v="7"/>
    <x v="6"/>
    <x v="6"/>
  </r>
  <r>
    <x v="1"/>
    <x v="0"/>
    <x v="2"/>
    <x v="2"/>
    <x v="1"/>
    <x v="1"/>
    <x v="1"/>
  </r>
  <r>
    <x v="0"/>
    <x v="1"/>
    <x v="1"/>
    <x v="1"/>
    <x v="6"/>
    <x v="3"/>
    <x v="3"/>
  </r>
  <r>
    <x v="3"/>
    <x v="4"/>
    <x v="5"/>
    <x v="6"/>
    <x v="5"/>
    <x v="5"/>
    <x v="5"/>
  </r>
  <r>
    <x v="2"/>
    <x v="3"/>
    <x v="4"/>
    <x v="4"/>
    <x v="3"/>
    <x v="3"/>
    <x v="4"/>
  </r>
  <r>
    <x v="0"/>
    <x v="1"/>
    <x v="8"/>
    <x v="5"/>
    <x v="3"/>
    <x v="4"/>
    <x v="4"/>
  </r>
  <r>
    <x v="2"/>
    <x v="3"/>
    <x v="4"/>
    <x v="4"/>
    <x v="3"/>
    <x v="3"/>
    <x v="3"/>
  </r>
  <r>
    <x v="2"/>
    <x v="3"/>
    <x v="4"/>
    <x v="4"/>
    <x v="3"/>
    <x v="3"/>
    <x v="3"/>
  </r>
  <r>
    <x v="0"/>
    <x v="1"/>
    <x v="1"/>
    <x v="5"/>
    <x v="3"/>
    <x v="3"/>
    <x v="3"/>
  </r>
  <r>
    <x v="0"/>
    <x v="3"/>
    <x v="4"/>
    <x v="4"/>
    <x v="3"/>
    <x v="3"/>
    <x v="3"/>
  </r>
  <r>
    <x v="0"/>
    <x v="1"/>
    <x v="1"/>
    <x v="1"/>
    <x v="6"/>
    <x v="3"/>
    <x v="3"/>
  </r>
  <r>
    <x v="0"/>
    <x v="1"/>
    <x v="1"/>
    <x v="4"/>
    <x v="3"/>
    <x v="3"/>
    <x v="3"/>
  </r>
  <r>
    <x v="2"/>
    <x v="3"/>
    <x v="2"/>
    <x v="0"/>
    <x v="0"/>
    <x v="0"/>
    <x v="0"/>
  </r>
  <r>
    <x v="0"/>
    <x v="1"/>
    <x v="1"/>
    <x v="3"/>
    <x v="2"/>
    <x v="2"/>
    <x v="2"/>
  </r>
  <r>
    <x v="0"/>
    <x v="1"/>
    <x v="1"/>
    <x v="1"/>
    <x v="6"/>
    <x v="2"/>
    <x v="2"/>
  </r>
  <r>
    <x v="0"/>
    <x v="1"/>
    <x v="1"/>
    <x v="6"/>
    <x v="5"/>
    <x v="5"/>
    <x v="5"/>
  </r>
  <r>
    <x v="0"/>
    <x v="1"/>
    <x v="1"/>
    <x v="1"/>
    <x v="6"/>
    <x v="1"/>
    <x v="1"/>
  </r>
  <r>
    <x v="0"/>
    <x v="1"/>
    <x v="1"/>
    <x v="5"/>
    <x v="4"/>
    <x v="4"/>
    <x v="4"/>
  </r>
  <r>
    <x v="0"/>
    <x v="7"/>
    <x v="8"/>
    <x v="2"/>
    <x v="1"/>
    <x v="1"/>
    <x v="1"/>
  </r>
  <r>
    <x v="0"/>
    <x v="1"/>
    <x v="1"/>
    <x v="1"/>
    <x v="3"/>
    <x v="3"/>
    <x v="3"/>
  </r>
  <r>
    <x v="0"/>
    <x v="3"/>
    <x v="4"/>
    <x v="5"/>
    <x v="4"/>
    <x v="4"/>
    <x v="4"/>
  </r>
  <r>
    <x v="1"/>
    <x v="5"/>
    <x v="0"/>
    <x v="9"/>
    <x v="7"/>
    <x v="6"/>
    <x v="6"/>
  </r>
  <r>
    <x v="0"/>
    <x v="1"/>
    <x v="8"/>
    <x v="4"/>
    <x v="3"/>
    <x v="3"/>
    <x v="3"/>
  </r>
  <r>
    <x v="5"/>
    <x v="7"/>
    <x v="8"/>
    <x v="5"/>
    <x v="4"/>
    <x v="4"/>
    <x v="4"/>
  </r>
  <r>
    <x v="0"/>
    <x v="2"/>
    <x v="3"/>
    <x v="3"/>
    <x v="2"/>
    <x v="2"/>
    <x v="2"/>
  </r>
  <r>
    <x v="9"/>
    <x v="9"/>
    <x v="6"/>
    <x v="9"/>
    <x v="7"/>
    <x v="6"/>
    <x v="6"/>
  </r>
  <r>
    <x v="0"/>
    <x v="1"/>
    <x v="3"/>
    <x v="5"/>
    <x v="4"/>
    <x v="4"/>
    <x v="4"/>
  </r>
  <r>
    <x v="0"/>
    <x v="3"/>
    <x v="4"/>
    <x v="4"/>
    <x v="3"/>
    <x v="3"/>
    <x v="3"/>
  </r>
  <r>
    <x v="0"/>
    <x v="1"/>
    <x v="3"/>
    <x v="3"/>
    <x v="2"/>
    <x v="2"/>
    <x v="2"/>
  </r>
  <r>
    <x v="0"/>
    <x v="1"/>
    <x v="4"/>
    <x v="4"/>
    <x v="3"/>
    <x v="3"/>
    <x v="3"/>
  </r>
  <r>
    <x v="0"/>
    <x v="1"/>
    <x v="4"/>
    <x v="6"/>
    <x v="5"/>
    <x v="5"/>
    <x v="5"/>
  </r>
  <r>
    <x v="7"/>
    <x v="2"/>
    <x v="3"/>
    <x v="5"/>
    <x v="4"/>
    <x v="4"/>
    <x v="4"/>
  </r>
  <r>
    <x v="2"/>
    <x v="4"/>
    <x v="5"/>
    <x v="6"/>
    <x v="5"/>
    <x v="5"/>
    <x v="5"/>
  </r>
  <r>
    <x v="0"/>
    <x v="7"/>
    <x v="8"/>
    <x v="4"/>
    <x v="3"/>
    <x v="3"/>
    <x v="3"/>
  </r>
  <r>
    <x v="2"/>
    <x v="3"/>
    <x v="4"/>
    <x v="4"/>
    <x v="3"/>
    <x v="3"/>
    <x v="3"/>
  </r>
  <r>
    <x v="2"/>
    <x v="3"/>
    <x v="4"/>
    <x v="4"/>
    <x v="3"/>
    <x v="3"/>
    <x v="3"/>
  </r>
  <r>
    <x v="2"/>
    <x v="3"/>
    <x v="4"/>
    <x v="4"/>
    <x v="3"/>
    <x v="3"/>
    <x v="3"/>
  </r>
  <r>
    <x v="0"/>
    <x v="1"/>
    <x v="1"/>
    <x v="1"/>
    <x v="6"/>
    <x v="3"/>
    <x v="3"/>
  </r>
  <r>
    <x v="0"/>
    <x v="2"/>
    <x v="3"/>
    <x v="3"/>
    <x v="4"/>
    <x v="4"/>
    <x v="4"/>
  </r>
  <r>
    <x v="0"/>
    <x v="3"/>
    <x v="2"/>
    <x v="2"/>
    <x v="1"/>
    <x v="3"/>
    <x v="3"/>
  </r>
  <r>
    <x v="5"/>
    <x v="7"/>
    <x v="8"/>
    <x v="5"/>
    <x v="4"/>
    <x v="4"/>
    <x v="4"/>
  </r>
  <r>
    <x v="0"/>
    <x v="1"/>
    <x v="8"/>
    <x v="5"/>
    <x v="4"/>
    <x v="4"/>
    <x v="4"/>
  </r>
  <r>
    <x v="0"/>
    <x v="1"/>
    <x v="1"/>
    <x v="3"/>
    <x v="2"/>
    <x v="2"/>
    <x v="2"/>
  </r>
  <r>
    <x v="0"/>
    <x v="7"/>
    <x v="8"/>
    <x v="5"/>
    <x v="4"/>
    <x v="4"/>
    <x v="4"/>
  </r>
  <r>
    <x v="0"/>
    <x v="1"/>
    <x v="1"/>
    <x v="1"/>
    <x v="5"/>
    <x v="5"/>
    <x v="5"/>
  </r>
  <r>
    <x v="0"/>
    <x v="1"/>
    <x v="1"/>
    <x v="0"/>
    <x v="0"/>
    <x v="0"/>
    <x v="0"/>
  </r>
  <r>
    <x v="0"/>
    <x v="7"/>
    <x v="8"/>
    <x v="5"/>
    <x v="4"/>
    <x v="4"/>
    <x v="4"/>
  </r>
  <r>
    <x v="0"/>
    <x v="1"/>
    <x v="1"/>
    <x v="1"/>
    <x v="6"/>
    <x v="3"/>
    <x v="3"/>
  </r>
  <r>
    <x v="4"/>
    <x v="6"/>
    <x v="7"/>
    <x v="8"/>
    <x v="8"/>
    <x v="7"/>
    <x v="7"/>
  </r>
  <r>
    <x v="5"/>
    <x v="7"/>
    <x v="8"/>
    <x v="7"/>
    <x v="7"/>
    <x v="6"/>
    <x v="6"/>
  </r>
  <r>
    <x v="0"/>
    <x v="1"/>
    <x v="1"/>
    <x v="9"/>
    <x v="0"/>
    <x v="0"/>
    <x v="0"/>
  </r>
  <r>
    <x v="0"/>
    <x v="5"/>
    <x v="2"/>
    <x v="2"/>
    <x v="3"/>
    <x v="3"/>
    <x v="3"/>
  </r>
  <r>
    <x v="0"/>
    <x v="7"/>
    <x v="8"/>
    <x v="5"/>
    <x v="4"/>
    <x v="4"/>
    <x v="5"/>
  </r>
  <r>
    <x v="3"/>
    <x v="0"/>
    <x v="0"/>
    <x v="0"/>
    <x v="1"/>
    <x v="1"/>
    <x v="1"/>
  </r>
  <r>
    <x v="3"/>
    <x v="0"/>
    <x v="0"/>
    <x v="2"/>
    <x v="1"/>
    <x v="1"/>
    <x v="1"/>
  </r>
  <r>
    <x v="1"/>
    <x v="0"/>
    <x v="0"/>
    <x v="4"/>
    <x v="3"/>
    <x v="3"/>
    <x v="3"/>
  </r>
  <r>
    <x v="0"/>
    <x v="1"/>
    <x v="1"/>
    <x v="1"/>
    <x v="1"/>
    <x v="1"/>
    <x v="1"/>
  </r>
  <r>
    <x v="3"/>
    <x v="0"/>
    <x v="0"/>
    <x v="0"/>
    <x v="0"/>
    <x v="0"/>
    <x v="0"/>
  </r>
  <r>
    <x v="9"/>
    <x v="4"/>
    <x v="5"/>
    <x v="6"/>
    <x v="5"/>
    <x v="5"/>
    <x v="5"/>
  </r>
  <r>
    <x v="3"/>
    <x v="5"/>
    <x v="2"/>
    <x v="2"/>
    <x v="1"/>
    <x v="5"/>
    <x v="5"/>
  </r>
  <r>
    <x v="0"/>
    <x v="4"/>
    <x v="5"/>
    <x v="6"/>
    <x v="5"/>
    <x v="5"/>
    <x v="5"/>
  </r>
  <r>
    <x v="0"/>
    <x v="1"/>
    <x v="1"/>
    <x v="1"/>
    <x v="6"/>
    <x v="8"/>
    <x v="5"/>
  </r>
  <r>
    <x v="0"/>
    <x v="3"/>
    <x v="4"/>
    <x v="4"/>
    <x v="3"/>
    <x v="3"/>
    <x v="3"/>
  </r>
  <r>
    <x v="0"/>
    <x v="1"/>
    <x v="1"/>
    <x v="1"/>
    <x v="2"/>
    <x v="2"/>
    <x v="2"/>
  </r>
  <r>
    <x v="0"/>
    <x v="5"/>
    <x v="2"/>
    <x v="2"/>
    <x v="1"/>
    <x v="3"/>
    <x v="3"/>
  </r>
  <r>
    <x v="6"/>
    <x v="4"/>
    <x v="5"/>
    <x v="6"/>
    <x v="5"/>
    <x v="5"/>
    <x v="5"/>
  </r>
  <r>
    <x v="0"/>
    <x v="1"/>
    <x v="1"/>
    <x v="1"/>
    <x v="6"/>
    <x v="8"/>
    <x v="5"/>
  </r>
  <r>
    <x v="0"/>
    <x v="0"/>
    <x v="2"/>
    <x v="2"/>
    <x v="1"/>
    <x v="1"/>
    <x v="1"/>
  </r>
  <r>
    <x v="9"/>
    <x v="9"/>
    <x v="6"/>
    <x v="9"/>
    <x v="9"/>
    <x v="9"/>
    <x v="8"/>
  </r>
  <r>
    <x v="0"/>
    <x v="1"/>
    <x v="1"/>
    <x v="3"/>
    <x v="2"/>
    <x v="2"/>
    <x v="2"/>
  </r>
  <r>
    <x v="6"/>
    <x v="4"/>
    <x v="5"/>
    <x v="6"/>
    <x v="5"/>
    <x v="5"/>
    <x v="5"/>
  </r>
  <r>
    <x v="7"/>
    <x v="2"/>
    <x v="3"/>
    <x v="3"/>
    <x v="2"/>
    <x v="2"/>
    <x v="2"/>
  </r>
  <r>
    <x v="5"/>
    <x v="7"/>
    <x v="8"/>
    <x v="5"/>
    <x v="4"/>
    <x v="2"/>
    <x v="2"/>
  </r>
  <r>
    <x v="0"/>
    <x v="0"/>
    <x v="0"/>
    <x v="0"/>
    <x v="0"/>
    <x v="0"/>
    <x v="0"/>
  </r>
  <r>
    <x v="7"/>
    <x v="2"/>
    <x v="8"/>
    <x v="5"/>
    <x v="4"/>
    <x v="3"/>
    <x v="3"/>
  </r>
  <r>
    <x v="7"/>
    <x v="7"/>
    <x v="8"/>
    <x v="5"/>
    <x v="4"/>
    <x v="5"/>
    <x v="5"/>
  </r>
  <r>
    <x v="0"/>
    <x v="1"/>
    <x v="1"/>
    <x v="1"/>
    <x v="6"/>
    <x v="3"/>
    <x v="3"/>
  </r>
  <r>
    <x v="0"/>
    <x v="3"/>
    <x v="4"/>
    <x v="4"/>
    <x v="5"/>
    <x v="5"/>
    <x v="5"/>
  </r>
  <r>
    <x v="5"/>
    <x v="7"/>
    <x v="8"/>
    <x v="5"/>
    <x v="4"/>
    <x v="4"/>
    <x v="4"/>
  </r>
  <r>
    <x v="0"/>
    <x v="1"/>
    <x v="1"/>
    <x v="1"/>
    <x v="0"/>
    <x v="0"/>
    <x v="0"/>
  </r>
  <r>
    <x v="2"/>
    <x v="3"/>
    <x v="4"/>
    <x v="4"/>
    <x v="3"/>
    <x v="3"/>
    <x v="3"/>
  </r>
  <r>
    <x v="1"/>
    <x v="5"/>
    <x v="0"/>
    <x v="0"/>
    <x v="0"/>
    <x v="1"/>
    <x v="1"/>
  </r>
  <r>
    <x v="0"/>
    <x v="1"/>
    <x v="4"/>
    <x v="4"/>
    <x v="3"/>
    <x v="3"/>
    <x v="3"/>
  </r>
  <r>
    <x v="1"/>
    <x v="0"/>
    <x v="0"/>
    <x v="0"/>
    <x v="0"/>
    <x v="0"/>
    <x v="0"/>
  </r>
  <r>
    <x v="0"/>
    <x v="1"/>
    <x v="1"/>
    <x v="1"/>
    <x v="3"/>
    <x v="3"/>
    <x v="3"/>
  </r>
  <r>
    <x v="0"/>
    <x v="3"/>
    <x v="4"/>
    <x v="4"/>
    <x v="3"/>
    <x v="3"/>
    <x v="3"/>
  </r>
  <r>
    <x v="0"/>
    <x v="1"/>
    <x v="3"/>
    <x v="3"/>
    <x v="2"/>
    <x v="2"/>
    <x v="2"/>
  </r>
  <r>
    <x v="0"/>
    <x v="1"/>
    <x v="5"/>
    <x v="6"/>
    <x v="5"/>
    <x v="5"/>
    <x v="5"/>
  </r>
  <r>
    <x v="0"/>
    <x v="4"/>
    <x v="5"/>
    <x v="6"/>
    <x v="5"/>
    <x v="5"/>
    <x v="5"/>
  </r>
  <r>
    <x v="0"/>
    <x v="1"/>
    <x v="1"/>
    <x v="1"/>
    <x v="2"/>
    <x v="2"/>
    <x v="2"/>
  </r>
  <r>
    <x v="0"/>
    <x v="1"/>
    <x v="3"/>
    <x v="3"/>
    <x v="2"/>
    <x v="2"/>
    <x v="2"/>
  </r>
  <r>
    <x v="0"/>
    <x v="1"/>
    <x v="1"/>
    <x v="5"/>
    <x v="3"/>
    <x v="3"/>
    <x v="3"/>
  </r>
  <r>
    <x v="2"/>
    <x v="3"/>
    <x v="4"/>
    <x v="4"/>
    <x v="1"/>
    <x v="1"/>
    <x v="1"/>
  </r>
  <r>
    <x v="0"/>
    <x v="3"/>
    <x v="4"/>
    <x v="4"/>
    <x v="3"/>
    <x v="3"/>
    <x v="3"/>
  </r>
  <r>
    <x v="0"/>
    <x v="1"/>
    <x v="4"/>
    <x v="4"/>
    <x v="3"/>
    <x v="3"/>
    <x v="3"/>
  </r>
  <r>
    <x v="3"/>
    <x v="4"/>
    <x v="5"/>
    <x v="6"/>
    <x v="5"/>
    <x v="5"/>
    <x v="5"/>
  </r>
  <r>
    <x v="3"/>
    <x v="0"/>
    <x v="2"/>
    <x v="2"/>
    <x v="1"/>
    <x v="1"/>
    <x v="1"/>
  </r>
  <r>
    <x v="1"/>
    <x v="5"/>
    <x v="0"/>
    <x v="0"/>
    <x v="0"/>
    <x v="0"/>
    <x v="0"/>
  </r>
  <r>
    <x v="0"/>
    <x v="1"/>
    <x v="3"/>
    <x v="3"/>
    <x v="4"/>
    <x v="4"/>
    <x v="4"/>
  </r>
  <r>
    <x v="0"/>
    <x v="1"/>
    <x v="8"/>
    <x v="5"/>
    <x v="4"/>
    <x v="4"/>
    <x v="4"/>
  </r>
  <r>
    <x v="0"/>
    <x v="7"/>
    <x v="8"/>
    <x v="5"/>
    <x v="4"/>
    <x v="4"/>
    <x v="4"/>
  </r>
  <r>
    <x v="0"/>
    <x v="1"/>
    <x v="1"/>
    <x v="1"/>
    <x v="6"/>
    <x v="1"/>
    <x v="0"/>
  </r>
  <r>
    <x v="0"/>
    <x v="1"/>
    <x v="1"/>
    <x v="4"/>
    <x v="3"/>
    <x v="3"/>
    <x v="3"/>
  </r>
  <r>
    <x v="0"/>
    <x v="8"/>
    <x v="9"/>
    <x v="7"/>
    <x v="7"/>
    <x v="6"/>
    <x v="6"/>
  </r>
  <r>
    <x v="0"/>
    <x v="1"/>
    <x v="5"/>
    <x v="6"/>
    <x v="5"/>
    <x v="5"/>
    <x v="5"/>
  </r>
  <r>
    <x v="9"/>
    <x v="4"/>
    <x v="5"/>
    <x v="6"/>
    <x v="5"/>
    <x v="5"/>
    <x v="5"/>
  </r>
  <r>
    <x v="0"/>
    <x v="7"/>
    <x v="8"/>
    <x v="5"/>
    <x v="4"/>
    <x v="4"/>
    <x v="4"/>
  </r>
  <r>
    <x v="0"/>
    <x v="2"/>
    <x v="3"/>
    <x v="3"/>
    <x v="2"/>
    <x v="2"/>
    <x v="2"/>
  </r>
  <r>
    <x v="0"/>
    <x v="7"/>
    <x v="8"/>
    <x v="5"/>
    <x v="4"/>
    <x v="4"/>
    <x v="4"/>
  </r>
  <r>
    <x v="0"/>
    <x v="1"/>
    <x v="8"/>
    <x v="5"/>
    <x v="4"/>
    <x v="4"/>
    <x v="4"/>
  </r>
  <r>
    <x v="0"/>
    <x v="1"/>
    <x v="1"/>
    <x v="3"/>
    <x v="2"/>
    <x v="2"/>
    <x v="2"/>
  </r>
  <r>
    <x v="0"/>
    <x v="1"/>
    <x v="1"/>
    <x v="1"/>
    <x v="4"/>
    <x v="4"/>
    <x v="4"/>
  </r>
  <r>
    <x v="0"/>
    <x v="3"/>
    <x v="4"/>
    <x v="2"/>
    <x v="0"/>
    <x v="0"/>
    <x v="0"/>
  </r>
  <r>
    <x v="0"/>
    <x v="3"/>
    <x v="2"/>
    <x v="2"/>
    <x v="5"/>
    <x v="5"/>
    <x v="5"/>
  </r>
  <r>
    <x v="0"/>
    <x v="1"/>
    <x v="4"/>
    <x v="4"/>
    <x v="3"/>
    <x v="5"/>
    <x v="5"/>
  </r>
  <r>
    <x v="1"/>
    <x v="5"/>
    <x v="2"/>
    <x v="4"/>
    <x v="3"/>
    <x v="3"/>
    <x v="3"/>
  </r>
  <r>
    <x v="0"/>
    <x v="1"/>
    <x v="1"/>
    <x v="1"/>
    <x v="6"/>
    <x v="2"/>
    <x v="2"/>
  </r>
  <r>
    <x v="0"/>
    <x v="1"/>
    <x v="1"/>
    <x v="6"/>
    <x v="5"/>
    <x v="5"/>
    <x v="5"/>
  </r>
  <r>
    <x v="0"/>
    <x v="1"/>
    <x v="1"/>
    <x v="4"/>
    <x v="3"/>
    <x v="3"/>
    <x v="3"/>
  </r>
  <r>
    <x v="0"/>
    <x v="1"/>
    <x v="8"/>
    <x v="5"/>
    <x v="3"/>
    <x v="5"/>
    <x v="5"/>
  </r>
  <r>
    <x v="5"/>
    <x v="7"/>
    <x v="8"/>
    <x v="5"/>
    <x v="4"/>
    <x v="3"/>
    <x v="3"/>
  </r>
  <r>
    <x v="7"/>
    <x v="2"/>
    <x v="3"/>
    <x v="3"/>
    <x v="2"/>
    <x v="4"/>
    <x v="4"/>
  </r>
  <r>
    <x v="1"/>
    <x v="3"/>
    <x v="4"/>
    <x v="4"/>
    <x v="3"/>
    <x v="3"/>
    <x v="3"/>
  </r>
  <r>
    <x v="6"/>
    <x v="4"/>
    <x v="5"/>
    <x v="6"/>
    <x v="5"/>
    <x v="5"/>
    <x v="5"/>
  </r>
  <r>
    <x v="0"/>
    <x v="5"/>
    <x v="2"/>
    <x v="2"/>
    <x v="1"/>
    <x v="1"/>
    <x v="1"/>
  </r>
  <r>
    <x v="2"/>
    <x v="3"/>
    <x v="4"/>
    <x v="2"/>
    <x v="0"/>
    <x v="0"/>
    <x v="0"/>
  </r>
  <r>
    <x v="2"/>
    <x v="5"/>
    <x v="2"/>
    <x v="0"/>
    <x v="0"/>
    <x v="0"/>
    <x v="0"/>
  </r>
  <r>
    <x v="7"/>
    <x v="2"/>
    <x v="3"/>
    <x v="5"/>
    <x v="4"/>
    <x v="4"/>
    <x v="4"/>
  </r>
  <r>
    <x v="0"/>
    <x v="1"/>
    <x v="5"/>
    <x v="6"/>
    <x v="5"/>
    <x v="5"/>
    <x v="5"/>
  </r>
  <r>
    <x v="0"/>
    <x v="1"/>
    <x v="1"/>
    <x v="6"/>
    <x v="5"/>
    <x v="5"/>
    <x v="5"/>
  </r>
  <r>
    <x v="0"/>
    <x v="1"/>
    <x v="2"/>
    <x v="2"/>
    <x v="1"/>
    <x v="1"/>
    <x v="1"/>
  </r>
  <r>
    <x v="0"/>
    <x v="1"/>
    <x v="4"/>
    <x v="4"/>
    <x v="3"/>
    <x v="3"/>
    <x v="3"/>
  </r>
  <r>
    <x v="0"/>
    <x v="1"/>
    <x v="0"/>
    <x v="0"/>
    <x v="1"/>
    <x v="5"/>
    <x v="5"/>
  </r>
  <r>
    <x v="6"/>
    <x v="4"/>
    <x v="5"/>
    <x v="6"/>
    <x v="5"/>
    <x v="5"/>
    <x v="5"/>
  </r>
  <r>
    <x v="2"/>
    <x v="3"/>
    <x v="4"/>
    <x v="5"/>
    <x v="4"/>
    <x v="5"/>
    <x v="5"/>
  </r>
  <r>
    <x v="0"/>
    <x v="1"/>
    <x v="0"/>
    <x v="0"/>
    <x v="1"/>
    <x v="1"/>
    <x v="1"/>
  </r>
  <r>
    <x v="0"/>
    <x v="1"/>
    <x v="1"/>
    <x v="1"/>
    <x v="6"/>
    <x v="1"/>
    <x v="5"/>
  </r>
  <r>
    <x v="0"/>
    <x v="1"/>
    <x v="9"/>
    <x v="7"/>
    <x v="7"/>
    <x v="6"/>
    <x v="6"/>
  </r>
  <r>
    <x v="1"/>
    <x v="5"/>
    <x v="0"/>
    <x v="9"/>
    <x v="7"/>
    <x v="6"/>
    <x v="6"/>
  </r>
  <r>
    <x v="0"/>
    <x v="1"/>
    <x v="1"/>
    <x v="6"/>
    <x v="5"/>
    <x v="5"/>
    <x v="5"/>
  </r>
  <r>
    <x v="0"/>
    <x v="1"/>
    <x v="4"/>
    <x v="4"/>
    <x v="3"/>
    <x v="5"/>
    <x v="5"/>
  </r>
  <r>
    <x v="0"/>
    <x v="4"/>
    <x v="5"/>
    <x v="6"/>
    <x v="5"/>
    <x v="5"/>
    <x v="5"/>
  </r>
  <r>
    <x v="0"/>
    <x v="1"/>
    <x v="4"/>
    <x v="4"/>
    <x v="3"/>
    <x v="3"/>
    <x v="3"/>
  </r>
  <r>
    <x v="2"/>
    <x v="3"/>
    <x v="4"/>
    <x v="4"/>
    <x v="3"/>
    <x v="3"/>
    <x v="3"/>
  </r>
  <r>
    <x v="0"/>
    <x v="1"/>
    <x v="1"/>
    <x v="1"/>
    <x v="6"/>
    <x v="4"/>
    <x v="4"/>
  </r>
  <r>
    <x v="0"/>
    <x v="1"/>
    <x v="1"/>
    <x v="2"/>
    <x v="1"/>
    <x v="1"/>
    <x v="3"/>
  </r>
  <r>
    <x v="0"/>
    <x v="3"/>
    <x v="4"/>
    <x v="4"/>
    <x v="3"/>
    <x v="3"/>
    <x v="3"/>
  </r>
  <r>
    <x v="2"/>
    <x v="7"/>
    <x v="8"/>
    <x v="5"/>
    <x v="4"/>
    <x v="4"/>
    <x v="4"/>
  </r>
  <r>
    <x v="0"/>
    <x v="1"/>
    <x v="1"/>
    <x v="5"/>
    <x v="4"/>
    <x v="4"/>
    <x v="4"/>
  </r>
  <r>
    <x v="0"/>
    <x v="1"/>
    <x v="1"/>
    <x v="2"/>
    <x v="9"/>
    <x v="0"/>
    <x v="0"/>
  </r>
  <r>
    <x v="5"/>
    <x v="7"/>
    <x v="8"/>
    <x v="5"/>
    <x v="4"/>
    <x v="4"/>
    <x v="4"/>
  </r>
  <r>
    <x v="5"/>
    <x v="7"/>
    <x v="8"/>
    <x v="5"/>
    <x v="4"/>
    <x v="5"/>
    <x v="5"/>
  </r>
  <r>
    <x v="0"/>
    <x v="7"/>
    <x v="8"/>
    <x v="4"/>
    <x v="3"/>
    <x v="3"/>
    <x v="3"/>
  </r>
  <r>
    <x v="0"/>
    <x v="1"/>
    <x v="1"/>
    <x v="5"/>
    <x v="4"/>
    <x v="4"/>
    <x v="4"/>
  </r>
  <r>
    <x v="9"/>
    <x v="9"/>
    <x v="6"/>
    <x v="9"/>
    <x v="0"/>
    <x v="0"/>
    <x v="0"/>
  </r>
  <r>
    <x v="0"/>
    <x v="1"/>
    <x v="1"/>
    <x v="1"/>
    <x v="6"/>
    <x v="8"/>
    <x v="4"/>
  </r>
  <r>
    <x v="0"/>
    <x v="1"/>
    <x v="1"/>
    <x v="1"/>
    <x v="6"/>
    <x v="8"/>
    <x v="4"/>
  </r>
  <r>
    <x v="0"/>
    <x v="7"/>
    <x v="8"/>
    <x v="5"/>
    <x v="4"/>
    <x v="4"/>
    <x v="4"/>
  </r>
  <r>
    <x v="0"/>
    <x v="7"/>
    <x v="8"/>
    <x v="5"/>
    <x v="4"/>
    <x v="4"/>
    <x v="4"/>
  </r>
  <r>
    <x v="0"/>
    <x v="1"/>
    <x v="1"/>
    <x v="1"/>
    <x v="6"/>
    <x v="3"/>
    <x v="3"/>
  </r>
  <r>
    <x v="0"/>
    <x v="3"/>
    <x v="4"/>
    <x v="4"/>
    <x v="3"/>
    <x v="3"/>
    <x v="3"/>
  </r>
  <r>
    <x v="1"/>
    <x v="5"/>
    <x v="2"/>
    <x v="2"/>
    <x v="1"/>
    <x v="1"/>
    <x v="1"/>
  </r>
  <r>
    <x v="0"/>
    <x v="1"/>
    <x v="1"/>
    <x v="4"/>
    <x v="1"/>
    <x v="1"/>
    <x v="1"/>
  </r>
  <r>
    <x v="0"/>
    <x v="7"/>
    <x v="8"/>
    <x v="5"/>
    <x v="8"/>
    <x v="7"/>
    <x v="7"/>
  </r>
  <r>
    <x v="0"/>
    <x v="1"/>
    <x v="1"/>
    <x v="1"/>
    <x v="6"/>
    <x v="5"/>
    <x v="5"/>
  </r>
  <r>
    <x v="0"/>
    <x v="1"/>
    <x v="1"/>
    <x v="2"/>
    <x v="7"/>
    <x v="6"/>
    <x v="6"/>
  </r>
  <r>
    <x v="0"/>
    <x v="7"/>
    <x v="8"/>
    <x v="5"/>
    <x v="4"/>
    <x v="4"/>
    <x v="4"/>
  </r>
  <r>
    <x v="0"/>
    <x v="1"/>
    <x v="1"/>
    <x v="1"/>
    <x v="6"/>
    <x v="8"/>
    <x v="4"/>
  </r>
  <r>
    <x v="0"/>
    <x v="1"/>
    <x v="5"/>
    <x v="6"/>
    <x v="5"/>
    <x v="5"/>
    <x v="5"/>
  </r>
  <r>
    <x v="1"/>
    <x v="5"/>
    <x v="2"/>
    <x v="2"/>
    <x v="1"/>
    <x v="1"/>
    <x v="1"/>
  </r>
  <r>
    <x v="5"/>
    <x v="7"/>
    <x v="5"/>
    <x v="6"/>
    <x v="5"/>
    <x v="5"/>
    <x v="5"/>
  </r>
  <r>
    <x v="0"/>
    <x v="2"/>
    <x v="4"/>
    <x v="4"/>
    <x v="3"/>
    <x v="3"/>
    <x v="3"/>
  </r>
  <r>
    <x v="0"/>
    <x v="2"/>
    <x v="3"/>
    <x v="3"/>
    <x v="2"/>
    <x v="2"/>
    <x v="2"/>
  </r>
  <r>
    <x v="0"/>
    <x v="5"/>
    <x v="9"/>
    <x v="7"/>
    <x v="7"/>
    <x v="6"/>
    <x v="6"/>
  </r>
  <r>
    <x v="0"/>
    <x v="1"/>
    <x v="1"/>
    <x v="1"/>
    <x v="6"/>
    <x v="3"/>
    <x v="3"/>
  </r>
  <r>
    <x v="4"/>
    <x v="6"/>
    <x v="7"/>
    <x v="8"/>
    <x v="8"/>
    <x v="7"/>
    <x v="7"/>
  </r>
  <r>
    <x v="5"/>
    <x v="7"/>
    <x v="8"/>
    <x v="5"/>
    <x v="4"/>
    <x v="4"/>
    <x v="4"/>
  </r>
  <r>
    <x v="0"/>
    <x v="2"/>
    <x v="3"/>
    <x v="5"/>
    <x v="4"/>
    <x v="2"/>
    <x v="2"/>
  </r>
  <r>
    <x v="0"/>
    <x v="1"/>
    <x v="1"/>
    <x v="5"/>
    <x v="4"/>
    <x v="4"/>
    <x v="4"/>
  </r>
  <r>
    <x v="0"/>
    <x v="7"/>
    <x v="8"/>
    <x v="5"/>
    <x v="4"/>
    <x v="4"/>
    <x v="4"/>
  </r>
  <r>
    <x v="5"/>
    <x v="7"/>
    <x v="8"/>
    <x v="4"/>
    <x v="3"/>
    <x v="3"/>
    <x v="3"/>
  </r>
  <r>
    <x v="0"/>
    <x v="1"/>
    <x v="1"/>
    <x v="5"/>
    <x v="4"/>
    <x v="4"/>
    <x v="4"/>
  </r>
  <r>
    <x v="0"/>
    <x v="1"/>
    <x v="1"/>
    <x v="5"/>
    <x v="4"/>
    <x v="4"/>
    <x v="4"/>
  </r>
  <r>
    <x v="0"/>
    <x v="1"/>
    <x v="1"/>
    <x v="4"/>
    <x v="3"/>
    <x v="3"/>
    <x v="3"/>
  </r>
  <r>
    <x v="0"/>
    <x v="2"/>
    <x v="3"/>
    <x v="8"/>
    <x v="8"/>
    <x v="7"/>
    <x v="7"/>
  </r>
  <r>
    <x v="0"/>
    <x v="1"/>
    <x v="1"/>
    <x v="3"/>
    <x v="2"/>
    <x v="2"/>
    <x v="2"/>
  </r>
  <r>
    <x v="1"/>
    <x v="5"/>
    <x v="2"/>
    <x v="2"/>
    <x v="5"/>
    <x v="5"/>
    <x v="5"/>
  </r>
  <r>
    <x v="5"/>
    <x v="7"/>
    <x v="8"/>
    <x v="5"/>
    <x v="4"/>
    <x v="4"/>
    <x v="4"/>
  </r>
  <r>
    <x v="0"/>
    <x v="7"/>
    <x v="8"/>
    <x v="5"/>
    <x v="4"/>
    <x v="4"/>
    <x v="4"/>
  </r>
  <r>
    <x v="0"/>
    <x v="1"/>
    <x v="8"/>
    <x v="5"/>
    <x v="4"/>
    <x v="4"/>
    <x v="4"/>
  </r>
  <r>
    <x v="6"/>
    <x v="4"/>
    <x v="5"/>
    <x v="6"/>
    <x v="5"/>
    <x v="5"/>
    <x v="5"/>
  </r>
  <r>
    <x v="0"/>
    <x v="4"/>
    <x v="5"/>
    <x v="6"/>
    <x v="0"/>
    <x v="0"/>
    <x v="0"/>
  </r>
  <r>
    <x v="3"/>
    <x v="0"/>
    <x v="0"/>
    <x v="0"/>
    <x v="0"/>
    <x v="0"/>
    <x v="0"/>
  </r>
  <r>
    <x v="0"/>
    <x v="1"/>
    <x v="1"/>
    <x v="1"/>
    <x v="6"/>
    <x v="5"/>
    <x v="5"/>
  </r>
  <r>
    <x v="6"/>
    <x v="4"/>
    <x v="5"/>
    <x v="6"/>
    <x v="5"/>
    <x v="5"/>
    <x v="5"/>
  </r>
  <r>
    <x v="0"/>
    <x v="7"/>
    <x v="8"/>
    <x v="5"/>
    <x v="4"/>
    <x v="4"/>
    <x v="4"/>
  </r>
  <r>
    <x v="0"/>
    <x v="1"/>
    <x v="1"/>
    <x v="1"/>
    <x v="4"/>
    <x v="2"/>
    <x v="2"/>
  </r>
  <r>
    <x v="0"/>
    <x v="1"/>
    <x v="2"/>
    <x v="0"/>
    <x v="0"/>
    <x v="0"/>
    <x v="0"/>
  </r>
  <r>
    <x v="0"/>
    <x v="1"/>
    <x v="1"/>
    <x v="5"/>
    <x v="4"/>
    <x v="4"/>
    <x v="4"/>
  </r>
  <r>
    <x v="0"/>
    <x v="1"/>
    <x v="8"/>
    <x v="6"/>
    <x v="5"/>
    <x v="5"/>
    <x v="5"/>
  </r>
  <r>
    <x v="0"/>
    <x v="1"/>
    <x v="1"/>
    <x v="5"/>
    <x v="4"/>
    <x v="4"/>
    <x v="3"/>
  </r>
  <r>
    <x v="7"/>
    <x v="2"/>
    <x v="3"/>
    <x v="3"/>
    <x v="5"/>
    <x v="5"/>
    <x v="5"/>
  </r>
  <r>
    <x v="0"/>
    <x v="1"/>
    <x v="1"/>
    <x v="1"/>
    <x v="1"/>
    <x v="0"/>
    <x v="0"/>
  </r>
  <r>
    <x v="0"/>
    <x v="7"/>
    <x v="8"/>
    <x v="5"/>
    <x v="4"/>
    <x v="4"/>
    <x v="4"/>
  </r>
  <r>
    <x v="0"/>
    <x v="1"/>
    <x v="1"/>
    <x v="5"/>
    <x v="4"/>
    <x v="4"/>
    <x v="4"/>
  </r>
  <r>
    <x v="6"/>
    <x v="4"/>
    <x v="5"/>
    <x v="6"/>
    <x v="5"/>
    <x v="5"/>
    <x v="5"/>
  </r>
  <r>
    <x v="0"/>
    <x v="1"/>
    <x v="6"/>
    <x v="7"/>
    <x v="7"/>
    <x v="6"/>
    <x v="6"/>
  </r>
  <r>
    <x v="0"/>
    <x v="1"/>
    <x v="3"/>
    <x v="3"/>
    <x v="2"/>
    <x v="2"/>
    <x v="2"/>
  </r>
  <r>
    <x v="0"/>
    <x v="1"/>
    <x v="1"/>
    <x v="1"/>
    <x v="2"/>
    <x v="2"/>
    <x v="2"/>
  </r>
  <r>
    <x v="5"/>
    <x v="7"/>
    <x v="8"/>
    <x v="5"/>
    <x v="4"/>
    <x v="4"/>
    <x v="4"/>
  </r>
  <r>
    <x v="0"/>
    <x v="1"/>
    <x v="3"/>
    <x v="3"/>
    <x v="2"/>
    <x v="2"/>
    <x v="2"/>
  </r>
  <r>
    <x v="0"/>
    <x v="1"/>
    <x v="3"/>
    <x v="6"/>
    <x v="5"/>
    <x v="5"/>
    <x v="5"/>
  </r>
  <r>
    <x v="5"/>
    <x v="7"/>
    <x v="8"/>
    <x v="4"/>
    <x v="3"/>
    <x v="3"/>
    <x v="3"/>
  </r>
  <r>
    <x v="2"/>
    <x v="3"/>
    <x v="4"/>
    <x v="4"/>
    <x v="3"/>
    <x v="3"/>
    <x v="3"/>
  </r>
  <r>
    <x v="0"/>
    <x v="1"/>
    <x v="1"/>
    <x v="6"/>
    <x v="5"/>
    <x v="5"/>
    <x v="5"/>
  </r>
  <r>
    <x v="3"/>
    <x v="9"/>
    <x v="5"/>
    <x v="6"/>
    <x v="5"/>
    <x v="5"/>
    <x v="5"/>
  </r>
  <r>
    <x v="2"/>
    <x v="3"/>
    <x v="4"/>
    <x v="2"/>
    <x v="1"/>
    <x v="1"/>
    <x v="1"/>
  </r>
  <r>
    <x v="0"/>
    <x v="1"/>
    <x v="1"/>
    <x v="1"/>
    <x v="6"/>
    <x v="2"/>
    <x v="2"/>
  </r>
  <r>
    <x v="0"/>
    <x v="1"/>
    <x v="5"/>
    <x v="6"/>
    <x v="5"/>
    <x v="5"/>
    <x v="5"/>
  </r>
  <r>
    <x v="1"/>
    <x v="5"/>
    <x v="2"/>
    <x v="2"/>
    <x v="1"/>
    <x v="1"/>
    <x v="1"/>
  </r>
  <r>
    <x v="0"/>
    <x v="1"/>
    <x v="1"/>
    <x v="6"/>
    <x v="5"/>
    <x v="5"/>
    <x v="5"/>
  </r>
  <r>
    <x v="0"/>
    <x v="1"/>
    <x v="1"/>
    <x v="3"/>
    <x v="2"/>
    <x v="4"/>
    <x v="4"/>
  </r>
  <r>
    <x v="0"/>
    <x v="1"/>
    <x v="1"/>
    <x v="3"/>
    <x v="2"/>
    <x v="2"/>
    <x v="2"/>
  </r>
  <r>
    <x v="0"/>
    <x v="1"/>
    <x v="1"/>
    <x v="1"/>
    <x v="4"/>
    <x v="4"/>
    <x v="4"/>
  </r>
  <r>
    <x v="0"/>
    <x v="1"/>
    <x v="1"/>
    <x v="1"/>
    <x v="6"/>
    <x v="5"/>
    <x v="5"/>
  </r>
  <r>
    <x v="0"/>
    <x v="3"/>
    <x v="4"/>
    <x v="4"/>
    <x v="3"/>
    <x v="3"/>
    <x v="3"/>
  </r>
  <r>
    <x v="0"/>
    <x v="1"/>
    <x v="1"/>
    <x v="6"/>
    <x v="5"/>
    <x v="5"/>
    <x v="5"/>
  </r>
  <r>
    <x v="0"/>
    <x v="1"/>
    <x v="1"/>
    <x v="4"/>
    <x v="3"/>
    <x v="3"/>
    <x v="3"/>
  </r>
  <r>
    <x v="0"/>
    <x v="7"/>
    <x v="8"/>
    <x v="5"/>
    <x v="4"/>
    <x v="3"/>
    <x v="3"/>
  </r>
  <r>
    <x v="3"/>
    <x v="0"/>
    <x v="0"/>
    <x v="0"/>
    <x v="5"/>
    <x v="5"/>
    <x v="5"/>
  </r>
  <r>
    <x v="3"/>
    <x v="0"/>
    <x v="0"/>
    <x v="0"/>
    <x v="9"/>
    <x v="9"/>
    <x v="6"/>
  </r>
  <r>
    <x v="0"/>
    <x v="1"/>
    <x v="1"/>
    <x v="1"/>
    <x v="5"/>
    <x v="5"/>
    <x v="5"/>
  </r>
  <r>
    <x v="2"/>
    <x v="3"/>
    <x v="4"/>
    <x v="4"/>
    <x v="3"/>
    <x v="3"/>
    <x v="3"/>
  </r>
  <r>
    <x v="3"/>
    <x v="0"/>
    <x v="0"/>
    <x v="0"/>
    <x v="5"/>
    <x v="5"/>
    <x v="5"/>
  </r>
  <r>
    <x v="0"/>
    <x v="2"/>
    <x v="3"/>
    <x v="3"/>
    <x v="2"/>
    <x v="2"/>
    <x v="2"/>
  </r>
  <r>
    <x v="1"/>
    <x v="5"/>
    <x v="2"/>
    <x v="0"/>
    <x v="0"/>
    <x v="0"/>
    <x v="1"/>
  </r>
  <r>
    <x v="2"/>
    <x v="3"/>
    <x v="4"/>
    <x v="2"/>
    <x v="1"/>
    <x v="3"/>
    <x v="5"/>
  </r>
  <r>
    <x v="1"/>
    <x v="5"/>
    <x v="4"/>
    <x v="4"/>
    <x v="3"/>
    <x v="3"/>
    <x v="3"/>
  </r>
  <r>
    <x v="1"/>
    <x v="5"/>
    <x v="4"/>
    <x v="4"/>
    <x v="3"/>
    <x v="3"/>
    <x v="3"/>
  </r>
  <r>
    <x v="0"/>
    <x v="1"/>
    <x v="1"/>
    <x v="1"/>
    <x v="6"/>
    <x v="3"/>
    <x v="3"/>
  </r>
  <r>
    <x v="0"/>
    <x v="3"/>
    <x v="4"/>
    <x v="4"/>
    <x v="3"/>
    <x v="4"/>
    <x v="4"/>
  </r>
  <r>
    <x v="0"/>
    <x v="1"/>
    <x v="1"/>
    <x v="1"/>
    <x v="6"/>
    <x v="4"/>
    <x v="4"/>
  </r>
  <r>
    <x v="0"/>
    <x v="1"/>
    <x v="0"/>
    <x v="0"/>
    <x v="5"/>
    <x v="5"/>
    <x v="5"/>
  </r>
  <r>
    <x v="6"/>
    <x v="4"/>
    <x v="5"/>
    <x v="6"/>
    <x v="5"/>
    <x v="5"/>
    <x v="5"/>
  </r>
  <r>
    <x v="2"/>
    <x v="3"/>
    <x v="4"/>
    <x v="6"/>
    <x v="5"/>
    <x v="5"/>
    <x v="5"/>
  </r>
  <r>
    <x v="2"/>
    <x v="3"/>
    <x v="4"/>
    <x v="4"/>
    <x v="3"/>
    <x v="3"/>
    <x v="3"/>
  </r>
  <r>
    <x v="1"/>
    <x v="5"/>
    <x v="4"/>
    <x v="4"/>
    <x v="3"/>
    <x v="3"/>
    <x v="3"/>
  </r>
  <r>
    <x v="0"/>
    <x v="1"/>
    <x v="8"/>
    <x v="4"/>
    <x v="3"/>
    <x v="0"/>
    <x v="5"/>
  </r>
  <r>
    <x v="2"/>
    <x v="3"/>
    <x v="4"/>
    <x v="4"/>
    <x v="3"/>
    <x v="3"/>
    <x v="3"/>
  </r>
  <r>
    <x v="0"/>
    <x v="1"/>
    <x v="4"/>
    <x v="4"/>
    <x v="3"/>
    <x v="3"/>
    <x v="3"/>
  </r>
  <r>
    <x v="0"/>
    <x v="1"/>
    <x v="1"/>
    <x v="1"/>
    <x v="6"/>
    <x v="8"/>
    <x v="2"/>
  </r>
  <r>
    <x v="0"/>
    <x v="1"/>
    <x v="1"/>
    <x v="4"/>
    <x v="3"/>
    <x v="3"/>
    <x v="3"/>
  </r>
  <r>
    <x v="0"/>
    <x v="1"/>
    <x v="1"/>
    <x v="1"/>
    <x v="6"/>
    <x v="2"/>
    <x v="2"/>
  </r>
  <r>
    <x v="0"/>
    <x v="1"/>
    <x v="4"/>
    <x v="4"/>
    <x v="3"/>
    <x v="3"/>
    <x v="3"/>
  </r>
  <r>
    <x v="0"/>
    <x v="1"/>
    <x v="4"/>
    <x v="4"/>
    <x v="3"/>
    <x v="3"/>
    <x v="3"/>
  </r>
  <r>
    <x v="0"/>
    <x v="1"/>
    <x v="1"/>
    <x v="1"/>
    <x v="6"/>
    <x v="4"/>
    <x v="5"/>
  </r>
  <r>
    <x v="2"/>
    <x v="3"/>
    <x v="4"/>
    <x v="4"/>
    <x v="3"/>
    <x v="3"/>
    <x v="3"/>
  </r>
  <r>
    <x v="0"/>
    <x v="1"/>
    <x v="5"/>
    <x v="6"/>
    <x v="5"/>
    <x v="5"/>
    <x v="5"/>
  </r>
  <r>
    <x v="0"/>
    <x v="1"/>
    <x v="1"/>
    <x v="1"/>
    <x v="6"/>
    <x v="5"/>
    <x v="5"/>
  </r>
  <r>
    <x v="9"/>
    <x v="9"/>
    <x v="5"/>
    <x v="6"/>
    <x v="5"/>
    <x v="5"/>
    <x v="5"/>
  </r>
  <r>
    <x v="1"/>
    <x v="5"/>
    <x v="4"/>
    <x v="4"/>
    <x v="3"/>
    <x v="3"/>
    <x v="3"/>
  </r>
  <r>
    <x v="0"/>
    <x v="1"/>
    <x v="1"/>
    <x v="5"/>
    <x v="4"/>
    <x v="4"/>
    <x v="4"/>
  </r>
  <r>
    <x v="0"/>
    <x v="1"/>
    <x v="1"/>
    <x v="8"/>
    <x v="8"/>
    <x v="7"/>
    <x v="7"/>
  </r>
  <r>
    <x v="0"/>
    <x v="1"/>
    <x v="1"/>
    <x v="1"/>
    <x v="4"/>
    <x v="4"/>
    <x v="4"/>
  </r>
  <r>
    <x v="0"/>
    <x v="1"/>
    <x v="8"/>
    <x v="5"/>
    <x v="4"/>
    <x v="4"/>
    <x v="4"/>
  </r>
  <r>
    <x v="0"/>
    <x v="1"/>
    <x v="1"/>
    <x v="4"/>
    <x v="3"/>
    <x v="3"/>
    <x v="3"/>
  </r>
  <r>
    <x v="0"/>
    <x v="7"/>
    <x v="0"/>
    <x v="4"/>
    <x v="3"/>
    <x v="3"/>
    <x v="4"/>
  </r>
  <r>
    <x v="0"/>
    <x v="3"/>
    <x v="9"/>
    <x v="7"/>
    <x v="7"/>
    <x v="6"/>
    <x v="6"/>
  </r>
  <r>
    <x v="0"/>
    <x v="1"/>
    <x v="4"/>
    <x v="2"/>
    <x v="1"/>
    <x v="1"/>
    <x v="1"/>
  </r>
  <r>
    <x v="0"/>
    <x v="1"/>
    <x v="1"/>
    <x v="5"/>
    <x v="4"/>
    <x v="4"/>
    <x v="4"/>
  </r>
  <r>
    <x v="0"/>
    <x v="1"/>
    <x v="1"/>
    <x v="4"/>
    <x v="3"/>
    <x v="4"/>
    <x v="4"/>
  </r>
  <r>
    <x v="0"/>
    <x v="1"/>
    <x v="4"/>
    <x v="2"/>
    <x v="1"/>
    <x v="1"/>
    <x v="1"/>
  </r>
  <r>
    <x v="0"/>
    <x v="1"/>
    <x v="1"/>
    <x v="1"/>
    <x v="6"/>
    <x v="3"/>
    <x v="3"/>
  </r>
  <r>
    <x v="0"/>
    <x v="1"/>
    <x v="2"/>
    <x v="2"/>
    <x v="9"/>
    <x v="9"/>
    <x v="8"/>
  </r>
  <r>
    <x v="0"/>
    <x v="2"/>
    <x v="3"/>
    <x v="3"/>
    <x v="2"/>
    <x v="2"/>
    <x v="2"/>
  </r>
  <r>
    <x v="0"/>
    <x v="7"/>
    <x v="8"/>
    <x v="5"/>
    <x v="4"/>
    <x v="4"/>
    <x v="4"/>
  </r>
  <r>
    <x v="0"/>
    <x v="1"/>
    <x v="1"/>
    <x v="0"/>
    <x v="0"/>
    <x v="1"/>
    <x v="1"/>
  </r>
  <r>
    <x v="0"/>
    <x v="1"/>
    <x v="1"/>
    <x v="4"/>
    <x v="3"/>
    <x v="3"/>
    <x v="3"/>
  </r>
  <r>
    <x v="3"/>
    <x v="4"/>
    <x v="5"/>
    <x v="6"/>
    <x v="5"/>
    <x v="5"/>
    <x v="5"/>
  </r>
  <r>
    <x v="0"/>
    <x v="2"/>
    <x v="3"/>
    <x v="3"/>
    <x v="2"/>
    <x v="2"/>
    <x v="2"/>
  </r>
  <r>
    <x v="0"/>
    <x v="1"/>
    <x v="1"/>
    <x v="5"/>
    <x v="5"/>
    <x v="5"/>
    <x v="5"/>
  </r>
  <r>
    <x v="0"/>
    <x v="1"/>
    <x v="4"/>
    <x v="2"/>
    <x v="7"/>
    <x v="6"/>
    <x v="6"/>
  </r>
  <r>
    <x v="0"/>
    <x v="1"/>
    <x v="1"/>
    <x v="1"/>
    <x v="6"/>
    <x v="2"/>
    <x v="2"/>
  </r>
  <r>
    <x v="0"/>
    <x v="1"/>
    <x v="1"/>
    <x v="5"/>
    <x v="4"/>
    <x v="4"/>
    <x v="4"/>
  </r>
  <r>
    <x v="0"/>
    <x v="1"/>
    <x v="1"/>
    <x v="5"/>
    <x v="4"/>
    <x v="4"/>
    <x v="5"/>
  </r>
  <r>
    <x v="0"/>
    <x v="1"/>
    <x v="4"/>
    <x v="4"/>
    <x v="3"/>
    <x v="3"/>
    <x v="3"/>
  </r>
  <r>
    <x v="0"/>
    <x v="1"/>
    <x v="1"/>
    <x v="1"/>
    <x v="1"/>
    <x v="1"/>
    <x v="1"/>
  </r>
  <r>
    <x v="3"/>
    <x v="7"/>
    <x v="4"/>
    <x v="2"/>
    <x v="1"/>
    <x v="1"/>
    <x v="1"/>
  </r>
  <r>
    <x v="1"/>
    <x v="9"/>
    <x v="6"/>
    <x v="7"/>
    <x v="7"/>
    <x v="6"/>
    <x v="6"/>
  </r>
  <r>
    <x v="0"/>
    <x v="1"/>
    <x v="2"/>
    <x v="7"/>
    <x v="7"/>
    <x v="6"/>
    <x v="6"/>
  </r>
  <r>
    <x v="3"/>
    <x v="0"/>
    <x v="0"/>
    <x v="9"/>
    <x v="9"/>
    <x v="5"/>
    <x v="5"/>
  </r>
  <r>
    <x v="7"/>
    <x v="2"/>
    <x v="3"/>
    <x v="3"/>
    <x v="2"/>
    <x v="2"/>
    <x v="2"/>
  </r>
  <r>
    <x v="0"/>
    <x v="1"/>
    <x v="8"/>
    <x v="5"/>
    <x v="4"/>
    <x v="4"/>
    <x v="4"/>
  </r>
  <r>
    <x v="0"/>
    <x v="2"/>
    <x v="3"/>
    <x v="3"/>
    <x v="2"/>
    <x v="2"/>
    <x v="2"/>
  </r>
  <r>
    <x v="0"/>
    <x v="1"/>
    <x v="1"/>
    <x v="0"/>
    <x v="0"/>
    <x v="0"/>
    <x v="0"/>
  </r>
  <r>
    <x v="0"/>
    <x v="1"/>
    <x v="3"/>
    <x v="3"/>
    <x v="2"/>
    <x v="2"/>
    <x v="2"/>
  </r>
  <r>
    <x v="0"/>
    <x v="1"/>
    <x v="3"/>
    <x v="3"/>
    <x v="2"/>
    <x v="2"/>
    <x v="2"/>
  </r>
  <r>
    <x v="0"/>
    <x v="1"/>
    <x v="1"/>
    <x v="0"/>
    <x v="0"/>
    <x v="1"/>
    <x v="1"/>
  </r>
  <r>
    <x v="2"/>
    <x v="3"/>
    <x v="4"/>
    <x v="4"/>
    <x v="3"/>
    <x v="3"/>
    <x v="3"/>
  </r>
  <r>
    <x v="0"/>
    <x v="3"/>
    <x v="4"/>
    <x v="4"/>
    <x v="3"/>
    <x v="1"/>
    <x v="3"/>
  </r>
  <r>
    <x v="2"/>
    <x v="3"/>
    <x v="4"/>
    <x v="4"/>
    <x v="3"/>
    <x v="3"/>
    <x v="3"/>
  </r>
  <r>
    <x v="1"/>
    <x v="5"/>
    <x v="2"/>
    <x v="2"/>
    <x v="0"/>
    <x v="0"/>
    <x v="0"/>
  </r>
  <r>
    <x v="0"/>
    <x v="1"/>
    <x v="1"/>
    <x v="1"/>
    <x v="6"/>
    <x v="4"/>
    <x v="4"/>
  </r>
  <r>
    <x v="0"/>
    <x v="1"/>
    <x v="1"/>
    <x v="1"/>
    <x v="0"/>
    <x v="0"/>
    <x v="0"/>
  </r>
  <r>
    <x v="0"/>
    <x v="1"/>
    <x v="1"/>
    <x v="3"/>
    <x v="2"/>
    <x v="2"/>
    <x v="2"/>
  </r>
  <r>
    <x v="0"/>
    <x v="1"/>
    <x v="3"/>
    <x v="0"/>
    <x v="0"/>
    <x v="1"/>
    <x v="1"/>
  </r>
  <r>
    <x v="5"/>
    <x v="7"/>
    <x v="8"/>
    <x v="5"/>
    <x v="4"/>
    <x v="4"/>
    <x v="4"/>
  </r>
  <r>
    <x v="0"/>
    <x v="1"/>
    <x v="1"/>
    <x v="1"/>
    <x v="5"/>
    <x v="5"/>
    <x v="5"/>
  </r>
  <r>
    <x v="5"/>
    <x v="4"/>
    <x v="5"/>
    <x v="6"/>
    <x v="5"/>
    <x v="5"/>
    <x v="5"/>
  </r>
  <r>
    <x v="0"/>
    <x v="4"/>
    <x v="5"/>
    <x v="6"/>
    <x v="5"/>
    <x v="5"/>
    <x v="5"/>
  </r>
  <r>
    <x v="0"/>
    <x v="8"/>
    <x v="9"/>
    <x v="7"/>
    <x v="7"/>
    <x v="6"/>
    <x v="6"/>
  </r>
  <r>
    <x v="0"/>
    <x v="7"/>
    <x v="8"/>
    <x v="4"/>
    <x v="3"/>
    <x v="3"/>
    <x v="3"/>
  </r>
  <r>
    <x v="0"/>
    <x v="1"/>
    <x v="1"/>
    <x v="1"/>
    <x v="5"/>
    <x v="5"/>
    <x v="5"/>
  </r>
  <r>
    <x v="0"/>
    <x v="0"/>
    <x v="0"/>
    <x v="0"/>
    <x v="0"/>
    <x v="0"/>
    <x v="0"/>
  </r>
  <r>
    <x v="0"/>
    <x v="8"/>
    <x v="9"/>
    <x v="7"/>
    <x v="7"/>
    <x v="6"/>
    <x v="6"/>
  </r>
  <r>
    <x v="0"/>
    <x v="1"/>
    <x v="1"/>
    <x v="1"/>
    <x v="1"/>
    <x v="1"/>
    <x v="1"/>
  </r>
  <r>
    <x v="0"/>
    <x v="1"/>
    <x v="1"/>
    <x v="1"/>
    <x v="4"/>
    <x v="4"/>
    <x v="4"/>
  </r>
  <r>
    <x v="0"/>
    <x v="1"/>
    <x v="6"/>
    <x v="9"/>
    <x v="0"/>
    <x v="3"/>
    <x v="3"/>
  </r>
  <r>
    <x v="0"/>
    <x v="1"/>
    <x v="4"/>
    <x v="4"/>
    <x v="0"/>
    <x v="4"/>
    <x v="4"/>
  </r>
  <r>
    <x v="0"/>
    <x v="1"/>
    <x v="1"/>
    <x v="6"/>
    <x v="5"/>
    <x v="5"/>
    <x v="5"/>
  </r>
  <r>
    <x v="0"/>
    <x v="1"/>
    <x v="1"/>
    <x v="5"/>
    <x v="4"/>
    <x v="4"/>
    <x v="4"/>
  </r>
  <r>
    <x v="0"/>
    <x v="1"/>
    <x v="4"/>
    <x v="4"/>
    <x v="3"/>
    <x v="3"/>
    <x v="3"/>
  </r>
  <r>
    <x v="0"/>
    <x v="4"/>
    <x v="5"/>
    <x v="6"/>
    <x v="5"/>
    <x v="5"/>
    <x v="5"/>
  </r>
  <r>
    <x v="7"/>
    <x v="2"/>
    <x v="3"/>
    <x v="3"/>
    <x v="4"/>
    <x v="4"/>
    <x v="4"/>
  </r>
  <r>
    <x v="0"/>
    <x v="3"/>
    <x v="4"/>
    <x v="4"/>
    <x v="3"/>
    <x v="3"/>
    <x v="3"/>
  </r>
  <r>
    <x v="3"/>
    <x v="0"/>
    <x v="2"/>
    <x v="2"/>
    <x v="1"/>
    <x v="1"/>
    <x v="1"/>
  </r>
  <r>
    <x v="0"/>
    <x v="9"/>
    <x v="9"/>
    <x v="7"/>
    <x v="7"/>
    <x v="6"/>
    <x v="6"/>
  </r>
  <r>
    <x v="0"/>
    <x v="2"/>
    <x v="3"/>
    <x v="3"/>
    <x v="2"/>
    <x v="2"/>
    <x v="2"/>
  </r>
  <r>
    <x v="0"/>
    <x v="1"/>
    <x v="8"/>
    <x v="4"/>
    <x v="3"/>
    <x v="3"/>
    <x v="3"/>
  </r>
  <r>
    <x v="0"/>
    <x v="1"/>
    <x v="1"/>
    <x v="4"/>
    <x v="3"/>
    <x v="3"/>
    <x v="3"/>
  </r>
  <r>
    <x v="2"/>
    <x v="3"/>
    <x v="4"/>
    <x v="2"/>
    <x v="3"/>
    <x v="3"/>
    <x v="3"/>
  </r>
  <r>
    <x v="5"/>
    <x v="2"/>
    <x v="3"/>
    <x v="3"/>
    <x v="2"/>
    <x v="2"/>
    <x v="2"/>
  </r>
  <r>
    <x v="0"/>
    <x v="9"/>
    <x v="5"/>
    <x v="6"/>
    <x v="5"/>
    <x v="5"/>
    <x v="5"/>
  </r>
  <r>
    <x v="0"/>
    <x v="1"/>
    <x v="5"/>
    <x v="6"/>
    <x v="5"/>
    <x v="5"/>
    <x v="5"/>
  </r>
  <r>
    <x v="9"/>
    <x v="9"/>
    <x v="6"/>
    <x v="9"/>
    <x v="9"/>
    <x v="0"/>
    <x v="0"/>
  </r>
  <r>
    <x v="0"/>
    <x v="3"/>
    <x v="4"/>
    <x v="6"/>
    <x v="5"/>
    <x v="5"/>
    <x v="5"/>
  </r>
  <r>
    <x v="0"/>
    <x v="1"/>
    <x v="1"/>
    <x v="1"/>
    <x v="6"/>
    <x v="5"/>
    <x v="5"/>
  </r>
  <r>
    <x v="3"/>
    <x v="0"/>
    <x v="0"/>
    <x v="9"/>
    <x v="9"/>
    <x v="5"/>
    <x v="5"/>
  </r>
  <r>
    <x v="0"/>
    <x v="1"/>
    <x v="8"/>
    <x v="5"/>
    <x v="4"/>
    <x v="4"/>
    <x v="4"/>
  </r>
  <r>
    <x v="0"/>
    <x v="1"/>
    <x v="1"/>
    <x v="1"/>
    <x v="5"/>
    <x v="5"/>
    <x v="5"/>
  </r>
  <r>
    <x v="6"/>
    <x v="4"/>
    <x v="5"/>
    <x v="6"/>
    <x v="7"/>
    <x v="6"/>
    <x v="6"/>
  </r>
  <r>
    <x v="0"/>
    <x v="4"/>
    <x v="5"/>
    <x v="6"/>
    <x v="5"/>
    <x v="5"/>
    <x v="5"/>
  </r>
  <r>
    <x v="5"/>
    <x v="7"/>
    <x v="4"/>
    <x v="4"/>
    <x v="3"/>
    <x v="3"/>
    <x v="3"/>
  </r>
  <r>
    <x v="5"/>
    <x v="3"/>
    <x v="2"/>
    <x v="2"/>
    <x v="1"/>
    <x v="1"/>
    <x v="1"/>
  </r>
  <r>
    <x v="5"/>
    <x v="7"/>
    <x v="8"/>
    <x v="5"/>
    <x v="4"/>
    <x v="3"/>
    <x v="3"/>
  </r>
  <r>
    <x v="4"/>
    <x v="6"/>
    <x v="7"/>
    <x v="8"/>
    <x v="5"/>
    <x v="5"/>
    <x v="5"/>
  </r>
  <r>
    <x v="2"/>
    <x v="3"/>
    <x v="4"/>
    <x v="6"/>
    <x v="5"/>
    <x v="5"/>
    <x v="5"/>
  </r>
  <r>
    <x v="0"/>
    <x v="1"/>
    <x v="1"/>
    <x v="1"/>
    <x v="3"/>
    <x v="3"/>
    <x v="3"/>
  </r>
  <r>
    <x v="0"/>
    <x v="3"/>
    <x v="4"/>
    <x v="4"/>
    <x v="3"/>
    <x v="3"/>
    <x v="3"/>
  </r>
  <r>
    <x v="0"/>
    <x v="7"/>
    <x v="8"/>
    <x v="5"/>
    <x v="4"/>
    <x v="4"/>
    <x v="4"/>
  </r>
  <r>
    <x v="2"/>
    <x v="3"/>
    <x v="4"/>
    <x v="4"/>
    <x v="3"/>
    <x v="3"/>
    <x v="3"/>
  </r>
  <r>
    <x v="2"/>
    <x v="3"/>
    <x v="4"/>
    <x v="4"/>
    <x v="3"/>
    <x v="3"/>
    <x v="3"/>
  </r>
  <r>
    <x v="2"/>
    <x v="3"/>
    <x v="4"/>
    <x v="4"/>
    <x v="3"/>
    <x v="3"/>
    <x v="3"/>
  </r>
  <r>
    <x v="0"/>
    <x v="7"/>
    <x v="8"/>
    <x v="5"/>
    <x v="4"/>
    <x v="4"/>
    <x v="4"/>
  </r>
  <r>
    <x v="2"/>
    <x v="5"/>
    <x v="0"/>
    <x v="0"/>
    <x v="0"/>
    <x v="0"/>
    <x v="0"/>
  </r>
  <r>
    <x v="0"/>
    <x v="1"/>
    <x v="3"/>
    <x v="3"/>
    <x v="2"/>
    <x v="2"/>
    <x v="2"/>
  </r>
  <r>
    <x v="0"/>
    <x v="1"/>
    <x v="1"/>
    <x v="1"/>
    <x v="5"/>
    <x v="5"/>
    <x v="5"/>
  </r>
  <r>
    <x v="0"/>
    <x v="1"/>
    <x v="1"/>
    <x v="1"/>
    <x v="6"/>
    <x v="2"/>
    <x v="2"/>
  </r>
  <r>
    <x v="1"/>
    <x v="0"/>
    <x v="0"/>
    <x v="0"/>
    <x v="0"/>
    <x v="0"/>
    <x v="0"/>
  </r>
  <r>
    <x v="0"/>
    <x v="1"/>
    <x v="1"/>
    <x v="1"/>
    <x v="4"/>
    <x v="4"/>
    <x v="4"/>
  </r>
  <r>
    <x v="0"/>
    <x v="4"/>
    <x v="5"/>
    <x v="6"/>
    <x v="5"/>
    <x v="5"/>
    <x v="5"/>
  </r>
  <r>
    <x v="0"/>
    <x v="2"/>
    <x v="3"/>
    <x v="8"/>
    <x v="5"/>
    <x v="5"/>
    <x v="5"/>
  </r>
  <r>
    <x v="0"/>
    <x v="0"/>
    <x v="2"/>
    <x v="2"/>
    <x v="1"/>
    <x v="1"/>
    <x v="1"/>
  </r>
  <r>
    <x v="5"/>
    <x v="7"/>
    <x v="4"/>
    <x v="4"/>
    <x v="3"/>
    <x v="3"/>
    <x v="3"/>
  </r>
  <r>
    <x v="6"/>
    <x v="4"/>
    <x v="5"/>
    <x v="6"/>
    <x v="5"/>
    <x v="5"/>
    <x v="5"/>
  </r>
  <r>
    <x v="2"/>
    <x v="3"/>
    <x v="4"/>
    <x v="4"/>
    <x v="3"/>
    <x v="3"/>
    <x v="3"/>
  </r>
  <r>
    <x v="0"/>
    <x v="1"/>
    <x v="8"/>
    <x v="5"/>
    <x v="4"/>
    <x v="4"/>
    <x v="4"/>
  </r>
  <r>
    <x v="7"/>
    <x v="2"/>
    <x v="3"/>
    <x v="6"/>
    <x v="5"/>
    <x v="5"/>
    <x v="5"/>
  </r>
  <r>
    <x v="0"/>
    <x v="1"/>
    <x v="1"/>
    <x v="1"/>
    <x v="3"/>
    <x v="3"/>
    <x v="3"/>
  </r>
  <r>
    <x v="0"/>
    <x v="1"/>
    <x v="5"/>
    <x v="6"/>
    <x v="5"/>
    <x v="5"/>
    <x v="5"/>
  </r>
  <r>
    <x v="0"/>
    <x v="1"/>
    <x v="1"/>
    <x v="1"/>
    <x v="3"/>
    <x v="3"/>
    <x v="3"/>
  </r>
  <r>
    <x v="0"/>
    <x v="1"/>
    <x v="1"/>
    <x v="1"/>
    <x v="6"/>
    <x v="1"/>
    <x v="0"/>
  </r>
  <r>
    <x v="0"/>
    <x v="3"/>
    <x v="8"/>
    <x v="5"/>
    <x v="4"/>
    <x v="4"/>
    <x v="4"/>
  </r>
  <r>
    <x v="0"/>
    <x v="1"/>
    <x v="1"/>
    <x v="1"/>
    <x v="0"/>
    <x v="0"/>
    <x v="0"/>
  </r>
  <r>
    <x v="0"/>
    <x v="1"/>
    <x v="1"/>
    <x v="4"/>
    <x v="3"/>
    <x v="3"/>
    <x v="3"/>
  </r>
  <r>
    <x v="3"/>
    <x v="0"/>
    <x v="6"/>
    <x v="7"/>
    <x v="7"/>
    <x v="6"/>
    <x v="6"/>
  </r>
  <r>
    <x v="0"/>
    <x v="1"/>
    <x v="1"/>
    <x v="1"/>
    <x v="4"/>
    <x v="4"/>
    <x v="4"/>
  </r>
  <r>
    <x v="1"/>
    <x v="5"/>
    <x v="2"/>
    <x v="2"/>
    <x v="0"/>
    <x v="0"/>
    <x v="1"/>
  </r>
  <r>
    <x v="6"/>
    <x v="4"/>
    <x v="5"/>
    <x v="6"/>
    <x v="5"/>
    <x v="5"/>
    <x v="5"/>
  </r>
  <r>
    <x v="0"/>
    <x v="1"/>
    <x v="4"/>
    <x v="4"/>
    <x v="3"/>
    <x v="3"/>
    <x v="3"/>
  </r>
  <r>
    <x v="0"/>
    <x v="2"/>
    <x v="3"/>
    <x v="3"/>
    <x v="2"/>
    <x v="2"/>
    <x v="2"/>
  </r>
  <r>
    <x v="0"/>
    <x v="1"/>
    <x v="1"/>
    <x v="1"/>
    <x v="1"/>
    <x v="1"/>
    <x v="1"/>
  </r>
  <r>
    <x v="0"/>
    <x v="1"/>
    <x v="5"/>
    <x v="6"/>
    <x v="5"/>
    <x v="5"/>
    <x v="5"/>
  </r>
  <r>
    <x v="0"/>
    <x v="1"/>
    <x v="1"/>
    <x v="1"/>
    <x v="6"/>
    <x v="0"/>
    <x v="0"/>
  </r>
  <r>
    <x v="0"/>
    <x v="1"/>
    <x v="2"/>
    <x v="2"/>
    <x v="1"/>
    <x v="1"/>
    <x v="1"/>
  </r>
  <r>
    <x v="2"/>
    <x v="3"/>
    <x v="4"/>
    <x v="5"/>
    <x v="4"/>
    <x v="4"/>
    <x v="4"/>
  </r>
  <r>
    <x v="1"/>
    <x v="5"/>
    <x v="6"/>
    <x v="9"/>
    <x v="5"/>
    <x v="5"/>
    <x v="5"/>
  </r>
  <r>
    <x v="0"/>
    <x v="1"/>
    <x v="1"/>
    <x v="6"/>
    <x v="1"/>
    <x v="1"/>
    <x v="1"/>
  </r>
  <r>
    <x v="0"/>
    <x v="1"/>
    <x v="4"/>
    <x v="4"/>
    <x v="3"/>
    <x v="3"/>
    <x v="3"/>
  </r>
  <r>
    <x v="0"/>
    <x v="1"/>
    <x v="1"/>
    <x v="1"/>
    <x v="6"/>
    <x v="9"/>
    <x v="8"/>
  </r>
  <r>
    <x v="0"/>
    <x v="2"/>
    <x v="3"/>
    <x v="3"/>
    <x v="2"/>
    <x v="2"/>
    <x v="2"/>
  </r>
  <r>
    <x v="0"/>
    <x v="1"/>
    <x v="1"/>
    <x v="1"/>
    <x v="4"/>
    <x v="4"/>
    <x v="4"/>
  </r>
  <r>
    <x v="0"/>
    <x v="1"/>
    <x v="4"/>
    <x v="4"/>
    <x v="3"/>
    <x v="1"/>
    <x v="1"/>
  </r>
  <r>
    <x v="0"/>
    <x v="1"/>
    <x v="1"/>
    <x v="2"/>
    <x v="1"/>
    <x v="1"/>
    <x v="1"/>
  </r>
  <r>
    <x v="0"/>
    <x v="7"/>
    <x v="8"/>
    <x v="4"/>
    <x v="3"/>
    <x v="3"/>
    <x v="3"/>
  </r>
  <r>
    <x v="0"/>
    <x v="1"/>
    <x v="1"/>
    <x v="1"/>
    <x v="3"/>
    <x v="3"/>
    <x v="3"/>
  </r>
  <r>
    <x v="0"/>
    <x v="1"/>
    <x v="1"/>
    <x v="1"/>
    <x v="6"/>
    <x v="8"/>
    <x v="0"/>
  </r>
  <r>
    <x v="0"/>
    <x v="1"/>
    <x v="8"/>
    <x v="5"/>
    <x v="4"/>
    <x v="4"/>
    <x v="4"/>
  </r>
  <r>
    <x v="0"/>
    <x v="1"/>
    <x v="1"/>
    <x v="1"/>
    <x v="5"/>
    <x v="5"/>
    <x v="5"/>
  </r>
  <r>
    <x v="0"/>
    <x v="1"/>
    <x v="1"/>
    <x v="6"/>
    <x v="5"/>
    <x v="5"/>
    <x v="5"/>
  </r>
  <r>
    <x v="0"/>
    <x v="3"/>
    <x v="4"/>
    <x v="0"/>
    <x v="0"/>
    <x v="0"/>
    <x v="0"/>
  </r>
  <r>
    <x v="1"/>
    <x v="4"/>
    <x v="5"/>
    <x v="6"/>
    <x v="5"/>
    <x v="5"/>
    <x v="5"/>
  </r>
  <r>
    <x v="0"/>
    <x v="1"/>
    <x v="1"/>
    <x v="1"/>
    <x v="5"/>
    <x v="5"/>
    <x v="5"/>
  </r>
  <r>
    <x v="0"/>
    <x v="1"/>
    <x v="5"/>
    <x v="6"/>
    <x v="2"/>
    <x v="2"/>
    <x v="2"/>
  </r>
  <r>
    <x v="0"/>
    <x v="1"/>
    <x v="3"/>
    <x v="3"/>
    <x v="2"/>
    <x v="2"/>
    <x v="2"/>
  </r>
  <r>
    <x v="0"/>
    <x v="1"/>
    <x v="1"/>
    <x v="1"/>
    <x v="4"/>
    <x v="4"/>
    <x v="4"/>
  </r>
  <r>
    <x v="0"/>
    <x v="1"/>
    <x v="1"/>
    <x v="1"/>
    <x v="6"/>
    <x v="5"/>
    <x v="5"/>
  </r>
  <r>
    <x v="0"/>
    <x v="1"/>
    <x v="4"/>
    <x v="4"/>
    <x v="1"/>
    <x v="4"/>
    <x v="4"/>
  </r>
  <r>
    <x v="0"/>
    <x v="1"/>
    <x v="1"/>
    <x v="1"/>
    <x v="6"/>
    <x v="8"/>
    <x v="2"/>
  </r>
  <r>
    <x v="0"/>
    <x v="1"/>
    <x v="1"/>
    <x v="1"/>
    <x v="6"/>
    <x v="4"/>
    <x v="4"/>
  </r>
  <r>
    <x v="0"/>
    <x v="1"/>
    <x v="1"/>
    <x v="1"/>
    <x v="6"/>
    <x v="4"/>
    <x v="4"/>
  </r>
  <r>
    <x v="0"/>
    <x v="1"/>
    <x v="1"/>
    <x v="1"/>
    <x v="6"/>
    <x v="3"/>
    <x v="3"/>
  </r>
  <r>
    <x v="0"/>
    <x v="1"/>
    <x v="1"/>
    <x v="4"/>
    <x v="3"/>
    <x v="3"/>
    <x v="3"/>
  </r>
  <r>
    <x v="0"/>
    <x v="1"/>
    <x v="6"/>
    <x v="9"/>
    <x v="9"/>
    <x v="5"/>
    <x v="5"/>
  </r>
  <r>
    <x v="2"/>
    <x v="3"/>
    <x v="4"/>
    <x v="4"/>
    <x v="3"/>
    <x v="3"/>
    <x v="3"/>
  </r>
  <r>
    <x v="0"/>
    <x v="1"/>
    <x v="4"/>
    <x v="2"/>
    <x v="1"/>
    <x v="1"/>
    <x v="1"/>
  </r>
  <r>
    <x v="0"/>
    <x v="5"/>
    <x v="4"/>
    <x v="4"/>
    <x v="3"/>
    <x v="3"/>
    <x v="3"/>
  </r>
  <r>
    <x v="2"/>
    <x v="3"/>
    <x v="4"/>
    <x v="4"/>
    <x v="3"/>
    <x v="3"/>
    <x v="3"/>
  </r>
  <r>
    <x v="0"/>
    <x v="1"/>
    <x v="1"/>
    <x v="1"/>
    <x v="3"/>
    <x v="3"/>
    <x v="3"/>
  </r>
  <r>
    <x v="0"/>
    <x v="1"/>
    <x v="1"/>
    <x v="4"/>
    <x v="3"/>
    <x v="3"/>
    <x v="3"/>
  </r>
  <r>
    <x v="2"/>
    <x v="7"/>
    <x v="8"/>
    <x v="5"/>
    <x v="4"/>
    <x v="4"/>
    <x v="4"/>
  </r>
  <r>
    <x v="6"/>
    <x v="4"/>
    <x v="5"/>
    <x v="6"/>
    <x v="5"/>
    <x v="5"/>
    <x v="5"/>
  </r>
  <r>
    <x v="0"/>
    <x v="7"/>
    <x v="8"/>
    <x v="5"/>
    <x v="4"/>
    <x v="4"/>
    <x v="4"/>
  </r>
  <r>
    <x v="0"/>
    <x v="1"/>
    <x v="1"/>
    <x v="1"/>
    <x v="6"/>
    <x v="5"/>
    <x v="5"/>
  </r>
  <r>
    <x v="0"/>
    <x v="7"/>
    <x v="8"/>
    <x v="5"/>
    <x v="4"/>
    <x v="4"/>
    <x v="4"/>
  </r>
  <r>
    <x v="0"/>
    <x v="1"/>
    <x v="1"/>
    <x v="2"/>
    <x v="1"/>
    <x v="1"/>
    <x v="1"/>
  </r>
  <r>
    <x v="0"/>
    <x v="1"/>
    <x v="8"/>
    <x v="5"/>
    <x v="4"/>
    <x v="4"/>
    <x v="4"/>
  </r>
  <r>
    <x v="0"/>
    <x v="1"/>
    <x v="1"/>
    <x v="8"/>
    <x v="8"/>
    <x v="7"/>
    <x v="7"/>
  </r>
  <r>
    <x v="0"/>
    <x v="7"/>
    <x v="7"/>
    <x v="6"/>
    <x v="5"/>
    <x v="5"/>
    <x v="5"/>
  </r>
  <r>
    <x v="2"/>
    <x v="3"/>
    <x v="4"/>
    <x v="4"/>
    <x v="3"/>
    <x v="3"/>
    <x v="3"/>
  </r>
  <r>
    <x v="0"/>
    <x v="7"/>
    <x v="8"/>
    <x v="5"/>
    <x v="4"/>
    <x v="4"/>
    <x v="4"/>
  </r>
  <r>
    <x v="0"/>
    <x v="4"/>
    <x v="5"/>
    <x v="6"/>
    <x v="5"/>
    <x v="5"/>
    <x v="5"/>
  </r>
  <r>
    <x v="1"/>
    <x v="4"/>
    <x v="5"/>
    <x v="6"/>
    <x v="5"/>
    <x v="5"/>
    <x v="5"/>
  </r>
  <r>
    <x v="0"/>
    <x v="3"/>
    <x v="4"/>
    <x v="4"/>
    <x v="5"/>
    <x v="5"/>
    <x v="5"/>
  </r>
  <r>
    <x v="0"/>
    <x v="2"/>
    <x v="3"/>
    <x v="5"/>
    <x v="4"/>
    <x v="4"/>
    <x v="4"/>
  </r>
  <r>
    <x v="0"/>
    <x v="1"/>
    <x v="1"/>
    <x v="1"/>
    <x v="0"/>
    <x v="0"/>
    <x v="0"/>
  </r>
  <r>
    <x v="0"/>
    <x v="1"/>
    <x v="1"/>
    <x v="1"/>
    <x v="4"/>
    <x v="4"/>
    <x v="4"/>
  </r>
  <r>
    <x v="0"/>
    <x v="1"/>
    <x v="4"/>
    <x v="4"/>
    <x v="5"/>
    <x v="5"/>
    <x v="5"/>
  </r>
  <r>
    <x v="0"/>
    <x v="8"/>
    <x v="9"/>
    <x v="7"/>
    <x v="7"/>
    <x v="6"/>
    <x v="6"/>
  </r>
  <r>
    <x v="2"/>
    <x v="3"/>
    <x v="4"/>
    <x v="4"/>
    <x v="3"/>
    <x v="3"/>
    <x v="3"/>
  </r>
  <r>
    <x v="0"/>
    <x v="1"/>
    <x v="1"/>
    <x v="6"/>
    <x v="5"/>
    <x v="5"/>
    <x v="5"/>
  </r>
  <r>
    <x v="0"/>
    <x v="1"/>
    <x v="1"/>
    <x v="1"/>
    <x v="6"/>
    <x v="2"/>
    <x v="2"/>
  </r>
  <r>
    <x v="6"/>
    <x v="4"/>
    <x v="5"/>
    <x v="6"/>
    <x v="5"/>
    <x v="5"/>
    <x v="5"/>
  </r>
  <r>
    <x v="0"/>
    <x v="1"/>
    <x v="1"/>
    <x v="1"/>
    <x v="6"/>
    <x v="5"/>
    <x v="5"/>
  </r>
  <r>
    <x v="3"/>
    <x v="9"/>
    <x v="6"/>
    <x v="7"/>
    <x v="7"/>
    <x v="6"/>
    <x v="6"/>
  </r>
  <r>
    <x v="0"/>
    <x v="7"/>
    <x v="8"/>
    <x v="5"/>
    <x v="5"/>
    <x v="5"/>
    <x v="5"/>
  </r>
  <r>
    <x v="0"/>
    <x v="4"/>
    <x v="5"/>
    <x v="6"/>
    <x v="5"/>
    <x v="5"/>
    <x v="5"/>
  </r>
  <r>
    <x v="0"/>
    <x v="7"/>
    <x v="8"/>
    <x v="5"/>
    <x v="4"/>
    <x v="5"/>
    <x v="5"/>
  </r>
  <r>
    <x v="0"/>
    <x v="5"/>
    <x v="2"/>
    <x v="2"/>
    <x v="1"/>
    <x v="1"/>
    <x v="1"/>
  </r>
  <r>
    <x v="1"/>
    <x v="9"/>
    <x v="6"/>
    <x v="9"/>
    <x v="9"/>
    <x v="9"/>
    <x v="8"/>
  </r>
  <r>
    <x v="0"/>
    <x v="1"/>
    <x v="8"/>
    <x v="5"/>
    <x v="5"/>
    <x v="5"/>
    <x v="5"/>
  </r>
  <r>
    <x v="0"/>
    <x v="1"/>
    <x v="3"/>
    <x v="3"/>
    <x v="2"/>
    <x v="2"/>
    <x v="2"/>
  </r>
  <r>
    <x v="0"/>
    <x v="1"/>
    <x v="1"/>
    <x v="4"/>
    <x v="3"/>
    <x v="3"/>
    <x v="3"/>
  </r>
  <r>
    <x v="0"/>
    <x v="3"/>
    <x v="4"/>
    <x v="4"/>
    <x v="5"/>
    <x v="5"/>
    <x v="5"/>
  </r>
  <r>
    <x v="1"/>
    <x v="5"/>
    <x v="9"/>
    <x v="7"/>
    <x v="7"/>
    <x v="6"/>
    <x v="6"/>
  </r>
  <r>
    <x v="5"/>
    <x v="7"/>
    <x v="8"/>
    <x v="5"/>
    <x v="4"/>
    <x v="4"/>
    <x v="4"/>
  </r>
  <r>
    <x v="0"/>
    <x v="1"/>
    <x v="8"/>
    <x v="5"/>
    <x v="4"/>
    <x v="4"/>
    <x v="4"/>
  </r>
  <r>
    <x v="5"/>
    <x v="7"/>
    <x v="8"/>
    <x v="5"/>
    <x v="4"/>
    <x v="4"/>
    <x v="4"/>
  </r>
  <r>
    <x v="0"/>
    <x v="1"/>
    <x v="1"/>
    <x v="4"/>
    <x v="5"/>
    <x v="5"/>
    <x v="5"/>
  </r>
  <r>
    <x v="0"/>
    <x v="1"/>
    <x v="1"/>
    <x v="4"/>
    <x v="3"/>
    <x v="3"/>
    <x v="3"/>
  </r>
  <r>
    <x v="0"/>
    <x v="1"/>
    <x v="8"/>
    <x v="4"/>
    <x v="3"/>
    <x v="3"/>
    <x v="3"/>
  </r>
  <r>
    <x v="9"/>
    <x v="9"/>
    <x v="0"/>
    <x v="0"/>
    <x v="1"/>
    <x v="1"/>
    <x v="1"/>
  </r>
  <r>
    <x v="0"/>
    <x v="1"/>
    <x v="4"/>
    <x v="4"/>
    <x v="3"/>
    <x v="1"/>
    <x v="1"/>
  </r>
  <r>
    <x v="6"/>
    <x v="4"/>
    <x v="5"/>
    <x v="6"/>
    <x v="5"/>
    <x v="5"/>
    <x v="5"/>
  </r>
  <r>
    <x v="0"/>
    <x v="2"/>
    <x v="3"/>
    <x v="3"/>
    <x v="2"/>
    <x v="2"/>
    <x v="2"/>
  </r>
  <r>
    <x v="0"/>
    <x v="2"/>
    <x v="3"/>
    <x v="3"/>
    <x v="2"/>
    <x v="2"/>
    <x v="2"/>
  </r>
  <r>
    <x v="6"/>
    <x v="4"/>
    <x v="5"/>
    <x v="6"/>
    <x v="5"/>
    <x v="5"/>
    <x v="5"/>
  </r>
  <r>
    <x v="0"/>
    <x v="1"/>
    <x v="8"/>
    <x v="2"/>
    <x v="5"/>
    <x v="5"/>
    <x v="5"/>
  </r>
  <r>
    <x v="0"/>
    <x v="1"/>
    <x v="1"/>
    <x v="1"/>
    <x v="6"/>
    <x v="3"/>
    <x v="3"/>
  </r>
  <r>
    <x v="1"/>
    <x v="7"/>
    <x v="8"/>
    <x v="5"/>
    <x v="4"/>
    <x v="4"/>
    <x v="4"/>
  </r>
  <r>
    <x v="0"/>
    <x v="1"/>
    <x v="3"/>
    <x v="3"/>
    <x v="2"/>
    <x v="5"/>
    <x v="5"/>
  </r>
  <r>
    <x v="0"/>
    <x v="1"/>
    <x v="2"/>
    <x v="2"/>
    <x v="1"/>
    <x v="1"/>
    <x v="1"/>
  </r>
  <r>
    <x v="0"/>
    <x v="1"/>
    <x v="6"/>
    <x v="2"/>
    <x v="5"/>
    <x v="5"/>
    <x v="5"/>
  </r>
  <r>
    <x v="0"/>
    <x v="1"/>
    <x v="5"/>
    <x v="6"/>
    <x v="5"/>
    <x v="5"/>
    <x v="5"/>
  </r>
  <r>
    <x v="6"/>
    <x v="4"/>
    <x v="5"/>
    <x v="6"/>
    <x v="5"/>
    <x v="5"/>
    <x v="5"/>
  </r>
  <r>
    <x v="7"/>
    <x v="7"/>
    <x v="8"/>
    <x v="5"/>
    <x v="4"/>
    <x v="3"/>
    <x v="3"/>
  </r>
  <r>
    <x v="0"/>
    <x v="1"/>
    <x v="8"/>
    <x v="5"/>
    <x v="4"/>
    <x v="4"/>
    <x v="4"/>
  </r>
  <r>
    <x v="3"/>
    <x v="0"/>
    <x v="6"/>
    <x v="9"/>
    <x v="0"/>
    <x v="0"/>
    <x v="0"/>
  </r>
  <r>
    <x v="2"/>
    <x v="3"/>
    <x v="4"/>
    <x v="4"/>
    <x v="5"/>
    <x v="5"/>
    <x v="5"/>
  </r>
  <r>
    <x v="5"/>
    <x v="7"/>
    <x v="8"/>
    <x v="5"/>
    <x v="4"/>
    <x v="4"/>
    <x v="4"/>
  </r>
  <r>
    <x v="0"/>
    <x v="1"/>
    <x v="1"/>
    <x v="1"/>
    <x v="6"/>
    <x v="5"/>
    <x v="5"/>
  </r>
  <r>
    <x v="0"/>
    <x v="1"/>
    <x v="1"/>
    <x v="5"/>
    <x v="2"/>
    <x v="2"/>
    <x v="2"/>
  </r>
  <r>
    <x v="5"/>
    <x v="7"/>
    <x v="8"/>
    <x v="5"/>
    <x v="4"/>
    <x v="4"/>
    <x v="4"/>
  </r>
  <r>
    <x v="5"/>
    <x v="7"/>
    <x v="3"/>
    <x v="3"/>
    <x v="2"/>
    <x v="5"/>
    <x v="5"/>
  </r>
  <r>
    <x v="5"/>
    <x v="7"/>
    <x v="8"/>
    <x v="5"/>
    <x v="4"/>
    <x v="4"/>
    <x v="4"/>
  </r>
  <r>
    <x v="0"/>
    <x v="7"/>
    <x v="8"/>
    <x v="5"/>
    <x v="4"/>
    <x v="4"/>
    <x v="4"/>
  </r>
  <r>
    <x v="1"/>
    <x v="5"/>
    <x v="2"/>
    <x v="2"/>
    <x v="3"/>
    <x v="3"/>
    <x v="3"/>
  </r>
  <r>
    <x v="1"/>
    <x v="5"/>
    <x v="2"/>
    <x v="2"/>
    <x v="1"/>
    <x v="1"/>
    <x v="1"/>
  </r>
  <r>
    <x v="0"/>
    <x v="1"/>
    <x v="1"/>
    <x v="1"/>
    <x v="6"/>
    <x v="0"/>
    <x v="0"/>
  </r>
  <r>
    <x v="0"/>
    <x v="1"/>
    <x v="1"/>
    <x v="1"/>
    <x v="6"/>
    <x v="5"/>
    <x v="5"/>
  </r>
  <r>
    <x v="0"/>
    <x v="1"/>
    <x v="1"/>
    <x v="1"/>
    <x v="4"/>
    <x v="3"/>
    <x v="3"/>
  </r>
  <r>
    <x v="0"/>
    <x v="1"/>
    <x v="3"/>
    <x v="5"/>
    <x v="4"/>
    <x v="4"/>
    <x v="4"/>
  </r>
  <r>
    <x v="0"/>
    <x v="1"/>
    <x v="8"/>
    <x v="5"/>
    <x v="4"/>
    <x v="4"/>
    <x v="4"/>
  </r>
  <r>
    <x v="0"/>
    <x v="1"/>
    <x v="1"/>
    <x v="1"/>
    <x v="6"/>
    <x v="8"/>
    <x v="3"/>
  </r>
  <r>
    <x v="0"/>
    <x v="1"/>
    <x v="1"/>
    <x v="1"/>
    <x v="2"/>
    <x v="2"/>
    <x v="2"/>
  </r>
  <r>
    <x v="8"/>
    <x v="8"/>
    <x v="9"/>
    <x v="7"/>
    <x v="7"/>
    <x v="6"/>
    <x v="6"/>
  </r>
  <r>
    <x v="0"/>
    <x v="1"/>
    <x v="1"/>
    <x v="0"/>
    <x v="0"/>
    <x v="0"/>
    <x v="0"/>
  </r>
  <r>
    <x v="0"/>
    <x v="1"/>
    <x v="1"/>
    <x v="1"/>
    <x v="6"/>
    <x v="5"/>
    <x v="5"/>
  </r>
  <r>
    <x v="0"/>
    <x v="5"/>
    <x v="2"/>
    <x v="2"/>
    <x v="5"/>
    <x v="5"/>
    <x v="5"/>
  </r>
  <r>
    <x v="0"/>
    <x v="1"/>
    <x v="1"/>
    <x v="1"/>
    <x v="5"/>
    <x v="5"/>
    <x v="5"/>
  </r>
  <r>
    <x v="0"/>
    <x v="1"/>
    <x v="4"/>
    <x v="6"/>
    <x v="5"/>
    <x v="5"/>
    <x v="5"/>
  </r>
  <r>
    <x v="0"/>
    <x v="1"/>
    <x v="4"/>
    <x v="2"/>
    <x v="1"/>
    <x v="1"/>
    <x v="1"/>
  </r>
  <r>
    <x v="0"/>
    <x v="1"/>
    <x v="1"/>
    <x v="5"/>
    <x v="4"/>
    <x v="4"/>
    <x v="5"/>
  </r>
  <r>
    <x v="0"/>
    <x v="1"/>
    <x v="4"/>
    <x v="4"/>
    <x v="3"/>
    <x v="3"/>
    <x v="3"/>
  </r>
  <r>
    <x v="0"/>
    <x v="1"/>
    <x v="1"/>
    <x v="4"/>
    <x v="3"/>
    <x v="3"/>
    <x v="1"/>
  </r>
  <r>
    <x v="5"/>
    <x v="7"/>
    <x v="8"/>
    <x v="4"/>
    <x v="3"/>
    <x v="3"/>
    <x v="1"/>
  </r>
  <r>
    <x v="0"/>
    <x v="1"/>
    <x v="1"/>
    <x v="1"/>
    <x v="6"/>
    <x v="4"/>
    <x v="4"/>
  </r>
  <r>
    <x v="0"/>
    <x v="1"/>
    <x v="1"/>
    <x v="1"/>
    <x v="2"/>
    <x v="2"/>
    <x v="2"/>
  </r>
  <r>
    <x v="0"/>
    <x v="1"/>
    <x v="2"/>
    <x v="2"/>
    <x v="0"/>
    <x v="0"/>
    <x v="0"/>
  </r>
  <r>
    <x v="2"/>
    <x v="0"/>
    <x v="0"/>
    <x v="0"/>
    <x v="0"/>
    <x v="1"/>
    <x v="1"/>
  </r>
  <r>
    <x v="9"/>
    <x v="4"/>
    <x v="5"/>
    <x v="6"/>
    <x v="5"/>
    <x v="5"/>
    <x v="5"/>
  </r>
  <r>
    <x v="5"/>
    <x v="7"/>
    <x v="8"/>
    <x v="5"/>
    <x v="2"/>
    <x v="2"/>
    <x v="2"/>
  </r>
  <r>
    <x v="5"/>
    <x v="7"/>
    <x v="8"/>
    <x v="5"/>
    <x v="4"/>
    <x v="4"/>
    <x v="4"/>
  </r>
  <r>
    <x v="0"/>
    <x v="1"/>
    <x v="5"/>
    <x v="6"/>
    <x v="5"/>
    <x v="5"/>
    <x v="5"/>
  </r>
  <r>
    <x v="0"/>
    <x v="1"/>
    <x v="1"/>
    <x v="1"/>
    <x v="6"/>
    <x v="2"/>
    <x v="2"/>
  </r>
  <r>
    <x v="0"/>
    <x v="1"/>
    <x v="1"/>
    <x v="5"/>
    <x v="4"/>
    <x v="4"/>
    <x v="4"/>
  </r>
  <r>
    <x v="3"/>
    <x v="0"/>
    <x v="0"/>
    <x v="0"/>
    <x v="0"/>
    <x v="1"/>
    <x v="1"/>
  </r>
  <r>
    <x v="0"/>
    <x v="1"/>
    <x v="1"/>
    <x v="1"/>
    <x v="6"/>
    <x v="5"/>
    <x v="5"/>
  </r>
  <r>
    <x v="2"/>
    <x v="4"/>
    <x v="5"/>
    <x v="6"/>
    <x v="5"/>
    <x v="5"/>
    <x v="5"/>
  </r>
  <r>
    <x v="0"/>
    <x v="1"/>
    <x v="1"/>
    <x v="5"/>
    <x v="4"/>
    <x v="4"/>
    <x v="4"/>
  </r>
  <r>
    <x v="3"/>
    <x v="9"/>
    <x v="5"/>
    <x v="6"/>
    <x v="5"/>
    <x v="5"/>
    <x v="5"/>
  </r>
  <r>
    <x v="7"/>
    <x v="2"/>
    <x v="3"/>
    <x v="3"/>
    <x v="2"/>
    <x v="2"/>
    <x v="2"/>
  </r>
  <r>
    <x v="0"/>
    <x v="1"/>
    <x v="1"/>
    <x v="0"/>
    <x v="0"/>
    <x v="0"/>
    <x v="0"/>
  </r>
  <r>
    <x v="0"/>
    <x v="1"/>
    <x v="9"/>
    <x v="7"/>
    <x v="7"/>
    <x v="6"/>
    <x v="6"/>
  </r>
  <r>
    <x v="0"/>
    <x v="1"/>
    <x v="1"/>
    <x v="1"/>
    <x v="4"/>
    <x v="2"/>
    <x v="2"/>
  </r>
  <r>
    <x v="0"/>
    <x v="7"/>
    <x v="8"/>
    <x v="5"/>
    <x v="4"/>
    <x v="4"/>
    <x v="4"/>
  </r>
  <r>
    <x v="0"/>
    <x v="1"/>
    <x v="1"/>
    <x v="1"/>
    <x v="6"/>
    <x v="8"/>
    <x v="2"/>
  </r>
  <r>
    <x v="0"/>
    <x v="1"/>
    <x v="3"/>
    <x v="3"/>
    <x v="2"/>
    <x v="2"/>
    <x v="2"/>
  </r>
  <r>
    <x v="0"/>
    <x v="1"/>
    <x v="1"/>
    <x v="1"/>
    <x v="6"/>
    <x v="8"/>
    <x v="2"/>
  </r>
  <r>
    <x v="0"/>
    <x v="1"/>
    <x v="1"/>
    <x v="8"/>
    <x v="8"/>
    <x v="7"/>
    <x v="7"/>
  </r>
  <r>
    <x v="0"/>
    <x v="1"/>
    <x v="8"/>
    <x v="5"/>
    <x v="4"/>
    <x v="4"/>
    <x v="4"/>
  </r>
  <r>
    <x v="6"/>
    <x v="4"/>
    <x v="5"/>
    <x v="6"/>
    <x v="5"/>
    <x v="5"/>
    <x v="5"/>
  </r>
  <r>
    <x v="0"/>
    <x v="1"/>
    <x v="8"/>
    <x v="5"/>
    <x v="4"/>
    <x v="4"/>
    <x v="4"/>
  </r>
  <r>
    <x v="0"/>
    <x v="1"/>
    <x v="1"/>
    <x v="1"/>
    <x v="6"/>
    <x v="4"/>
    <x v="4"/>
  </r>
  <r>
    <x v="0"/>
    <x v="1"/>
    <x v="2"/>
    <x v="2"/>
    <x v="1"/>
    <x v="3"/>
    <x v="3"/>
  </r>
  <r>
    <x v="0"/>
    <x v="1"/>
    <x v="4"/>
    <x v="4"/>
    <x v="3"/>
    <x v="3"/>
    <x v="3"/>
  </r>
  <r>
    <x v="0"/>
    <x v="1"/>
    <x v="1"/>
    <x v="1"/>
    <x v="2"/>
    <x v="7"/>
    <x v="7"/>
  </r>
  <r>
    <x v="0"/>
    <x v="1"/>
    <x v="1"/>
    <x v="5"/>
    <x v="4"/>
    <x v="4"/>
    <x v="4"/>
  </r>
  <r>
    <x v="0"/>
    <x v="7"/>
    <x v="8"/>
    <x v="3"/>
    <x v="2"/>
    <x v="2"/>
    <x v="2"/>
  </r>
  <r>
    <x v="0"/>
    <x v="2"/>
    <x v="3"/>
    <x v="3"/>
    <x v="2"/>
    <x v="4"/>
    <x v="4"/>
  </r>
  <r>
    <x v="0"/>
    <x v="5"/>
    <x v="5"/>
    <x v="6"/>
    <x v="5"/>
    <x v="5"/>
    <x v="3"/>
  </r>
  <r>
    <x v="6"/>
    <x v="4"/>
    <x v="5"/>
    <x v="6"/>
    <x v="5"/>
    <x v="5"/>
    <x v="5"/>
  </r>
  <r>
    <x v="0"/>
    <x v="1"/>
    <x v="4"/>
    <x v="4"/>
    <x v="1"/>
    <x v="1"/>
    <x v="1"/>
  </r>
  <r>
    <x v="0"/>
    <x v="1"/>
    <x v="1"/>
    <x v="5"/>
    <x v="4"/>
    <x v="2"/>
    <x v="2"/>
  </r>
  <r>
    <x v="0"/>
    <x v="1"/>
    <x v="4"/>
    <x v="4"/>
    <x v="3"/>
    <x v="3"/>
    <x v="3"/>
  </r>
  <r>
    <x v="0"/>
    <x v="2"/>
    <x v="3"/>
    <x v="3"/>
    <x v="2"/>
    <x v="4"/>
    <x v="4"/>
  </r>
  <r>
    <x v="0"/>
    <x v="1"/>
    <x v="6"/>
    <x v="2"/>
    <x v="3"/>
    <x v="3"/>
    <x v="3"/>
  </r>
  <r>
    <x v="0"/>
    <x v="1"/>
    <x v="5"/>
    <x v="6"/>
    <x v="5"/>
    <x v="5"/>
    <x v="5"/>
  </r>
  <r>
    <x v="0"/>
    <x v="7"/>
    <x v="8"/>
    <x v="4"/>
    <x v="3"/>
    <x v="3"/>
    <x v="3"/>
  </r>
  <r>
    <x v="0"/>
    <x v="1"/>
    <x v="8"/>
    <x v="5"/>
    <x v="4"/>
    <x v="4"/>
    <x v="4"/>
  </r>
  <r>
    <x v="2"/>
    <x v="3"/>
    <x v="4"/>
    <x v="4"/>
    <x v="0"/>
    <x v="0"/>
    <x v="0"/>
  </r>
  <r>
    <x v="2"/>
    <x v="3"/>
    <x v="4"/>
    <x v="2"/>
    <x v="9"/>
    <x v="9"/>
    <x v="8"/>
  </r>
  <r>
    <x v="7"/>
    <x v="2"/>
    <x v="3"/>
    <x v="3"/>
    <x v="2"/>
    <x v="4"/>
    <x v="4"/>
  </r>
  <r>
    <x v="7"/>
    <x v="2"/>
    <x v="3"/>
    <x v="3"/>
    <x v="4"/>
    <x v="4"/>
    <x v="4"/>
  </r>
  <r>
    <x v="0"/>
    <x v="1"/>
    <x v="1"/>
    <x v="1"/>
    <x v="4"/>
    <x v="4"/>
    <x v="4"/>
  </r>
  <r>
    <x v="0"/>
    <x v="1"/>
    <x v="1"/>
    <x v="1"/>
    <x v="6"/>
    <x v="0"/>
    <x v="0"/>
  </r>
  <r>
    <x v="2"/>
    <x v="3"/>
    <x v="4"/>
    <x v="4"/>
    <x v="3"/>
    <x v="3"/>
    <x v="3"/>
  </r>
  <r>
    <x v="1"/>
    <x v="3"/>
    <x v="4"/>
    <x v="4"/>
    <x v="3"/>
    <x v="3"/>
    <x v="3"/>
  </r>
  <r>
    <x v="0"/>
    <x v="3"/>
    <x v="4"/>
    <x v="2"/>
    <x v="0"/>
    <x v="0"/>
    <x v="0"/>
  </r>
  <r>
    <x v="5"/>
    <x v="7"/>
    <x v="8"/>
    <x v="5"/>
    <x v="4"/>
    <x v="4"/>
    <x v="4"/>
  </r>
  <r>
    <x v="6"/>
    <x v="4"/>
    <x v="5"/>
    <x v="6"/>
    <x v="5"/>
    <x v="5"/>
    <x v="5"/>
  </r>
  <r>
    <x v="0"/>
    <x v="1"/>
    <x v="1"/>
    <x v="5"/>
    <x v="4"/>
    <x v="5"/>
    <x v="5"/>
  </r>
  <r>
    <x v="7"/>
    <x v="2"/>
    <x v="3"/>
    <x v="3"/>
    <x v="4"/>
    <x v="4"/>
    <x v="4"/>
  </r>
  <r>
    <x v="7"/>
    <x v="2"/>
    <x v="3"/>
    <x v="3"/>
    <x v="4"/>
    <x v="4"/>
    <x v="4"/>
  </r>
  <r>
    <x v="5"/>
    <x v="7"/>
    <x v="8"/>
    <x v="5"/>
    <x v="4"/>
    <x v="4"/>
    <x v="4"/>
  </r>
  <r>
    <x v="7"/>
    <x v="2"/>
    <x v="3"/>
    <x v="3"/>
    <x v="2"/>
    <x v="4"/>
    <x v="4"/>
  </r>
  <r>
    <x v="0"/>
    <x v="7"/>
    <x v="8"/>
    <x v="5"/>
    <x v="3"/>
    <x v="3"/>
    <x v="3"/>
  </r>
  <r>
    <x v="0"/>
    <x v="1"/>
    <x v="4"/>
    <x v="2"/>
    <x v="1"/>
    <x v="1"/>
    <x v="1"/>
  </r>
  <r>
    <x v="0"/>
    <x v="3"/>
    <x v="4"/>
    <x v="0"/>
    <x v="0"/>
    <x v="0"/>
    <x v="0"/>
  </r>
  <r>
    <x v="9"/>
    <x v="4"/>
    <x v="5"/>
    <x v="6"/>
    <x v="5"/>
    <x v="5"/>
    <x v="5"/>
  </r>
  <r>
    <x v="0"/>
    <x v="7"/>
    <x v="8"/>
    <x v="4"/>
    <x v="3"/>
    <x v="3"/>
    <x v="3"/>
  </r>
  <r>
    <x v="1"/>
    <x v="3"/>
    <x v="4"/>
    <x v="4"/>
    <x v="3"/>
    <x v="3"/>
    <x v="3"/>
  </r>
  <r>
    <x v="0"/>
    <x v="1"/>
    <x v="7"/>
    <x v="8"/>
    <x v="8"/>
    <x v="7"/>
    <x v="7"/>
  </r>
  <r>
    <x v="0"/>
    <x v="2"/>
    <x v="3"/>
    <x v="3"/>
    <x v="2"/>
    <x v="2"/>
    <x v="2"/>
  </r>
  <r>
    <x v="0"/>
    <x v="7"/>
    <x v="8"/>
    <x v="5"/>
    <x v="4"/>
    <x v="4"/>
    <x v="4"/>
  </r>
  <r>
    <x v="0"/>
    <x v="1"/>
    <x v="1"/>
    <x v="1"/>
    <x v="6"/>
    <x v="4"/>
    <x v="4"/>
  </r>
  <r>
    <x v="7"/>
    <x v="2"/>
    <x v="3"/>
    <x v="3"/>
    <x v="2"/>
    <x v="2"/>
    <x v="2"/>
  </r>
  <r>
    <x v="0"/>
    <x v="1"/>
    <x v="8"/>
    <x v="5"/>
    <x v="4"/>
    <x v="4"/>
    <x v="4"/>
  </r>
  <r>
    <x v="5"/>
    <x v="7"/>
    <x v="8"/>
    <x v="5"/>
    <x v="4"/>
    <x v="2"/>
    <x v="2"/>
  </r>
  <r>
    <x v="5"/>
    <x v="4"/>
    <x v="5"/>
    <x v="6"/>
    <x v="5"/>
    <x v="5"/>
    <x v="5"/>
  </r>
  <r>
    <x v="0"/>
    <x v="3"/>
    <x v="4"/>
    <x v="2"/>
    <x v="5"/>
    <x v="5"/>
    <x v="5"/>
  </r>
  <r>
    <x v="0"/>
    <x v="7"/>
    <x v="8"/>
    <x v="5"/>
    <x v="5"/>
    <x v="5"/>
    <x v="5"/>
  </r>
  <r>
    <x v="6"/>
    <x v="4"/>
    <x v="5"/>
    <x v="6"/>
    <x v="3"/>
    <x v="5"/>
    <x v="5"/>
  </r>
  <r>
    <x v="0"/>
    <x v="1"/>
    <x v="1"/>
    <x v="5"/>
    <x v="4"/>
    <x v="4"/>
    <x v="4"/>
  </r>
  <r>
    <x v="0"/>
    <x v="1"/>
    <x v="5"/>
    <x v="6"/>
    <x v="5"/>
    <x v="5"/>
    <x v="5"/>
  </r>
  <r>
    <x v="0"/>
    <x v="1"/>
    <x v="1"/>
    <x v="1"/>
    <x v="6"/>
    <x v="3"/>
    <x v="3"/>
  </r>
  <r>
    <x v="3"/>
    <x v="0"/>
    <x v="0"/>
    <x v="0"/>
    <x v="0"/>
    <x v="0"/>
    <x v="0"/>
  </r>
  <r>
    <x v="5"/>
    <x v="7"/>
    <x v="8"/>
    <x v="5"/>
    <x v="4"/>
    <x v="4"/>
    <x v="4"/>
  </r>
  <r>
    <x v="0"/>
    <x v="1"/>
    <x v="5"/>
    <x v="6"/>
    <x v="5"/>
    <x v="5"/>
    <x v="5"/>
  </r>
  <r>
    <x v="0"/>
    <x v="1"/>
    <x v="1"/>
    <x v="5"/>
    <x v="4"/>
    <x v="4"/>
    <x v="4"/>
  </r>
  <r>
    <x v="1"/>
    <x v="5"/>
    <x v="2"/>
    <x v="2"/>
    <x v="0"/>
    <x v="0"/>
    <x v="0"/>
  </r>
  <r>
    <x v="0"/>
    <x v="1"/>
    <x v="8"/>
    <x v="5"/>
    <x v="4"/>
    <x v="5"/>
    <x v="5"/>
  </r>
  <r>
    <x v="0"/>
    <x v="4"/>
    <x v="5"/>
    <x v="3"/>
    <x v="2"/>
    <x v="2"/>
    <x v="2"/>
  </r>
  <r>
    <x v="0"/>
    <x v="1"/>
    <x v="1"/>
    <x v="8"/>
    <x v="8"/>
    <x v="7"/>
    <x v="7"/>
  </r>
  <r>
    <x v="0"/>
    <x v="1"/>
    <x v="8"/>
    <x v="5"/>
    <x v="4"/>
    <x v="4"/>
    <x v="4"/>
  </r>
  <r>
    <x v="9"/>
    <x v="9"/>
    <x v="9"/>
    <x v="7"/>
    <x v="7"/>
    <x v="6"/>
    <x v="6"/>
  </r>
  <r>
    <x v="0"/>
    <x v="1"/>
    <x v="1"/>
    <x v="5"/>
    <x v="4"/>
    <x v="4"/>
    <x v="4"/>
  </r>
  <r>
    <x v="0"/>
    <x v="7"/>
    <x v="8"/>
    <x v="5"/>
    <x v="4"/>
    <x v="4"/>
    <x v="4"/>
  </r>
  <r>
    <x v="0"/>
    <x v="1"/>
    <x v="1"/>
    <x v="5"/>
    <x v="5"/>
    <x v="5"/>
    <x v="5"/>
  </r>
  <r>
    <x v="0"/>
    <x v="1"/>
    <x v="8"/>
    <x v="4"/>
    <x v="3"/>
    <x v="1"/>
    <x v="1"/>
  </r>
  <r>
    <x v="0"/>
    <x v="4"/>
    <x v="4"/>
    <x v="4"/>
    <x v="3"/>
    <x v="3"/>
    <x v="3"/>
  </r>
  <r>
    <x v="5"/>
    <x v="7"/>
    <x v="8"/>
    <x v="5"/>
    <x v="4"/>
    <x v="4"/>
    <x v="4"/>
  </r>
  <r>
    <x v="2"/>
    <x v="4"/>
    <x v="5"/>
    <x v="6"/>
    <x v="5"/>
    <x v="5"/>
    <x v="5"/>
  </r>
  <r>
    <x v="0"/>
    <x v="1"/>
    <x v="5"/>
    <x v="6"/>
    <x v="5"/>
    <x v="5"/>
    <x v="5"/>
  </r>
  <r>
    <x v="6"/>
    <x v="4"/>
    <x v="5"/>
    <x v="6"/>
    <x v="5"/>
    <x v="5"/>
    <x v="5"/>
  </r>
  <r>
    <x v="0"/>
    <x v="1"/>
    <x v="1"/>
    <x v="1"/>
    <x v="6"/>
    <x v="4"/>
    <x v="4"/>
  </r>
  <r>
    <x v="0"/>
    <x v="1"/>
    <x v="1"/>
    <x v="1"/>
    <x v="6"/>
    <x v="8"/>
    <x v="4"/>
  </r>
  <r>
    <x v="0"/>
    <x v="1"/>
    <x v="1"/>
    <x v="1"/>
    <x v="6"/>
    <x v="8"/>
    <x v="4"/>
  </r>
  <r>
    <x v="5"/>
    <x v="7"/>
    <x v="8"/>
    <x v="5"/>
    <x v="4"/>
    <x v="4"/>
    <x v="4"/>
  </r>
  <r>
    <x v="5"/>
    <x v="7"/>
    <x v="8"/>
    <x v="5"/>
    <x v="4"/>
    <x v="4"/>
    <x v="4"/>
  </r>
  <r>
    <x v="0"/>
    <x v="1"/>
    <x v="1"/>
    <x v="3"/>
    <x v="2"/>
    <x v="5"/>
    <x v="5"/>
  </r>
  <r>
    <x v="0"/>
    <x v="1"/>
    <x v="1"/>
    <x v="1"/>
    <x v="6"/>
    <x v="1"/>
    <x v="1"/>
  </r>
  <r>
    <x v="0"/>
    <x v="1"/>
    <x v="1"/>
    <x v="1"/>
    <x v="3"/>
    <x v="4"/>
    <x v="4"/>
  </r>
  <r>
    <x v="0"/>
    <x v="1"/>
    <x v="1"/>
    <x v="3"/>
    <x v="2"/>
    <x v="2"/>
    <x v="2"/>
  </r>
  <r>
    <x v="1"/>
    <x v="5"/>
    <x v="2"/>
    <x v="2"/>
    <x v="1"/>
    <x v="1"/>
    <x v="1"/>
  </r>
  <r>
    <x v="0"/>
    <x v="2"/>
    <x v="3"/>
    <x v="3"/>
    <x v="2"/>
    <x v="2"/>
    <x v="2"/>
  </r>
  <r>
    <x v="0"/>
    <x v="1"/>
    <x v="1"/>
    <x v="5"/>
    <x v="4"/>
    <x v="4"/>
    <x v="4"/>
  </r>
  <r>
    <x v="5"/>
    <x v="7"/>
    <x v="8"/>
    <x v="6"/>
    <x v="5"/>
    <x v="5"/>
    <x v="5"/>
  </r>
  <r>
    <x v="9"/>
    <x v="8"/>
    <x v="9"/>
    <x v="7"/>
    <x v="7"/>
    <x v="6"/>
    <x v="6"/>
  </r>
  <r>
    <x v="0"/>
    <x v="5"/>
    <x v="2"/>
    <x v="2"/>
    <x v="5"/>
    <x v="5"/>
    <x v="5"/>
  </r>
  <r>
    <x v="0"/>
    <x v="3"/>
    <x v="4"/>
    <x v="4"/>
    <x v="3"/>
    <x v="3"/>
    <x v="3"/>
  </r>
  <r>
    <x v="9"/>
    <x v="4"/>
    <x v="5"/>
    <x v="0"/>
    <x v="0"/>
    <x v="0"/>
    <x v="0"/>
  </r>
  <r>
    <x v="7"/>
    <x v="2"/>
    <x v="3"/>
    <x v="8"/>
    <x v="8"/>
    <x v="7"/>
    <x v="7"/>
  </r>
  <r>
    <x v="7"/>
    <x v="2"/>
    <x v="3"/>
    <x v="3"/>
    <x v="2"/>
    <x v="2"/>
    <x v="2"/>
  </r>
  <r>
    <x v="0"/>
    <x v="1"/>
    <x v="3"/>
    <x v="3"/>
    <x v="2"/>
    <x v="2"/>
    <x v="2"/>
  </r>
  <r>
    <x v="0"/>
    <x v="1"/>
    <x v="5"/>
    <x v="6"/>
    <x v="5"/>
    <x v="5"/>
    <x v="5"/>
  </r>
  <r>
    <x v="0"/>
    <x v="1"/>
    <x v="1"/>
    <x v="1"/>
    <x v="6"/>
    <x v="3"/>
    <x v="3"/>
  </r>
  <r>
    <x v="0"/>
    <x v="1"/>
    <x v="1"/>
    <x v="5"/>
    <x v="3"/>
    <x v="3"/>
    <x v="3"/>
  </r>
  <r>
    <x v="0"/>
    <x v="1"/>
    <x v="8"/>
    <x v="4"/>
    <x v="3"/>
    <x v="1"/>
    <x v="1"/>
  </r>
  <r>
    <x v="0"/>
    <x v="1"/>
    <x v="1"/>
    <x v="1"/>
    <x v="5"/>
    <x v="5"/>
    <x v="5"/>
  </r>
  <r>
    <x v="5"/>
    <x v="7"/>
    <x v="8"/>
    <x v="5"/>
    <x v="4"/>
    <x v="4"/>
    <x v="4"/>
  </r>
  <r>
    <x v="5"/>
    <x v="7"/>
    <x v="4"/>
    <x v="4"/>
    <x v="3"/>
    <x v="3"/>
    <x v="3"/>
  </r>
  <r>
    <x v="0"/>
    <x v="7"/>
    <x v="8"/>
    <x v="5"/>
    <x v="3"/>
    <x v="3"/>
    <x v="3"/>
  </r>
  <r>
    <x v="3"/>
    <x v="0"/>
    <x v="0"/>
    <x v="0"/>
    <x v="5"/>
    <x v="5"/>
    <x v="5"/>
  </r>
  <r>
    <x v="2"/>
    <x v="3"/>
    <x v="4"/>
    <x v="4"/>
    <x v="3"/>
    <x v="3"/>
    <x v="3"/>
  </r>
  <r>
    <x v="0"/>
    <x v="1"/>
    <x v="4"/>
    <x v="2"/>
    <x v="1"/>
    <x v="1"/>
    <x v="3"/>
  </r>
  <r>
    <x v="2"/>
    <x v="3"/>
    <x v="4"/>
    <x v="2"/>
    <x v="0"/>
    <x v="0"/>
    <x v="0"/>
  </r>
  <r>
    <x v="0"/>
    <x v="1"/>
    <x v="1"/>
    <x v="1"/>
    <x v="5"/>
    <x v="5"/>
    <x v="5"/>
  </r>
  <r>
    <x v="1"/>
    <x v="5"/>
    <x v="2"/>
    <x v="0"/>
    <x v="0"/>
    <x v="0"/>
    <x v="0"/>
  </r>
  <r>
    <x v="0"/>
    <x v="1"/>
    <x v="3"/>
    <x v="3"/>
    <x v="2"/>
    <x v="2"/>
    <x v="2"/>
  </r>
  <r>
    <x v="0"/>
    <x v="7"/>
    <x v="8"/>
    <x v="5"/>
    <x v="4"/>
    <x v="4"/>
    <x v="4"/>
  </r>
  <r>
    <x v="0"/>
    <x v="1"/>
    <x v="3"/>
    <x v="3"/>
    <x v="2"/>
    <x v="2"/>
    <x v="2"/>
  </r>
  <r>
    <x v="1"/>
    <x v="5"/>
    <x v="4"/>
    <x v="4"/>
    <x v="3"/>
    <x v="3"/>
    <x v="3"/>
  </r>
  <r>
    <x v="0"/>
    <x v="1"/>
    <x v="3"/>
    <x v="3"/>
    <x v="5"/>
    <x v="4"/>
    <x v="4"/>
  </r>
  <r>
    <x v="0"/>
    <x v="1"/>
    <x v="1"/>
    <x v="4"/>
    <x v="3"/>
    <x v="3"/>
    <x v="3"/>
  </r>
  <r>
    <x v="0"/>
    <x v="7"/>
    <x v="8"/>
    <x v="5"/>
    <x v="4"/>
    <x v="4"/>
    <x v="4"/>
  </r>
  <r>
    <x v="0"/>
    <x v="1"/>
    <x v="1"/>
    <x v="4"/>
    <x v="3"/>
    <x v="3"/>
    <x v="3"/>
  </r>
  <r>
    <x v="0"/>
    <x v="1"/>
    <x v="1"/>
    <x v="2"/>
    <x v="0"/>
    <x v="0"/>
    <x v="0"/>
  </r>
  <r>
    <x v="0"/>
    <x v="7"/>
    <x v="8"/>
    <x v="5"/>
    <x v="4"/>
    <x v="4"/>
    <x v="4"/>
  </r>
  <r>
    <x v="0"/>
    <x v="1"/>
    <x v="1"/>
    <x v="2"/>
    <x v="1"/>
    <x v="1"/>
    <x v="1"/>
  </r>
  <r>
    <x v="0"/>
    <x v="1"/>
    <x v="1"/>
    <x v="4"/>
    <x v="3"/>
    <x v="3"/>
    <x v="3"/>
  </r>
  <r>
    <x v="3"/>
    <x v="4"/>
    <x v="5"/>
    <x v="6"/>
    <x v="5"/>
    <x v="5"/>
    <x v="5"/>
  </r>
  <r>
    <x v="5"/>
    <x v="7"/>
    <x v="8"/>
    <x v="5"/>
    <x v="4"/>
    <x v="4"/>
    <x v="4"/>
  </r>
  <r>
    <x v="0"/>
    <x v="3"/>
    <x v="4"/>
    <x v="4"/>
    <x v="3"/>
    <x v="3"/>
    <x v="3"/>
  </r>
  <r>
    <x v="6"/>
    <x v="4"/>
    <x v="5"/>
    <x v="6"/>
    <x v="5"/>
    <x v="5"/>
    <x v="5"/>
  </r>
  <r>
    <x v="0"/>
    <x v="1"/>
    <x v="1"/>
    <x v="1"/>
    <x v="1"/>
    <x v="1"/>
    <x v="1"/>
  </r>
  <r>
    <x v="0"/>
    <x v="1"/>
    <x v="4"/>
    <x v="4"/>
    <x v="3"/>
    <x v="3"/>
    <x v="3"/>
  </r>
  <r>
    <x v="0"/>
    <x v="7"/>
    <x v="8"/>
    <x v="5"/>
    <x v="4"/>
    <x v="4"/>
    <x v="4"/>
  </r>
  <r>
    <x v="0"/>
    <x v="1"/>
    <x v="1"/>
    <x v="1"/>
    <x v="6"/>
    <x v="3"/>
    <x v="3"/>
  </r>
  <r>
    <x v="0"/>
    <x v="1"/>
    <x v="4"/>
    <x v="4"/>
    <x v="3"/>
    <x v="3"/>
    <x v="3"/>
  </r>
  <r>
    <x v="2"/>
    <x v="7"/>
    <x v="8"/>
    <x v="5"/>
    <x v="4"/>
    <x v="5"/>
    <x v="5"/>
  </r>
  <r>
    <x v="2"/>
    <x v="7"/>
    <x v="8"/>
    <x v="5"/>
    <x v="4"/>
    <x v="5"/>
    <x v="5"/>
  </r>
  <r>
    <x v="3"/>
    <x v="4"/>
    <x v="6"/>
    <x v="7"/>
    <x v="7"/>
    <x v="6"/>
    <x v="6"/>
  </r>
  <r>
    <x v="0"/>
    <x v="1"/>
    <x v="1"/>
    <x v="1"/>
    <x v="5"/>
    <x v="5"/>
    <x v="5"/>
  </r>
  <r>
    <x v="5"/>
    <x v="4"/>
    <x v="5"/>
    <x v="6"/>
    <x v="5"/>
    <x v="5"/>
    <x v="5"/>
  </r>
  <r>
    <x v="0"/>
    <x v="5"/>
    <x v="4"/>
    <x v="4"/>
    <x v="3"/>
    <x v="3"/>
    <x v="3"/>
  </r>
  <r>
    <x v="2"/>
    <x v="3"/>
    <x v="4"/>
    <x v="4"/>
    <x v="3"/>
    <x v="3"/>
    <x v="5"/>
  </r>
  <r>
    <x v="0"/>
    <x v="0"/>
    <x v="0"/>
    <x v="0"/>
    <x v="0"/>
    <x v="0"/>
    <x v="0"/>
  </r>
  <r>
    <x v="0"/>
    <x v="1"/>
    <x v="1"/>
    <x v="1"/>
    <x v="6"/>
    <x v="4"/>
    <x v="4"/>
  </r>
  <r>
    <x v="0"/>
    <x v="1"/>
    <x v="1"/>
    <x v="5"/>
    <x v="4"/>
    <x v="4"/>
    <x v="4"/>
  </r>
  <r>
    <x v="0"/>
    <x v="1"/>
    <x v="1"/>
    <x v="1"/>
    <x v="5"/>
    <x v="5"/>
    <x v="5"/>
  </r>
  <r>
    <x v="0"/>
    <x v="1"/>
    <x v="4"/>
    <x v="4"/>
    <x v="3"/>
    <x v="3"/>
    <x v="3"/>
  </r>
  <r>
    <x v="0"/>
    <x v="1"/>
    <x v="1"/>
    <x v="0"/>
    <x v="0"/>
    <x v="3"/>
    <x v="3"/>
  </r>
  <r>
    <x v="5"/>
    <x v="7"/>
    <x v="8"/>
    <x v="4"/>
    <x v="3"/>
    <x v="3"/>
    <x v="3"/>
  </r>
  <r>
    <x v="0"/>
    <x v="1"/>
    <x v="8"/>
    <x v="5"/>
    <x v="4"/>
    <x v="4"/>
    <x v="4"/>
  </r>
  <r>
    <x v="0"/>
    <x v="1"/>
    <x v="4"/>
    <x v="4"/>
    <x v="3"/>
    <x v="4"/>
    <x v="4"/>
  </r>
  <r>
    <x v="5"/>
    <x v="7"/>
    <x v="8"/>
    <x v="5"/>
    <x v="4"/>
    <x v="4"/>
    <x v="4"/>
  </r>
  <r>
    <x v="9"/>
    <x v="9"/>
    <x v="5"/>
    <x v="6"/>
    <x v="5"/>
    <x v="5"/>
    <x v="5"/>
  </r>
  <r>
    <x v="0"/>
    <x v="7"/>
    <x v="4"/>
    <x v="4"/>
    <x v="3"/>
    <x v="1"/>
    <x v="1"/>
  </r>
  <r>
    <x v="0"/>
    <x v="1"/>
    <x v="1"/>
    <x v="1"/>
    <x v="8"/>
    <x v="7"/>
    <x v="7"/>
  </r>
  <r>
    <x v="0"/>
    <x v="1"/>
    <x v="1"/>
    <x v="1"/>
    <x v="8"/>
    <x v="7"/>
    <x v="7"/>
  </r>
  <r>
    <x v="0"/>
    <x v="1"/>
    <x v="1"/>
    <x v="1"/>
    <x v="8"/>
    <x v="7"/>
    <x v="7"/>
  </r>
  <r>
    <x v="0"/>
    <x v="1"/>
    <x v="3"/>
    <x v="3"/>
    <x v="2"/>
    <x v="5"/>
    <x v="5"/>
  </r>
  <r>
    <x v="5"/>
    <x v="7"/>
    <x v="8"/>
    <x v="3"/>
    <x v="5"/>
    <x v="5"/>
    <x v="5"/>
  </r>
  <r>
    <x v="0"/>
    <x v="1"/>
    <x v="1"/>
    <x v="1"/>
    <x v="6"/>
    <x v="8"/>
    <x v="2"/>
  </r>
  <r>
    <x v="0"/>
    <x v="1"/>
    <x v="6"/>
    <x v="9"/>
    <x v="5"/>
    <x v="5"/>
    <x v="5"/>
  </r>
  <r>
    <x v="5"/>
    <x v="7"/>
    <x v="8"/>
    <x v="5"/>
    <x v="4"/>
    <x v="4"/>
    <x v="4"/>
  </r>
  <r>
    <x v="0"/>
    <x v="1"/>
    <x v="1"/>
    <x v="1"/>
    <x v="6"/>
    <x v="4"/>
    <x v="4"/>
  </r>
  <r>
    <x v="0"/>
    <x v="1"/>
    <x v="1"/>
    <x v="0"/>
    <x v="0"/>
    <x v="0"/>
    <x v="0"/>
  </r>
  <r>
    <x v="3"/>
    <x v="0"/>
    <x v="0"/>
    <x v="0"/>
    <x v="9"/>
    <x v="9"/>
    <x v="8"/>
  </r>
  <r>
    <x v="0"/>
    <x v="1"/>
    <x v="1"/>
    <x v="0"/>
    <x v="0"/>
    <x v="1"/>
    <x v="1"/>
  </r>
  <r>
    <x v="0"/>
    <x v="0"/>
    <x v="0"/>
    <x v="9"/>
    <x v="7"/>
    <x v="6"/>
    <x v="6"/>
  </r>
  <r>
    <x v="2"/>
    <x v="3"/>
    <x v="4"/>
    <x v="4"/>
    <x v="3"/>
    <x v="3"/>
    <x v="3"/>
  </r>
  <r>
    <x v="0"/>
    <x v="9"/>
    <x v="6"/>
    <x v="9"/>
    <x v="9"/>
    <x v="9"/>
    <x v="8"/>
  </r>
  <r>
    <x v="0"/>
    <x v="4"/>
    <x v="5"/>
    <x v="6"/>
    <x v="5"/>
    <x v="0"/>
    <x v="0"/>
  </r>
  <r>
    <x v="0"/>
    <x v="1"/>
    <x v="1"/>
    <x v="0"/>
    <x v="9"/>
    <x v="9"/>
    <x v="8"/>
  </r>
  <r>
    <x v="1"/>
    <x v="5"/>
    <x v="2"/>
    <x v="0"/>
    <x v="0"/>
    <x v="1"/>
    <x v="1"/>
  </r>
  <r>
    <x v="0"/>
    <x v="4"/>
    <x v="5"/>
    <x v="6"/>
    <x v="5"/>
    <x v="5"/>
    <x v="5"/>
  </r>
  <r>
    <x v="3"/>
    <x v="0"/>
    <x v="0"/>
    <x v="6"/>
    <x v="5"/>
    <x v="5"/>
    <x v="5"/>
  </r>
  <r>
    <x v="0"/>
    <x v="1"/>
    <x v="1"/>
    <x v="5"/>
    <x v="4"/>
    <x v="4"/>
    <x v="4"/>
  </r>
  <r>
    <x v="0"/>
    <x v="2"/>
    <x v="3"/>
    <x v="3"/>
    <x v="2"/>
    <x v="2"/>
    <x v="2"/>
  </r>
  <r>
    <x v="0"/>
    <x v="1"/>
    <x v="1"/>
    <x v="5"/>
    <x v="4"/>
    <x v="4"/>
    <x v="4"/>
  </r>
  <r>
    <x v="0"/>
    <x v="1"/>
    <x v="2"/>
    <x v="2"/>
    <x v="1"/>
    <x v="1"/>
    <x v="1"/>
  </r>
  <r>
    <x v="0"/>
    <x v="4"/>
    <x v="5"/>
    <x v="6"/>
    <x v="5"/>
    <x v="5"/>
    <x v="5"/>
  </r>
  <r>
    <x v="0"/>
    <x v="1"/>
    <x v="1"/>
    <x v="3"/>
    <x v="2"/>
    <x v="2"/>
    <x v="2"/>
  </r>
  <r>
    <x v="2"/>
    <x v="3"/>
    <x v="4"/>
    <x v="4"/>
    <x v="3"/>
    <x v="3"/>
    <x v="3"/>
  </r>
  <r>
    <x v="0"/>
    <x v="1"/>
    <x v="5"/>
    <x v="6"/>
    <x v="5"/>
    <x v="5"/>
    <x v="5"/>
  </r>
  <r>
    <x v="0"/>
    <x v="1"/>
    <x v="1"/>
    <x v="1"/>
    <x v="6"/>
    <x v="8"/>
    <x v="1"/>
  </r>
  <r>
    <x v="0"/>
    <x v="3"/>
    <x v="4"/>
    <x v="4"/>
    <x v="3"/>
    <x v="3"/>
    <x v="3"/>
  </r>
  <r>
    <x v="0"/>
    <x v="1"/>
    <x v="1"/>
    <x v="4"/>
    <x v="3"/>
    <x v="3"/>
    <x v="3"/>
  </r>
  <r>
    <x v="0"/>
    <x v="1"/>
    <x v="3"/>
    <x v="3"/>
    <x v="2"/>
    <x v="2"/>
    <x v="2"/>
  </r>
  <r>
    <x v="0"/>
    <x v="1"/>
    <x v="3"/>
    <x v="6"/>
    <x v="5"/>
    <x v="5"/>
    <x v="5"/>
  </r>
  <r>
    <x v="0"/>
    <x v="1"/>
    <x v="1"/>
    <x v="1"/>
    <x v="6"/>
    <x v="8"/>
    <x v="2"/>
  </r>
  <r>
    <x v="0"/>
    <x v="4"/>
    <x v="5"/>
    <x v="6"/>
    <x v="5"/>
    <x v="5"/>
    <x v="5"/>
  </r>
  <r>
    <x v="2"/>
    <x v="4"/>
    <x v="5"/>
    <x v="6"/>
    <x v="5"/>
    <x v="5"/>
    <x v="5"/>
  </r>
  <r>
    <x v="2"/>
    <x v="7"/>
    <x v="8"/>
    <x v="5"/>
    <x v="4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B2CE5-9DB3-44EC-96BD-E65E49A1833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L46" firstHeaderRow="1" firstDataRow="2" firstDataCol="1"/>
  <pivotFields count="7">
    <pivotField showAll="0"/>
    <pivotField showAll="0"/>
    <pivotField axis="axisRow" dataField="1" showAll="0">
      <items count="11">
        <item x="5"/>
        <item x="7"/>
        <item x="3"/>
        <item x="8"/>
        <item x="4"/>
        <item x="2"/>
        <item x="0"/>
        <item x="6"/>
        <item x="9"/>
        <item x="1"/>
        <item t="default"/>
      </items>
    </pivotField>
    <pivotField axis="axisCol" showAll="0">
      <items count="11">
        <item x="6"/>
        <item x="8"/>
        <item x="3"/>
        <item x="5"/>
        <item x="4"/>
        <item x="2"/>
        <item x="0"/>
        <item x="9"/>
        <item x="7"/>
        <item x="1"/>
        <item t="default"/>
      </items>
    </pivotField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2001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61553-4772-46A8-B317-EBA5DD5F085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L31" firstHeaderRow="1" firstDataRow="2" firstDataCol="1"/>
  <pivotFields count="7">
    <pivotField showAll="0"/>
    <pivotField axis="axisRow" dataField="1" showAll="0">
      <items count="11">
        <item x="4"/>
        <item x="6"/>
        <item x="2"/>
        <item x="7"/>
        <item x="3"/>
        <item x="5"/>
        <item x="0"/>
        <item x="9"/>
        <item x="8"/>
        <item x="1"/>
        <item t="default"/>
      </items>
    </pivotField>
    <pivotField axis="axisCol" showAll="0">
      <items count="11">
        <item x="5"/>
        <item x="7"/>
        <item x="3"/>
        <item x="8"/>
        <item x="4"/>
        <item x="2"/>
        <item x="0"/>
        <item x="6"/>
        <item x="9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2000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98ED2-CCEF-4E83-B997-6F9794B94B3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K90" firstHeaderRow="1" firstDataRow="2" firstDataCol="1"/>
  <pivotFields count="7">
    <pivotField showAll="0"/>
    <pivotField showAll="0"/>
    <pivotField showAll="0"/>
    <pivotField showAll="0"/>
    <pivotField showAll="0"/>
    <pivotField axis="axisRow" dataField="1" showAll="0">
      <items count="11">
        <item x="5"/>
        <item x="7"/>
        <item x="2"/>
        <item x="4"/>
        <item x="3"/>
        <item x="1"/>
        <item x="0"/>
        <item x="9"/>
        <item x="6"/>
        <item x="8"/>
        <item t="default"/>
      </items>
    </pivotField>
    <pivotField axis="axisCol" showAll="0">
      <items count="10">
        <item x="5"/>
        <item x="7"/>
        <item x="2"/>
        <item x="4"/>
        <item x="3"/>
        <item x="1"/>
        <item x="0"/>
        <item x="8"/>
        <item x="6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2004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D4ED7-4BCE-4FD9-BC6B-77708ABC39A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5" firstHeaderRow="1" firstDataRow="2" firstDataCol="1"/>
  <pivotFields count="7">
    <pivotField axis="axisRow" dataField="1" showAll="0">
      <items count="11">
        <item x="6"/>
        <item x="4"/>
        <item x="7"/>
        <item x="5"/>
        <item x="2"/>
        <item x="1"/>
        <item x="3"/>
        <item x="9"/>
        <item x="8"/>
        <item x="0"/>
        <item t="default"/>
      </items>
    </pivotField>
    <pivotField axis="axisCol" showAll="0">
      <items count="11">
        <item x="4"/>
        <item x="6"/>
        <item x="2"/>
        <item x="7"/>
        <item x="3"/>
        <item x="5"/>
        <item x="0"/>
        <item x="9"/>
        <item x="8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1999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D0DA4-3F92-4DDB-A826-FDEB1A5D19F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L75" firstHeaderRow="1" firstDataRow="2" firstDataCol="1"/>
  <pivotFields count="7">
    <pivotField showAll="0"/>
    <pivotField showAll="0"/>
    <pivotField showAll="0"/>
    <pivotField showAll="0"/>
    <pivotField axis="axisRow" dataField="1" showAll="0">
      <items count="11">
        <item x="5"/>
        <item x="8"/>
        <item x="2"/>
        <item x="4"/>
        <item x="3"/>
        <item x="1"/>
        <item x="0"/>
        <item x="9"/>
        <item x="7"/>
        <item x="6"/>
        <item t="default"/>
      </items>
    </pivotField>
    <pivotField axis="axisCol" showAll="0">
      <items count="11">
        <item x="5"/>
        <item x="7"/>
        <item x="2"/>
        <item x="4"/>
        <item x="3"/>
        <item x="1"/>
        <item x="0"/>
        <item x="9"/>
        <item x="6"/>
        <item x="8"/>
        <item t="default"/>
      </items>
    </pivotField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2003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F06A6-D5CE-4291-8D20-7F25CE35A97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L60" firstHeaderRow="1" firstDataRow="2" firstDataCol="1"/>
  <pivotFields count="7">
    <pivotField showAll="0"/>
    <pivotField showAll="0"/>
    <pivotField showAll="0"/>
    <pivotField axis="axisRow" dataField="1" showAll="0">
      <items count="11">
        <item x="6"/>
        <item x="8"/>
        <item x="3"/>
        <item x="5"/>
        <item x="4"/>
        <item x="2"/>
        <item x="0"/>
        <item x="9"/>
        <item x="7"/>
        <item x="1"/>
        <item t="default"/>
      </items>
    </pivotField>
    <pivotField axis="axisCol" showAll="0">
      <items count="11">
        <item x="5"/>
        <item x="8"/>
        <item x="2"/>
        <item x="4"/>
        <item x="3"/>
        <item x="1"/>
        <item x="0"/>
        <item x="9"/>
        <item x="7"/>
        <item x="6"/>
        <item t="default"/>
      </items>
    </pivotField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2002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DF69A-45F0-4133-ABC8-36A5209AEF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L57" firstHeaderRow="1" firstDataRow="2" firstDataCol="1"/>
  <pivotFields count="7">
    <pivotField showAll="0"/>
    <pivotField showAll="0"/>
    <pivotField showAll="0"/>
    <pivotField axis="axisRow" dataField="1" showAll="0">
      <items count="11">
        <item x="6"/>
        <item x="8"/>
        <item x="3"/>
        <item x="5"/>
        <item x="4"/>
        <item x="2"/>
        <item x="0"/>
        <item x="9"/>
        <item x="7"/>
        <item x="1"/>
        <item t="default"/>
      </items>
    </pivotField>
    <pivotField showAll="0"/>
    <pivotField axis="axisCol" showAll="0">
      <items count="11">
        <item x="5"/>
        <item x="7"/>
        <item x="2"/>
        <item x="4"/>
        <item x="3"/>
        <item x="1"/>
        <item x="0"/>
        <item x="9"/>
        <item x="6"/>
        <item x="8"/>
        <item t="default"/>
      </items>
    </pivotField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2002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C6D11-4F68-4CCC-9D3B-6AE35D5CFA6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L42" firstHeaderRow="1" firstDataRow="2" firstDataCol="1"/>
  <pivotFields count="7">
    <pivotField showAll="0"/>
    <pivotField showAll="0"/>
    <pivotField axis="axisRow" dataField="1" showAll="0">
      <items count="11">
        <item x="5"/>
        <item x="7"/>
        <item x="3"/>
        <item x="8"/>
        <item x="4"/>
        <item x="2"/>
        <item x="0"/>
        <item x="6"/>
        <item x="9"/>
        <item x="1"/>
        <item t="default"/>
      </items>
    </pivotField>
    <pivotField showAll="0"/>
    <pivotField axis="axisCol" showAll="0">
      <items count="11">
        <item x="5"/>
        <item x="8"/>
        <item x="2"/>
        <item x="4"/>
        <item x="3"/>
        <item x="1"/>
        <item x="0"/>
        <item x="9"/>
        <item x="7"/>
        <item x="6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2001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C029B-0A48-47F8-B2AD-7228B34D53D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L28" firstHeaderRow="1" firstDataRow="2" firstDataCol="1"/>
  <pivotFields count="7">
    <pivotField showAll="0"/>
    <pivotField axis="axisRow" dataField="1" showAll="0">
      <items count="11">
        <item x="4"/>
        <item x="6"/>
        <item x="2"/>
        <item x="7"/>
        <item x="3"/>
        <item x="5"/>
        <item x="0"/>
        <item x="9"/>
        <item x="8"/>
        <item x="1"/>
        <item t="default"/>
      </items>
    </pivotField>
    <pivotField showAll="0"/>
    <pivotField axis="axisCol" showAll="0">
      <items count="11">
        <item x="6"/>
        <item x="8"/>
        <item x="3"/>
        <item x="5"/>
        <item x="4"/>
        <item x="2"/>
        <item x="0"/>
        <item x="9"/>
        <item x="7"/>
        <item x="1"/>
        <item t="default"/>
      </items>
    </pivotField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2000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8698C-7929-4BC7-8B6F-DAA9DD1FD6C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L13" firstHeaderRow="1" firstDataRow="2" firstDataCol="1"/>
  <pivotFields count="7">
    <pivotField axis="axisRow" dataField="1" showAll="0">
      <items count="11">
        <item x="6"/>
        <item x="4"/>
        <item x="7"/>
        <item x="5"/>
        <item x="2"/>
        <item x="1"/>
        <item x="3"/>
        <item x="9"/>
        <item x="8"/>
        <item x="0"/>
        <item t="default"/>
      </items>
    </pivotField>
    <pivotField showAll="0"/>
    <pivotField axis="axisCol" showAll="0">
      <items count="11">
        <item x="5"/>
        <item x="7"/>
        <item x="3"/>
        <item x="8"/>
        <item x="4"/>
        <item x="2"/>
        <item x="0"/>
        <item x="6"/>
        <item x="9"/>
        <item x="1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1999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6F38F-67F6-4A72-BE75-991082BE26B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K72" firstHeaderRow="1" firstDataRow="2" firstDataCol="1"/>
  <pivotFields count="7">
    <pivotField showAll="0"/>
    <pivotField showAll="0"/>
    <pivotField showAll="0"/>
    <pivotField showAll="0"/>
    <pivotField axis="axisRow" dataField="1" showAll="0">
      <items count="11">
        <item x="5"/>
        <item x="8"/>
        <item x="2"/>
        <item x="4"/>
        <item x="3"/>
        <item x="1"/>
        <item x="0"/>
        <item x="9"/>
        <item x="7"/>
        <item x="6"/>
        <item t="default"/>
      </items>
    </pivotField>
    <pivotField showAll="0"/>
    <pivotField axis="axisCol" showAll="0">
      <items count="10">
        <item x="5"/>
        <item x="7"/>
        <item x="2"/>
        <item x="4"/>
        <item x="3"/>
        <item x="1"/>
        <item x="0"/>
        <item x="8"/>
        <item x="6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2003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031F-DB30-44F1-8873-0BED4C3BE197}">
  <dimension ref="A1:N4001"/>
  <sheetViews>
    <sheetView zoomScale="58" workbookViewId="0">
      <selection activeCell="Q18" sqref="Q18"/>
    </sheetView>
  </sheetViews>
  <sheetFormatPr defaultRowHeight="14.5" x14ac:dyDescent="0.35"/>
  <cols>
    <col min="2" max="2" width="13.54296875" style="2" bestFit="1" customWidth="1"/>
    <col min="14" max="14" width="9.7265625" bestFit="1" customWidth="1"/>
  </cols>
  <sheetData>
    <row r="1" spans="1:14" x14ac:dyDescent="0.35">
      <c r="A1" t="s">
        <v>0</v>
      </c>
      <c r="B1" s="2" t="s">
        <v>1</v>
      </c>
      <c r="C1" t="s">
        <v>2</v>
      </c>
      <c r="D1" t="s">
        <v>3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</row>
    <row r="2" spans="1:14" x14ac:dyDescent="0.35">
      <c r="A2">
        <v>1</v>
      </c>
      <c r="B2" s="2">
        <v>36676</v>
      </c>
      <c r="C2">
        <v>7</v>
      </c>
      <c r="D2">
        <v>7</v>
      </c>
      <c r="F2">
        <v>1</v>
      </c>
      <c r="G2" cm="1">
        <f t="array" ref="G2">_xlfn.IFNA(INDEX($D$2:$D$4001,_xlfn.XMATCH(G$1&amp;"-"&amp;$F2,YEAR($B$2:$B$4001)&amp;"-"&amp;$A$2:$A$4001,0,-1)),9)</f>
        <v>9</v>
      </c>
      <c r="H2" cm="1">
        <f t="array" ref="H2">IF(OR(AND(G2=9,H$1&gt;YEAR($N2))),9,_xlfn.IFNA(INDEX($D$2:$D$4001,_xlfn.XMATCH(H$1&amp;"-"&amp;$F2,YEAR($B$2:$B$4001)&amp;"-"&amp;$A$2:$A$4001,0,-1)),G2))</f>
        <v>6</v>
      </c>
      <c r="I2" cm="1">
        <f t="array" ref="I2">IF(OR(AND(H2=9,I$1&gt;YEAR($N2))),9,_xlfn.IFNA(INDEX($D$2:$D$4001,_xlfn.XMATCH(I$1&amp;"-"&amp;$F2,YEAR($B$2:$B$4001)&amp;"-"&amp;$A$2:$A$4001,0,-1)),H2))</f>
        <v>6</v>
      </c>
      <c r="J2" cm="1">
        <f t="array" ref="J2">IF(OR(AND(I2=9,J$1&gt;YEAR($N2))),9,_xlfn.IFNA(INDEX($D$2:$D$4001,_xlfn.XMATCH(J$1&amp;"-"&amp;$F2,YEAR($B$2:$B$4001)&amp;"-"&amp;$A$2:$A$4001,0,-1)),I2))</f>
        <v>6</v>
      </c>
      <c r="K2" cm="1">
        <f t="array" ref="K2">IF(OR(AND(J2=9,K$1&gt;YEAR($N2))),9,_xlfn.IFNA(INDEX($D$2:$D$4001,_xlfn.XMATCH(K$1&amp;"-"&amp;$F2,YEAR($B$2:$B$4001)&amp;"-"&amp;$A$2:$A$4001,0,-1)),J2))</f>
        <v>6</v>
      </c>
      <c r="L2" cm="1">
        <f t="array" ref="L2">IF(OR(AND(K2=9,L$1&gt;YEAR($N2))),9,_xlfn.IFNA(INDEX($D$2:$D$4001,_xlfn.XMATCH(L$1&amp;"-"&amp;$F2,YEAR($B$2:$B$4001)&amp;"-"&amp;$A$2:$A$4001,0,-1)),K2))</f>
        <v>6</v>
      </c>
      <c r="M2" cm="1">
        <f t="array" ref="M2">IF(OR(AND(L2=9,M$1&gt;YEAR($N2))),9,_xlfn.IFNA(INDEX($D$2:$D$4001,_xlfn.XMATCH(M$1&amp;"-"&amp;$F2,YEAR($B$2:$B$4001)&amp;"-"&amp;$A$2:$A$4001,0,-1)),L2))</f>
        <v>6</v>
      </c>
      <c r="N2" s="1">
        <f>_xlfn.MINIFS($B$2:$B$4001,$A$2:$A$4001,F2)</f>
        <v>36676</v>
      </c>
    </row>
    <row r="3" spans="1:14" x14ac:dyDescent="0.35">
      <c r="A3">
        <v>1</v>
      </c>
      <c r="B3" s="2">
        <v>36891</v>
      </c>
      <c r="C3">
        <v>6</v>
      </c>
      <c r="D3">
        <v>6</v>
      </c>
      <c r="F3">
        <v>2</v>
      </c>
      <c r="G3" cm="1">
        <f t="array" ref="G3">_xlfn.IFNA(INDEX($D$2:$D$4001,_xlfn.XMATCH(G$1&amp;"-"&amp;$F3,YEAR($B$2:$B$4001)&amp;"-"&amp;$A$2:$A$4001,0,-1)),9)</f>
        <v>9</v>
      </c>
      <c r="H3" cm="1">
        <f t="array" ref="H3">IF(OR(AND(G3=9,H$1&gt;YEAR($N3))),9,_xlfn.IFNA(INDEX($D$2:$D$4001,_xlfn.XMATCH(H$1&amp;"-"&amp;$F3,YEAR($B$2:$B$4001)&amp;"-"&amp;$A$2:$A$4001,0,-1)),G3))</f>
        <v>9</v>
      </c>
      <c r="I3" cm="1">
        <f t="array" ref="I3">IF(OR(AND(H3=9,I$1&gt;YEAR($N3))),9,_xlfn.IFNA(INDEX($D$2:$D$4001,_xlfn.XMATCH(I$1&amp;"-"&amp;$F3,YEAR($B$2:$B$4001)&amp;"-"&amp;$A$2:$A$4001,0,-1)),H3))</f>
        <v>9</v>
      </c>
      <c r="J3" cm="1">
        <f t="array" ref="J3">IF(OR(AND(I3=9,J$1&gt;YEAR($N3))),9,_xlfn.IFNA(INDEX($D$2:$D$4001,_xlfn.XMATCH(J$1&amp;"-"&amp;$F3,YEAR($B$2:$B$4001)&amp;"-"&amp;$A$2:$A$4001,0,-1)),I3))</f>
        <v>9</v>
      </c>
      <c r="K3" cm="1">
        <f t="array" ref="K3">IF(OR(AND(J3=9,K$1&gt;YEAR($N3))),9,_xlfn.IFNA(INDEX($D$2:$D$4001,_xlfn.XMATCH(K$1&amp;"-"&amp;$F3,YEAR($B$2:$B$4001)&amp;"-"&amp;$A$2:$A$4001,0,-1)),J3))</f>
        <v>6</v>
      </c>
      <c r="L3" cm="1">
        <f t="array" ref="L3">IF(OR(AND(K3=9,L$1&gt;YEAR($N3))),9,_xlfn.IFNA(INDEX($D$2:$D$4001,_xlfn.XMATCH(L$1&amp;"-"&amp;$F3,YEAR($B$2:$B$4001)&amp;"-"&amp;$A$2:$A$4001,0,-1)),K3))</f>
        <v>6</v>
      </c>
      <c r="M3" cm="1">
        <f t="array" ref="M3">IF(OR(AND(L3=9,M$1&gt;YEAR($N3))),9,_xlfn.IFNA(INDEX($D$2:$D$4001,_xlfn.XMATCH(M$1&amp;"-"&amp;$F3,YEAR($B$2:$B$4001)&amp;"-"&amp;$A$2:$A$4001,0,-1)),L3))</f>
        <v>6</v>
      </c>
      <c r="N3" s="1">
        <f t="shared" ref="N3:N66" si="0">_xlfn.MINIFS($B$2:$B$4001,$A$2:$A$4001,F3)</f>
        <v>37762</v>
      </c>
    </row>
    <row r="4" spans="1:14" x14ac:dyDescent="0.35">
      <c r="A4">
        <v>2</v>
      </c>
      <c r="B4" s="2">
        <v>37762</v>
      </c>
      <c r="C4">
        <v>6</v>
      </c>
      <c r="D4">
        <v>6</v>
      </c>
      <c r="F4">
        <v>3</v>
      </c>
      <c r="G4" cm="1">
        <f t="array" ref="G4">_xlfn.IFNA(INDEX($D$2:$D$4001,_xlfn.XMATCH(G$1&amp;"-"&amp;$F4,YEAR($B$2:$B$4001)&amp;"-"&amp;$A$2:$A$4001,0,-1)),9)</f>
        <v>5</v>
      </c>
      <c r="H4" cm="1">
        <f t="array" ref="H4">IF(OR(AND(G4=9,H$1&gt;YEAR($N4))),9,_xlfn.IFNA(INDEX($D$2:$D$4001,_xlfn.XMATCH(H$1&amp;"-"&amp;$F4,YEAR($B$2:$B$4001)&amp;"-"&amp;$A$2:$A$4001,0,-1)),G4))</f>
        <v>6</v>
      </c>
      <c r="I4" cm="1">
        <f t="array" ref="I4">IF(OR(AND(H4=9,I$1&gt;YEAR($N4))),9,_xlfn.IFNA(INDEX($D$2:$D$4001,_xlfn.XMATCH(I$1&amp;"-"&amp;$F4,YEAR($B$2:$B$4001)&amp;"-"&amp;$A$2:$A$4001,0,-1)),H4))</f>
        <v>5</v>
      </c>
      <c r="J4" cm="1">
        <f t="array" ref="J4">IF(OR(AND(I4=9,J$1&gt;YEAR($N4))),9,_xlfn.IFNA(INDEX($D$2:$D$4001,_xlfn.XMATCH(J$1&amp;"-"&amp;$F4,YEAR($B$2:$B$4001)&amp;"-"&amp;$A$2:$A$4001,0,-1)),I4))</f>
        <v>5</v>
      </c>
      <c r="K4" cm="1">
        <f t="array" ref="K4">IF(OR(AND(J4=9,K$1&gt;YEAR($N4))),9,_xlfn.IFNA(INDEX($D$2:$D$4001,_xlfn.XMATCH(K$1&amp;"-"&amp;$F4,YEAR($B$2:$B$4001)&amp;"-"&amp;$A$2:$A$4001,0,-1)),J4))</f>
        <v>5</v>
      </c>
      <c r="L4" cm="1">
        <f t="array" ref="L4">IF(OR(AND(K4=9,L$1&gt;YEAR($N4))),9,_xlfn.IFNA(INDEX($D$2:$D$4001,_xlfn.XMATCH(L$1&amp;"-"&amp;$F4,YEAR($B$2:$B$4001)&amp;"-"&amp;$A$2:$A$4001,0,-1)),K4))</f>
        <v>5</v>
      </c>
      <c r="M4" cm="1">
        <f t="array" ref="M4">IF(OR(AND(L4=9,M$1&gt;YEAR($N4))),9,_xlfn.IFNA(INDEX($D$2:$D$4001,_xlfn.XMATCH(M$1&amp;"-"&amp;$F4,YEAR($B$2:$B$4001)&amp;"-"&amp;$A$2:$A$4001,0,-1)),L4))</f>
        <v>5</v>
      </c>
      <c r="N4" s="1">
        <f t="shared" si="0"/>
        <v>36524</v>
      </c>
    </row>
    <row r="5" spans="1:14" x14ac:dyDescent="0.35">
      <c r="A5">
        <v>3</v>
      </c>
      <c r="B5" s="2">
        <v>36524</v>
      </c>
      <c r="C5">
        <v>5</v>
      </c>
      <c r="D5">
        <v>5</v>
      </c>
      <c r="F5">
        <v>4</v>
      </c>
      <c r="G5" cm="1">
        <f t="array" ref="G5">_xlfn.IFNA(INDEX($D$2:$D$4001,_xlfn.XMATCH(G$1&amp;"-"&amp;$F5,YEAR($B$2:$B$4001)&amp;"-"&amp;$A$2:$A$4001,0,-1)),9)</f>
        <v>9</v>
      </c>
      <c r="H5" cm="1">
        <f t="array" ref="H5">IF(OR(AND(G5=9,H$1&gt;YEAR($N5))),9,_xlfn.IFNA(INDEX($D$2:$D$4001,_xlfn.XMATCH(H$1&amp;"-"&amp;$F5,YEAR($B$2:$B$4001)&amp;"-"&amp;$A$2:$A$4001,0,-1)),G5))</f>
        <v>9</v>
      </c>
      <c r="I5" cm="1">
        <f t="array" ref="I5">IF(OR(AND(H5=9,I$1&gt;YEAR($N5))),9,_xlfn.IFNA(INDEX($D$2:$D$4001,_xlfn.XMATCH(I$1&amp;"-"&amp;$F5,YEAR($B$2:$B$4001)&amp;"-"&amp;$A$2:$A$4001,0,-1)),H5))</f>
        <v>5</v>
      </c>
      <c r="J5" cm="1">
        <f t="array" ref="J5">IF(OR(AND(I5=9,J$1&gt;YEAR($N5))),9,_xlfn.IFNA(INDEX($D$2:$D$4001,_xlfn.XMATCH(J$1&amp;"-"&amp;$F5,YEAR($B$2:$B$4001)&amp;"-"&amp;$A$2:$A$4001,0,-1)),I5))</f>
        <v>6</v>
      </c>
      <c r="K5" cm="1">
        <f t="array" ref="K5">IF(OR(AND(J5=9,K$1&gt;YEAR($N5))),9,_xlfn.IFNA(INDEX($D$2:$D$4001,_xlfn.XMATCH(K$1&amp;"-"&amp;$F5,YEAR($B$2:$B$4001)&amp;"-"&amp;$A$2:$A$4001,0,-1)),J5))</f>
        <v>6</v>
      </c>
      <c r="L5" cm="1">
        <f t="array" ref="L5">IF(OR(AND(K5=9,L$1&gt;YEAR($N5))),9,_xlfn.IFNA(INDEX($D$2:$D$4001,_xlfn.XMATCH(L$1&amp;"-"&amp;$F5,YEAR($B$2:$B$4001)&amp;"-"&amp;$A$2:$A$4001,0,-1)),K5))</f>
        <v>6</v>
      </c>
      <c r="M5" cm="1">
        <f t="array" ref="M5">IF(OR(AND(L5=9,M$1&gt;YEAR($N5))),9,_xlfn.IFNA(INDEX($D$2:$D$4001,_xlfn.XMATCH(M$1&amp;"-"&amp;$F5,YEAR($B$2:$B$4001)&amp;"-"&amp;$A$2:$A$4001,0,-1)),L5))</f>
        <v>6</v>
      </c>
      <c r="N5" s="1">
        <f t="shared" si="0"/>
        <v>37255</v>
      </c>
    </row>
    <row r="6" spans="1:14" x14ac:dyDescent="0.35">
      <c r="A6">
        <v>3</v>
      </c>
      <c r="B6" s="2">
        <v>36829</v>
      </c>
      <c r="C6">
        <v>6</v>
      </c>
      <c r="D6">
        <v>6</v>
      </c>
      <c r="F6">
        <v>5</v>
      </c>
      <c r="G6" cm="1">
        <f t="array" ref="G6">_xlfn.IFNA(INDEX($D$2:$D$4001,_xlfn.XMATCH(G$1&amp;"-"&amp;$F6,YEAR($B$2:$B$4001)&amp;"-"&amp;$A$2:$A$4001,0,-1)),9)</f>
        <v>9</v>
      </c>
      <c r="H6" cm="1">
        <f t="array" ref="H6">IF(OR(AND(G6=9,H$1&gt;YEAR($N6))),9,_xlfn.IFNA(INDEX($D$2:$D$4001,_xlfn.XMATCH(H$1&amp;"-"&amp;$F6,YEAR($B$2:$B$4001)&amp;"-"&amp;$A$2:$A$4001,0,-1)),G6))</f>
        <v>2</v>
      </c>
      <c r="I6" cm="1">
        <f t="array" ref="I6">IF(OR(AND(H6=9,I$1&gt;YEAR($N6))),9,_xlfn.IFNA(INDEX($D$2:$D$4001,_xlfn.XMATCH(I$1&amp;"-"&amp;$F6,YEAR($B$2:$B$4001)&amp;"-"&amp;$A$2:$A$4001,0,-1)),H6))</f>
        <v>2</v>
      </c>
      <c r="J6" cm="1">
        <f t="array" ref="J6">IF(OR(AND(I6=9,J$1&gt;YEAR($N6))),9,_xlfn.IFNA(INDEX($D$2:$D$4001,_xlfn.XMATCH(J$1&amp;"-"&amp;$F6,YEAR($B$2:$B$4001)&amp;"-"&amp;$A$2:$A$4001,0,-1)),I6))</f>
        <v>2</v>
      </c>
      <c r="K6" cm="1">
        <f t="array" ref="K6">IF(OR(AND(J6=9,K$1&gt;YEAR($N6))),9,_xlfn.IFNA(INDEX($D$2:$D$4001,_xlfn.XMATCH(K$1&amp;"-"&amp;$F6,YEAR($B$2:$B$4001)&amp;"-"&amp;$A$2:$A$4001,0,-1)),J6))</f>
        <v>2</v>
      </c>
      <c r="L6" cm="1">
        <f t="array" ref="L6">IF(OR(AND(K6=9,L$1&gt;YEAR($N6))),9,_xlfn.IFNA(INDEX($D$2:$D$4001,_xlfn.XMATCH(L$1&amp;"-"&amp;$F6,YEAR($B$2:$B$4001)&amp;"-"&amp;$A$2:$A$4001,0,-1)),K6))</f>
        <v>2</v>
      </c>
      <c r="M6" cm="1">
        <f t="array" ref="M6">IF(OR(AND(L6=9,M$1&gt;YEAR($N6))),9,_xlfn.IFNA(INDEX($D$2:$D$4001,_xlfn.XMATCH(M$1&amp;"-"&amp;$F6,YEAR($B$2:$B$4001)&amp;"-"&amp;$A$2:$A$4001,0,-1)),L6))</f>
        <v>2</v>
      </c>
      <c r="N6" s="1">
        <f t="shared" si="0"/>
        <v>36670</v>
      </c>
    </row>
    <row r="7" spans="1:14" x14ac:dyDescent="0.35">
      <c r="A7">
        <v>3</v>
      </c>
      <c r="B7" s="2">
        <v>37255</v>
      </c>
      <c r="C7">
        <v>5</v>
      </c>
      <c r="D7">
        <v>5</v>
      </c>
      <c r="F7">
        <v>6</v>
      </c>
      <c r="G7" cm="1">
        <f t="array" ref="G7">_xlfn.IFNA(INDEX($D$2:$D$4001,_xlfn.XMATCH(G$1&amp;"-"&amp;$F7,YEAR($B$2:$B$4001)&amp;"-"&amp;$A$2:$A$4001,0,-1)),9)</f>
        <v>4</v>
      </c>
      <c r="H7" cm="1">
        <f t="array" ref="H7">IF(OR(AND(G7=9,H$1&gt;YEAR($N7))),9,_xlfn.IFNA(INDEX($D$2:$D$4001,_xlfn.XMATCH(H$1&amp;"-"&amp;$F7,YEAR($B$2:$B$4001)&amp;"-"&amp;$A$2:$A$4001,0,-1)),G7))</f>
        <v>4</v>
      </c>
      <c r="I7" cm="1">
        <f t="array" ref="I7">IF(OR(AND(H7=9,I$1&gt;YEAR($N7))),9,_xlfn.IFNA(INDEX($D$2:$D$4001,_xlfn.XMATCH(I$1&amp;"-"&amp;$F7,YEAR($B$2:$B$4001)&amp;"-"&amp;$A$2:$A$4001,0,-1)),H7))</f>
        <v>4</v>
      </c>
      <c r="J7" cm="1">
        <f t="array" ref="J7">IF(OR(AND(I7=9,J$1&gt;YEAR($N7))),9,_xlfn.IFNA(INDEX($D$2:$D$4001,_xlfn.XMATCH(J$1&amp;"-"&amp;$F7,YEAR($B$2:$B$4001)&amp;"-"&amp;$A$2:$A$4001,0,-1)),I7))</f>
        <v>4</v>
      </c>
      <c r="K7" cm="1">
        <f t="array" ref="K7">IF(OR(AND(J7=9,K$1&gt;YEAR($N7))),9,_xlfn.IFNA(INDEX($D$2:$D$4001,_xlfn.XMATCH(K$1&amp;"-"&amp;$F7,YEAR($B$2:$B$4001)&amp;"-"&amp;$A$2:$A$4001,0,-1)),J7))</f>
        <v>4</v>
      </c>
      <c r="L7" cm="1">
        <f t="array" ref="L7">IF(OR(AND(K7=9,L$1&gt;YEAR($N7))),9,_xlfn.IFNA(INDEX($D$2:$D$4001,_xlfn.XMATCH(L$1&amp;"-"&amp;$F7,YEAR($B$2:$B$4001)&amp;"-"&amp;$A$2:$A$4001,0,-1)),K7))</f>
        <v>4</v>
      </c>
      <c r="M7" cm="1">
        <f t="array" ref="M7">IF(OR(AND(L7=9,M$1&gt;YEAR($N7))),9,_xlfn.IFNA(INDEX($D$2:$D$4001,_xlfn.XMATCH(M$1&amp;"-"&amp;$F7,YEAR($B$2:$B$4001)&amp;"-"&amp;$A$2:$A$4001,0,-1)),L7))</f>
        <v>4</v>
      </c>
      <c r="N7" s="1">
        <f t="shared" si="0"/>
        <v>36524</v>
      </c>
    </row>
    <row r="8" spans="1:14" x14ac:dyDescent="0.35">
      <c r="A8">
        <v>4</v>
      </c>
      <c r="B8" s="2">
        <v>37255</v>
      </c>
      <c r="C8">
        <v>5</v>
      </c>
      <c r="D8">
        <v>5</v>
      </c>
      <c r="F8">
        <v>7</v>
      </c>
      <c r="G8" cm="1">
        <f t="array" ref="G8">_xlfn.IFNA(INDEX($D$2:$D$4001,_xlfn.XMATCH(G$1&amp;"-"&amp;$F8,YEAR($B$2:$B$4001)&amp;"-"&amp;$A$2:$A$4001,0,-1)),9)</f>
        <v>9</v>
      </c>
      <c r="H8" cm="1">
        <f t="array" ref="H8">IF(OR(AND(G8=9,H$1&gt;YEAR($N8))),9,_xlfn.IFNA(INDEX($D$2:$D$4001,_xlfn.XMATCH(H$1&amp;"-"&amp;$F8,YEAR($B$2:$B$4001)&amp;"-"&amp;$A$2:$A$4001,0,-1)),G8))</f>
        <v>9</v>
      </c>
      <c r="I8" cm="1">
        <f t="array" ref="I8">IF(OR(AND(H8=9,I$1&gt;YEAR($N8))),9,_xlfn.IFNA(INDEX($D$2:$D$4001,_xlfn.XMATCH(I$1&amp;"-"&amp;$F8,YEAR($B$2:$B$4001)&amp;"-"&amp;$A$2:$A$4001,0,-1)),H8))</f>
        <v>9</v>
      </c>
      <c r="J8" cm="1">
        <f t="array" ref="J8">IF(OR(AND(I8=9,J$1&gt;YEAR($N8))),9,_xlfn.IFNA(INDEX($D$2:$D$4001,_xlfn.XMATCH(J$1&amp;"-"&amp;$F8,YEAR($B$2:$B$4001)&amp;"-"&amp;$A$2:$A$4001,0,-1)),I8))</f>
        <v>4</v>
      </c>
      <c r="K8" cm="1">
        <f t="array" ref="K8">IF(OR(AND(J8=9,K$1&gt;YEAR($N8))),9,_xlfn.IFNA(INDEX($D$2:$D$4001,_xlfn.XMATCH(K$1&amp;"-"&amp;$F8,YEAR($B$2:$B$4001)&amp;"-"&amp;$A$2:$A$4001,0,-1)),J8))</f>
        <v>6</v>
      </c>
      <c r="L8" cm="1">
        <f t="array" ref="L8">IF(OR(AND(K8=9,L$1&gt;YEAR($N8))),9,_xlfn.IFNA(INDEX($D$2:$D$4001,_xlfn.XMATCH(L$1&amp;"-"&amp;$F8,YEAR($B$2:$B$4001)&amp;"-"&amp;$A$2:$A$4001,0,-1)),K8))</f>
        <v>5</v>
      </c>
      <c r="M8" cm="1">
        <f t="array" ref="M8">IF(OR(AND(L8=9,M$1&gt;YEAR($N8))),9,_xlfn.IFNA(INDEX($D$2:$D$4001,_xlfn.XMATCH(M$1&amp;"-"&amp;$F8,YEAR($B$2:$B$4001)&amp;"-"&amp;$A$2:$A$4001,0,-1)),L8))</f>
        <v>5</v>
      </c>
      <c r="N8" s="1">
        <f t="shared" si="0"/>
        <v>37620</v>
      </c>
    </row>
    <row r="9" spans="1:14" x14ac:dyDescent="0.35">
      <c r="A9">
        <v>4</v>
      </c>
      <c r="B9" s="2">
        <v>37406</v>
      </c>
      <c r="C9">
        <v>6</v>
      </c>
      <c r="D9">
        <v>6</v>
      </c>
      <c r="F9">
        <v>8</v>
      </c>
      <c r="G9" cm="1">
        <f t="array" ref="G9">_xlfn.IFNA(INDEX($D$2:$D$4001,_xlfn.XMATCH(G$1&amp;"-"&amp;$F9,YEAR($B$2:$B$4001)&amp;"-"&amp;$A$2:$A$4001,0,-1)),9)</f>
        <v>9</v>
      </c>
      <c r="H9" cm="1">
        <f t="array" ref="H9">IF(OR(AND(G9=9,H$1&gt;YEAR($N9))),9,_xlfn.IFNA(INDEX($D$2:$D$4001,_xlfn.XMATCH(H$1&amp;"-"&amp;$F9,YEAR($B$2:$B$4001)&amp;"-"&amp;$A$2:$A$4001,0,-1)),G9))</f>
        <v>9</v>
      </c>
      <c r="I9" cm="1">
        <f t="array" ref="I9">IF(OR(AND(H9=9,I$1&gt;YEAR($N9))),9,_xlfn.IFNA(INDEX($D$2:$D$4001,_xlfn.XMATCH(I$1&amp;"-"&amp;$F9,YEAR($B$2:$B$4001)&amp;"-"&amp;$A$2:$A$4001,0,-1)),H9))</f>
        <v>9</v>
      </c>
      <c r="J9" cm="1">
        <f t="array" ref="J9">IF(OR(AND(I9=9,J$1&gt;YEAR($N9))),9,_xlfn.IFNA(INDEX($D$2:$D$4001,_xlfn.XMATCH(J$1&amp;"-"&amp;$F9,YEAR($B$2:$B$4001)&amp;"-"&amp;$A$2:$A$4001,0,-1)),I9))</f>
        <v>3</v>
      </c>
      <c r="K9" cm="1">
        <f t="array" ref="K9">IF(OR(AND(J9=9,K$1&gt;YEAR($N9))),9,_xlfn.IFNA(INDEX($D$2:$D$4001,_xlfn.XMATCH(K$1&amp;"-"&amp;$F9,YEAR($B$2:$B$4001)&amp;"-"&amp;$A$2:$A$4001,0,-1)),J9))</f>
        <v>3</v>
      </c>
      <c r="L9" cm="1">
        <f t="array" ref="L9">IF(OR(AND(K9=9,L$1&gt;YEAR($N9))),9,_xlfn.IFNA(INDEX($D$2:$D$4001,_xlfn.XMATCH(L$1&amp;"-"&amp;$F9,YEAR($B$2:$B$4001)&amp;"-"&amp;$A$2:$A$4001,0,-1)),K9))</f>
        <v>3</v>
      </c>
      <c r="M9" cm="1">
        <f t="array" ref="M9">IF(OR(AND(L9=9,M$1&gt;YEAR($N9))),9,_xlfn.IFNA(INDEX($D$2:$D$4001,_xlfn.XMATCH(M$1&amp;"-"&amp;$F9,YEAR($B$2:$B$4001)&amp;"-"&amp;$A$2:$A$4001,0,-1)),L9))</f>
        <v>3</v>
      </c>
      <c r="N9" s="1">
        <f t="shared" si="0"/>
        <v>37620</v>
      </c>
    </row>
    <row r="10" spans="1:14" x14ac:dyDescent="0.35">
      <c r="A10">
        <v>5</v>
      </c>
      <c r="B10" s="2">
        <v>36670</v>
      </c>
      <c r="C10">
        <v>2</v>
      </c>
      <c r="D10">
        <v>2</v>
      </c>
      <c r="F10">
        <v>9</v>
      </c>
      <c r="G10" cm="1">
        <f t="array" ref="G10">_xlfn.IFNA(INDEX($D$2:$D$4001,_xlfn.XMATCH(G$1&amp;"-"&amp;$F10,YEAR($B$2:$B$4001)&amp;"-"&amp;$A$2:$A$4001,0,-1)),9)</f>
        <v>9</v>
      </c>
      <c r="H10" cm="1">
        <f t="array" ref="H10">IF(OR(AND(G10=9,H$1&gt;YEAR($N10))),9,_xlfn.IFNA(INDEX($D$2:$D$4001,_xlfn.XMATCH(H$1&amp;"-"&amp;$F10,YEAR($B$2:$B$4001)&amp;"-"&amp;$A$2:$A$4001,0,-1)),G10))</f>
        <v>0</v>
      </c>
      <c r="I10" cm="1">
        <f t="array" ref="I10">IF(OR(AND(H10=9,I$1&gt;YEAR($N10))),9,_xlfn.IFNA(INDEX($D$2:$D$4001,_xlfn.XMATCH(I$1&amp;"-"&amp;$F10,YEAR($B$2:$B$4001)&amp;"-"&amp;$A$2:$A$4001,0,-1)),H10))</f>
        <v>0</v>
      </c>
      <c r="J10" cm="1">
        <f t="array" ref="J10">IF(OR(AND(I10=9,J$1&gt;YEAR($N10))),9,_xlfn.IFNA(INDEX($D$2:$D$4001,_xlfn.XMATCH(J$1&amp;"-"&amp;$F10,YEAR($B$2:$B$4001)&amp;"-"&amp;$A$2:$A$4001,0,-1)),I10))</f>
        <v>0</v>
      </c>
      <c r="K10" cm="1">
        <f t="array" ref="K10">IF(OR(AND(J10=9,K$1&gt;YEAR($N10))),9,_xlfn.IFNA(INDEX($D$2:$D$4001,_xlfn.XMATCH(K$1&amp;"-"&amp;$F10,YEAR($B$2:$B$4001)&amp;"-"&amp;$A$2:$A$4001,0,-1)),J10))</f>
        <v>0</v>
      </c>
      <c r="L10" cm="1">
        <f t="array" ref="L10">IF(OR(AND(K10=9,L$1&gt;YEAR($N10))),9,_xlfn.IFNA(INDEX($D$2:$D$4001,_xlfn.XMATCH(L$1&amp;"-"&amp;$F10,YEAR($B$2:$B$4001)&amp;"-"&amp;$A$2:$A$4001,0,-1)),K10))</f>
        <v>0</v>
      </c>
      <c r="M10" cm="1">
        <f t="array" ref="M10">IF(OR(AND(L10=9,M$1&gt;YEAR($N10))),9,_xlfn.IFNA(INDEX($D$2:$D$4001,_xlfn.XMATCH(M$1&amp;"-"&amp;$F10,YEAR($B$2:$B$4001)&amp;"-"&amp;$A$2:$A$4001,0,-1)),L10))</f>
        <v>0</v>
      </c>
      <c r="N10" s="1">
        <f t="shared" si="0"/>
        <v>36667</v>
      </c>
    </row>
    <row r="11" spans="1:14" x14ac:dyDescent="0.35">
      <c r="A11">
        <v>5</v>
      </c>
      <c r="B11" s="2">
        <v>37041</v>
      </c>
      <c r="C11">
        <v>3</v>
      </c>
      <c r="D11">
        <v>3</v>
      </c>
      <c r="F11">
        <v>10</v>
      </c>
      <c r="G11" cm="1">
        <f t="array" ref="G11">_xlfn.IFNA(INDEX($D$2:$D$4001,_xlfn.XMATCH(G$1&amp;"-"&amp;$F11,YEAR($B$2:$B$4001)&amp;"-"&amp;$A$2:$A$4001,0,-1)),9)</f>
        <v>9</v>
      </c>
      <c r="H11" cm="1">
        <f t="array" ref="H11">IF(OR(AND(G11=9,H$1&gt;YEAR($N11))),9,_xlfn.IFNA(INDEX($D$2:$D$4001,_xlfn.XMATCH(H$1&amp;"-"&amp;$F11,YEAR($B$2:$B$4001)&amp;"-"&amp;$A$2:$A$4001,0,-1)),G11))</f>
        <v>9</v>
      </c>
      <c r="I11" cm="1">
        <f t="array" ref="I11">IF(OR(AND(H11=9,I$1&gt;YEAR($N11))),9,_xlfn.IFNA(INDEX($D$2:$D$4001,_xlfn.XMATCH(I$1&amp;"-"&amp;$F11,YEAR($B$2:$B$4001)&amp;"-"&amp;$A$2:$A$4001,0,-1)),H11))</f>
        <v>9</v>
      </c>
      <c r="J11" cm="1">
        <f t="array" ref="J11">IF(OR(AND(I11=9,J$1&gt;YEAR($N11))),9,_xlfn.IFNA(INDEX($D$2:$D$4001,_xlfn.XMATCH(J$1&amp;"-"&amp;$F11,YEAR($B$2:$B$4001)&amp;"-"&amp;$A$2:$A$4001,0,-1)),I11))</f>
        <v>9</v>
      </c>
      <c r="K11" cm="1">
        <f t="array" ref="K11">IF(OR(AND(J11=9,K$1&gt;YEAR($N11))),9,_xlfn.IFNA(INDEX($D$2:$D$4001,_xlfn.XMATCH(K$1&amp;"-"&amp;$F11,YEAR($B$2:$B$4001)&amp;"-"&amp;$A$2:$A$4001,0,-1)),J11))</f>
        <v>9</v>
      </c>
      <c r="L11" cm="1">
        <f t="array" ref="L11">IF(OR(AND(K11=9,L$1&gt;YEAR($N11))),9,_xlfn.IFNA(INDEX($D$2:$D$4001,_xlfn.XMATCH(L$1&amp;"-"&amp;$F11,YEAR($B$2:$B$4001)&amp;"-"&amp;$A$2:$A$4001,0,-1)),K11))</f>
        <v>5</v>
      </c>
      <c r="M11" cm="1">
        <f t="array" ref="M11">IF(OR(AND(L11=9,M$1&gt;YEAR($N11))),9,_xlfn.IFNA(INDEX($D$2:$D$4001,_xlfn.XMATCH(M$1&amp;"-"&amp;$F11,YEAR($B$2:$B$4001)&amp;"-"&amp;$A$2:$A$4001,0,-1)),L11))</f>
        <v>5</v>
      </c>
      <c r="N11" s="1">
        <f t="shared" si="0"/>
        <v>38351</v>
      </c>
    </row>
    <row r="12" spans="1:14" x14ac:dyDescent="0.35">
      <c r="A12">
        <v>5</v>
      </c>
      <c r="B12" s="2">
        <v>37194</v>
      </c>
      <c r="C12">
        <v>2</v>
      </c>
      <c r="D12">
        <v>2</v>
      </c>
      <c r="F12">
        <v>11</v>
      </c>
      <c r="G12" cm="1">
        <f t="array" ref="G12">_xlfn.IFNA(INDEX($D$2:$D$4001,_xlfn.XMATCH(G$1&amp;"-"&amp;$F12,YEAR($B$2:$B$4001)&amp;"-"&amp;$A$2:$A$4001,0,-1)),9)</f>
        <v>6</v>
      </c>
      <c r="H12" cm="1">
        <f t="array" ref="H12">IF(OR(AND(G12=9,H$1&gt;YEAR($N12))),9,_xlfn.IFNA(INDEX($D$2:$D$4001,_xlfn.XMATCH(H$1&amp;"-"&amp;$F12,YEAR($B$2:$B$4001)&amp;"-"&amp;$A$2:$A$4001,0,-1)),G12))</f>
        <v>6</v>
      </c>
      <c r="I12" cm="1">
        <f t="array" ref="I12">IF(OR(AND(H12=9,I$1&gt;YEAR($N12))),9,_xlfn.IFNA(INDEX($D$2:$D$4001,_xlfn.XMATCH(I$1&amp;"-"&amp;$F12,YEAR($B$2:$B$4001)&amp;"-"&amp;$A$2:$A$4001,0,-1)),H12))</f>
        <v>7</v>
      </c>
      <c r="J12" cm="1">
        <f t="array" ref="J12">IF(OR(AND(I12=9,J$1&gt;YEAR($N12))),9,_xlfn.IFNA(INDEX($D$2:$D$4001,_xlfn.XMATCH(J$1&amp;"-"&amp;$F12,YEAR($B$2:$B$4001)&amp;"-"&amp;$A$2:$A$4001,0,-1)),I12))</f>
        <v>8</v>
      </c>
      <c r="K12" cm="1">
        <f t="array" ref="K12">IF(OR(AND(J12=9,K$1&gt;YEAR($N12))),9,_xlfn.IFNA(INDEX($D$2:$D$4001,_xlfn.XMATCH(K$1&amp;"-"&amp;$F12,YEAR($B$2:$B$4001)&amp;"-"&amp;$A$2:$A$4001,0,-1)),J12))</f>
        <v>8</v>
      </c>
      <c r="L12" cm="1">
        <f t="array" ref="L12">IF(OR(AND(K12=9,L$1&gt;YEAR($N12))),9,_xlfn.IFNA(INDEX($D$2:$D$4001,_xlfn.XMATCH(L$1&amp;"-"&amp;$F12,YEAR($B$2:$B$4001)&amp;"-"&amp;$A$2:$A$4001,0,-1)),K12))</f>
        <v>8</v>
      </c>
      <c r="M12" cm="1">
        <f t="array" ref="M12">IF(OR(AND(L12=9,M$1&gt;YEAR($N12))),9,_xlfn.IFNA(INDEX($D$2:$D$4001,_xlfn.XMATCH(M$1&amp;"-"&amp;$F12,YEAR($B$2:$B$4001)&amp;"-"&amp;$A$2:$A$4001,0,-1)),L12))</f>
        <v>8</v>
      </c>
      <c r="N12" s="1">
        <f t="shared" si="0"/>
        <v>36524</v>
      </c>
    </row>
    <row r="13" spans="1:14" x14ac:dyDescent="0.35">
      <c r="A13">
        <v>6</v>
      </c>
      <c r="B13" s="2">
        <v>36524</v>
      </c>
      <c r="C13">
        <v>4</v>
      </c>
      <c r="D13">
        <v>4</v>
      </c>
      <c r="F13">
        <v>12</v>
      </c>
      <c r="G13" cm="1">
        <f t="array" ref="G13">_xlfn.IFNA(INDEX($D$2:$D$4001,_xlfn.XMATCH(G$1&amp;"-"&amp;$F13,YEAR($B$2:$B$4001)&amp;"-"&amp;$A$2:$A$4001,0,-1)),9)</f>
        <v>9</v>
      </c>
      <c r="H13" cm="1">
        <f t="array" ref="H13">IF(OR(AND(G13=9,H$1&gt;YEAR($N13))),9,_xlfn.IFNA(INDEX($D$2:$D$4001,_xlfn.XMATCH(H$1&amp;"-"&amp;$F13,YEAR($B$2:$B$4001)&amp;"-"&amp;$A$2:$A$4001,0,-1)),G13))</f>
        <v>0</v>
      </c>
      <c r="I13" cm="1">
        <f t="array" ref="I13">IF(OR(AND(H13=9,I$1&gt;YEAR($N13))),9,_xlfn.IFNA(INDEX($D$2:$D$4001,_xlfn.XMATCH(I$1&amp;"-"&amp;$F13,YEAR($B$2:$B$4001)&amp;"-"&amp;$A$2:$A$4001,0,-1)),H13))</f>
        <v>0</v>
      </c>
      <c r="J13" cm="1">
        <f t="array" ref="J13">IF(OR(AND(I13=9,J$1&gt;YEAR($N13))),9,_xlfn.IFNA(INDEX($D$2:$D$4001,_xlfn.XMATCH(J$1&amp;"-"&amp;$F13,YEAR($B$2:$B$4001)&amp;"-"&amp;$A$2:$A$4001,0,-1)),I13))</f>
        <v>0</v>
      </c>
      <c r="K13" cm="1">
        <f t="array" ref="K13">IF(OR(AND(J13=9,K$1&gt;YEAR($N13))),9,_xlfn.IFNA(INDEX($D$2:$D$4001,_xlfn.XMATCH(K$1&amp;"-"&amp;$F13,YEAR($B$2:$B$4001)&amp;"-"&amp;$A$2:$A$4001,0,-1)),J13))</f>
        <v>0</v>
      </c>
      <c r="L13" cm="1">
        <f t="array" ref="L13">IF(OR(AND(K13=9,L$1&gt;YEAR($N13))),9,_xlfn.IFNA(INDEX($D$2:$D$4001,_xlfn.XMATCH(L$1&amp;"-"&amp;$F13,YEAR($B$2:$B$4001)&amp;"-"&amp;$A$2:$A$4001,0,-1)),K13))</f>
        <v>0</v>
      </c>
      <c r="M13" cm="1">
        <f t="array" ref="M13">IF(OR(AND(L13=9,M$1&gt;YEAR($N13))),9,_xlfn.IFNA(INDEX($D$2:$D$4001,_xlfn.XMATCH(M$1&amp;"-"&amp;$F13,YEAR($B$2:$B$4001)&amp;"-"&amp;$A$2:$A$4001,0,-1)),L13))</f>
        <v>0</v>
      </c>
      <c r="N13" s="1">
        <f t="shared" si="0"/>
        <v>36890</v>
      </c>
    </row>
    <row r="14" spans="1:14" x14ac:dyDescent="0.35">
      <c r="A14">
        <v>6</v>
      </c>
      <c r="B14" s="2">
        <v>37255</v>
      </c>
      <c r="C14">
        <v>4</v>
      </c>
      <c r="D14">
        <v>4</v>
      </c>
      <c r="F14">
        <v>13</v>
      </c>
      <c r="G14" cm="1">
        <f t="array" ref="G14">_xlfn.IFNA(INDEX($D$2:$D$4001,_xlfn.XMATCH(G$1&amp;"-"&amp;$F14,YEAR($B$2:$B$4001)&amp;"-"&amp;$A$2:$A$4001,0,-1)),9)</f>
        <v>4</v>
      </c>
      <c r="H14" cm="1">
        <f t="array" ref="H14">IF(OR(AND(G14=9,H$1&gt;YEAR($N14))),9,_xlfn.IFNA(INDEX($D$2:$D$4001,_xlfn.XMATCH(H$1&amp;"-"&amp;$F14,YEAR($B$2:$B$4001)&amp;"-"&amp;$A$2:$A$4001,0,-1)),G14))</f>
        <v>4</v>
      </c>
      <c r="I14" cm="1">
        <f t="array" ref="I14">IF(OR(AND(H14=9,I$1&gt;YEAR($N14))),9,_xlfn.IFNA(INDEX($D$2:$D$4001,_xlfn.XMATCH(I$1&amp;"-"&amp;$F14,YEAR($B$2:$B$4001)&amp;"-"&amp;$A$2:$A$4001,0,-1)),H14))</f>
        <v>4</v>
      </c>
      <c r="J14" cm="1">
        <f t="array" ref="J14">IF(OR(AND(I14=9,J$1&gt;YEAR($N14))),9,_xlfn.IFNA(INDEX($D$2:$D$4001,_xlfn.XMATCH(J$1&amp;"-"&amp;$F14,YEAR($B$2:$B$4001)&amp;"-"&amp;$A$2:$A$4001,0,-1)),I14))</f>
        <v>4</v>
      </c>
      <c r="K14" cm="1">
        <f t="array" ref="K14">IF(OR(AND(J14=9,K$1&gt;YEAR($N14))),9,_xlfn.IFNA(INDEX($D$2:$D$4001,_xlfn.XMATCH(K$1&amp;"-"&amp;$F14,YEAR($B$2:$B$4001)&amp;"-"&amp;$A$2:$A$4001,0,-1)),J14))</f>
        <v>5</v>
      </c>
      <c r="L14" cm="1">
        <f t="array" ref="L14">IF(OR(AND(K14=9,L$1&gt;YEAR($N14))),9,_xlfn.IFNA(INDEX($D$2:$D$4001,_xlfn.XMATCH(L$1&amp;"-"&amp;$F14,YEAR($B$2:$B$4001)&amp;"-"&amp;$A$2:$A$4001,0,-1)),K14))</f>
        <v>5</v>
      </c>
      <c r="M14" cm="1">
        <f t="array" ref="M14">IF(OR(AND(L14=9,M$1&gt;YEAR($N14))),9,_xlfn.IFNA(INDEX($D$2:$D$4001,_xlfn.XMATCH(M$1&amp;"-"&amp;$F14,YEAR($B$2:$B$4001)&amp;"-"&amp;$A$2:$A$4001,0,-1)),L14))</f>
        <v>5</v>
      </c>
      <c r="N14" s="1">
        <f t="shared" si="0"/>
        <v>36524</v>
      </c>
    </row>
    <row r="15" spans="1:14" x14ac:dyDescent="0.35">
      <c r="A15">
        <v>7</v>
      </c>
      <c r="B15" s="2">
        <v>37620</v>
      </c>
      <c r="C15">
        <v>4</v>
      </c>
      <c r="D15">
        <v>4</v>
      </c>
      <c r="F15">
        <v>14</v>
      </c>
      <c r="G15" cm="1">
        <f t="array" ref="G15">_xlfn.IFNA(INDEX($D$2:$D$4001,_xlfn.XMATCH(G$1&amp;"-"&amp;$F15,YEAR($B$2:$B$4001)&amp;"-"&amp;$A$2:$A$4001,0,-1)),9)</f>
        <v>5</v>
      </c>
      <c r="H15" cm="1">
        <f t="array" ref="H15">IF(OR(AND(G15=9,H$1&gt;YEAR($N15))),9,_xlfn.IFNA(INDEX($D$2:$D$4001,_xlfn.XMATCH(H$1&amp;"-"&amp;$F15,YEAR($B$2:$B$4001)&amp;"-"&amp;$A$2:$A$4001,0,-1)),G15))</f>
        <v>5</v>
      </c>
      <c r="I15" cm="1">
        <f t="array" ref="I15">IF(OR(AND(H15=9,I$1&gt;YEAR($N15))),9,_xlfn.IFNA(INDEX($D$2:$D$4001,_xlfn.XMATCH(I$1&amp;"-"&amp;$F15,YEAR($B$2:$B$4001)&amp;"-"&amp;$A$2:$A$4001,0,-1)),H15))</f>
        <v>5</v>
      </c>
      <c r="J15" cm="1">
        <f t="array" ref="J15">IF(OR(AND(I15=9,J$1&gt;YEAR($N15))),9,_xlfn.IFNA(INDEX($D$2:$D$4001,_xlfn.XMATCH(J$1&amp;"-"&amp;$F15,YEAR($B$2:$B$4001)&amp;"-"&amp;$A$2:$A$4001,0,-1)),I15))</f>
        <v>6</v>
      </c>
      <c r="K15" cm="1">
        <f t="array" ref="K15">IF(OR(AND(J15=9,K$1&gt;YEAR($N15))),9,_xlfn.IFNA(INDEX($D$2:$D$4001,_xlfn.XMATCH(K$1&amp;"-"&amp;$F15,YEAR($B$2:$B$4001)&amp;"-"&amp;$A$2:$A$4001,0,-1)),J15))</f>
        <v>6</v>
      </c>
      <c r="L15" cm="1">
        <f t="array" ref="L15">IF(OR(AND(K15=9,L$1&gt;YEAR($N15))),9,_xlfn.IFNA(INDEX($D$2:$D$4001,_xlfn.XMATCH(L$1&amp;"-"&amp;$F15,YEAR($B$2:$B$4001)&amp;"-"&amp;$A$2:$A$4001,0,-1)),K15))</f>
        <v>5</v>
      </c>
      <c r="M15" cm="1">
        <f t="array" ref="M15">IF(OR(AND(L15=9,M$1&gt;YEAR($N15))),9,_xlfn.IFNA(INDEX($D$2:$D$4001,_xlfn.XMATCH(M$1&amp;"-"&amp;$F15,YEAR($B$2:$B$4001)&amp;"-"&amp;$A$2:$A$4001,0,-1)),L15))</f>
        <v>5</v>
      </c>
      <c r="N15" s="1">
        <f t="shared" si="0"/>
        <v>36424</v>
      </c>
    </row>
    <row r="16" spans="1:14" x14ac:dyDescent="0.35">
      <c r="A16">
        <v>7</v>
      </c>
      <c r="B16" s="2">
        <v>37795</v>
      </c>
      <c r="C16">
        <v>5</v>
      </c>
      <c r="D16">
        <v>5</v>
      </c>
      <c r="F16">
        <v>15</v>
      </c>
      <c r="G16" cm="1">
        <f t="array" ref="G16">_xlfn.IFNA(INDEX($D$2:$D$4001,_xlfn.XMATCH(G$1&amp;"-"&amp;$F16,YEAR($B$2:$B$4001)&amp;"-"&amp;$A$2:$A$4001,0,-1)),9)</f>
        <v>9</v>
      </c>
      <c r="H16" cm="1">
        <f t="array" ref="H16">IF(OR(AND(G16=9,H$1&gt;YEAR($N16))),9,_xlfn.IFNA(INDEX($D$2:$D$4001,_xlfn.XMATCH(H$1&amp;"-"&amp;$F16,YEAR($B$2:$B$4001)&amp;"-"&amp;$A$2:$A$4001,0,-1)),G16))</f>
        <v>9</v>
      </c>
      <c r="I16" cm="1">
        <f t="array" ref="I16">IF(OR(AND(H16=9,I$1&gt;YEAR($N16))),9,_xlfn.IFNA(INDEX($D$2:$D$4001,_xlfn.XMATCH(I$1&amp;"-"&amp;$F16,YEAR($B$2:$B$4001)&amp;"-"&amp;$A$2:$A$4001,0,-1)),H16))</f>
        <v>9</v>
      </c>
      <c r="J16" cm="1">
        <f t="array" ref="J16">IF(OR(AND(I16=9,J$1&gt;YEAR($N16))),9,_xlfn.IFNA(INDEX($D$2:$D$4001,_xlfn.XMATCH(J$1&amp;"-"&amp;$F16,YEAR($B$2:$B$4001)&amp;"-"&amp;$A$2:$A$4001,0,-1)),I16))</f>
        <v>9</v>
      </c>
      <c r="K16" cm="1">
        <f t="array" ref="K16">IF(OR(AND(J16=9,K$1&gt;YEAR($N16))),9,_xlfn.IFNA(INDEX($D$2:$D$4001,_xlfn.XMATCH(K$1&amp;"-"&amp;$F16,YEAR($B$2:$B$4001)&amp;"-"&amp;$A$2:$A$4001,0,-1)),J16))</f>
        <v>4</v>
      </c>
      <c r="L16" cm="1">
        <f t="array" ref="L16">IF(OR(AND(K16=9,L$1&gt;YEAR($N16))),9,_xlfn.IFNA(INDEX($D$2:$D$4001,_xlfn.XMATCH(L$1&amp;"-"&amp;$F16,YEAR($B$2:$B$4001)&amp;"-"&amp;$A$2:$A$4001,0,-1)),K16))</f>
        <v>4</v>
      </c>
      <c r="M16" cm="1">
        <f t="array" ref="M16">IF(OR(AND(L16=9,M$1&gt;YEAR($N16))),9,_xlfn.IFNA(INDEX($D$2:$D$4001,_xlfn.XMATCH(M$1&amp;"-"&amp;$F16,YEAR($B$2:$B$4001)&amp;"-"&amp;$A$2:$A$4001,0,-1)),L16))</f>
        <v>4</v>
      </c>
      <c r="N16" s="1">
        <f t="shared" si="0"/>
        <v>37985</v>
      </c>
    </row>
    <row r="17" spans="1:14" x14ac:dyDescent="0.35">
      <c r="A17">
        <v>7</v>
      </c>
      <c r="B17" s="2">
        <v>37985</v>
      </c>
      <c r="C17">
        <v>6</v>
      </c>
      <c r="D17">
        <v>6</v>
      </c>
      <c r="F17">
        <v>16</v>
      </c>
      <c r="G17" cm="1">
        <f t="array" ref="G17">_xlfn.IFNA(INDEX($D$2:$D$4001,_xlfn.XMATCH(G$1&amp;"-"&amp;$F17,YEAR($B$2:$B$4001)&amp;"-"&amp;$A$2:$A$4001,0,-1)),9)</f>
        <v>1</v>
      </c>
      <c r="H17" cm="1">
        <f t="array" ref="H17">IF(OR(AND(G17=9,H$1&gt;YEAR($N17))),9,_xlfn.IFNA(INDEX($D$2:$D$4001,_xlfn.XMATCH(H$1&amp;"-"&amp;$F17,YEAR($B$2:$B$4001)&amp;"-"&amp;$A$2:$A$4001,0,-1)),G17))</f>
        <v>1</v>
      </c>
      <c r="I17" cm="1">
        <f t="array" ref="I17">IF(OR(AND(H17=9,I$1&gt;YEAR($N17))),9,_xlfn.IFNA(INDEX($D$2:$D$4001,_xlfn.XMATCH(I$1&amp;"-"&amp;$F17,YEAR($B$2:$B$4001)&amp;"-"&amp;$A$2:$A$4001,0,-1)),H17))</f>
        <v>1</v>
      </c>
      <c r="J17" cm="1">
        <f t="array" ref="J17">IF(OR(AND(I17=9,J$1&gt;YEAR($N17))),9,_xlfn.IFNA(INDEX($D$2:$D$4001,_xlfn.XMATCH(J$1&amp;"-"&amp;$F17,YEAR($B$2:$B$4001)&amp;"-"&amp;$A$2:$A$4001,0,-1)),I17))</f>
        <v>1</v>
      </c>
      <c r="K17" cm="1">
        <f t="array" ref="K17">IF(OR(AND(J17=9,K$1&gt;YEAR($N17))),9,_xlfn.IFNA(INDEX($D$2:$D$4001,_xlfn.XMATCH(K$1&amp;"-"&amp;$F17,YEAR($B$2:$B$4001)&amp;"-"&amp;$A$2:$A$4001,0,-1)),J17))</f>
        <v>1</v>
      </c>
      <c r="L17" cm="1">
        <f t="array" ref="L17">IF(OR(AND(K17=9,L$1&gt;YEAR($N17))),9,_xlfn.IFNA(INDEX($D$2:$D$4001,_xlfn.XMATCH(L$1&amp;"-"&amp;$F17,YEAR($B$2:$B$4001)&amp;"-"&amp;$A$2:$A$4001,0,-1)),K17))</f>
        <v>0</v>
      </c>
      <c r="M17" cm="1">
        <f t="array" ref="M17">IF(OR(AND(L17=9,M$1&gt;YEAR($N17))),9,_xlfn.IFNA(INDEX($D$2:$D$4001,_xlfn.XMATCH(M$1&amp;"-"&amp;$F17,YEAR($B$2:$B$4001)&amp;"-"&amp;$A$2:$A$4001,0,-1)),L17))</f>
        <v>0</v>
      </c>
      <c r="N17" s="1">
        <f t="shared" si="0"/>
        <v>36515</v>
      </c>
    </row>
    <row r="18" spans="1:14" x14ac:dyDescent="0.35">
      <c r="A18">
        <v>7</v>
      </c>
      <c r="B18" s="2">
        <v>38128</v>
      </c>
      <c r="C18">
        <v>5</v>
      </c>
      <c r="D18">
        <v>5</v>
      </c>
      <c r="F18">
        <v>17</v>
      </c>
      <c r="G18" cm="1">
        <f t="array" ref="G18">_xlfn.IFNA(INDEX($D$2:$D$4001,_xlfn.XMATCH(G$1&amp;"-"&amp;$F18,YEAR($B$2:$B$4001)&amp;"-"&amp;$A$2:$A$4001,0,-1)),9)</f>
        <v>3</v>
      </c>
      <c r="H18" cm="1">
        <f t="array" ref="H18">IF(OR(AND(G18=9,H$1&gt;YEAR($N18))),9,_xlfn.IFNA(INDEX($D$2:$D$4001,_xlfn.XMATCH(H$1&amp;"-"&amp;$F18,YEAR($B$2:$B$4001)&amp;"-"&amp;$A$2:$A$4001,0,-1)),G18))</f>
        <v>3</v>
      </c>
      <c r="I18" cm="1">
        <f t="array" ref="I18">IF(OR(AND(H18=9,I$1&gt;YEAR($N18))),9,_xlfn.IFNA(INDEX($D$2:$D$4001,_xlfn.XMATCH(I$1&amp;"-"&amp;$F18,YEAR($B$2:$B$4001)&amp;"-"&amp;$A$2:$A$4001,0,-1)),H18))</f>
        <v>3</v>
      </c>
      <c r="J18" cm="1">
        <f t="array" ref="J18">IF(OR(AND(I18=9,J$1&gt;YEAR($N18))),9,_xlfn.IFNA(INDEX($D$2:$D$4001,_xlfn.XMATCH(J$1&amp;"-"&amp;$F18,YEAR($B$2:$B$4001)&amp;"-"&amp;$A$2:$A$4001,0,-1)),I18))</f>
        <v>3</v>
      </c>
      <c r="K18" cm="1">
        <f t="array" ref="K18">IF(OR(AND(J18=9,K$1&gt;YEAR($N18))),9,_xlfn.IFNA(INDEX($D$2:$D$4001,_xlfn.XMATCH(K$1&amp;"-"&amp;$F18,YEAR($B$2:$B$4001)&amp;"-"&amp;$A$2:$A$4001,0,-1)),J18))</f>
        <v>3</v>
      </c>
      <c r="L18" cm="1">
        <f t="array" ref="L18">IF(OR(AND(K18=9,L$1&gt;YEAR($N18))),9,_xlfn.IFNA(INDEX($D$2:$D$4001,_xlfn.XMATCH(L$1&amp;"-"&amp;$F18,YEAR($B$2:$B$4001)&amp;"-"&amp;$A$2:$A$4001,0,-1)),K18))</f>
        <v>3</v>
      </c>
      <c r="M18" cm="1">
        <f t="array" ref="M18">IF(OR(AND(L18=9,M$1&gt;YEAR($N18))),9,_xlfn.IFNA(INDEX($D$2:$D$4001,_xlfn.XMATCH(M$1&amp;"-"&amp;$F18,YEAR($B$2:$B$4001)&amp;"-"&amp;$A$2:$A$4001,0,-1)),L18))</f>
        <v>3</v>
      </c>
      <c r="N18" s="1">
        <f t="shared" si="0"/>
        <v>36341</v>
      </c>
    </row>
    <row r="19" spans="1:14" x14ac:dyDescent="0.35">
      <c r="A19">
        <v>8</v>
      </c>
      <c r="B19" s="2">
        <v>37620</v>
      </c>
      <c r="C19">
        <v>3</v>
      </c>
      <c r="D19">
        <v>3</v>
      </c>
      <c r="F19">
        <v>18</v>
      </c>
      <c r="G19" cm="1">
        <f t="array" ref="G19">_xlfn.IFNA(INDEX($D$2:$D$4001,_xlfn.XMATCH(G$1&amp;"-"&amp;$F19,YEAR($B$2:$B$4001)&amp;"-"&amp;$A$2:$A$4001,0,-1)),9)</f>
        <v>6</v>
      </c>
      <c r="H19" cm="1">
        <f t="array" ref="H19">IF(OR(AND(G19=9,H$1&gt;YEAR($N19))),9,_xlfn.IFNA(INDEX($D$2:$D$4001,_xlfn.XMATCH(H$1&amp;"-"&amp;$F19,YEAR($B$2:$B$4001)&amp;"-"&amp;$A$2:$A$4001,0,-1)),G19))</f>
        <v>6</v>
      </c>
      <c r="I19" cm="1">
        <f t="array" ref="I19">IF(OR(AND(H19=9,I$1&gt;YEAR($N19))),9,_xlfn.IFNA(INDEX($D$2:$D$4001,_xlfn.XMATCH(I$1&amp;"-"&amp;$F19,YEAR($B$2:$B$4001)&amp;"-"&amp;$A$2:$A$4001,0,-1)),H19))</f>
        <v>6</v>
      </c>
      <c r="J19" cm="1">
        <f t="array" ref="J19">IF(OR(AND(I19=9,J$1&gt;YEAR($N19))),9,_xlfn.IFNA(INDEX($D$2:$D$4001,_xlfn.XMATCH(J$1&amp;"-"&amp;$F19,YEAR($B$2:$B$4001)&amp;"-"&amp;$A$2:$A$4001,0,-1)),I19))</f>
        <v>6</v>
      </c>
      <c r="K19" cm="1">
        <f t="array" ref="K19">IF(OR(AND(J19=9,K$1&gt;YEAR($N19))),9,_xlfn.IFNA(INDEX($D$2:$D$4001,_xlfn.XMATCH(K$1&amp;"-"&amp;$F19,YEAR($B$2:$B$4001)&amp;"-"&amp;$A$2:$A$4001,0,-1)),J19))</f>
        <v>6</v>
      </c>
      <c r="L19" cm="1">
        <f t="array" ref="L19">IF(OR(AND(K19=9,L$1&gt;YEAR($N19))),9,_xlfn.IFNA(INDEX($D$2:$D$4001,_xlfn.XMATCH(L$1&amp;"-"&amp;$F19,YEAR($B$2:$B$4001)&amp;"-"&amp;$A$2:$A$4001,0,-1)),K19))</f>
        <v>6</v>
      </c>
      <c r="M19" cm="1">
        <f t="array" ref="M19">IF(OR(AND(L19=9,M$1&gt;YEAR($N19))),9,_xlfn.IFNA(INDEX($D$2:$D$4001,_xlfn.XMATCH(M$1&amp;"-"&amp;$F19,YEAR($B$2:$B$4001)&amp;"-"&amp;$A$2:$A$4001,0,-1)),L19))</f>
        <v>6</v>
      </c>
      <c r="N19" s="1">
        <f t="shared" si="0"/>
        <v>36332</v>
      </c>
    </row>
    <row r="20" spans="1:14" x14ac:dyDescent="0.35">
      <c r="A20">
        <v>9</v>
      </c>
      <c r="B20" s="2">
        <v>36667</v>
      </c>
      <c r="C20">
        <v>2</v>
      </c>
      <c r="D20">
        <v>2</v>
      </c>
      <c r="F20">
        <v>19</v>
      </c>
      <c r="G20" cm="1">
        <f t="array" ref="G20">_xlfn.IFNA(INDEX($D$2:$D$4001,_xlfn.XMATCH(G$1&amp;"-"&amp;$F20,YEAR($B$2:$B$4001)&amp;"-"&amp;$A$2:$A$4001,0,-1)),9)</f>
        <v>0</v>
      </c>
      <c r="H20" cm="1">
        <f t="array" ref="H20">IF(OR(AND(G20=9,H$1&gt;YEAR($N20))),9,_xlfn.IFNA(INDEX($D$2:$D$4001,_xlfn.XMATCH(H$1&amp;"-"&amp;$F20,YEAR($B$2:$B$4001)&amp;"-"&amp;$A$2:$A$4001,0,-1)),G20))</f>
        <v>0</v>
      </c>
      <c r="I20" cm="1">
        <f t="array" ref="I20">IF(OR(AND(H20=9,I$1&gt;YEAR($N20))),9,_xlfn.IFNA(INDEX($D$2:$D$4001,_xlfn.XMATCH(I$1&amp;"-"&amp;$F20,YEAR($B$2:$B$4001)&amp;"-"&amp;$A$2:$A$4001,0,-1)),H20))</f>
        <v>0</v>
      </c>
      <c r="J20" cm="1">
        <f t="array" ref="J20">IF(OR(AND(I20=9,J$1&gt;YEAR($N20))),9,_xlfn.IFNA(INDEX($D$2:$D$4001,_xlfn.XMATCH(J$1&amp;"-"&amp;$F20,YEAR($B$2:$B$4001)&amp;"-"&amp;$A$2:$A$4001,0,-1)),I20))</f>
        <v>0</v>
      </c>
      <c r="K20" cm="1">
        <f t="array" ref="K20">IF(OR(AND(J20=9,K$1&gt;YEAR($N20))),9,_xlfn.IFNA(INDEX($D$2:$D$4001,_xlfn.XMATCH(K$1&amp;"-"&amp;$F20,YEAR($B$2:$B$4001)&amp;"-"&amp;$A$2:$A$4001,0,-1)),J20))</f>
        <v>0</v>
      </c>
      <c r="L20" cm="1">
        <f t="array" ref="L20">IF(OR(AND(K20=9,L$1&gt;YEAR($N20))),9,_xlfn.IFNA(INDEX($D$2:$D$4001,_xlfn.XMATCH(L$1&amp;"-"&amp;$F20,YEAR($B$2:$B$4001)&amp;"-"&amp;$A$2:$A$4001,0,-1)),K20))</f>
        <v>0</v>
      </c>
      <c r="M20" cm="1">
        <f t="array" ref="M20">IF(OR(AND(L20=9,M$1&gt;YEAR($N20))),9,_xlfn.IFNA(INDEX($D$2:$D$4001,_xlfn.XMATCH(M$1&amp;"-"&amp;$F20,YEAR($B$2:$B$4001)&amp;"-"&amp;$A$2:$A$4001,0,-1)),L20))</f>
        <v>0</v>
      </c>
      <c r="N20" s="1">
        <f t="shared" si="0"/>
        <v>36524</v>
      </c>
    </row>
    <row r="21" spans="1:14" x14ac:dyDescent="0.35">
      <c r="A21">
        <v>9</v>
      </c>
      <c r="B21" s="2">
        <v>36890</v>
      </c>
      <c r="C21">
        <v>0</v>
      </c>
      <c r="D21">
        <v>0</v>
      </c>
      <c r="F21">
        <v>20</v>
      </c>
      <c r="G21" cm="1">
        <f t="array" ref="G21">_xlfn.IFNA(INDEX($D$2:$D$4001,_xlfn.XMATCH(G$1&amp;"-"&amp;$F21,YEAR($B$2:$B$4001)&amp;"-"&amp;$A$2:$A$4001,0,-1)),9)</f>
        <v>9</v>
      </c>
      <c r="H21" cm="1">
        <f t="array" ref="H21">IF(OR(AND(G21=9,H$1&gt;YEAR($N21))),9,_xlfn.IFNA(INDEX($D$2:$D$4001,_xlfn.XMATCH(H$1&amp;"-"&amp;$F21,YEAR($B$2:$B$4001)&amp;"-"&amp;$A$2:$A$4001,0,-1)),G21))</f>
        <v>5</v>
      </c>
      <c r="I21" cm="1">
        <f t="array" ref="I21">IF(OR(AND(H21=9,I$1&gt;YEAR($N21))),9,_xlfn.IFNA(INDEX($D$2:$D$4001,_xlfn.XMATCH(I$1&amp;"-"&amp;$F21,YEAR($B$2:$B$4001)&amp;"-"&amp;$A$2:$A$4001,0,-1)),H21))</f>
        <v>6</v>
      </c>
      <c r="J21" cm="1">
        <f t="array" ref="J21">IF(OR(AND(I21=9,J$1&gt;YEAR($N21))),9,_xlfn.IFNA(INDEX($D$2:$D$4001,_xlfn.XMATCH(J$1&amp;"-"&amp;$F21,YEAR($B$2:$B$4001)&amp;"-"&amp;$A$2:$A$4001,0,-1)),I21))</f>
        <v>6</v>
      </c>
      <c r="K21" cm="1">
        <f t="array" ref="K21">IF(OR(AND(J21=9,K$1&gt;YEAR($N21))),9,_xlfn.IFNA(INDEX($D$2:$D$4001,_xlfn.XMATCH(K$1&amp;"-"&amp;$F21,YEAR($B$2:$B$4001)&amp;"-"&amp;$A$2:$A$4001,0,-1)),J21))</f>
        <v>6</v>
      </c>
      <c r="L21" cm="1">
        <f t="array" ref="L21">IF(OR(AND(K21=9,L$1&gt;YEAR($N21))),9,_xlfn.IFNA(INDEX($D$2:$D$4001,_xlfn.XMATCH(L$1&amp;"-"&amp;$F21,YEAR($B$2:$B$4001)&amp;"-"&amp;$A$2:$A$4001,0,-1)),K21))</f>
        <v>6</v>
      </c>
      <c r="M21" cm="1">
        <f t="array" ref="M21">IF(OR(AND(L21=9,M$1&gt;YEAR($N21))),9,_xlfn.IFNA(INDEX($D$2:$D$4001,_xlfn.XMATCH(M$1&amp;"-"&amp;$F21,YEAR($B$2:$B$4001)&amp;"-"&amp;$A$2:$A$4001,0,-1)),L21))</f>
        <v>6</v>
      </c>
      <c r="N21" s="1">
        <f t="shared" si="0"/>
        <v>36890</v>
      </c>
    </row>
    <row r="22" spans="1:14" x14ac:dyDescent="0.35">
      <c r="A22">
        <v>10</v>
      </c>
      <c r="B22" s="2">
        <v>38351</v>
      </c>
      <c r="C22">
        <v>5</v>
      </c>
      <c r="D22">
        <v>5</v>
      </c>
      <c r="F22">
        <v>21</v>
      </c>
      <c r="G22" cm="1">
        <f t="array" ref="G22">_xlfn.IFNA(INDEX($D$2:$D$4001,_xlfn.XMATCH(G$1&amp;"-"&amp;$F22,YEAR($B$2:$B$4001)&amp;"-"&amp;$A$2:$A$4001,0,-1)),9)</f>
        <v>9</v>
      </c>
      <c r="H22" cm="1">
        <f t="array" ref="H22">IF(OR(AND(G22=9,H$1&gt;YEAR($N22))),9,_xlfn.IFNA(INDEX($D$2:$D$4001,_xlfn.XMATCH(H$1&amp;"-"&amp;$F22,YEAR($B$2:$B$4001)&amp;"-"&amp;$A$2:$A$4001,0,-1)),G22))</f>
        <v>2</v>
      </c>
      <c r="I22" cm="1">
        <f t="array" ref="I22">IF(OR(AND(H22=9,I$1&gt;YEAR($N22))),9,_xlfn.IFNA(INDEX($D$2:$D$4001,_xlfn.XMATCH(I$1&amp;"-"&amp;$F22,YEAR($B$2:$B$4001)&amp;"-"&amp;$A$2:$A$4001,0,-1)),H22))</f>
        <v>2</v>
      </c>
      <c r="J22" cm="1">
        <f t="array" ref="J22">IF(OR(AND(I22=9,J$1&gt;YEAR($N22))),9,_xlfn.IFNA(INDEX($D$2:$D$4001,_xlfn.XMATCH(J$1&amp;"-"&amp;$F22,YEAR($B$2:$B$4001)&amp;"-"&amp;$A$2:$A$4001,0,-1)),I22))</f>
        <v>2</v>
      </c>
      <c r="K22" cm="1">
        <f t="array" ref="K22">IF(OR(AND(J22=9,K$1&gt;YEAR($N22))),9,_xlfn.IFNA(INDEX($D$2:$D$4001,_xlfn.XMATCH(K$1&amp;"-"&amp;$F22,YEAR($B$2:$B$4001)&amp;"-"&amp;$A$2:$A$4001,0,-1)),J22))</f>
        <v>2</v>
      </c>
      <c r="L22" cm="1">
        <f t="array" ref="L22">IF(OR(AND(K22=9,L$1&gt;YEAR($N22))),9,_xlfn.IFNA(INDEX($D$2:$D$4001,_xlfn.XMATCH(L$1&amp;"-"&amp;$F22,YEAR($B$2:$B$4001)&amp;"-"&amp;$A$2:$A$4001,0,-1)),K22))</f>
        <v>2</v>
      </c>
      <c r="M22" cm="1">
        <f t="array" ref="M22">IF(OR(AND(L22=9,M$1&gt;YEAR($N22))),9,_xlfn.IFNA(INDEX($D$2:$D$4001,_xlfn.XMATCH(M$1&amp;"-"&amp;$F22,YEAR($B$2:$B$4001)&amp;"-"&amp;$A$2:$A$4001,0,-1)),L22))</f>
        <v>2</v>
      </c>
      <c r="N22" s="1">
        <f t="shared" si="0"/>
        <v>36698</v>
      </c>
    </row>
    <row r="23" spans="1:14" x14ac:dyDescent="0.35">
      <c r="A23">
        <v>11</v>
      </c>
      <c r="B23" s="2">
        <v>36524</v>
      </c>
      <c r="C23">
        <v>6</v>
      </c>
      <c r="D23">
        <v>6</v>
      </c>
      <c r="F23">
        <v>22</v>
      </c>
      <c r="G23" cm="1">
        <f t="array" ref="G23">_xlfn.IFNA(INDEX($D$2:$D$4001,_xlfn.XMATCH(G$1&amp;"-"&amp;$F23,YEAR($B$2:$B$4001)&amp;"-"&amp;$A$2:$A$4001,0,-1)),9)</f>
        <v>9</v>
      </c>
      <c r="H23" cm="1">
        <f t="array" ref="H23">IF(OR(AND(G23=9,H$1&gt;YEAR($N23))),9,_xlfn.IFNA(INDEX($D$2:$D$4001,_xlfn.XMATCH(H$1&amp;"-"&amp;$F23,YEAR($B$2:$B$4001)&amp;"-"&amp;$A$2:$A$4001,0,-1)),G23))</f>
        <v>9</v>
      </c>
      <c r="I23" cm="1">
        <f t="array" ref="I23">IF(OR(AND(H23=9,I$1&gt;YEAR($N23))),9,_xlfn.IFNA(INDEX($D$2:$D$4001,_xlfn.XMATCH(I$1&amp;"-"&amp;$F23,YEAR($B$2:$B$4001)&amp;"-"&amp;$A$2:$A$4001,0,-1)),H23))</f>
        <v>9</v>
      </c>
      <c r="J23" cm="1">
        <f t="array" ref="J23">IF(OR(AND(I23=9,J$1&gt;YEAR($N23))),9,_xlfn.IFNA(INDEX($D$2:$D$4001,_xlfn.XMATCH(J$1&amp;"-"&amp;$F23,YEAR($B$2:$B$4001)&amp;"-"&amp;$A$2:$A$4001,0,-1)),I23))</f>
        <v>9</v>
      </c>
      <c r="K23" cm="1">
        <f t="array" ref="K23">IF(OR(AND(J23=9,K$1&gt;YEAR($N23))),9,_xlfn.IFNA(INDEX($D$2:$D$4001,_xlfn.XMATCH(K$1&amp;"-"&amp;$F23,YEAR($B$2:$B$4001)&amp;"-"&amp;$A$2:$A$4001,0,-1)),J23))</f>
        <v>9</v>
      </c>
      <c r="L23" cm="1">
        <f t="array" ref="L23">IF(OR(AND(K23=9,L$1&gt;YEAR($N23))),9,_xlfn.IFNA(INDEX($D$2:$D$4001,_xlfn.XMATCH(L$1&amp;"-"&amp;$F23,YEAR($B$2:$B$4001)&amp;"-"&amp;$A$2:$A$4001,0,-1)),K23))</f>
        <v>8</v>
      </c>
      <c r="M23" cm="1">
        <f t="array" ref="M23">IF(OR(AND(L23=9,M$1&gt;YEAR($N23))),9,_xlfn.IFNA(INDEX($D$2:$D$4001,_xlfn.XMATCH(M$1&amp;"-"&amp;$F23,YEAR($B$2:$B$4001)&amp;"-"&amp;$A$2:$A$4001,0,-1)),L23))</f>
        <v>8</v>
      </c>
      <c r="N23" s="1">
        <f t="shared" si="0"/>
        <v>38351</v>
      </c>
    </row>
    <row r="24" spans="1:14" x14ac:dyDescent="0.35">
      <c r="A24">
        <v>11</v>
      </c>
      <c r="B24" s="2">
        <v>37255</v>
      </c>
      <c r="C24">
        <v>7</v>
      </c>
      <c r="D24">
        <v>7</v>
      </c>
      <c r="F24">
        <v>23</v>
      </c>
      <c r="G24" cm="1">
        <f t="array" ref="G24">_xlfn.IFNA(INDEX($D$2:$D$4001,_xlfn.XMATCH(G$1&amp;"-"&amp;$F24,YEAR($B$2:$B$4001)&amp;"-"&amp;$A$2:$A$4001,0,-1)),9)</f>
        <v>5</v>
      </c>
      <c r="H24" cm="1">
        <f t="array" ref="H24">IF(OR(AND(G24=9,H$1&gt;YEAR($N24))),9,_xlfn.IFNA(INDEX($D$2:$D$4001,_xlfn.XMATCH(H$1&amp;"-"&amp;$F24,YEAR($B$2:$B$4001)&amp;"-"&amp;$A$2:$A$4001,0,-1)),G24))</f>
        <v>5</v>
      </c>
      <c r="I24" cm="1">
        <f t="array" ref="I24">IF(OR(AND(H24=9,I$1&gt;YEAR($N24))),9,_xlfn.IFNA(INDEX($D$2:$D$4001,_xlfn.XMATCH(I$1&amp;"-"&amp;$F24,YEAR($B$2:$B$4001)&amp;"-"&amp;$A$2:$A$4001,0,-1)),H24))</f>
        <v>5</v>
      </c>
      <c r="J24" cm="1">
        <f t="array" ref="J24">IF(OR(AND(I24=9,J$1&gt;YEAR($N24))),9,_xlfn.IFNA(INDEX($D$2:$D$4001,_xlfn.XMATCH(J$1&amp;"-"&amp;$F24,YEAR($B$2:$B$4001)&amp;"-"&amp;$A$2:$A$4001,0,-1)),I24))</f>
        <v>5</v>
      </c>
      <c r="K24" cm="1">
        <f t="array" ref="K24">IF(OR(AND(J24=9,K$1&gt;YEAR($N24))),9,_xlfn.IFNA(INDEX($D$2:$D$4001,_xlfn.XMATCH(K$1&amp;"-"&amp;$F24,YEAR($B$2:$B$4001)&amp;"-"&amp;$A$2:$A$4001,0,-1)),J24))</f>
        <v>5</v>
      </c>
      <c r="L24" cm="1">
        <f t="array" ref="L24">IF(OR(AND(K24=9,L$1&gt;YEAR($N24))),9,_xlfn.IFNA(INDEX($D$2:$D$4001,_xlfn.XMATCH(L$1&amp;"-"&amp;$F24,YEAR($B$2:$B$4001)&amp;"-"&amp;$A$2:$A$4001,0,-1)),K24))</f>
        <v>5</v>
      </c>
      <c r="M24" cm="1">
        <f t="array" ref="M24">IF(OR(AND(L24=9,M$1&gt;YEAR($N24))),9,_xlfn.IFNA(INDEX($D$2:$D$4001,_xlfn.XMATCH(M$1&amp;"-"&amp;$F24,YEAR($B$2:$B$4001)&amp;"-"&amp;$A$2:$A$4001,0,-1)),L24))</f>
        <v>5</v>
      </c>
      <c r="N24" s="1">
        <f t="shared" si="0"/>
        <v>36301</v>
      </c>
    </row>
    <row r="25" spans="1:14" x14ac:dyDescent="0.35">
      <c r="A25">
        <v>11</v>
      </c>
      <c r="B25" s="2">
        <v>37397</v>
      </c>
      <c r="C25">
        <v>8</v>
      </c>
      <c r="D25">
        <v>8</v>
      </c>
      <c r="F25">
        <v>24</v>
      </c>
      <c r="G25" cm="1">
        <f t="array" ref="G25">_xlfn.IFNA(INDEX($D$2:$D$4001,_xlfn.XMATCH(G$1&amp;"-"&amp;$F25,YEAR($B$2:$B$4001)&amp;"-"&amp;$A$2:$A$4001,0,-1)),9)</f>
        <v>9</v>
      </c>
      <c r="H25" cm="1">
        <f t="array" ref="H25">IF(OR(AND(G25=9,H$1&gt;YEAR($N25))),9,_xlfn.IFNA(INDEX($D$2:$D$4001,_xlfn.XMATCH(H$1&amp;"-"&amp;$F25,YEAR($B$2:$B$4001)&amp;"-"&amp;$A$2:$A$4001,0,-1)),G25))</f>
        <v>0</v>
      </c>
      <c r="I25" cm="1">
        <f t="array" ref="I25">IF(OR(AND(H25=9,I$1&gt;YEAR($N25))),9,_xlfn.IFNA(INDEX($D$2:$D$4001,_xlfn.XMATCH(I$1&amp;"-"&amp;$F25,YEAR($B$2:$B$4001)&amp;"-"&amp;$A$2:$A$4001,0,-1)),H25))</f>
        <v>0</v>
      </c>
      <c r="J25" cm="1">
        <f t="array" ref="J25">IF(OR(AND(I25=9,J$1&gt;YEAR($N25))),9,_xlfn.IFNA(INDEX($D$2:$D$4001,_xlfn.XMATCH(J$1&amp;"-"&amp;$F25,YEAR($B$2:$B$4001)&amp;"-"&amp;$A$2:$A$4001,0,-1)),I25))</f>
        <v>0</v>
      </c>
      <c r="K25" cm="1">
        <f t="array" ref="K25">IF(OR(AND(J25=9,K$1&gt;YEAR($N25))),9,_xlfn.IFNA(INDEX($D$2:$D$4001,_xlfn.XMATCH(K$1&amp;"-"&amp;$F25,YEAR($B$2:$B$4001)&amp;"-"&amp;$A$2:$A$4001,0,-1)),J25))</f>
        <v>0</v>
      </c>
      <c r="L25" cm="1">
        <f t="array" ref="L25">IF(OR(AND(K25=9,L$1&gt;YEAR($N25))),9,_xlfn.IFNA(INDEX($D$2:$D$4001,_xlfn.XMATCH(L$1&amp;"-"&amp;$F25,YEAR($B$2:$B$4001)&amp;"-"&amp;$A$2:$A$4001,0,-1)),K25))</f>
        <v>0</v>
      </c>
      <c r="M25" cm="1">
        <f t="array" ref="M25">IF(OR(AND(L25=9,M$1&gt;YEAR($N25))),9,_xlfn.IFNA(INDEX($D$2:$D$4001,_xlfn.XMATCH(M$1&amp;"-"&amp;$F25,YEAR($B$2:$B$4001)&amp;"-"&amp;$A$2:$A$4001,0,-1)),L25))</f>
        <v>0</v>
      </c>
      <c r="N25" s="1">
        <f t="shared" si="0"/>
        <v>36707</v>
      </c>
    </row>
    <row r="26" spans="1:14" x14ac:dyDescent="0.35">
      <c r="A26">
        <v>11</v>
      </c>
      <c r="B26" s="2">
        <v>37529</v>
      </c>
      <c r="C26">
        <v>0</v>
      </c>
      <c r="D26">
        <v>8</v>
      </c>
      <c r="F26">
        <v>25</v>
      </c>
      <c r="G26" cm="1">
        <f t="array" ref="G26">_xlfn.IFNA(INDEX($D$2:$D$4001,_xlfn.XMATCH(G$1&amp;"-"&amp;$F26,YEAR($B$2:$B$4001)&amp;"-"&amp;$A$2:$A$4001,0,-1)),9)</f>
        <v>9</v>
      </c>
      <c r="H26" cm="1">
        <f t="array" ref="H26">IF(OR(AND(G26=9,H$1&gt;YEAR($N26))),9,_xlfn.IFNA(INDEX($D$2:$D$4001,_xlfn.XMATCH(H$1&amp;"-"&amp;$F26,YEAR($B$2:$B$4001)&amp;"-"&amp;$A$2:$A$4001,0,-1)),G26))</f>
        <v>3</v>
      </c>
      <c r="I26" cm="1">
        <f t="array" ref="I26">IF(OR(AND(H26=9,I$1&gt;YEAR($N26))),9,_xlfn.IFNA(INDEX($D$2:$D$4001,_xlfn.XMATCH(I$1&amp;"-"&amp;$F26,YEAR($B$2:$B$4001)&amp;"-"&amp;$A$2:$A$4001,0,-1)),H26))</f>
        <v>3</v>
      </c>
      <c r="J26" cm="1">
        <f t="array" ref="J26">IF(OR(AND(I26=9,J$1&gt;YEAR($N26))),9,_xlfn.IFNA(INDEX($D$2:$D$4001,_xlfn.XMATCH(J$1&amp;"-"&amp;$F26,YEAR($B$2:$B$4001)&amp;"-"&amp;$A$2:$A$4001,0,-1)),I26))</f>
        <v>3</v>
      </c>
      <c r="K26" cm="1">
        <f t="array" ref="K26">IF(OR(AND(J26=9,K$1&gt;YEAR($N26))),9,_xlfn.IFNA(INDEX($D$2:$D$4001,_xlfn.XMATCH(K$1&amp;"-"&amp;$F26,YEAR($B$2:$B$4001)&amp;"-"&amp;$A$2:$A$4001,0,-1)),J26))</f>
        <v>3</v>
      </c>
      <c r="L26" cm="1">
        <f t="array" ref="L26">IF(OR(AND(K26=9,L$1&gt;YEAR($N26))),9,_xlfn.IFNA(INDEX($D$2:$D$4001,_xlfn.XMATCH(L$1&amp;"-"&amp;$F26,YEAR($B$2:$B$4001)&amp;"-"&amp;$A$2:$A$4001,0,-1)),K26))</f>
        <v>3</v>
      </c>
      <c r="M26" cm="1">
        <f t="array" ref="M26">IF(OR(AND(L26=9,M$1&gt;YEAR($N26))),9,_xlfn.IFNA(INDEX($D$2:$D$4001,_xlfn.XMATCH(M$1&amp;"-"&amp;$F26,YEAR($B$2:$B$4001)&amp;"-"&amp;$A$2:$A$4001,0,-1)),L26))</f>
        <v>3</v>
      </c>
      <c r="N26" s="1">
        <f t="shared" si="0"/>
        <v>36676</v>
      </c>
    </row>
    <row r="27" spans="1:14" x14ac:dyDescent="0.35">
      <c r="A27">
        <v>12</v>
      </c>
      <c r="B27" s="2">
        <v>36890</v>
      </c>
      <c r="C27">
        <v>0</v>
      </c>
      <c r="D27">
        <v>0</v>
      </c>
      <c r="F27">
        <v>26</v>
      </c>
      <c r="G27" cm="1">
        <f t="array" ref="G27">_xlfn.IFNA(INDEX($D$2:$D$4001,_xlfn.XMATCH(G$1&amp;"-"&amp;$F27,YEAR($B$2:$B$4001)&amp;"-"&amp;$A$2:$A$4001,0,-1)),9)</f>
        <v>4</v>
      </c>
      <c r="H27" cm="1">
        <f t="array" ref="H27">IF(OR(AND(G27=9,H$1&gt;YEAR($N27))),9,_xlfn.IFNA(INDEX($D$2:$D$4001,_xlfn.XMATCH(H$1&amp;"-"&amp;$F27,YEAR($B$2:$B$4001)&amp;"-"&amp;$A$2:$A$4001,0,-1)),G27))</f>
        <v>4</v>
      </c>
      <c r="I27" cm="1">
        <f t="array" ref="I27">IF(OR(AND(H27=9,I$1&gt;YEAR($N27))),9,_xlfn.IFNA(INDEX($D$2:$D$4001,_xlfn.XMATCH(I$1&amp;"-"&amp;$F27,YEAR($B$2:$B$4001)&amp;"-"&amp;$A$2:$A$4001,0,-1)),H27))</f>
        <v>4</v>
      </c>
      <c r="J27" cm="1">
        <f t="array" ref="J27">IF(OR(AND(I27=9,J$1&gt;YEAR($N27))),9,_xlfn.IFNA(INDEX($D$2:$D$4001,_xlfn.XMATCH(J$1&amp;"-"&amp;$F27,YEAR($B$2:$B$4001)&amp;"-"&amp;$A$2:$A$4001,0,-1)),I27))</f>
        <v>4</v>
      </c>
      <c r="K27" cm="1">
        <f t="array" ref="K27">IF(OR(AND(J27=9,K$1&gt;YEAR($N27))),9,_xlfn.IFNA(INDEX($D$2:$D$4001,_xlfn.XMATCH(K$1&amp;"-"&amp;$F27,YEAR($B$2:$B$4001)&amp;"-"&amp;$A$2:$A$4001,0,-1)),J27))</f>
        <v>4</v>
      </c>
      <c r="L27" cm="1">
        <f t="array" ref="L27">IF(OR(AND(K27=9,L$1&gt;YEAR($N27))),9,_xlfn.IFNA(INDEX($D$2:$D$4001,_xlfn.XMATCH(L$1&amp;"-"&amp;$F27,YEAR($B$2:$B$4001)&amp;"-"&amp;$A$2:$A$4001,0,-1)),K27))</f>
        <v>4</v>
      </c>
      <c r="M27" cm="1">
        <f t="array" ref="M27">IF(OR(AND(L27=9,M$1&gt;YEAR($N27))),9,_xlfn.IFNA(INDEX($D$2:$D$4001,_xlfn.XMATCH(M$1&amp;"-"&amp;$F27,YEAR($B$2:$B$4001)&amp;"-"&amp;$A$2:$A$4001,0,-1)),L27))</f>
        <v>4</v>
      </c>
      <c r="N27" s="1">
        <f t="shared" si="0"/>
        <v>36524</v>
      </c>
    </row>
    <row r="28" spans="1:14" x14ac:dyDescent="0.35">
      <c r="A28">
        <v>13</v>
      </c>
      <c r="B28" s="2">
        <v>36524</v>
      </c>
      <c r="C28">
        <v>4</v>
      </c>
      <c r="D28">
        <v>4</v>
      </c>
      <c r="F28">
        <v>27</v>
      </c>
      <c r="G28" cm="1">
        <f t="array" ref="G28">_xlfn.IFNA(INDEX($D$2:$D$4001,_xlfn.XMATCH(G$1&amp;"-"&amp;$F28,YEAR($B$2:$B$4001)&amp;"-"&amp;$A$2:$A$4001,0,-1)),9)</f>
        <v>9</v>
      </c>
      <c r="H28" cm="1">
        <f t="array" ref="H28">IF(OR(AND(G28=9,H$1&gt;YEAR($N28))),9,_xlfn.IFNA(INDEX($D$2:$D$4001,_xlfn.XMATCH(H$1&amp;"-"&amp;$F28,YEAR($B$2:$B$4001)&amp;"-"&amp;$A$2:$A$4001,0,-1)),G28))</f>
        <v>9</v>
      </c>
      <c r="I28" cm="1">
        <f t="array" ref="I28">IF(OR(AND(H28=9,I$1&gt;YEAR($N28))),9,_xlfn.IFNA(INDEX($D$2:$D$4001,_xlfn.XMATCH(I$1&amp;"-"&amp;$F28,YEAR($B$2:$B$4001)&amp;"-"&amp;$A$2:$A$4001,0,-1)),H28))</f>
        <v>9</v>
      </c>
      <c r="J28" cm="1">
        <f t="array" ref="J28">IF(OR(AND(I28=9,J$1&gt;YEAR($N28))),9,_xlfn.IFNA(INDEX($D$2:$D$4001,_xlfn.XMATCH(J$1&amp;"-"&amp;$F28,YEAR($B$2:$B$4001)&amp;"-"&amp;$A$2:$A$4001,0,-1)),I28))</f>
        <v>9</v>
      </c>
      <c r="K28" cm="1">
        <f t="array" ref="K28">IF(OR(AND(J28=9,K$1&gt;YEAR($N28))),9,_xlfn.IFNA(INDEX($D$2:$D$4001,_xlfn.XMATCH(K$1&amp;"-"&amp;$F28,YEAR($B$2:$B$4001)&amp;"-"&amp;$A$2:$A$4001,0,-1)),J28))</f>
        <v>9</v>
      </c>
      <c r="L28" cm="1">
        <f t="array" ref="L28">IF(OR(AND(K28=9,L$1&gt;YEAR($N28))),9,_xlfn.IFNA(INDEX($D$2:$D$4001,_xlfn.XMATCH(L$1&amp;"-"&amp;$F28,YEAR($B$2:$B$4001)&amp;"-"&amp;$A$2:$A$4001,0,-1)),K28))</f>
        <v>2</v>
      </c>
      <c r="M28" cm="1">
        <f t="array" ref="M28">IF(OR(AND(L28=9,M$1&gt;YEAR($N28))),9,_xlfn.IFNA(INDEX($D$2:$D$4001,_xlfn.XMATCH(M$1&amp;"-"&amp;$F28,YEAR($B$2:$B$4001)&amp;"-"&amp;$A$2:$A$4001,0,-1)),L28))</f>
        <v>2</v>
      </c>
      <c r="N28" s="1">
        <f t="shared" si="0"/>
        <v>38137</v>
      </c>
    </row>
    <row r="29" spans="1:14" x14ac:dyDescent="0.35">
      <c r="A29">
        <v>13</v>
      </c>
      <c r="B29" s="2">
        <v>37771</v>
      </c>
      <c r="C29">
        <v>5</v>
      </c>
      <c r="D29">
        <v>5</v>
      </c>
      <c r="F29">
        <v>28</v>
      </c>
      <c r="G29" cm="1">
        <f t="array" ref="G29">_xlfn.IFNA(INDEX($D$2:$D$4001,_xlfn.XMATCH(G$1&amp;"-"&amp;$F29,YEAR($B$2:$B$4001)&amp;"-"&amp;$A$2:$A$4001,0,-1)),9)</f>
        <v>9</v>
      </c>
      <c r="H29" cm="1">
        <f t="array" ref="H29">IF(OR(AND(G29=9,H$1&gt;YEAR($N29))),9,_xlfn.IFNA(INDEX($D$2:$D$4001,_xlfn.XMATCH(H$1&amp;"-"&amp;$F29,YEAR($B$2:$B$4001)&amp;"-"&amp;$A$2:$A$4001,0,-1)),G29))</f>
        <v>9</v>
      </c>
      <c r="I29" cm="1">
        <f t="array" ref="I29">IF(OR(AND(H29=9,I$1&gt;YEAR($N29))),9,_xlfn.IFNA(INDEX($D$2:$D$4001,_xlfn.XMATCH(I$1&amp;"-"&amp;$F29,YEAR($B$2:$B$4001)&amp;"-"&amp;$A$2:$A$4001,0,-1)),H29))</f>
        <v>9</v>
      </c>
      <c r="J29" cm="1">
        <f t="array" ref="J29">IF(OR(AND(I29=9,J$1&gt;YEAR($N29))),9,_xlfn.IFNA(INDEX($D$2:$D$4001,_xlfn.XMATCH(J$1&amp;"-"&amp;$F29,YEAR($B$2:$B$4001)&amp;"-"&amp;$A$2:$A$4001,0,-1)),I29))</f>
        <v>9</v>
      </c>
      <c r="K29" cm="1">
        <f t="array" ref="K29">IF(OR(AND(J29=9,K$1&gt;YEAR($N29))),9,_xlfn.IFNA(INDEX($D$2:$D$4001,_xlfn.XMATCH(K$1&amp;"-"&amp;$F29,YEAR($B$2:$B$4001)&amp;"-"&amp;$A$2:$A$4001,0,-1)),J29))</f>
        <v>9</v>
      </c>
      <c r="L29" cm="1">
        <f t="array" ref="L29">IF(OR(AND(K29=9,L$1&gt;YEAR($N29))),9,_xlfn.IFNA(INDEX($D$2:$D$4001,_xlfn.XMATCH(L$1&amp;"-"&amp;$F29,YEAR($B$2:$B$4001)&amp;"-"&amp;$A$2:$A$4001,0,-1)),K29))</f>
        <v>4</v>
      </c>
      <c r="M29" cm="1">
        <f t="array" ref="M29">IF(OR(AND(L29=9,M$1&gt;YEAR($N29))),9,_xlfn.IFNA(INDEX($D$2:$D$4001,_xlfn.XMATCH(M$1&amp;"-"&amp;$F29,YEAR($B$2:$B$4001)&amp;"-"&amp;$A$2:$A$4001,0,-1)),L29))</f>
        <v>4</v>
      </c>
      <c r="N29" s="1">
        <f t="shared" si="0"/>
        <v>38351</v>
      </c>
    </row>
    <row r="30" spans="1:14" x14ac:dyDescent="0.35">
      <c r="A30">
        <v>14</v>
      </c>
      <c r="B30" s="2">
        <v>36424</v>
      </c>
      <c r="C30">
        <v>5</v>
      </c>
      <c r="D30">
        <v>5</v>
      </c>
      <c r="F30">
        <v>29</v>
      </c>
      <c r="G30" cm="1">
        <f t="array" ref="G30">_xlfn.IFNA(INDEX($D$2:$D$4001,_xlfn.XMATCH(G$1&amp;"-"&amp;$F30,YEAR($B$2:$B$4001)&amp;"-"&amp;$A$2:$A$4001,0,-1)),9)</f>
        <v>9</v>
      </c>
      <c r="H30" cm="1">
        <f t="array" ref="H30">IF(OR(AND(G30=9,H$1&gt;YEAR($N30))),9,_xlfn.IFNA(INDEX($D$2:$D$4001,_xlfn.XMATCH(H$1&amp;"-"&amp;$F30,YEAR($B$2:$B$4001)&amp;"-"&amp;$A$2:$A$4001,0,-1)),G30))</f>
        <v>3</v>
      </c>
      <c r="I30" cm="1">
        <f t="array" ref="I30">IF(OR(AND(H30=9,I$1&gt;YEAR($N30))),9,_xlfn.IFNA(INDEX($D$2:$D$4001,_xlfn.XMATCH(I$1&amp;"-"&amp;$F30,YEAR($B$2:$B$4001)&amp;"-"&amp;$A$2:$A$4001,0,-1)),H30))</f>
        <v>3</v>
      </c>
      <c r="J30" cm="1">
        <f t="array" ref="J30">IF(OR(AND(I30=9,J$1&gt;YEAR($N30))),9,_xlfn.IFNA(INDEX($D$2:$D$4001,_xlfn.XMATCH(J$1&amp;"-"&amp;$F30,YEAR($B$2:$B$4001)&amp;"-"&amp;$A$2:$A$4001,0,-1)),I30))</f>
        <v>3</v>
      </c>
      <c r="K30" cm="1">
        <f t="array" ref="K30">IF(OR(AND(J30=9,K$1&gt;YEAR($N30))),9,_xlfn.IFNA(INDEX($D$2:$D$4001,_xlfn.XMATCH(K$1&amp;"-"&amp;$F30,YEAR($B$2:$B$4001)&amp;"-"&amp;$A$2:$A$4001,0,-1)),J30))</f>
        <v>3</v>
      </c>
      <c r="L30" cm="1">
        <f t="array" ref="L30">IF(OR(AND(K30=9,L$1&gt;YEAR($N30))),9,_xlfn.IFNA(INDEX($D$2:$D$4001,_xlfn.XMATCH(L$1&amp;"-"&amp;$F30,YEAR($B$2:$B$4001)&amp;"-"&amp;$A$2:$A$4001,0,-1)),K30))</f>
        <v>3</v>
      </c>
      <c r="M30" cm="1">
        <f t="array" ref="M30">IF(OR(AND(L30=9,M$1&gt;YEAR($N30))),9,_xlfn.IFNA(INDEX($D$2:$D$4001,_xlfn.XMATCH(M$1&amp;"-"&amp;$F30,YEAR($B$2:$B$4001)&amp;"-"&amp;$A$2:$A$4001,0,-1)),L30))</f>
        <v>3</v>
      </c>
      <c r="N30" s="1">
        <f t="shared" si="0"/>
        <v>36860</v>
      </c>
    </row>
    <row r="31" spans="1:14" x14ac:dyDescent="0.35">
      <c r="A31">
        <v>14</v>
      </c>
      <c r="B31" s="2">
        <v>36524</v>
      </c>
      <c r="C31">
        <v>5</v>
      </c>
      <c r="D31">
        <v>5</v>
      </c>
      <c r="F31">
        <v>30</v>
      </c>
      <c r="G31" cm="1">
        <f t="array" ref="G31">_xlfn.IFNA(INDEX($D$2:$D$4001,_xlfn.XMATCH(G$1&amp;"-"&amp;$F31,YEAR($B$2:$B$4001)&amp;"-"&amp;$A$2:$A$4001,0,-1)),9)</f>
        <v>9</v>
      </c>
      <c r="H31" cm="1">
        <f t="array" ref="H31">IF(OR(AND(G31=9,H$1&gt;YEAR($N31))),9,_xlfn.IFNA(INDEX($D$2:$D$4001,_xlfn.XMATCH(H$1&amp;"-"&amp;$F31,YEAR($B$2:$B$4001)&amp;"-"&amp;$A$2:$A$4001,0,-1)),G31))</f>
        <v>9</v>
      </c>
      <c r="I31" cm="1">
        <f t="array" ref="I31">IF(OR(AND(H31=9,I$1&gt;YEAR($N31))),9,_xlfn.IFNA(INDEX($D$2:$D$4001,_xlfn.XMATCH(I$1&amp;"-"&amp;$F31,YEAR($B$2:$B$4001)&amp;"-"&amp;$A$2:$A$4001,0,-1)),H31))</f>
        <v>1</v>
      </c>
      <c r="J31" cm="1">
        <f t="array" ref="J31">IF(OR(AND(I31=9,J$1&gt;YEAR($N31))),9,_xlfn.IFNA(INDEX($D$2:$D$4001,_xlfn.XMATCH(J$1&amp;"-"&amp;$F31,YEAR($B$2:$B$4001)&amp;"-"&amp;$A$2:$A$4001,0,-1)),I31))</f>
        <v>1</v>
      </c>
      <c r="K31" cm="1">
        <f t="array" ref="K31">IF(OR(AND(J31=9,K$1&gt;YEAR($N31))),9,_xlfn.IFNA(INDEX($D$2:$D$4001,_xlfn.XMATCH(K$1&amp;"-"&amp;$F31,YEAR($B$2:$B$4001)&amp;"-"&amp;$A$2:$A$4001,0,-1)),J31))</f>
        <v>5</v>
      </c>
      <c r="L31" cm="1">
        <f t="array" ref="L31">IF(OR(AND(K31=9,L$1&gt;YEAR($N31))),9,_xlfn.IFNA(INDEX($D$2:$D$4001,_xlfn.XMATCH(L$1&amp;"-"&amp;$F31,YEAR($B$2:$B$4001)&amp;"-"&amp;$A$2:$A$4001,0,-1)),K31))</f>
        <v>0</v>
      </c>
      <c r="M31" cm="1">
        <f t="array" ref="M31">IF(OR(AND(L31=9,M$1&gt;YEAR($N31))),9,_xlfn.IFNA(INDEX($D$2:$D$4001,_xlfn.XMATCH(M$1&amp;"-"&amp;$F31,YEAR($B$2:$B$4001)&amp;"-"&amp;$A$2:$A$4001,0,-1)),L31))</f>
        <v>0</v>
      </c>
      <c r="N31" s="1">
        <f t="shared" si="0"/>
        <v>37255</v>
      </c>
    </row>
    <row r="32" spans="1:14" x14ac:dyDescent="0.35">
      <c r="A32">
        <v>14</v>
      </c>
      <c r="B32" s="2">
        <v>37255</v>
      </c>
      <c r="C32">
        <v>5</v>
      </c>
      <c r="D32">
        <v>5</v>
      </c>
      <c r="F32">
        <v>31</v>
      </c>
      <c r="G32" cm="1">
        <f t="array" ref="G32">_xlfn.IFNA(INDEX($D$2:$D$4001,_xlfn.XMATCH(G$1&amp;"-"&amp;$F32,YEAR($B$2:$B$4001)&amp;"-"&amp;$A$2:$A$4001,0,-1)),9)</f>
        <v>9</v>
      </c>
      <c r="H32" cm="1">
        <f t="array" ref="H32">IF(OR(AND(G32=9,H$1&gt;YEAR($N32))),9,_xlfn.IFNA(INDEX($D$2:$D$4001,_xlfn.XMATCH(H$1&amp;"-"&amp;$F32,YEAR($B$2:$B$4001)&amp;"-"&amp;$A$2:$A$4001,0,-1)),G32))</f>
        <v>0</v>
      </c>
      <c r="I32" cm="1">
        <f t="array" ref="I32">IF(OR(AND(H32=9,I$1&gt;YEAR($N32))),9,_xlfn.IFNA(INDEX($D$2:$D$4001,_xlfn.XMATCH(I$1&amp;"-"&amp;$F32,YEAR($B$2:$B$4001)&amp;"-"&amp;$A$2:$A$4001,0,-1)),H32))</f>
        <v>0</v>
      </c>
      <c r="J32" cm="1">
        <f t="array" ref="J32">IF(OR(AND(I32=9,J$1&gt;YEAR($N32))),9,_xlfn.IFNA(INDEX($D$2:$D$4001,_xlfn.XMATCH(J$1&amp;"-"&amp;$F32,YEAR($B$2:$B$4001)&amp;"-"&amp;$A$2:$A$4001,0,-1)),I32))</f>
        <v>0</v>
      </c>
      <c r="K32" cm="1">
        <f t="array" ref="K32">IF(OR(AND(J32=9,K$1&gt;YEAR($N32))),9,_xlfn.IFNA(INDEX($D$2:$D$4001,_xlfn.XMATCH(K$1&amp;"-"&amp;$F32,YEAR($B$2:$B$4001)&amp;"-"&amp;$A$2:$A$4001,0,-1)),J32))</f>
        <v>0</v>
      </c>
      <c r="L32" cm="1">
        <f t="array" ref="L32">IF(OR(AND(K32=9,L$1&gt;YEAR($N32))),9,_xlfn.IFNA(INDEX($D$2:$D$4001,_xlfn.XMATCH(L$1&amp;"-"&amp;$F32,YEAR($B$2:$B$4001)&amp;"-"&amp;$A$2:$A$4001,0,-1)),K32))</f>
        <v>0</v>
      </c>
      <c r="M32" cm="1">
        <f t="array" ref="M32">IF(OR(AND(L32=9,M$1&gt;YEAR($N32))),9,_xlfn.IFNA(INDEX($D$2:$D$4001,_xlfn.XMATCH(M$1&amp;"-"&amp;$F32,YEAR($B$2:$B$4001)&amp;"-"&amp;$A$2:$A$4001,0,-1)),L32))</f>
        <v>0</v>
      </c>
      <c r="N32" s="1">
        <f t="shared" si="0"/>
        <v>36676</v>
      </c>
    </row>
    <row r="33" spans="1:14" x14ac:dyDescent="0.35">
      <c r="A33">
        <v>14</v>
      </c>
      <c r="B33" s="2">
        <v>37402</v>
      </c>
      <c r="C33">
        <v>6</v>
      </c>
      <c r="D33">
        <v>6</v>
      </c>
      <c r="F33">
        <v>32</v>
      </c>
      <c r="G33" cm="1">
        <f t="array" ref="G33">_xlfn.IFNA(INDEX($D$2:$D$4001,_xlfn.XMATCH(G$1&amp;"-"&amp;$F33,YEAR($B$2:$B$4001)&amp;"-"&amp;$A$2:$A$4001,0,-1)),9)</f>
        <v>9</v>
      </c>
      <c r="H33" cm="1">
        <f t="array" ref="H33">IF(OR(AND(G33=9,H$1&gt;YEAR($N33))),9,_xlfn.IFNA(INDEX($D$2:$D$4001,_xlfn.XMATCH(H$1&amp;"-"&amp;$F33,YEAR($B$2:$B$4001)&amp;"-"&amp;$A$2:$A$4001,0,-1)),G33))</f>
        <v>9</v>
      </c>
      <c r="I33" cm="1">
        <f t="array" ref="I33">IF(OR(AND(H33=9,I$1&gt;YEAR($N33))),9,_xlfn.IFNA(INDEX($D$2:$D$4001,_xlfn.XMATCH(I$1&amp;"-"&amp;$F33,YEAR($B$2:$B$4001)&amp;"-"&amp;$A$2:$A$4001,0,-1)),H33))</f>
        <v>9</v>
      </c>
      <c r="J33" cm="1">
        <f t="array" ref="J33">IF(OR(AND(I33=9,J$1&gt;YEAR($N33))),9,_xlfn.IFNA(INDEX($D$2:$D$4001,_xlfn.XMATCH(J$1&amp;"-"&amp;$F33,YEAR($B$2:$B$4001)&amp;"-"&amp;$A$2:$A$4001,0,-1)),I33))</f>
        <v>9</v>
      </c>
      <c r="K33" cm="1">
        <f t="array" ref="K33">IF(OR(AND(J33=9,K$1&gt;YEAR($N33))),9,_xlfn.IFNA(INDEX($D$2:$D$4001,_xlfn.XMATCH(K$1&amp;"-"&amp;$F33,YEAR($B$2:$B$4001)&amp;"-"&amp;$A$2:$A$4001,0,-1)),J33))</f>
        <v>3</v>
      </c>
      <c r="L33" cm="1">
        <f t="array" ref="L33">IF(OR(AND(K33=9,L$1&gt;YEAR($N33))),9,_xlfn.IFNA(INDEX($D$2:$D$4001,_xlfn.XMATCH(L$1&amp;"-"&amp;$F33,YEAR($B$2:$B$4001)&amp;"-"&amp;$A$2:$A$4001,0,-1)),K33))</f>
        <v>3</v>
      </c>
      <c r="M33" cm="1">
        <f t="array" ref="M33">IF(OR(AND(L33=9,M$1&gt;YEAR($N33))),9,_xlfn.IFNA(INDEX($D$2:$D$4001,_xlfn.XMATCH(M$1&amp;"-"&amp;$F33,YEAR($B$2:$B$4001)&amp;"-"&amp;$A$2:$A$4001,0,-1)),L33))</f>
        <v>3</v>
      </c>
      <c r="N33" s="1">
        <f t="shared" si="0"/>
        <v>37885</v>
      </c>
    </row>
    <row r="34" spans="1:14" x14ac:dyDescent="0.35">
      <c r="A34">
        <v>14</v>
      </c>
      <c r="B34" s="2">
        <v>38128</v>
      </c>
      <c r="C34">
        <v>5</v>
      </c>
      <c r="D34">
        <v>5</v>
      </c>
      <c r="F34">
        <v>33</v>
      </c>
      <c r="G34" cm="1">
        <f t="array" ref="G34">_xlfn.IFNA(INDEX($D$2:$D$4001,_xlfn.XMATCH(G$1&amp;"-"&amp;$F34,YEAR($B$2:$B$4001)&amp;"-"&amp;$A$2:$A$4001,0,-1)),9)</f>
        <v>9</v>
      </c>
      <c r="H34" cm="1">
        <f t="array" ref="H34">IF(OR(AND(G34=9,H$1&gt;YEAR($N34))),9,_xlfn.IFNA(INDEX($D$2:$D$4001,_xlfn.XMATCH(H$1&amp;"-"&amp;$F34,YEAR($B$2:$B$4001)&amp;"-"&amp;$A$2:$A$4001,0,-1)),G34))</f>
        <v>9</v>
      </c>
      <c r="I34" cm="1">
        <f t="array" ref="I34">IF(OR(AND(H34=9,I$1&gt;YEAR($N34))),9,_xlfn.IFNA(INDEX($D$2:$D$4001,_xlfn.XMATCH(I$1&amp;"-"&amp;$F34,YEAR($B$2:$B$4001)&amp;"-"&amp;$A$2:$A$4001,0,-1)),H34))</f>
        <v>0</v>
      </c>
      <c r="J34" cm="1">
        <f t="array" ref="J34">IF(OR(AND(I34=9,J$1&gt;YEAR($N34))),9,_xlfn.IFNA(INDEX($D$2:$D$4001,_xlfn.XMATCH(J$1&amp;"-"&amp;$F34,YEAR($B$2:$B$4001)&amp;"-"&amp;$A$2:$A$4001,0,-1)),I34))</f>
        <v>0</v>
      </c>
      <c r="K34" cm="1">
        <f t="array" ref="K34">IF(OR(AND(J34=9,K$1&gt;YEAR($N34))),9,_xlfn.IFNA(INDEX($D$2:$D$4001,_xlfn.XMATCH(K$1&amp;"-"&amp;$F34,YEAR($B$2:$B$4001)&amp;"-"&amp;$A$2:$A$4001,0,-1)),J34))</f>
        <v>0</v>
      </c>
      <c r="L34" cm="1">
        <f t="array" ref="L34">IF(OR(AND(K34=9,L$1&gt;YEAR($N34))),9,_xlfn.IFNA(INDEX($D$2:$D$4001,_xlfn.XMATCH(L$1&amp;"-"&amp;$F34,YEAR($B$2:$B$4001)&amp;"-"&amp;$A$2:$A$4001,0,-1)),K34))</f>
        <v>0</v>
      </c>
      <c r="M34" cm="1">
        <f t="array" ref="M34">IF(OR(AND(L34=9,M$1&gt;YEAR($N34))),9,_xlfn.IFNA(INDEX($D$2:$D$4001,_xlfn.XMATCH(M$1&amp;"-"&amp;$F34,YEAR($B$2:$B$4001)&amp;"-"&amp;$A$2:$A$4001,0,-1)),L34))</f>
        <v>0</v>
      </c>
      <c r="N34" s="1">
        <f t="shared" si="0"/>
        <v>37037</v>
      </c>
    </row>
    <row r="35" spans="1:14" x14ac:dyDescent="0.35">
      <c r="A35">
        <v>15</v>
      </c>
      <c r="B35" s="2">
        <v>37985</v>
      </c>
      <c r="C35">
        <v>4</v>
      </c>
      <c r="D35">
        <v>4</v>
      </c>
      <c r="F35">
        <v>34</v>
      </c>
      <c r="G35" cm="1">
        <f t="array" ref="G35">_xlfn.IFNA(INDEX($D$2:$D$4001,_xlfn.XMATCH(G$1&amp;"-"&amp;$F35,YEAR($B$2:$B$4001)&amp;"-"&amp;$A$2:$A$4001,0,-1)),9)</f>
        <v>9</v>
      </c>
      <c r="H35" cm="1">
        <f t="array" ref="H35">IF(OR(AND(G35=9,H$1&gt;YEAR($N35))),9,_xlfn.IFNA(INDEX($D$2:$D$4001,_xlfn.XMATCH(H$1&amp;"-"&amp;$F35,YEAR($B$2:$B$4001)&amp;"-"&amp;$A$2:$A$4001,0,-1)),G35))</f>
        <v>2</v>
      </c>
      <c r="I35" cm="1">
        <f t="array" ref="I35">IF(OR(AND(H35=9,I$1&gt;YEAR($N35))),9,_xlfn.IFNA(INDEX($D$2:$D$4001,_xlfn.XMATCH(I$1&amp;"-"&amp;$F35,YEAR($B$2:$B$4001)&amp;"-"&amp;$A$2:$A$4001,0,-1)),H35))</f>
        <v>2</v>
      </c>
      <c r="J35" cm="1">
        <f t="array" ref="J35">IF(OR(AND(I35=9,J$1&gt;YEAR($N35))),9,_xlfn.IFNA(INDEX($D$2:$D$4001,_xlfn.XMATCH(J$1&amp;"-"&amp;$F35,YEAR($B$2:$B$4001)&amp;"-"&amp;$A$2:$A$4001,0,-1)),I35))</f>
        <v>3</v>
      </c>
      <c r="K35" cm="1">
        <f t="array" ref="K35">IF(OR(AND(J35=9,K$1&gt;YEAR($N35))),9,_xlfn.IFNA(INDEX($D$2:$D$4001,_xlfn.XMATCH(K$1&amp;"-"&amp;$F35,YEAR($B$2:$B$4001)&amp;"-"&amp;$A$2:$A$4001,0,-1)),J35))</f>
        <v>3</v>
      </c>
      <c r="L35" cm="1">
        <f t="array" ref="L35">IF(OR(AND(K35=9,L$1&gt;YEAR($N35))),9,_xlfn.IFNA(INDEX($D$2:$D$4001,_xlfn.XMATCH(L$1&amp;"-"&amp;$F35,YEAR($B$2:$B$4001)&amp;"-"&amp;$A$2:$A$4001,0,-1)),K35))</f>
        <v>3</v>
      </c>
      <c r="M35" cm="1">
        <f t="array" ref="M35">IF(OR(AND(L35=9,M$1&gt;YEAR($N35))),9,_xlfn.IFNA(INDEX($D$2:$D$4001,_xlfn.XMATCH(M$1&amp;"-"&amp;$F35,YEAR($B$2:$B$4001)&amp;"-"&amp;$A$2:$A$4001,0,-1)),L35))</f>
        <v>3</v>
      </c>
      <c r="N35" s="1">
        <f t="shared" si="0"/>
        <v>36676</v>
      </c>
    </row>
    <row r="36" spans="1:14" x14ac:dyDescent="0.35">
      <c r="A36">
        <v>16</v>
      </c>
      <c r="B36" s="2">
        <v>36515</v>
      </c>
      <c r="C36">
        <v>1</v>
      </c>
      <c r="D36">
        <v>1</v>
      </c>
      <c r="F36">
        <v>35</v>
      </c>
      <c r="G36" cm="1">
        <f t="array" ref="G36">_xlfn.IFNA(INDEX($D$2:$D$4001,_xlfn.XMATCH(G$1&amp;"-"&amp;$F36,YEAR($B$2:$B$4001)&amp;"-"&amp;$A$2:$A$4001,0,-1)),9)</f>
        <v>9</v>
      </c>
      <c r="H36" cm="1">
        <f t="array" ref="H36">IF(OR(AND(G36=9,H$1&gt;YEAR($N36))),9,_xlfn.IFNA(INDEX($D$2:$D$4001,_xlfn.XMATCH(H$1&amp;"-"&amp;$F36,YEAR($B$2:$B$4001)&amp;"-"&amp;$A$2:$A$4001,0,-1)),G36))</f>
        <v>9</v>
      </c>
      <c r="I36" cm="1">
        <f t="array" ref="I36">IF(OR(AND(H36=9,I$1&gt;YEAR($N36))),9,_xlfn.IFNA(INDEX($D$2:$D$4001,_xlfn.XMATCH(I$1&amp;"-"&amp;$F36,YEAR($B$2:$B$4001)&amp;"-"&amp;$A$2:$A$4001,0,-1)),H36))</f>
        <v>9</v>
      </c>
      <c r="J36" cm="1">
        <f t="array" ref="J36">IF(OR(AND(I36=9,J$1&gt;YEAR($N36))),9,_xlfn.IFNA(INDEX($D$2:$D$4001,_xlfn.XMATCH(J$1&amp;"-"&amp;$F36,YEAR($B$2:$B$4001)&amp;"-"&amp;$A$2:$A$4001,0,-1)),I36))</f>
        <v>3</v>
      </c>
      <c r="K36" cm="1">
        <f t="array" ref="K36">IF(OR(AND(J36=9,K$1&gt;YEAR($N36))),9,_xlfn.IFNA(INDEX($D$2:$D$4001,_xlfn.XMATCH(K$1&amp;"-"&amp;$F36,YEAR($B$2:$B$4001)&amp;"-"&amp;$A$2:$A$4001,0,-1)),J36))</f>
        <v>3</v>
      </c>
      <c r="L36" cm="1">
        <f t="array" ref="L36">IF(OR(AND(K36=9,L$1&gt;YEAR($N36))),9,_xlfn.IFNA(INDEX($D$2:$D$4001,_xlfn.XMATCH(L$1&amp;"-"&amp;$F36,YEAR($B$2:$B$4001)&amp;"-"&amp;$A$2:$A$4001,0,-1)),K36))</f>
        <v>3</v>
      </c>
      <c r="M36" cm="1">
        <f t="array" ref="M36">IF(OR(AND(L36=9,M$1&gt;YEAR($N36))),9,_xlfn.IFNA(INDEX($D$2:$D$4001,_xlfn.XMATCH(M$1&amp;"-"&amp;$F36,YEAR($B$2:$B$4001)&amp;"-"&amp;$A$2:$A$4001,0,-1)),L36))</f>
        <v>3</v>
      </c>
      <c r="N36" s="1">
        <f t="shared" si="0"/>
        <v>37620</v>
      </c>
    </row>
    <row r="37" spans="1:14" x14ac:dyDescent="0.35">
      <c r="A37">
        <v>16</v>
      </c>
      <c r="B37" s="2">
        <v>38168</v>
      </c>
      <c r="C37">
        <v>0</v>
      </c>
      <c r="D37">
        <v>0</v>
      </c>
      <c r="F37">
        <v>36</v>
      </c>
      <c r="G37" cm="1">
        <f t="array" ref="G37">_xlfn.IFNA(INDEX($D$2:$D$4001,_xlfn.XMATCH(G$1&amp;"-"&amp;$F37,YEAR($B$2:$B$4001)&amp;"-"&amp;$A$2:$A$4001,0,-1)),9)</f>
        <v>9</v>
      </c>
      <c r="H37" cm="1">
        <f t="array" ref="H37">IF(OR(AND(G37=9,H$1&gt;YEAR($N37))),9,_xlfn.IFNA(INDEX($D$2:$D$4001,_xlfn.XMATCH(H$1&amp;"-"&amp;$F37,YEAR($B$2:$B$4001)&amp;"-"&amp;$A$2:$A$4001,0,-1)),G37))</f>
        <v>4</v>
      </c>
      <c r="I37" cm="1">
        <f t="array" ref="I37">IF(OR(AND(H37=9,I$1&gt;YEAR($N37))),9,_xlfn.IFNA(INDEX($D$2:$D$4001,_xlfn.XMATCH(I$1&amp;"-"&amp;$F37,YEAR($B$2:$B$4001)&amp;"-"&amp;$A$2:$A$4001,0,-1)),H37))</f>
        <v>4</v>
      </c>
      <c r="J37" cm="1">
        <f t="array" ref="J37">IF(OR(AND(I37=9,J$1&gt;YEAR($N37))),9,_xlfn.IFNA(INDEX($D$2:$D$4001,_xlfn.XMATCH(J$1&amp;"-"&amp;$F37,YEAR($B$2:$B$4001)&amp;"-"&amp;$A$2:$A$4001,0,-1)),I37))</f>
        <v>4</v>
      </c>
      <c r="K37" cm="1">
        <f t="array" ref="K37">IF(OR(AND(J37=9,K$1&gt;YEAR($N37))),9,_xlfn.IFNA(INDEX($D$2:$D$4001,_xlfn.XMATCH(K$1&amp;"-"&amp;$F37,YEAR($B$2:$B$4001)&amp;"-"&amp;$A$2:$A$4001,0,-1)),J37))</f>
        <v>4</v>
      </c>
      <c r="L37" cm="1">
        <f t="array" ref="L37">IF(OR(AND(K37=9,L$1&gt;YEAR($N37))),9,_xlfn.IFNA(INDEX($D$2:$D$4001,_xlfn.XMATCH(L$1&amp;"-"&amp;$F37,YEAR($B$2:$B$4001)&amp;"-"&amp;$A$2:$A$4001,0,-1)),K37))</f>
        <v>4</v>
      </c>
      <c r="M37" cm="1">
        <f t="array" ref="M37">IF(OR(AND(L37=9,M$1&gt;YEAR($N37))),9,_xlfn.IFNA(INDEX($D$2:$D$4001,_xlfn.XMATCH(M$1&amp;"-"&amp;$F37,YEAR($B$2:$B$4001)&amp;"-"&amp;$A$2:$A$4001,0,-1)),L37))</f>
        <v>4</v>
      </c>
      <c r="N37" s="1">
        <f t="shared" si="0"/>
        <v>36676</v>
      </c>
    </row>
    <row r="38" spans="1:14" x14ac:dyDescent="0.35">
      <c r="A38">
        <v>17</v>
      </c>
      <c r="B38" s="2">
        <v>36341</v>
      </c>
      <c r="C38">
        <v>3</v>
      </c>
      <c r="D38">
        <v>3</v>
      </c>
      <c r="F38">
        <v>37</v>
      </c>
      <c r="G38" cm="1">
        <f t="array" ref="G38">_xlfn.IFNA(INDEX($D$2:$D$4001,_xlfn.XMATCH(G$1&amp;"-"&amp;$F38,YEAR($B$2:$B$4001)&amp;"-"&amp;$A$2:$A$4001,0,-1)),9)</f>
        <v>9</v>
      </c>
      <c r="H38" cm="1">
        <f t="array" ref="H38">IF(OR(AND(G38=9,H$1&gt;YEAR($N38))),9,_xlfn.IFNA(INDEX($D$2:$D$4001,_xlfn.XMATCH(H$1&amp;"-"&amp;$F38,YEAR($B$2:$B$4001)&amp;"-"&amp;$A$2:$A$4001,0,-1)),G38))</f>
        <v>9</v>
      </c>
      <c r="I38" cm="1">
        <f t="array" ref="I38">IF(OR(AND(H38=9,I$1&gt;YEAR($N38))),9,_xlfn.IFNA(INDEX($D$2:$D$4001,_xlfn.XMATCH(I$1&amp;"-"&amp;$F38,YEAR($B$2:$B$4001)&amp;"-"&amp;$A$2:$A$4001,0,-1)),H38))</f>
        <v>9</v>
      </c>
      <c r="J38" cm="1">
        <f t="array" ref="J38">IF(OR(AND(I38=9,J$1&gt;YEAR($N38))),9,_xlfn.IFNA(INDEX($D$2:$D$4001,_xlfn.XMATCH(J$1&amp;"-"&amp;$F38,YEAR($B$2:$B$4001)&amp;"-"&amp;$A$2:$A$4001,0,-1)),I38))</f>
        <v>9</v>
      </c>
      <c r="K38" cm="1">
        <f t="array" ref="K38">IF(OR(AND(J38=9,K$1&gt;YEAR($N38))),9,_xlfn.IFNA(INDEX($D$2:$D$4001,_xlfn.XMATCH(K$1&amp;"-"&amp;$F38,YEAR($B$2:$B$4001)&amp;"-"&amp;$A$2:$A$4001,0,-1)),J38))</f>
        <v>9</v>
      </c>
      <c r="L38" cm="1">
        <f t="array" ref="L38">IF(OR(AND(K38=9,L$1&gt;YEAR($N38))),9,_xlfn.IFNA(INDEX($D$2:$D$4001,_xlfn.XMATCH(L$1&amp;"-"&amp;$F38,YEAR($B$2:$B$4001)&amp;"-"&amp;$A$2:$A$4001,0,-1)),K38))</f>
        <v>2</v>
      </c>
      <c r="M38" cm="1">
        <f t="array" ref="M38">IF(OR(AND(L38=9,M$1&gt;YEAR($N38))),9,_xlfn.IFNA(INDEX($D$2:$D$4001,_xlfn.XMATCH(M$1&amp;"-"&amp;$F38,YEAR($B$2:$B$4001)&amp;"-"&amp;$A$2:$A$4001,0,-1)),L38))</f>
        <v>2</v>
      </c>
      <c r="N38" s="1">
        <f t="shared" si="0"/>
        <v>38351</v>
      </c>
    </row>
    <row r="39" spans="1:14" x14ac:dyDescent="0.35">
      <c r="A39">
        <v>18</v>
      </c>
      <c r="B39" s="2">
        <v>36332</v>
      </c>
      <c r="C39">
        <v>6</v>
      </c>
      <c r="D39">
        <v>6</v>
      </c>
      <c r="F39">
        <v>38</v>
      </c>
      <c r="G39" cm="1">
        <f t="array" ref="G39">_xlfn.IFNA(INDEX($D$2:$D$4001,_xlfn.XMATCH(G$1&amp;"-"&amp;$F39,YEAR($B$2:$B$4001)&amp;"-"&amp;$A$2:$A$4001,0,-1)),9)</f>
        <v>9</v>
      </c>
      <c r="H39" cm="1">
        <f t="array" ref="H39">IF(OR(AND(G39=9,H$1&gt;YEAR($N39))),9,_xlfn.IFNA(INDEX($D$2:$D$4001,_xlfn.XMATCH(H$1&amp;"-"&amp;$F39,YEAR($B$2:$B$4001)&amp;"-"&amp;$A$2:$A$4001,0,-1)),G39))</f>
        <v>3</v>
      </c>
      <c r="I39" cm="1">
        <f t="array" ref="I39">IF(OR(AND(H39=9,I$1&gt;YEAR($N39))),9,_xlfn.IFNA(INDEX($D$2:$D$4001,_xlfn.XMATCH(I$1&amp;"-"&amp;$F39,YEAR($B$2:$B$4001)&amp;"-"&amp;$A$2:$A$4001,0,-1)),H39))</f>
        <v>3</v>
      </c>
      <c r="J39" cm="1">
        <f t="array" ref="J39">IF(OR(AND(I39=9,J$1&gt;YEAR($N39))),9,_xlfn.IFNA(INDEX($D$2:$D$4001,_xlfn.XMATCH(J$1&amp;"-"&amp;$F39,YEAR($B$2:$B$4001)&amp;"-"&amp;$A$2:$A$4001,0,-1)),I39))</f>
        <v>3</v>
      </c>
      <c r="K39" cm="1">
        <f t="array" ref="K39">IF(OR(AND(J39=9,K$1&gt;YEAR($N39))),9,_xlfn.IFNA(INDEX($D$2:$D$4001,_xlfn.XMATCH(K$1&amp;"-"&amp;$F39,YEAR($B$2:$B$4001)&amp;"-"&amp;$A$2:$A$4001,0,-1)),J39))</f>
        <v>3</v>
      </c>
      <c r="L39" cm="1">
        <f t="array" ref="L39">IF(OR(AND(K39=9,L$1&gt;YEAR($N39))),9,_xlfn.IFNA(INDEX($D$2:$D$4001,_xlfn.XMATCH(L$1&amp;"-"&amp;$F39,YEAR($B$2:$B$4001)&amp;"-"&amp;$A$2:$A$4001,0,-1)),K39))</f>
        <v>3</v>
      </c>
      <c r="M39" cm="1">
        <f t="array" ref="M39">IF(OR(AND(L39=9,M$1&gt;YEAR($N39))),9,_xlfn.IFNA(INDEX($D$2:$D$4001,_xlfn.XMATCH(M$1&amp;"-"&amp;$F39,YEAR($B$2:$B$4001)&amp;"-"&amp;$A$2:$A$4001,0,-1)),L39))</f>
        <v>3</v>
      </c>
      <c r="N39" s="1">
        <f t="shared" si="0"/>
        <v>36890</v>
      </c>
    </row>
    <row r="40" spans="1:14" x14ac:dyDescent="0.35">
      <c r="A40">
        <v>18</v>
      </c>
      <c r="B40" s="2">
        <v>38160</v>
      </c>
      <c r="C40">
        <v>6</v>
      </c>
      <c r="D40">
        <v>6</v>
      </c>
      <c r="F40">
        <v>39</v>
      </c>
      <c r="G40" cm="1">
        <f t="array" ref="G40">_xlfn.IFNA(INDEX($D$2:$D$4001,_xlfn.XMATCH(G$1&amp;"-"&amp;$F40,YEAR($B$2:$B$4001)&amp;"-"&amp;$A$2:$A$4001,0,-1)),9)</f>
        <v>9</v>
      </c>
      <c r="H40" cm="1">
        <f t="array" ref="H40">IF(OR(AND(G40=9,H$1&gt;YEAR($N40))),9,_xlfn.IFNA(INDEX($D$2:$D$4001,_xlfn.XMATCH(H$1&amp;"-"&amp;$F40,YEAR($B$2:$B$4001)&amp;"-"&amp;$A$2:$A$4001,0,-1)),G40))</f>
        <v>2</v>
      </c>
      <c r="I40" cm="1">
        <f t="array" ref="I40">IF(OR(AND(H40=9,I$1&gt;YEAR($N40))),9,_xlfn.IFNA(INDEX($D$2:$D$4001,_xlfn.XMATCH(I$1&amp;"-"&amp;$F40,YEAR($B$2:$B$4001)&amp;"-"&amp;$A$2:$A$4001,0,-1)),H40))</f>
        <v>2</v>
      </c>
      <c r="J40" cm="1">
        <f t="array" ref="J40">IF(OR(AND(I40=9,J$1&gt;YEAR($N40))),9,_xlfn.IFNA(INDEX($D$2:$D$4001,_xlfn.XMATCH(J$1&amp;"-"&amp;$F40,YEAR($B$2:$B$4001)&amp;"-"&amp;$A$2:$A$4001,0,-1)),I40))</f>
        <v>1</v>
      </c>
      <c r="K40" cm="1">
        <f t="array" ref="K40">IF(OR(AND(J40=9,K$1&gt;YEAR($N40))),9,_xlfn.IFNA(INDEX($D$2:$D$4001,_xlfn.XMATCH(K$1&amp;"-"&amp;$F40,YEAR($B$2:$B$4001)&amp;"-"&amp;$A$2:$A$4001,0,-1)),J40))</f>
        <v>1</v>
      </c>
      <c r="L40" cm="1">
        <f t="array" ref="L40">IF(OR(AND(K40=9,L$1&gt;YEAR($N40))),9,_xlfn.IFNA(INDEX($D$2:$D$4001,_xlfn.XMATCH(L$1&amp;"-"&amp;$F40,YEAR($B$2:$B$4001)&amp;"-"&amp;$A$2:$A$4001,0,-1)),K40))</f>
        <v>1</v>
      </c>
      <c r="M40" cm="1">
        <f t="array" ref="M40">IF(OR(AND(L40=9,M$1&gt;YEAR($N40))),9,_xlfn.IFNA(INDEX($D$2:$D$4001,_xlfn.XMATCH(M$1&amp;"-"&amp;$F40,YEAR($B$2:$B$4001)&amp;"-"&amp;$A$2:$A$4001,0,-1)),L40))</f>
        <v>1</v>
      </c>
      <c r="N40" s="1">
        <f t="shared" si="0"/>
        <v>36667</v>
      </c>
    </row>
    <row r="41" spans="1:14" x14ac:dyDescent="0.35">
      <c r="A41">
        <v>19</v>
      </c>
      <c r="B41" s="2">
        <v>36524</v>
      </c>
      <c r="C41">
        <v>0</v>
      </c>
      <c r="D41">
        <v>0</v>
      </c>
      <c r="F41">
        <v>40</v>
      </c>
      <c r="G41" cm="1">
        <f t="array" ref="G41">_xlfn.IFNA(INDEX($D$2:$D$4001,_xlfn.XMATCH(G$1&amp;"-"&amp;$F41,YEAR($B$2:$B$4001)&amp;"-"&amp;$A$2:$A$4001,0,-1)),9)</f>
        <v>3</v>
      </c>
      <c r="H41" cm="1">
        <f t="array" ref="H41">IF(OR(AND(G41=9,H$1&gt;YEAR($N41))),9,_xlfn.IFNA(INDEX($D$2:$D$4001,_xlfn.XMATCH(H$1&amp;"-"&amp;$F41,YEAR($B$2:$B$4001)&amp;"-"&amp;$A$2:$A$4001,0,-1)),G41))</f>
        <v>3</v>
      </c>
      <c r="I41" cm="1">
        <f t="array" ref="I41">IF(OR(AND(H41=9,I$1&gt;YEAR($N41))),9,_xlfn.IFNA(INDEX($D$2:$D$4001,_xlfn.XMATCH(I$1&amp;"-"&amp;$F41,YEAR($B$2:$B$4001)&amp;"-"&amp;$A$2:$A$4001,0,-1)),H41))</f>
        <v>3</v>
      </c>
      <c r="J41" cm="1">
        <f t="array" ref="J41">IF(OR(AND(I41=9,J$1&gt;YEAR($N41))),9,_xlfn.IFNA(INDEX($D$2:$D$4001,_xlfn.XMATCH(J$1&amp;"-"&amp;$F41,YEAR($B$2:$B$4001)&amp;"-"&amp;$A$2:$A$4001,0,-1)),I41))</f>
        <v>3</v>
      </c>
      <c r="K41" cm="1">
        <f t="array" ref="K41">IF(OR(AND(J41=9,K$1&gt;YEAR($N41))),9,_xlfn.IFNA(INDEX($D$2:$D$4001,_xlfn.XMATCH(K$1&amp;"-"&amp;$F41,YEAR($B$2:$B$4001)&amp;"-"&amp;$A$2:$A$4001,0,-1)),J41))</f>
        <v>3</v>
      </c>
      <c r="L41" cm="1">
        <f t="array" ref="L41">IF(OR(AND(K41=9,L$1&gt;YEAR($N41))),9,_xlfn.IFNA(INDEX($D$2:$D$4001,_xlfn.XMATCH(L$1&amp;"-"&amp;$F41,YEAR($B$2:$B$4001)&amp;"-"&amp;$A$2:$A$4001,0,-1)),K41))</f>
        <v>3</v>
      </c>
      <c r="M41" cm="1">
        <f t="array" ref="M41">IF(OR(AND(L41=9,M$1&gt;YEAR($N41))),9,_xlfn.IFNA(INDEX($D$2:$D$4001,_xlfn.XMATCH(M$1&amp;"-"&amp;$F41,YEAR($B$2:$B$4001)&amp;"-"&amp;$A$2:$A$4001,0,-1)),L41))</f>
        <v>3</v>
      </c>
      <c r="N41" s="1">
        <f t="shared" si="0"/>
        <v>36494</v>
      </c>
    </row>
    <row r="42" spans="1:14" x14ac:dyDescent="0.35">
      <c r="A42">
        <v>20</v>
      </c>
      <c r="B42" s="2">
        <v>36890</v>
      </c>
      <c r="C42">
        <v>5</v>
      </c>
      <c r="D42">
        <v>5</v>
      </c>
      <c r="F42">
        <v>41</v>
      </c>
      <c r="G42" cm="1">
        <f t="array" ref="G42">_xlfn.IFNA(INDEX($D$2:$D$4001,_xlfn.XMATCH(G$1&amp;"-"&amp;$F42,YEAR($B$2:$B$4001)&amp;"-"&amp;$A$2:$A$4001,0,-1)),9)</f>
        <v>9</v>
      </c>
      <c r="H42" cm="1">
        <f t="array" ref="H42">IF(OR(AND(G42=9,H$1&gt;YEAR($N42))),9,_xlfn.IFNA(INDEX($D$2:$D$4001,_xlfn.XMATCH(H$1&amp;"-"&amp;$F42,YEAR($B$2:$B$4001)&amp;"-"&amp;$A$2:$A$4001,0,-1)),G42))</f>
        <v>0</v>
      </c>
      <c r="I42" cm="1">
        <f t="array" ref="I42">IF(OR(AND(H42=9,I$1&gt;YEAR($N42))),9,_xlfn.IFNA(INDEX($D$2:$D$4001,_xlfn.XMATCH(I$1&amp;"-"&amp;$F42,YEAR($B$2:$B$4001)&amp;"-"&amp;$A$2:$A$4001,0,-1)),H42))</f>
        <v>0</v>
      </c>
      <c r="J42" cm="1">
        <f t="array" ref="J42">IF(OR(AND(I42=9,J$1&gt;YEAR($N42))),9,_xlfn.IFNA(INDEX($D$2:$D$4001,_xlfn.XMATCH(J$1&amp;"-"&amp;$F42,YEAR($B$2:$B$4001)&amp;"-"&amp;$A$2:$A$4001,0,-1)),I42))</f>
        <v>0</v>
      </c>
      <c r="K42" cm="1">
        <f t="array" ref="K42">IF(OR(AND(J42=9,K$1&gt;YEAR($N42))),9,_xlfn.IFNA(INDEX($D$2:$D$4001,_xlfn.XMATCH(K$1&amp;"-"&amp;$F42,YEAR($B$2:$B$4001)&amp;"-"&amp;$A$2:$A$4001,0,-1)),J42))</f>
        <v>0</v>
      </c>
      <c r="L42" cm="1">
        <f t="array" ref="L42">IF(OR(AND(K42=9,L$1&gt;YEAR($N42))),9,_xlfn.IFNA(INDEX($D$2:$D$4001,_xlfn.XMATCH(L$1&amp;"-"&amp;$F42,YEAR($B$2:$B$4001)&amp;"-"&amp;$A$2:$A$4001,0,-1)),K42))</f>
        <v>0</v>
      </c>
      <c r="M42" cm="1">
        <f t="array" ref="M42">IF(OR(AND(L42=9,M$1&gt;YEAR($N42))),9,_xlfn.IFNA(INDEX($D$2:$D$4001,_xlfn.XMATCH(M$1&amp;"-"&amp;$F42,YEAR($B$2:$B$4001)&amp;"-"&amp;$A$2:$A$4001,0,-1)),L42))</f>
        <v>0</v>
      </c>
      <c r="N42" s="1">
        <f t="shared" si="0"/>
        <v>36728</v>
      </c>
    </row>
    <row r="43" spans="1:14" x14ac:dyDescent="0.35">
      <c r="A43">
        <v>20</v>
      </c>
      <c r="B43" s="2">
        <v>37102</v>
      </c>
      <c r="C43">
        <v>6</v>
      </c>
      <c r="D43">
        <v>6</v>
      </c>
      <c r="F43">
        <v>42</v>
      </c>
      <c r="G43" cm="1">
        <f t="array" ref="G43">_xlfn.IFNA(INDEX($D$2:$D$4001,_xlfn.XMATCH(G$1&amp;"-"&amp;$F43,YEAR($B$2:$B$4001)&amp;"-"&amp;$A$2:$A$4001,0,-1)),9)</f>
        <v>9</v>
      </c>
      <c r="H43" cm="1">
        <f t="array" ref="H43">IF(OR(AND(G43=9,H$1&gt;YEAR($N43))),9,_xlfn.IFNA(INDEX($D$2:$D$4001,_xlfn.XMATCH(H$1&amp;"-"&amp;$F43,YEAR($B$2:$B$4001)&amp;"-"&amp;$A$2:$A$4001,0,-1)),G43))</f>
        <v>9</v>
      </c>
      <c r="I43" cm="1">
        <f t="array" ref="I43">IF(OR(AND(H43=9,I$1&gt;YEAR($N43))),9,_xlfn.IFNA(INDEX($D$2:$D$4001,_xlfn.XMATCH(I$1&amp;"-"&amp;$F43,YEAR($B$2:$B$4001)&amp;"-"&amp;$A$2:$A$4001,0,-1)),H43))</f>
        <v>9</v>
      </c>
      <c r="J43" cm="1">
        <f t="array" ref="J43">IF(OR(AND(I43=9,J$1&gt;YEAR($N43))),9,_xlfn.IFNA(INDEX($D$2:$D$4001,_xlfn.XMATCH(J$1&amp;"-"&amp;$F43,YEAR($B$2:$B$4001)&amp;"-"&amp;$A$2:$A$4001,0,-1)),I43))</f>
        <v>9</v>
      </c>
      <c r="K43" cm="1">
        <f t="array" ref="K43">IF(OR(AND(J43=9,K$1&gt;YEAR($N43))),9,_xlfn.IFNA(INDEX($D$2:$D$4001,_xlfn.XMATCH(K$1&amp;"-"&amp;$F43,YEAR($B$2:$B$4001)&amp;"-"&amp;$A$2:$A$4001,0,-1)),J43))</f>
        <v>9</v>
      </c>
      <c r="L43" cm="1">
        <f t="array" ref="L43">IF(OR(AND(K43=9,L$1&gt;YEAR($N43))),9,_xlfn.IFNA(INDEX($D$2:$D$4001,_xlfn.XMATCH(L$1&amp;"-"&amp;$F43,YEAR($B$2:$B$4001)&amp;"-"&amp;$A$2:$A$4001,0,-1)),K43))</f>
        <v>3</v>
      </c>
      <c r="M43" cm="1">
        <f t="array" ref="M43">IF(OR(AND(L43=9,M$1&gt;YEAR($N43))),9,_xlfn.IFNA(INDEX($D$2:$D$4001,_xlfn.XMATCH(M$1&amp;"-"&amp;$F43,YEAR($B$2:$B$4001)&amp;"-"&amp;$A$2:$A$4001,0,-1)),L43))</f>
        <v>3</v>
      </c>
      <c r="N43" s="1">
        <f t="shared" si="0"/>
        <v>38168</v>
      </c>
    </row>
    <row r="44" spans="1:14" x14ac:dyDescent="0.35">
      <c r="A44">
        <v>21</v>
      </c>
      <c r="B44" s="2">
        <v>36698</v>
      </c>
      <c r="C44">
        <v>2</v>
      </c>
      <c r="D44">
        <v>2</v>
      </c>
      <c r="F44">
        <v>43</v>
      </c>
      <c r="G44" cm="1">
        <f t="array" ref="G44">_xlfn.IFNA(INDEX($D$2:$D$4001,_xlfn.XMATCH(G$1&amp;"-"&amp;$F44,YEAR($B$2:$B$4001)&amp;"-"&amp;$A$2:$A$4001,0,-1)),9)</f>
        <v>9</v>
      </c>
      <c r="H44" cm="1">
        <f t="array" ref="H44">IF(OR(AND(G44=9,H$1&gt;YEAR($N44))),9,_xlfn.IFNA(INDEX($D$2:$D$4001,_xlfn.XMATCH(H$1&amp;"-"&amp;$F44,YEAR($B$2:$B$4001)&amp;"-"&amp;$A$2:$A$4001,0,-1)),G44))</f>
        <v>9</v>
      </c>
      <c r="I44" cm="1">
        <f t="array" ref="I44">IF(OR(AND(H44=9,I$1&gt;YEAR($N44))),9,_xlfn.IFNA(INDEX($D$2:$D$4001,_xlfn.XMATCH(I$1&amp;"-"&amp;$F44,YEAR($B$2:$B$4001)&amp;"-"&amp;$A$2:$A$4001,0,-1)),H44))</f>
        <v>4</v>
      </c>
      <c r="J44" cm="1">
        <f t="array" ref="J44">IF(OR(AND(I44=9,J$1&gt;YEAR($N44))),9,_xlfn.IFNA(INDEX($D$2:$D$4001,_xlfn.XMATCH(J$1&amp;"-"&amp;$F44,YEAR($B$2:$B$4001)&amp;"-"&amp;$A$2:$A$4001,0,-1)),I44))</f>
        <v>6</v>
      </c>
      <c r="K44" cm="1">
        <f t="array" ref="K44">IF(OR(AND(J44=9,K$1&gt;YEAR($N44))),9,_xlfn.IFNA(INDEX($D$2:$D$4001,_xlfn.XMATCH(K$1&amp;"-"&amp;$F44,YEAR($B$2:$B$4001)&amp;"-"&amp;$A$2:$A$4001,0,-1)),J44))</f>
        <v>6</v>
      </c>
      <c r="L44" cm="1">
        <f t="array" ref="L44">IF(OR(AND(K44=9,L$1&gt;YEAR($N44))),9,_xlfn.IFNA(INDEX($D$2:$D$4001,_xlfn.XMATCH(L$1&amp;"-"&amp;$F44,YEAR($B$2:$B$4001)&amp;"-"&amp;$A$2:$A$4001,0,-1)),K44))</f>
        <v>5</v>
      </c>
      <c r="M44" cm="1">
        <f t="array" ref="M44">IF(OR(AND(L44=9,M$1&gt;YEAR($N44))),9,_xlfn.IFNA(INDEX($D$2:$D$4001,_xlfn.XMATCH(M$1&amp;"-"&amp;$F44,YEAR($B$2:$B$4001)&amp;"-"&amp;$A$2:$A$4001,0,-1)),L44))</f>
        <v>5</v>
      </c>
      <c r="N44" s="1">
        <f t="shared" si="0"/>
        <v>37041</v>
      </c>
    </row>
    <row r="45" spans="1:14" x14ac:dyDescent="0.35">
      <c r="A45">
        <v>22</v>
      </c>
      <c r="B45" s="2">
        <v>38351</v>
      </c>
      <c r="C45">
        <v>8</v>
      </c>
      <c r="D45">
        <v>8</v>
      </c>
      <c r="F45">
        <v>44</v>
      </c>
      <c r="G45" cm="1">
        <f t="array" ref="G45">_xlfn.IFNA(INDEX($D$2:$D$4001,_xlfn.XMATCH(G$1&amp;"-"&amp;$F45,YEAR($B$2:$B$4001)&amp;"-"&amp;$A$2:$A$4001,0,-1)),9)</f>
        <v>9</v>
      </c>
      <c r="H45" cm="1">
        <f t="array" ref="H45">IF(OR(AND(G45=9,H$1&gt;YEAR($N45))),9,_xlfn.IFNA(INDEX($D$2:$D$4001,_xlfn.XMATCH(H$1&amp;"-"&amp;$F45,YEAR($B$2:$B$4001)&amp;"-"&amp;$A$2:$A$4001,0,-1)),G45))</f>
        <v>9</v>
      </c>
      <c r="I45" cm="1">
        <f t="array" ref="I45">IF(OR(AND(H45=9,I$1&gt;YEAR($N45))),9,_xlfn.IFNA(INDEX($D$2:$D$4001,_xlfn.XMATCH(I$1&amp;"-"&amp;$F45,YEAR($B$2:$B$4001)&amp;"-"&amp;$A$2:$A$4001,0,-1)),H45))</f>
        <v>9</v>
      </c>
      <c r="J45" cm="1">
        <f t="array" ref="J45">IF(OR(AND(I45=9,J$1&gt;YEAR($N45))),9,_xlfn.IFNA(INDEX($D$2:$D$4001,_xlfn.XMATCH(J$1&amp;"-"&amp;$F45,YEAR($B$2:$B$4001)&amp;"-"&amp;$A$2:$A$4001,0,-1)),I45))</f>
        <v>9</v>
      </c>
      <c r="K45" cm="1">
        <f t="array" ref="K45">IF(OR(AND(J45=9,K$1&gt;YEAR($N45))),9,_xlfn.IFNA(INDEX($D$2:$D$4001,_xlfn.XMATCH(K$1&amp;"-"&amp;$F45,YEAR($B$2:$B$4001)&amp;"-"&amp;$A$2:$A$4001,0,-1)),J45))</f>
        <v>9</v>
      </c>
      <c r="L45" cm="1">
        <f t="array" ref="L45">IF(OR(AND(K45=9,L$1&gt;YEAR($N45))),9,_xlfn.IFNA(INDEX($D$2:$D$4001,_xlfn.XMATCH(L$1&amp;"-"&amp;$F45,YEAR($B$2:$B$4001)&amp;"-"&amp;$A$2:$A$4001,0,-1)),K45))</f>
        <v>9</v>
      </c>
      <c r="M45" cm="1">
        <f t="array" ref="M45">IF(OR(AND(L45=9,M$1&gt;YEAR($N45))),9,_xlfn.IFNA(INDEX($D$2:$D$4001,_xlfn.XMATCH(M$1&amp;"-"&amp;$F45,YEAR($B$2:$B$4001)&amp;"-"&amp;$A$2:$A$4001,0,-1)),L45))</f>
        <v>4</v>
      </c>
      <c r="N45" s="1">
        <f t="shared" si="0"/>
        <v>38502</v>
      </c>
    </row>
    <row r="46" spans="1:14" x14ac:dyDescent="0.35">
      <c r="A46">
        <v>23</v>
      </c>
      <c r="B46" s="2">
        <v>36301</v>
      </c>
      <c r="C46">
        <v>0</v>
      </c>
      <c r="D46">
        <v>0</v>
      </c>
      <c r="F46">
        <v>45</v>
      </c>
      <c r="G46" cm="1">
        <f t="array" ref="G46">_xlfn.IFNA(INDEX($D$2:$D$4001,_xlfn.XMATCH(G$1&amp;"-"&amp;$F46,YEAR($B$2:$B$4001)&amp;"-"&amp;$A$2:$A$4001,0,-1)),9)</f>
        <v>9</v>
      </c>
      <c r="H46" cm="1">
        <f t="array" ref="H46">IF(OR(AND(G46=9,H$1&gt;YEAR($N46))),9,_xlfn.IFNA(INDEX($D$2:$D$4001,_xlfn.XMATCH(H$1&amp;"-"&amp;$F46,YEAR($B$2:$B$4001)&amp;"-"&amp;$A$2:$A$4001,0,-1)),G46))</f>
        <v>9</v>
      </c>
      <c r="I46" cm="1">
        <f t="array" ref="I46">IF(OR(AND(H46=9,I$1&gt;YEAR($N46))),9,_xlfn.IFNA(INDEX($D$2:$D$4001,_xlfn.XMATCH(I$1&amp;"-"&amp;$F46,YEAR($B$2:$B$4001)&amp;"-"&amp;$A$2:$A$4001,0,-1)),H46))</f>
        <v>9</v>
      </c>
      <c r="J46" cm="1">
        <f t="array" ref="J46">IF(OR(AND(I46=9,J$1&gt;YEAR($N46))),9,_xlfn.IFNA(INDEX($D$2:$D$4001,_xlfn.XMATCH(J$1&amp;"-"&amp;$F46,YEAR($B$2:$B$4001)&amp;"-"&amp;$A$2:$A$4001,0,-1)),I46))</f>
        <v>1</v>
      </c>
      <c r="K46" cm="1">
        <f t="array" ref="K46">IF(OR(AND(J46=9,K$1&gt;YEAR($N46))),9,_xlfn.IFNA(INDEX($D$2:$D$4001,_xlfn.XMATCH(K$1&amp;"-"&amp;$F46,YEAR($B$2:$B$4001)&amp;"-"&amp;$A$2:$A$4001,0,-1)),J46))</f>
        <v>1</v>
      </c>
      <c r="L46" cm="1">
        <f t="array" ref="L46">IF(OR(AND(K46=9,L$1&gt;YEAR($N46))),9,_xlfn.IFNA(INDEX($D$2:$D$4001,_xlfn.XMATCH(L$1&amp;"-"&amp;$F46,YEAR($B$2:$B$4001)&amp;"-"&amp;$A$2:$A$4001,0,-1)),K46))</f>
        <v>1</v>
      </c>
      <c r="M46" cm="1">
        <f t="array" ref="M46">IF(OR(AND(L46=9,M$1&gt;YEAR($N46))),9,_xlfn.IFNA(INDEX($D$2:$D$4001,_xlfn.XMATCH(M$1&amp;"-"&amp;$F46,YEAR($B$2:$B$4001)&amp;"-"&amp;$A$2:$A$4001,0,-1)),L46))</f>
        <v>1</v>
      </c>
      <c r="N46" s="1">
        <f t="shared" si="0"/>
        <v>37406</v>
      </c>
    </row>
    <row r="47" spans="1:14" x14ac:dyDescent="0.35">
      <c r="A47">
        <v>23</v>
      </c>
      <c r="B47" s="2">
        <v>36310</v>
      </c>
      <c r="C47">
        <v>5</v>
      </c>
      <c r="D47">
        <v>5</v>
      </c>
      <c r="F47">
        <v>46</v>
      </c>
      <c r="G47" cm="1">
        <f t="array" ref="G47">_xlfn.IFNA(INDEX($D$2:$D$4001,_xlfn.XMATCH(G$1&amp;"-"&amp;$F47,YEAR($B$2:$B$4001)&amp;"-"&amp;$A$2:$A$4001,0,-1)),9)</f>
        <v>2</v>
      </c>
      <c r="H47" cm="1">
        <f t="array" ref="H47">IF(OR(AND(G47=9,H$1&gt;YEAR($N47))),9,_xlfn.IFNA(INDEX($D$2:$D$4001,_xlfn.XMATCH(H$1&amp;"-"&amp;$F47,YEAR($B$2:$B$4001)&amp;"-"&amp;$A$2:$A$4001,0,-1)),G47))</f>
        <v>2</v>
      </c>
      <c r="I47" cm="1">
        <f t="array" ref="I47">IF(OR(AND(H47=9,I$1&gt;YEAR($N47))),9,_xlfn.IFNA(INDEX($D$2:$D$4001,_xlfn.XMATCH(I$1&amp;"-"&amp;$F47,YEAR($B$2:$B$4001)&amp;"-"&amp;$A$2:$A$4001,0,-1)),H47))</f>
        <v>2</v>
      </c>
      <c r="J47" cm="1">
        <f t="array" ref="J47">IF(OR(AND(I47=9,J$1&gt;YEAR($N47))),9,_xlfn.IFNA(INDEX($D$2:$D$4001,_xlfn.XMATCH(J$1&amp;"-"&amp;$F47,YEAR($B$2:$B$4001)&amp;"-"&amp;$A$2:$A$4001,0,-1)),I47))</f>
        <v>2</v>
      </c>
      <c r="K47" cm="1">
        <f t="array" ref="K47">IF(OR(AND(J47=9,K$1&gt;YEAR($N47))),9,_xlfn.IFNA(INDEX($D$2:$D$4001,_xlfn.XMATCH(K$1&amp;"-"&amp;$F47,YEAR($B$2:$B$4001)&amp;"-"&amp;$A$2:$A$4001,0,-1)),J47))</f>
        <v>3</v>
      </c>
      <c r="L47" cm="1">
        <f t="array" ref="L47">IF(OR(AND(K47=9,L$1&gt;YEAR($N47))),9,_xlfn.IFNA(INDEX($D$2:$D$4001,_xlfn.XMATCH(L$1&amp;"-"&amp;$F47,YEAR($B$2:$B$4001)&amp;"-"&amp;$A$2:$A$4001,0,-1)),K47))</f>
        <v>3</v>
      </c>
      <c r="M47" cm="1">
        <f t="array" ref="M47">IF(OR(AND(L47=9,M$1&gt;YEAR($N47))),9,_xlfn.IFNA(INDEX($D$2:$D$4001,_xlfn.XMATCH(M$1&amp;"-"&amp;$F47,YEAR($B$2:$B$4001)&amp;"-"&amp;$A$2:$A$4001,0,-1)),L47))</f>
        <v>3</v>
      </c>
      <c r="N47" s="1">
        <f t="shared" si="0"/>
        <v>36310</v>
      </c>
    </row>
    <row r="48" spans="1:14" x14ac:dyDescent="0.35">
      <c r="A48">
        <v>23</v>
      </c>
      <c r="B48" s="2">
        <v>38594</v>
      </c>
      <c r="C48">
        <v>5</v>
      </c>
      <c r="D48">
        <v>5</v>
      </c>
      <c r="F48">
        <v>47</v>
      </c>
      <c r="G48" cm="1">
        <f t="array" ref="G48">_xlfn.IFNA(INDEX($D$2:$D$4001,_xlfn.XMATCH(G$1&amp;"-"&amp;$F48,YEAR($B$2:$B$4001)&amp;"-"&amp;$A$2:$A$4001,0,-1)),9)</f>
        <v>9</v>
      </c>
      <c r="H48" cm="1">
        <f t="array" ref="H48">IF(OR(AND(G48=9,H$1&gt;YEAR($N48))),9,_xlfn.IFNA(INDEX($D$2:$D$4001,_xlfn.XMATCH(H$1&amp;"-"&amp;$F48,YEAR($B$2:$B$4001)&amp;"-"&amp;$A$2:$A$4001,0,-1)),G48))</f>
        <v>9</v>
      </c>
      <c r="I48" cm="1">
        <f t="array" ref="I48">IF(OR(AND(H48=9,I$1&gt;YEAR($N48))),9,_xlfn.IFNA(INDEX($D$2:$D$4001,_xlfn.XMATCH(I$1&amp;"-"&amp;$F48,YEAR($B$2:$B$4001)&amp;"-"&amp;$A$2:$A$4001,0,-1)),H48))</f>
        <v>9</v>
      </c>
      <c r="J48" cm="1">
        <f t="array" ref="J48">IF(OR(AND(I48=9,J$1&gt;YEAR($N48))),9,_xlfn.IFNA(INDEX($D$2:$D$4001,_xlfn.XMATCH(J$1&amp;"-"&amp;$F48,YEAR($B$2:$B$4001)&amp;"-"&amp;$A$2:$A$4001,0,-1)),I48))</f>
        <v>4</v>
      </c>
      <c r="K48" cm="1">
        <f t="array" ref="K48">IF(OR(AND(J48=9,K$1&gt;YEAR($N48))),9,_xlfn.IFNA(INDEX($D$2:$D$4001,_xlfn.XMATCH(K$1&amp;"-"&amp;$F48,YEAR($B$2:$B$4001)&amp;"-"&amp;$A$2:$A$4001,0,-1)),J48))</f>
        <v>4</v>
      </c>
      <c r="L48" cm="1">
        <f t="array" ref="L48">IF(OR(AND(K48=9,L$1&gt;YEAR($N48))),9,_xlfn.IFNA(INDEX($D$2:$D$4001,_xlfn.XMATCH(L$1&amp;"-"&amp;$F48,YEAR($B$2:$B$4001)&amp;"-"&amp;$A$2:$A$4001,0,-1)),K48))</f>
        <v>4</v>
      </c>
      <c r="M48" cm="1">
        <f t="array" ref="M48">IF(OR(AND(L48=9,M$1&gt;YEAR($N48))),9,_xlfn.IFNA(INDEX($D$2:$D$4001,_xlfn.XMATCH(M$1&amp;"-"&amp;$F48,YEAR($B$2:$B$4001)&amp;"-"&amp;$A$2:$A$4001,0,-1)),L48))</f>
        <v>4</v>
      </c>
      <c r="N48" s="1">
        <f t="shared" si="0"/>
        <v>37620</v>
      </c>
    </row>
    <row r="49" spans="1:14" x14ac:dyDescent="0.35">
      <c r="A49">
        <v>24</v>
      </c>
      <c r="B49" s="2">
        <v>36707</v>
      </c>
      <c r="C49">
        <v>0</v>
      </c>
      <c r="D49">
        <v>0</v>
      </c>
      <c r="F49">
        <v>48</v>
      </c>
      <c r="G49" cm="1">
        <f t="array" ref="G49">_xlfn.IFNA(INDEX($D$2:$D$4001,_xlfn.XMATCH(G$1&amp;"-"&amp;$F49,YEAR($B$2:$B$4001)&amp;"-"&amp;$A$2:$A$4001,0,-1)),9)</f>
        <v>4</v>
      </c>
      <c r="H49" cm="1">
        <f t="array" ref="H49">IF(OR(AND(G49=9,H$1&gt;YEAR($N49))),9,_xlfn.IFNA(INDEX($D$2:$D$4001,_xlfn.XMATCH(H$1&amp;"-"&amp;$F49,YEAR($B$2:$B$4001)&amp;"-"&amp;$A$2:$A$4001,0,-1)),G49))</f>
        <v>4</v>
      </c>
      <c r="I49" cm="1">
        <f t="array" ref="I49">IF(OR(AND(H49=9,I$1&gt;YEAR($N49))),9,_xlfn.IFNA(INDEX($D$2:$D$4001,_xlfn.XMATCH(I$1&amp;"-"&amp;$F49,YEAR($B$2:$B$4001)&amp;"-"&amp;$A$2:$A$4001,0,-1)),H49))</f>
        <v>4</v>
      </c>
      <c r="J49" cm="1">
        <f t="array" ref="J49">IF(OR(AND(I49=9,J$1&gt;YEAR($N49))),9,_xlfn.IFNA(INDEX($D$2:$D$4001,_xlfn.XMATCH(J$1&amp;"-"&amp;$F49,YEAR($B$2:$B$4001)&amp;"-"&amp;$A$2:$A$4001,0,-1)),I49))</f>
        <v>4</v>
      </c>
      <c r="K49" cm="1">
        <f t="array" ref="K49">IF(OR(AND(J49=9,K$1&gt;YEAR($N49))),9,_xlfn.IFNA(INDEX($D$2:$D$4001,_xlfn.XMATCH(K$1&amp;"-"&amp;$F49,YEAR($B$2:$B$4001)&amp;"-"&amp;$A$2:$A$4001,0,-1)),J49))</f>
        <v>4</v>
      </c>
      <c r="L49" cm="1">
        <f t="array" ref="L49">IF(OR(AND(K49=9,L$1&gt;YEAR($N49))),9,_xlfn.IFNA(INDEX($D$2:$D$4001,_xlfn.XMATCH(L$1&amp;"-"&amp;$F49,YEAR($B$2:$B$4001)&amp;"-"&amp;$A$2:$A$4001,0,-1)),K49))</f>
        <v>4</v>
      </c>
      <c r="M49" cm="1">
        <f t="array" ref="M49">IF(OR(AND(L49=9,M$1&gt;YEAR($N49))),9,_xlfn.IFNA(INDEX($D$2:$D$4001,_xlfn.XMATCH(M$1&amp;"-"&amp;$F49,YEAR($B$2:$B$4001)&amp;"-"&amp;$A$2:$A$4001,0,-1)),L49))</f>
        <v>4</v>
      </c>
      <c r="N49" s="1">
        <f t="shared" si="0"/>
        <v>36310</v>
      </c>
    </row>
    <row r="50" spans="1:14" x14ac:dyDescent="0.35">
      <c r="A50">
        <v>25</v>
      </c>
      <c r="B50" s="2">
        <v>36676</v>
      </c>
      <c r="C50">
        <v>4</v>
      </c>
      <c r="D50">
        <v>4</v>
      </c>
      <c r="F50">
        <v>49</v>
      </c>
      <c r="G50" cm="1">
        <f t="array" ref="G50">_xlfn.IFNA(INDEX($D$2:$D$4001,_xlfn.XMATCH(G$1&amp;"-"&amp;$F50,YEAR($B$2:$B$4001)&amp;"-"&amp;$A$2:$A$4001,0,-1)),9)</f>
        <v>9</v>
      </c>
      <c r="H50" cm="1">
        <f t="array" ref="H50">IF(OR(AND(G50=9,H$1&gt;YEAR($N50))),9,_xlfn.IFNA(INDEX($D$2:$D$4001,_xlfn.XMATCH(H$1&amp;"-"&amp;$F50,YEAR($B$2:$B$4001)&amp;"-"&amp;$A$2:$A$4001,0,-1)),G50))</f>
        <v>9</v>
      </c>
      <c r="I50" cm="1">
        <f t="array" ref="I50">IF(OR(AND(H50=9,I$1&gt;YEAR($N50))),9,_xlfn.IFNA(INDEX($D$2:$D$4001,_xlfn.XMATCH(I$1&amp;"-"&amp;$F50,YEAR($B$2:$B$4001)&amp;"-"&amp;$A$2:$A$4001,0,-1)),H50))</f>
        <v>9</v>
      </c>
      <c r="J50" cm="1">
        <f t="array" ref="J50">IF(OR(AND(I50=9,J$1&gt;YEAR($N50))),9,_xlfn.IFNA(INDEX($D$2:$D$4001,_xlfn.XMATCH(J$1&amp;"-"&amp;$F50,YEAR($B$2:$B$4001)&amp;"-"&amp;$A$2:$A$4001,0,-1)),I50))</f>
        <v>2</v>
      </c>
      <c r="K50" cm="1">
        <f t="array" ref="K50">IF(OR(AND(J50=9,K$1&gt;YEAR($N50))),9,_xlfn.IFNA(INDEX($D$2:$D$4001,_xlfn.XMATCH(K$1&amp;"-"&amp;$F50,YEAR($B$2:$B$4001)&amp;"-"&amp;$A$2:$A$4001,0,-1)),J50))</f>
        <v>2</v>
      </c>
      <c r="L50" cm="1">
        <f t="array" ref="L50">IF(OR(AND(K50=9,L$1&gt;YEAR($N50))),9,_xlfn.IFNA(INDEX($D$2:$D$4001,_xlfn.XMATCH(L$1&amp;"-"&amp;$F50,YEAR($B$2:$B$4001)&amp;"-"&amp;$A$2:$A$4001,0,-1)),K50))</f>
        <v>2</v>
      </c>
      <c r="M50" cm="1">
        <f t="array" ref="M50">IF(OR(AND(L50=9,M$1&gt;YEAR($N50))),9,_xlfn.IFNA(INDEX($D$2:$D$4001,_xlfn.XMATCH(M$1&amp;"-"&amp;$F50,YEAR($B$2:$B$4001)&amp;"-"&amp;$A$2:$A$4001,0,-1)),L50))</f>
        <v>2</v>
      </c>
      <c r="N50" s="1">
        <f t="shared" si="0"/>
        <v>37404</v>
      </c>
    </row>
    <row r="51" spans="1:14" x14ac:dyDescent="0.35">
      <c r="A51">
        <v>25</v>
      </c>
      <c r="B51" s="2">
        <v>36790</v>
      </c>
      <c r="C51">
        <v>3</v>
      </c>
      <c r="D51">
        <v>3</v>
      </c>
      <c r="F51">
        <v>50</v>
      </c>
      <c r="G51" cm="1">
        <f t="array" ref="G51">_xlfn.IFNA(INDEX($D$2:$D$4001,_xlfn.XMATCH(G$1&amp;"-"&amp;$F51,YEAR($B$2:$B$4001)&amp;"-"&amp;$A$2:$A$4001,0,-1)),9)</f>
        <v>9</v>
      </c>
      <c r="H51" cm="1">
        <f t="array" ref="H51">IF(OR(AND(G51=9,H$1&gt;YEAR($N51))),9,_xlfn.IFNA(INDEX($D$2:$D$4001,_xlfn.XMATCH(H$1&amp;"-"&amp;$F51,YEAR($B$2:$B$4001)&amp;"-"&amp;$A$2:$A$4001,0,-1)),G51))</f>
        <v>3</v>
      </c>
      <c r="I51" cm="1">
        <f t="array" ref="I51">IF(OR(AND(H51=9,I$1&gt;YEAR($N51))),9,_xlfn.IFNA(INDEX($D$2:$D$4001,_xlfn.XMATCH(I$1&amp;"-"&amp;$F51,YEAR($B$2:$B$4001)&amp;"-"&amp;$A$2:$A$4001,0,-1)),H51))</f>
        <v>3</v>
      </c>
      <c r="J51" cm="1">
        <f t="array" ref="J51">IF(OR(AND(I51=9,J$1&gt;YEAR($N51))),9,_xlfn.IFNA(INDEX($D$2:$D$4001,_xlfn.XMATCH(J$1&amp;"-"&amp;$F51,YEAR($B$2:$B$4001)&amp;"-"&amp;$A$2:$A$4001,0,-1)),I51))</f>
        <v>3</v>
      </c>
      <c r="K51" cm="1">
        <f t="array" ref="K51">IF(OR(AND(J51=9,K$1&gt;YEAR($N51))),9,_xlfn.IFNA(INDEX($D$2:$D$4001,_xlfn.XMATCH(K$1&amp;"-"&amp;$F51,YEAR($B$2:$B$4001)&amp;"-"&amp;$A$2:$A$4001,0,-1)),J51))</f>
        <v>3</v>
      </c>
      <c r="L51" cm="1">
        <f t="array" ref="L51">IF(OR(AND(K51=9,L$1&gt;YEAR($N51))),9,_xlfn.IFNA(INDEX($D$2:$D$4001,_xlfn.XMATCH(L$1&amp;"-"&amp;$F51,YEAR($B$2:$B$4001)&amp;"-"&amp;$A$2:$A$4001,0,-1)),K51))</f>
        <v>3</v>
      </c>
      <c r="M51" cm="1">
        <f t="array" ref="M51">IF(OR(AND(L51=9,M$1&gt;YEAR($N51))),9,_xlfn.IFNA(INDEX($D$2:$D$4001,_xlfn.XMATCH(M$1&amp;"-"&amp;$F51,YEAR($B$2:$B$4001)&amp;"-"&amp;$A$2:$A$4001,0,-1)),L51))</f>
        <v>3</v>
      </c>
      <c r="N51" s="1">
        <f t="shared" si="0"/>
        <v>36668</v>
      </c>
    </row>
    <row r="52" spans="1:14" x14ac:dyDescent="0.35">
      <c r="A52">
        <v>26</v>
      </c>
      <c r="B52" s="2">
        <v>36524</v>
      </c>
      <c r="C52">
        <v>4</v>
      </c>
      <c r="D52">
        <v>4</v>
      </c>
      <c r="F52">
        <v>51</v>
      </c>
      <c r="G52" cm="1">
        <f t="array" ref="G52">_xlfn.IFNA(INDEX($D$2:$D$4001,_xlfn.XMATCH(G$1&amp;"-"&amp;$F52,YEAR($B$2:$B$4001)&amp;"-"&amp;$A$2:$A$4001,0,-1)),9)</f>
        <v>9</v>
      </c>
      <c r="H52" cm="1">
        <f t="array" ref="H52">IF(OR(AND(G52=9,H$1&gt;YEAR($N52))),9,_xlfn.IFNA(INDEX($D$2:$D$4001,_xlfn.XMATCH(H$1&amp;"-"&amp;$F52,YEAR($B$2:$B$4001)&amp;"-"&amp;$A$2:$A$4001,0,-1)),G52))</f>
        <v>9</v>
      </c>
      <c r="I52" cm="1">
        <f t="array" ref="I52">IF(OR(AND(H52=9,I$1&gt;YEAR($N52))),9,_xlfn.IFNA(INDEX($D$2:$D$4001,_xlfn.XMATCH(I$1&amp;"-"&amp;$F52,YEAR($B$2:$B$4001)&amp;"-"&amp;$A$2:$A$4001,0,-1)),H52))</f>
        <v>0</v>
      </c>
      <c r="J52" cm="1">
        <f t="array" ref="J52">IF(OR(AND(I52=9,J$1&gt;YEAR($N52))),9,_xlfn.IFNA(INDEX($D$2:$D$4001,_xlfn.XMATCH(J$1&amp;"-"&amp;$F52,YEAR($B$2:$B$4001)&amp;"-"&amp;$A$2:$A$4001,0,-1)),I52))</f>
        <v>0</v>
      </c>
      <c r="K52" cm="1">
        <f t="array" ref="K52">IF(OR(AND(J52=9,K$1&gt;YEAR($N52))),9,_xlfn.IFNA(INDEX($D$2:$D$4001,_xlfn.XMATCH(K$1&amp;"-"&amp;$F52,YEAR($B$2:$B$4001)&amp;"-"&amp;$A$2:$A$4001,0,-1)),J52))</f>
        <v>0</v>
      </c>
      <c r="L52" cm="1">
        <f t="array" ref="L52">IF(OR(AND(K52=9,L$1&gt;YEAR($N52))),9,_xlfn.IFNA(INDEX($D$2:$D$4001,_xlfn.XMATCH(L$1&amp;"-"&amp;$F52,YEAR($B$2:$B$4001)&amp;"-"&amp;$A$2:$A$4001,0,-1)),K52))</f>
        <v>0</v>
      </c>
      <c r="M52" cm="1">
        <f t="array" ref="M52">IF(OR(AND(L52=9,M$1&gt;YEAR($N52))),9,_xlfn.IFNA(INDEX($D$2:$D$4001,_xlfn.XMATCH(M$1&amp;"-"&amp;$F52,YEAR($B$2:$B$4001)&amp;"-"&amp;$A$2:$A$4001,0,-1)),L52))</f>
        <v>0</v>
      </c>
      <c r="N52" s="1">
        <f t="shared" si="0"/>
        <v>37041</v>
      </c>
    </row>
    <row r="53" spans="1:14" x14ac:dyDescent="0.35">
      <c r="A53">
        <v>26</v>
      </c>
      <c r="B53" s="2">
        <v>38128</v>
      </c>
      <c r="C53">
        <v>4</v>
      </c>
      <c r="D53">
        <v>4</v>
      </c>
      <c r="F53">
        <v>52</v>
      </c>
      <c r="G53" cm="1">
        <f t="array" ref="G53">_xlfn.IFNA(INDEX($D$2:$D$4001,_xlfn.XMATCH(G$1&amp;"-"&amp;$F53,YEAR($B$2:$B$4001)&amp;"-"&amp;$A$2:$A$4001,0,-1)),9)</f>
        <v>4</v>
      </c>
      <c r="H53" cm="1">
        <f t="array" ref="H53">IF(OR(AND(G53=9,H$1&gt;YEAR($N53))),9,_xlfn.IFNA(INDEX($D$2:$D$4001,_xlfn.XMATCH(H$1&amp;"-"&amp;$F53,YEAR($B$2:$B$4001)&amp;"-"&amp;$A$2:$A$4001,0,-1)),G53))</f>
        <v>4</v>
      </c>
      <c r="I53" cm="1">
        <f t="array" ref="I53">IF(OR(AND(H53=9,I$1&gt;YEAR($N53))),9,_xlfn.IFNA(INDEX($D$2:$D$4001,_xlfn.XMATCH(I$1&amp;"-"&amp;$F53,YEAR($B$2:$B$4001)&amp;"-"&amp;$A$2:$A$4001,0,-1)),H53))</f>
        <v>4</v>
      </c>
      <c r="J53" cm="1">
        <f t="array" ref="J53">IF(OR(AND(I53=9,J$1&gt;YEAR($N53))),9,_xlfn.IFNA(INDEX($D$2:$D$4001,_xlfn.XMATCH(J$1&amp;"-"&amp;$F53,YEAR($B$2:$B$4001)&amp;"-"&amp;$A$2:$A$4001,0,-1)),I53))</f>
        <v>3</v>
      </c>
      <c r="K53" cm="1">
        <f t="array" ref="K53">IF(OR(AND(J53=9,K$1&gt;YEAR($N53))),9,_xlfn.IFNA(INDEX($D$2:$D$4001,_xlfn.XMATCH(K$1&amp;"-"&amp;$F53,YEAR($B$2:$B$4001)&amp;"-"&amp;$A$2:$A$4001,0,-1)),J53))</f>
        <v>3</v>
      </c>
      <c r="L53" cm="1">
        <f t="array" ref="L53">IF(OR(AND(K53=9,L$1&gt;YEAR($N53))),9,_xlfn.IFNA(INDEX($D$2:$D$4001,_xlfn.XMATCH(L$1&amp;"-"&amp;$F53,YEAR($B$2:$B$4001)&amp;"-"&amp;$A$2:$A$4001,0,-1)),K53))</f>
        <v>3</v>
      </c>
      <c r="M53" cm="1">
        <f t="array" ref="M53">IF(OR(AND(L53=9,M$1&gt;YEAR($N53))),9,_xlfn.IFNA(INDEX($D$2:$D$4001,_xlfn.XMATCH(M$1&amp;"-"&amp;$F53,YEAR($B$2:$B$4001)&amp;"-"&amp;$A$2:$A$4001,0,-1)),L53))</f>
        <v>3</v>
      </c>
      <c r="N53" s="1">
        <f t="shared" si="0"/>
        <v>36494</v>
      </c>
    </row>
    <row r="54" spans="1:14" x14ac:dyDescent="0.35">
      <c r="A54">
        <v>27</v>
      </c>
      <c r="B54" s="2">
        <v>38137</v>
      </c>
      <c r="C54">
        <v>2</v>
      </c>
      <c r="D54">
        <v>2</v>
      </c>
      <c r="F54">
        <v>53</v>
      </c>
      <c r="G54" cm="1">
        <f t="array" ref="G54">_xlfn.IFNA(INDEX($D$2:$D$4001,_xlfn.XMATCH(G$1&amp;"-"&amp;$F54,YEAR($B$2:$B$4001)&amp;"-"&amp;$A$2:$A$4001,0,-1)),9)</f>
        <v>9</v>
      </c>
      <c r="H54" cm="1">
        <f t="array" ref="H54">IF(OR(AND(G54=9,H$1&gt;YEAR($N54))),9,_xlfn.IFNA(INDEX($D$2:$D$4001,_xlfn.XMATCH(H$1&amp;"-"&amp;$F54,YEAR($B$2:$B$4001)&amp;"-"&amp;$A$2:$A$4001,0,-1)),G54))</f>
        <v>2</v>
      </c>
      <c r="I54" cm="1">
        <f t="array" ref="I54">IF(OR(AND(H54=9,I$1&gt;YEAR($N54))),9,_xlfn.IFNA(INDEX($D$2:$D$4001,_xlfn.XMATCH(I$1&amp;"-"&amp;$F54,YEAR($B$2:$B$4001)&amp;"-"&amp;$A$2:$A$4001,0,-1)),H54))</f>
        <v>2</v>
      </c>
      <c r="J54" cm="1">
        <f t="array" ref="J54">IF(OR(AND(I54=9,J$1&gt;YEAR($N54))),9,_xlfn.IFNA(INDEX($D$2:$D$4001,_xlfn.XMATCH(J$1&amp;"-"&amp;$F54,YEAR($B$2:$B$4001)&amp;"-"&amp;$A$2:$A$4001,0,-1)),I54))</f>
        <v>2</v>
      </c>
      <c r="K54" cm="1">
        <f t="array" ref="K54">IF(OR(AND(J54=9,K$1&gt;YEAR($N54))),9,_xlfn.IFNA(INDEX($D$2:$D$4001,_xlfn.XMATCH(K$1&amp;"-"&amp;$F54,YEAR($B$2:$B$4001)&amp;"-"&amp;$A$2:$A$4001,0,-1)),J54))</f>
        <v>2</v>
      </c>
      <c r="L54" cm="1">
        <f t="array" ref="L54">IF(OR(AND(K54=9,L$1&gt;YEAR($N54))),9,_xlfn.IFNA(INDEX($D$2:$D$4001,_xlfn.XMATCH(L$1&amp;"-"&amp;$F54,YEAR($B$2:$B$4001)&amp;"-"&amp;$A$2:$A$4001,0,-1)),K54))</f>
        <v>2</v>
      </c>
      <c r="M54" cm="1">
        <f t="array" ref="M54">IF(OR(AND(L54=9,M$1&gt;YEAR($N54))),9,_xlfn.IFNA(INDEX($D$2:$D$4001,_xlfn.XMATCH(M$1&amp;"-"&amp;$F54,YEAR($B$2:$B$4001)&amp;"-"&amp;$A$2:$A$4001,0,-1)),L54))</f>
        <v>2</v>
      </c>
      <c r="N54" s="1">
        <f t="shared" si="0"/>
        <v>36676</v>
      </c>
    </row>
    <row r="55" spans="1:14" x14ac:dyDescent="0.35">
      <c r="A55">
        <v>28</v>
      </c>
      <c r="B55" s="2">
        <v>38351</v>
      </c>
      <c r="C55">
        <v>4</v>
      </c>
      <c r="D55">
        <v>4</v>
      </c>
      <c r="F55">
        <v>54</v>
      </c>
      <c r="G55" cm="1">
        <f t="array" ref="G55">_xlfn.IFNA(INDEX($D$2:$D$4001,_xlfn.XMATCH(G$1&amp;"-"&amp;$F55,YEAR($B$2:$B$4001)&amp;"-"&amp;$A$2:$A$4001,0,-1)),9)</f>
        <v>9</v>
      </c>
      <c r="H55" cm="1">
        <f t="array" ref="H55">IF(OR(AND(G55=9,H$1&gt;YEAR($N55))),9,_xlfn.IFNA(INDEX($D$2:$D$4001,_xlfn.XMATCH(H$1&amp;"-"&amp;$F55,YEAR($B$2:$B$4001)&amp;"-"&amp;$A$2:$A$4001,0,-1)),G55))</f>
        <v>6</v>
      </c>
      <c r="I55" cm="1">
        <f t="array" ref="I55">IF(OR(AND(H55=9,I$1&gt;YEAR($N55))),9,_xlfn.IFNA(INDEX($D$2:$D$4001,_xlfn.XMATCH(I$1&amp;"-"&amp;$F55,YEAR($B$2:$B$4001)&amp;"-"&amp;$A$2:$A$4001,0,-1)),H55))</f>
        <v>7</v>
      </c>
      <c r="J55" cm="1">
        <f t="array" ref="J55">IF(OR(AND(I55=9,J$1&gt;YEAR($N55))),9,_xlfn.IFNA(INDEX($D$2:$D$4001,_xlfn.XMATCH(J$1&amp;"-"&amp;$F55,YEAR($B$2:$B$4001)&amp;"-"&amp;$A$2:$A$4001,0,-1)),I55))</f>
        <v>8</v>
      </c>
      <c r="K55" cm="1">
        <f t="array" ref="K55">IF(OR(AND(J55=9,K$1&gt;YEAR($N55))),9,_xlfn.IFNA(INDEX($D$2:$D$4001,_xlfn.XMATCH(K$1&amp;"-"&amp;$F55,YEAR($B$2:$B$4001)&amp;"-"&amp;$A$2:$A$4001,0,-1)),J55))</f>
        <v>8</v>
      </c>
      <c r="L55" cm="1">
        <f t="array" ref="L55">IF(OR(AND(K55=9,L$1&gt;YEAR($N55))),9,_xlfn.IFNA(INDEX($D$2:$D$4001,_xlfn.XMATCH(L$1&amp;"-"&amp;$F55,YEAR($B$2:$B$4001)&amp;"-"&amp;$A$2:$A$4001,0,-1)),K55))</f>
        <v>8</v>
      </c>
      <c r="M55" cm="1">
        <f t="array" ref="M55">IF(OR(AND(L55=9,M$1&gt;YEAR($N55))),9,_xlfn.IFNA(INDEX($D$2:$D$4001,_xlfn.XMATCH(M$1&amp;"-"&amp;$F55,YEAR($B$2:$B$4001)&amp;"-"&amp;$A$2:$A$4001,0,-1)),L55))</f>
        <v>8</v>
      </c>
      <c r="N55" s="1">
        <f t="shared" si="0"/>
        <v>36881</v>
      </c>
    </row>
    <row r="56" spans="1:14" x14ac:dyDescent="0.35">
      <c r="A56">
        <v>29</v>
      </c>
      <c r="B56" s="2">
        <v>36860</v>
      </c>
      <c r="C56">
        <v>3</v>
      </c>
      <c r="D56">
        <v>3</v>
      </c>
      <c r="F56">
        <v>55</v>
      </c>
      <c r="G56" cm="1">
        <f t="array" ref="G56">_xlfn.IFNA(INDEX($D$2:$D$4001,_xlfn.XMATCH(G$1&amp;"-"&amp;$F56,YEAR($B$2:$B$4001)&amp;"-"&amp;$A$2:$A$4001,0,-1)),9)</f>
        <v>9</v>
      </c>
      <c r="H56" cm="1">
        <f t="array" ref="H56">IF(OR(AND(G56=9,H$1&gt;YEAR($N56))),9,_xlfn.IFNA(INDEX($D$2:$D$4001,_xlfn.XMATCH(H$1&amp;"-"&amp;$F56,YEAR($B$2:$B$4001)&amp;"-"&amp;$A$2:$A$4001,0,-1)),G56))</f>
        <v>9</v>
      </c>
      <c r="I56" cm="1">
        <f t="array" ref="I56">IF(OR(AND(H56=9,I$1&gt;YEAR($N56))),9,_xlfn.IFNA(INDEX($D$2:$D$4001,_xlfn.XMATCH(I$1&amp;"-"&amp;$F56,YEAR($B$2:$B$4001)&amp;"-"&amp;$A$2:$A$4001,0,-1)),H56))</f>
        <v>9</v>
      </c>
      <c r="J56" cm="1">
        <f t="array" ref="J56">IF(OR(AND(I56=9,J$1&gt;YEAR($N56))),9,_xlfn.IFNA(INDEX($D$2:$D$4001,_xlfn.XMATCH(J$1&amp;"-"&amp;$F56,YEAR($B$2:$B$4001)&amp;"-"&amp;$A$2:$A$4001,0,-1)),I56))</f>
        <v>0</v>
      </c>
      <c r="K56" cm="1">
        <f t="array" ref="K56">IF(OR(AND(J56=9,K$1&gt;YEAR($N56))),9,_xlfn.IFNA(INDEX($D$2:$D$4001,_xlfn.XMATCH(K$1&amp;"-"&amp;$F56,YEAR($B$2:$B$4001)&amp;"-"&amp;$A$2:$A$4001,0,-1)),J56))</f>
        <v>0</v>
      </c>
      <c r="L56" cm="1">
        <f t="array" ref="L56">IF(OR(AND(K56=9,L$1&gt;YEAR($N56))),9,_xlfn.IFNA(INDEX($D$2:$D$4001,_xlfn.XMATCH(L$1&amp;"-"&amp;$F56,YEAR($B$2:$B$4001)&amp;"-"&amp;$A$2:$A$4001,0,-1)),K56))</f>
        <v>0</v>
      </c>
      <c r="M56" cm="1">
        <f t="array" ref="M56">IF(OR(AND(L56=9,M$1&gt;YEAR($N56))),9,_xlfn.IFNA(INDEX($D$2:$D$4001,_xlfn.XMATCH(M$1&amp;"-"&amp;$F56,YEAR($B$2:$B$4001)&amp;"-"&amp;$A$2:$A$4001,0,-1)),L56))</f>
        <v>0</v>
      </c>
      <c r="N56" s="1">
        <f t="shared" si="0"/>
        <v>37403</v>
      </c>
    </row>
    <row r="57" spans="1:14" x14ac:dyDescent="0.35">
      <c r="A57">
        <v>30</v>
      </c>
      <c r="B57" s="2">
        <v>37255</v>
      </c>
      <c r="C57">
        <v>1</v>
      </c>
      <c r="D57">
        <v>1</v>
      </c>
      <c r="F57">
        <v>56</v>
      </c>
      <c r="G57" cm="1">
        <f t="array" ref="G57">_xlfn.IFNA(INDEX($D$2:$D$4001,_xlfn.XMATCH(G$1&amp;"-"&amp;$F57,YEAR($B$2:$B$4001)&amp;"-"&amp;$A$2:$A$4001,0,-1)),9)</f>
        <v>9</v>
      </c>
      <c r="H57" cm="1">
        <f t="array" ref="H57">IF(OR(AND(G57=9,H$1&gt;YEAR($N57))),9,_xlfn.IFNA(INDEX($D$2:$D$4001,_xlfn.XMATCH(H$1&amp;"-"&amp;$F57,YEAR($B$2:$B$4001)&amp;"-"&amp;$A$2:$A$4001,0,-1)),G57))</f>
        <v>9</v>
      </c>
      <c r="I57" cm="1">
        <f t="array" ref="I57">IF(OR(AND(H57=9,I$1&gt;YEAR($N57))),9,_xlfn.IFNA(INDEX($D$2:$D$4001,_xlfn.XMATCH(I$1&amp;"-"&amp;$F57,YEAR($B$2:$B$4001)&amp;"-"&amp;$A$2:$A$4001,0,-1)),H57))</f>
        <v>9</v>
      </c>
      <c r="J57" cm="1">
        <f t="array" ref="J57">IF(OR(AND(I57=9,J$1&gt;YEAR($N57))),9,_xlfn.IFNA(INDEX($D$2:$D$4001,_xlfn.XMATCH(J$1&amp;"-"&amp;$F57,YEAR($B$2:$B$4001)&amp;"-"&amp;$A$2:$A$4001,0,-1)),I57))</f>
        <v>5</v>
      </c>
      <c r="K57" cm="1">
        <f t="array" ref="K57">IF(OR(AND(J57=9,K$1&gt;YEAR($N57))),9,_xlfn.IFNA(INDEX($D$2:$D$4001,_xlfn.XMATCH(K$1&amp;"-"&amp;$F57,YEAR($B$2:$B$4001)&amp;"-"&amp;$A$2:$A$4001,0,-1)),J57))</f>
        <v>6</v>
      </c>
      <c r="L57" cm="1">
        <f t="array" ref="L57">IF(OR(AND(K57=9,L$1&gt;YEAR($N57))),9,_xlfn.IFNA(INDEX($D$2:$D$4001,_xlfn.XMATCH(L$1&amp;"-"&amp;$F57,YEAR($B$2:$B$4001)&amp;"-"&amp;$A$2:$A$4001,0,-1)),K57))</f>
        <v>6</v>
      </c>
      <c r="M57" cm="1">
        <f t="array" ref="M57">IF(OR(AND(L57=9,M$1&gt;YEAR($N57))),9,_xlfn.IFNA(INDEX($D$2:$D$4001,_xlfn.XMATCH(M$1&amp;"-"&amp;$F57,YEAR($B$2:$B$4001)&amp;"-"&amp;$A$2:$A$4001,0,-1)),L57))</f>
        <v>6</v>
      </c>
      <c r="N57" s="1">
        <f t="shared" si="0"/>
        <v>37406</v>
      </c>
    </row>
    <row r="58" spans="1:14" x14ac:dyDescent="0.35">
      <c r="A58">
        <v>30</v>
      </c>
      <c r="B58" s="2">
        <v>37762</v>
      </c>
      <c r="C58">
        <v>3</v>
      </c>
      <c r="D58">
        <v>3</v>
      </c>
      <c r="F58">
        <v>57</v>
      </c>
      <c r="G58" cm="1">
        <f t="array" ref="G58">_xlfn.IFNA(INDEX($D$2:$D$4001,_xlfn.XMATCH(G$1&amp;"-"&amp;$F58,YEAR($B$2:$B$4001)&amp;"-"&amp;$A$2:$A$4001,0,-1)),9)</f>
        <v>3</v>
      </c>
      <c r="H58" cm="1">
        <f t="array" ref="H58">IF(OR(AND(G58=9,H$1&gt;YEAR($N58))),9,_xlfn.IFNA(INDEX($D$2:$D$4001,_xlfn.XMATCH(H$1&amp;"-"&amp;$F58,YEAR($B$2:$B$4001)&amp;"-"&amp;$A$2:$A$4001,0,-1)),G58))</f>
        <v>3</v>
      </c>
      <c r="I58" cm="1">
        <f t="array" ref="I58">IF(OR(AND(H58=9,I$1&gt;YEAR($N58))),9,_xlfn.IFNA(INDEX($D$2:$D$4001,_xlfn.XMATCH(I$1&amp;"-"&amp;$F58,YEAR($B$2:$B$4001)&amp;"-"&amp;$A$2:$A$4001,0,-1)),H58))</f>
        <v>3</v>
      </c>
      <c r="J58" cm="1">
        <f t="array" ref="J58">IF(OR(AND(I58=9,J$1&gt;YEAR($N58))),9,_xlfn.IFNA(INDEX($D$2:$D$4001,_xlfn.XMATCH(J$1&amp;"-"&amp;$F58,YEAR($B$2:$B$4001)&amp;"-"&amp;$A$2:$A$4001,0,-1)),I58))</f>
        <v>3</v>
      </c>
      <c r="K58" cm="1">
        <f t="array" ref="K58">IF(OR(AND(J58=9,K$1&gt;YEAR($N58))),9,_xlfn.IFNA(INDEX($D$2:$D$4001,_xlfn.XMATCH(K$1&amp;"-"&amp;$F58,YEAR($B$2:$B$4001)&amp;"-"&amp;$A$2:$A$4001,0,-1)),J58))</f>
        <v>3</v>
      </c>
      <c r="L58" cm="1">
        <f t="array" ref="L58">IF(OR(AND(K58=9,L$1&gt;YEAR($N58))),9,_xlfn.IFNA(INDEX($D$2:$D$4001,_xlfn.XMATCH(L$1&amp;"-"&amp;$F58,YEAR($B$2:$B$4001)&amp;"-"&amp;$A$2:$A$4001,0,-1)),K58))</f>
        <v>0</v>
      </c>
      <c r="M58" cm="1">
        <f t="array" ref="M58">IF(OR(AND(L58=9,M$1&gt;YEAR($N58))),9,_xlfn.IFNA(INDEX($D$2:$D$4001,_xlfn.XMATCH(M$1&amp;"-"&amp;$F58,YEAR($B$2:$B$4001)&amp;"-"&amp;$A$2:$A$4001,0,-1)),L58))</f>
        <v>0</v>
      </c>
      <c r="N58" s="1">
        <f t="shared" si="0"/>
        <v>36310</v>
      </c>
    </row>
    <row r="59" spans="1:14" x14ac:dyDescent="0.35">
      <c r="A59">
        <v>30</v>
      </c>
      <c r="B59" s="2">
        <v>37985</v>
      </c>
      <c r="C59">
        <v>5</v>
      </c>
      <c r="D59">
        <v>5</v>
      </c>
      <c r="F59">
        <v>58</v>
      </c>
      <c r="G59" cm="1">
        <f t="array" ref="G59">_xlfn.IFNA(INDEX($D$2:$D$4001,_xlfn.XMATCH(G$1&amp;"-"&amp;$F59,YEAR($B$2:$B$4001)&amp;"-"&amp;$A$2:$A$4001,0,-1)),9)</f>
        <v>9</v>
      </c>
      <c r="H59" cm="1">
        <f t="array" ref="H59">IF(OR(AND(G59=9,H$1&gt;YEAR($N59))),9,_xlfn.IFNA(INDEX($D$2:$D$4001,_xlfn.XMATCH(H$1&amp;"-"&amp;$F59,YEAR($B$2:$B$4001)&amp;"-"&amp;$A$2:$A$4001,0,-1)),G59))</f>
        <v>9</v>
      </c>
      <c r="I59" cm="1">
        <f t="array" ref="I59">IF(OR(AND(H59=9,I$1&gt;YEAR($N59))),9,_xlfn.IFNA(INDEX($D$2:$D$4001,_xlfn.XMATCH(I$1&amp;"-"&amp;$F59,YEAR($B$2:$B$4001)&amp;"-"&amp;$A$2:$A$4001,0,-1)),H59))</f>
        <v>9</v>
      </c>
      <c r="J59" cm="1">
        <f t="array" ref="J59">IF(OR(AND(I59=9,J$1&gt;YEAR($N59))),9,_xlfn.IFNA(INDEX($D$2:$D$4001,_xlfn.XMATCH(J$1&amp;"-"&amp;$F59,YEAR($B$2:$B$4001)&amp;"-"&amp;$A$2:$A$4001,0,-1)),I59))</f>
        <v>9</v>
      </c>
      <c r="K59" cm="1">
        <f t="array" ref="K59">IF(OR(AND(J59=9,K$1&gt;YEAR($N59))),9,_xlfn.IFNA(INDEX($D$2:$D$4001,_xlfn.XMATCH(K$1&amp;"-"&amp;$F59,YEAR($B$2:$B$4001)&amp;"-"&amp;$A$2:$A$4001,0,-1)),J59))</f>
        <v>9</v>
      </c>
      <c r="L59" cm="1">
        <f t="array" ref="L59">IF(OR(AND(K59=9,L$1&gt;YEAR($N59))),9,_xlfn.IFNA(INDEX($D$2:$D$4001,_xlfn.XMATCH(L$1&amp;"-"&amp;$F59,YEAR($B$2:$B$4001)&amp;"-"&amp;$A$2:$A$4001,0,-1)),K59))</f>
        <v>2</v>
      </c>
      <c r="M59" cm="1">
        <f t="array" ref="M59">IF(OR(AND(L59=9,M$1&gt;YEAR($N59))),9,_xlfn.IFNA(INDEX($D$2:$D$4001,_xlfn.XMATCH(M$1&amp;"-"&amp;$F59,YEAR($B$2:$B$4001)&amp;"-"&amp;$A$2:$A$4001,0,-1)),L59))</f>
        <v>2</v>
      </c>
      <c r="N59" s="1">
        <f t="shared" si="0"/>
        <v>38159</v>
      </c>
    </row>
    <row r="60" spans="1:14" x14ac:dyDescent="0.35">
      <c r="A60">
        <v>30</v>
      </c>
      <c r="B60" s="2">
        <v>38351</v>
      </c>
      <c r="C60">
        <v>0</v>
      </c>
      <c r="D60">
        <v>0</v>
      </c>
      <c r="F60">
        <v>59</v>
      </c>
      <c r="G60" cm="1">
        <f t="array" ref="G60">_xlfn.IFNA(INDEX($D$2:$D$4001,_xlfn.XMATCH(G$1&amp;"-"&amp;$F60,YEAR($B$2:$B$4001)&amp;"-"&amp;$A$2:$A$4001,0,-1)),9)</f>
        <v>9</v>
      </c>
      <c r="H60" cm="1">
        <f t="array" ref="H60">IF(OR(AND(G60=9,H$1&gt;YEAR($N60))),9,_xlfn.IFNA(INDEX($D$2:$D$4001,_xlfn.XMATCH(H$1&amp;"-"&amp;$F60,YEAR($B$2:$B$4001)&amp;"-"&amp;$A$2:$A$4001,0,-1)),G60))</f>
        <v>9</v>
      </c>
      <c r="I60" cm="1">
        <f t="array" ref="I60">IF(OR(AND(H60=9,I$1&gt;YEAR($N60))),9,_xlfn.IFNA(INDEX($D$2:$D$4001,_xlfn.XMATCH(I$1&amp;"-"&amp;$F60,YEAR($B$2:$B$4001)&amp;"-"&amp;$A$2:$A$4001,0,-1)),H60))</f>
        <v>9</v>
      </c>
      <c r="J60" cm="1">
        <f t="array" ref="J60">IF(OR(AND(I60=9,J$1&gt;YEAR($N60))),9,_xlfn.IFNA(INDEX($D$2:$D$4001,_xlfn.XMATCH(J$1&amp;"-"&amp;$F60,YEAR($B$2:$B$4001)&amp;"-"&amp;$A$2:$A$4001,0,-1)),I60))</f>
        <v>9</v>
      </c>
      <c r="K60" cm="1">
        <f t="array" ref="K60">IF(OR(AND(J60=9,K$1&gt;YEAR($N60))),9,_xlfn.IFNA(INDEX($D$2:$D$4001,_xlfn.XMATCH(K$1&amp;"-"&amp;$F60,YEAR($B$2:$B$4001)&amp;"-"&amp;$A$2:$A$4001,0,-1)),J60))</f>
        <v>9</v>
      </c>
      <c r="L60" cm="1">
        <f t="array" ref="L60">IF(OR(AND(K60=9,L$1&gt;YEAR($N60))),9,_xlfn.IFNA(INDEX($D$2:$D$4001,_xlfn.XMATCH(L$1&amp;"-"&amp;$F60,YEAR($B$2:$B$4001)&amp;"-"&amp;$A$2:$A$4001,0,-1)),K60))</f>
        <v>4</v>
      </c>
      <c r="M60" cm="1">
        <f t="array" ref="M60">IF(OR(AND(L60=9,M$1&gt;YEAR($N60))),9,_xlfn.IFNA(INDEX($D$2:$D$4001,_xlfn.XMATCH(M$1&amp;"-"&amp;$F60,YEAR($B$2:$B$4001)&amp;"-"&amp;$A$2:$A$4001,0,-1)),L60))</f>
        <v>4</v>
      </c>
      <c r="N60" s="1">
        <f t="shared" si="0"/>
        <v>38137</v>
      </c>
    </row>
    <row r="61" spans="1:14" x14ac:dyDescent="0.35">
      <c r="A61">
        <v>31</v>
      </c>
      <c r="B61" s="2">
        <v>36676</v>
      </c>
      <c r="C61">
        <v>0</v>
      </c>
      <c r="D61">
        <v>0</v>
      </c>
      <c r="F61">
        <v>60</v>
      </c>
      <c r="G61" cm="1">
        <f t="array" ref="G61">_xlfn.IFNA(INDEX($D$2:$D$4001,_xlfn.XMATCH(G$1&amp;"-"&amp;$F61,YEAR($B$2:$B$4001)&amp;"-"&amp;$A$2:$A$4001,0,-1)),9)</f>
        <v>5</v>
      </c>
      <c r="H61" cm="1">
        <f t="array" ref="H61">IF(OR(AND(G61=9,H$1&gt;YEAR($N61))),9,_xlfn.IFNA(INDEX($D$2:$D$4001,_xlfn.XMATCH(H$1&amp;"-"&amp;$F61,YEAR($B$2:$B$4001)&amp;"-"&amp;$A$2:$A$4001,0,-1)),G61))</f>
        <v>5</v>
      </c>
      <c r="I61" cm="1">
        <f t="array" ref="I61">IF(OR(AND(H61=9,I$1&gt;YEAR($N61))),9,_xlfn.IFNA(INDEX($D$2:$D$4001,_xlfn.XMATCH(I$1&amp;"-"&amp;$F61,YEAR($B$2:$B$4001)&amp;"-"&amp;$A$2:$A$4001,0,-1)),H61))</f>
        <v>5</v>
      </c>
      <c r="J61" cm="1">
        <f t="array" ref="J61">IF(OR(AND(I61=9,J$1&gt;YEAR($N61))),9,_xlfn.IFNA(INDEX($D$2:$D$4001,_xlfn.XMATCH(J$1&amp;"-"&amp;$F61,YEAR($B$2:$B$4001)&amp;"-"&amp;$A$2:$A$4001,0,-1)),I61))</f>
        <v>0</v>
      </c>
      <c r="K61" cm="1">
        <f t="array" ref="K61">IF(OR(AND(J61=9,K$1&gt;YEAR($N61))),9,_xlfn.IFNA(INDEX($D$2:$D$4001,_xlfn.XMATCH(K$1&amp;"-"&amp;$F61,YEAR($B$2:$B$4001)&amp;"-"&amp;$A$2:$A$4001,0,-1)),J61))</f>
        <v>0</v>
      </c>
      <c r="L61" cm="1">
        <f t="array" ref="L61">IF(OR(AND(K61=9,L$1&gt;YEAR($N61))),9,_xlfn.IFNA(INDEX($D$2:$D$4001,_xlfn.XMATCH(L$1&amp;"-"&amp;$F61,YEAR($B$2:$B$4001)&amp;"-"&amp;$A$2:$A$4001,0,-1)),K61))</f>
        <v>0</v>
      </c>
      <c r="M61" cm="1">
        <f t="array" ref="M61">IF(OR(AND(L61=9,M$1&gt;YEAR($N61))),9,_xlfn.IFNA(INDEX($D$2:$D$4001,_xlfn.XMATCH(M$1&amp;"-"&amp;$F61,YEAR($B$2:$B$4001)&amp;"-"&amp;$A$2:$A$4001,0,-1)),L61))</f>
        <v>0</v>
      </c>
      <c r="N61" s="1">
        <f t="shared" si="0"/>
        <v>36369</v>
      </c>
    </row>
    <row r="62" spans="1:14" x14ac:dyDescent="0.35">
      <c r="A62">
        <v>32</v>
      </c>
      <c r="B62" s="2">
        <v>37885</v>
      </c>
      <c r="C62">
        <v>3</v>
      </c>
      <c r="D62">
        <v>3</v>
      </c>
      <c r="F62">
        <v>61</v>
      </c>
      <c r="G62" cm="1">
        <f t="array" ref="G62">_xlfn.IFNA(INDEX($D$2:$D$4001,_xlfn.XMATCH(G$1&amp;"-"&amp;$F62,YEAR($B$2:$B$4001)&amp;"-"&amp;$A$2:$A$4001,0,-1)),9)</f>
        <v>9</v>
      </c>
      <c r="H62" cm="1">
        <f t="array" ref="H62">IF(OR(AND(G62=9,H$1&gt;YEAR($N62))),9,_xlfn.IFNA(INDEX($D$2:$D$4001,_xlfn.XMATCH(H$1&amp;"-"&amp;$F62,YEAR($B$2:$B$4001)&amp;"-"&amp;$A$2:$A$4001,0,-1)),G62))</f>
        <v>4</v>
      </c>
      <c r="I62" cm="1">
        <f t="array" ref="I62">IF(OR(AND(H62=9,I$1&gt;YEAR($N62))),9,_xlfn.IFNA(INDEX($D$2:$D$4001,_xlfn.XMATCH(I$1&amp;"-"&amp;$F62,YEAR($B$2:$B$4001)&amp;"-"&amp;$A$2:$A$4001,0,-1)),H62))</f>
        <v>4</v>
      </c>
      <c r="J62" cm="1">
        <f t="array" ref="J62">IF(OR(AND(I62=9,J$1&gt;YEAR($N62))),9,_xlfn.IFNA(INDEX($D$2:$D$4001,_xlfn.XMATCH(J$1&amp;"-"&amp;$F62,YEAR($B$2:$B$4001)&amp;"-"&amp;$A$2:$A$4001,0,-1)),I62))</f>
        <v>4</v>
      </c>
      <c r="K62" cm="1">
        <f t="array" ref="K62">IF(OR(AND(J62=9,K$1&gt;YEAR($N62))),9,_xlfn.IFNA(INDEX($D$2:$D$4001,_xlfn.XMATCH(K$1&amp;"-"&amp;$F62,YEAR($B$2:$B$4001)&amp;"-"&amp;$A$2:$A$4001,0,-1)),J62))</f>
        <v>4</v>
      </c>
      <c r="L62" cm="1">
        <f t="array" ref="L62">IF(OR(AND(K62=9,L$1&gt;YEAR($N62))),9,_xlfn.IFNA(INDEX($D$2:$D$4001,_xlfn.XMATCH(L$1&amp;"-"&amp;$F62,YEAR($B$2:$B$4001)&amp;"-"&amp;$A$2:$A$4001,0,-1)),K62))</f>
        <v>4</v>
      </c>
      <c r="M62" cm="1">
        <f t="array" ref="M62">IF(OR(AND(L62=9,M$1&gt;YEAR($N62))),9,_xlfn.IFNA(INDEX($D$2:$D$4001,_xlfn.XMATCH(M$1&amp;"-"&amp;$F62,YEAR($B$2:$B$4001)&amp;"-"&amp;$A$2:$A$4001,0,-1)),L62))</f>
        <v>4</v>
      </c>
      <c r="N62" s="1">
        <f t="shared" si="0"/>
        <v>36765</v>
      </c>
    </row>
    <row r="63" spans="1:14" x14ac:dyDescent="0.35">
      <c r="A63">
        <v>33</v>
      </c>
      <c r="B63" s="2">
        <v>37037</v>
      </c>
      <c r="C63">
        <v>0</v>
      </c>
      <c r="D63">
        <v>0</v>
      </c>
      <c r="F63">
        <v>62</v>
      </c>
      <c r="G63" cm="1">
        <f t="array" ref="G63">_xlfn.IFNA(INDEX($D$2:$D$4001,_xlfn.XMATCH(G$1&amp;"-"&amp;$F63,YEAR($B$2:$B$4001)&amp;"-"&amp;$A$2:$A$4001,0,-1)),9)</f>
        <v>3</v>
      </c>
      <c r="H63" cm="1">
        <f t="array" ref="H63">IF(OR(AND(G63=9,H$1&gt;YEAR($N63))),9,_xlfn.IFNA(INDEX($D$2:$D$4001,_xlfn.XMATCH(H$1&amp;"-"&amp;$F63,YEAR($B$2:$B$4001)&amp;"-"&amp;$A$2:$A$4001,0,-1)),G63))</f>
        <v>3</v>
      </c>
      <c r="I63" cm="1">
        <f t="array" ref="I63">IF(OR(AND(H63=9,I$1&gt;YEAR($N63))),9,_xlfn.IFNA(INDEX($D$2:$D$4001,_xlfn.XMATCH(I$1&amp;"-"&amp;$F63,YEAR($B$2:$B$4001)&amp;"-"&amp;$A$2:$A$4001,0,-1)),H63))</f>
        <v>3</v>
      </c>
      <c r="J63" cm="1">
        <f t="array" ref="J63">IF(OR(AND(I63=9,J$1&gt;YEAR($N63))),9,_xlfn.IFNA(INDEX($D$2:$D$4001,_xlfn.XMATCH(J$1&amp;"-"&amp;$F63,YEAR($B$2:$B$4001)&amp;"-"&amp;$A$2:$A$4001,0,-1)),I63))</f>
        <v>3</v>
      </c>
      <c r="K63" cm="1">
        <f t="array" ref="K63">IF(OR(AND(J63=9,K$1&gt;YEAR($N63))),9,_xlfn.IFNA(INDEX($D$2:$D$4001,_xlfn.XMATCH(K$1&amp;"-"&amp;$F63,YEAR($B$2:$B$4001)&amp;"-"&amp;$A$2:$A$4001,0,-1)),J63))</f>
        <v>3</v>
      </c>
      <c r="L63" cm="1">
        <f t="array" ref="L63">IF(OR(AND(K63=9,L$1&gt;YEAR($N63))),9,_xlfn.IFNA(INDEX($D$2:$D$4001,_xlfn.XMATCH(L$1&amp;"-"&amp;$F63,YEAR($B$2:$B$4001)&amp;"-"&amp;$A$2:$A$4001,0,-1)),K63))</f>
        <v>3</v>
      </c>
      <c r="M63" cm="1">
        <f t="array" ref="M63">IF(OR(AND(L63=9,M$1&gt;YEAR($N63))),9,_xlfn.IFNA(INDEX($D$2:$D$4001,_xlfn.XMATCH(M$1&amp;"-"&amp;$F63,YEAR($B$2:$B$4001)&amp;"-"&amp;$A$2:$A$4001,0,-1)),L63))</f>
        <v>3</v>
      </c>
      <c r="N63" s="1">
        <f t="shared" si="0"/>
        <v>36301</v>
      </c>
    </row>
    <row r="64" spans="1:14" x14ac:dyDescent="0.35">
      <c r="A64">
        <v>34</v>
      </c>
      <c r="B64" s="2">
        <v>36676</v>
      </c>
      <c r="C64">
        <v>2</v>
      </c>
      <c r="D64">
        <v>2</v>
      </c>
      <c r="F64">
        <v>63</v>
      </c>
      <c r="G64" cm="1">
        <f t="array" ref="G64">_xlfn.IFNA(INDEX($D$2:$D$4001,_xlfn.XMATCH(G$1&amp;"-"&amp;$F64,YEAR($B$2:$B$4001)&amp;"-"&amp;$A$2:$A$4001,0,-1)),9)</f>
        <v>3</v>
      </c>
      <c r="H64" cm="1">
        <f t="array" ref="H64">IF(OR(AND(G64=9,H$1&gt;YEAR($N64))),9,_xlfn.IFNA(INDEX($D$2:$D$4001,_xlfn.XMATCH(H$1&amp;"-"&amp;$F64,YEAR($B$2:$B$4001)&amp;"-"&amp;$A$2:$A$4001,0,-1)),G64))</f>
        <v>3</v>
      </c>
      <c r="I64" cm="1">
        <f t="array" ref="I64">IF(OR(AND(H64=9,I$1&gt;YEAR($N64))),9,_xlfn.IFNA(INDEX($D$2:$D$4001,_xlfn.XMATCH(I$1&amp;"-"&amp;$F64,YEAR($B$2:$B$4001)&amp;"-"&amp;$A$2:$A$4001,0,-1)),H64))</f>
        <v>3</v>
      </c>
      <c r="J64" cm="1">
        <f t="array" ref="J64">IF(OR(AND(I64=9,J$1&gt;YEAR($N64))),9,_xlfn.IFNA(INDEX($D$2:$D$4001,_xlfn.XMATCH(J$1&amp;"-"&amp;$F64,YEAR($B$2:$B$4001)&amp;"-"&amp;$A$2:$A$4001,0,-1)),I64))</f>
        <v>3</v>
      </c>
      <c r="K64" cm="1">
        <f t="array" ref="K64">IF(OR(AND(J64=9,K$1&gt;YEAR($N64))),9,_xlfn.IFNA(INDEX($D$2:$D$4001,_xlfn.XMATCH(K$1&amp;"-"&amp;$F64,YEAR($B$2:$B$4001)&amp;"-"&amp;$A$2:$A$4001,0,-1)),J64))</f>
        <v>3</v>
      </c>
      <c r="L64" cm="1">
        <f t="array" ref="L64">IF(OR(AND(K64=9,L$1&gt;YEAR($N64))),9,_xlfn.IFNA(INDEX($D$2:$D$4001,_xlfn.XMATCH(L$1&amp;"-"&amp;$F64,YEAR($B$2:$B$4001)&amp;"-"&amp;$A$2:$A$4001,0,-1)),K64))</f>
        <v>3</v>
      </c>
      <c r="M64" cm="1">
        <f t="array" ref="M64">IF(OR(AND(L64=9,M$1&gt;YEAR($N64))),9,_xlfn.IFNA(INDEX($D$2:$D$4001,_xlfn.XMATCH(M$1&amp;"-"&amp;$F64,YEAR($B$2:$B$4001)&amp;"-"&amp;$A$2:$A$4001,0,-1)),L64))</f>
        <v>3</v>
      </c>
      <c r="N64" s="1">
        <f t="shared" si="0"/>
        <v>36433</v>
      </c>
    </row>
    <row r="65" spans="1:14" x14ac:dyDescent="0.35">
      <c r="A65">
        <v>34</v>
      </c>
      <c r="B65" s="2">
        <v>37620</v>
      </c>
      <c r="C65">
        <v>3</v>
      </c>
      <c r="D65">
        <v>3</v>
      </c>
      <c r="F65">
        <v>64</v>
      </c>
      <c r="G65" cm="1">
        <f t="array" ref="G65">_xlfn.IFNA(INDEX($D$2:$D$4001,_xlfn.XMATCH(G$1&amp;"-"&amp;$F65,YEAR($B$2:$B$4001)&amp;"-"&amp;$A$2:$A$4001,0,-1)),9)</f>
        <v>9</v>
      </c>
      <c r="H65" cm="1">
        <f t="array" ref="H65">IF(OR(AND(G65=9,H$1&gt;YEAR($N65))),9,_xlfn.IFNA(INDEX($D$2:$D$4001,_xlfn.XMATCH(H$1&amp;"-"&amp;$F65,YEAR($B$2:$B$4001)&amp;"-"&amp;$A$2:$A$4001,0,-1)),G65))</f>
        <v>9</v>
      </c>
      <c r="I65" cm="1">
        <f t="array" ref="I65">IF(OR(AND(H65=9,I$1&gt;YEAR($N65))),9,_xlfn.IFNA(INDEX($D$2:$D$4001,_xlfn.XMATCH(I$1&amp;"-"&amp;$F65,YEAR($B$2:$B$4001)&amp;"-"&amp;$A$2:$A$4001,0,-1)),H65))</f>
        <v>9</v>
      </c>
      <c r="J65" cm="1">
        <f t="array" ref="J65">IF(OR(AND(I65=9,J$1&gt;YEAR($N65))),9,_xlfn.IFNA(INDEX($D$2:$D$4001,_xlfn.XMATCH(J$1&amp;"-"&amp;$F65,YEAR($B$2:$B$4001)&amp;"-"&amp;$A$2:$A$4001,0,-1)),I65))</f>
        <v>5</v>
      </c>
      <c r="K65" cm="1">
        <f t="array" ref="K65">IF(OR(AND(J65=9,K$1&gt;YEAR($N65))),9,_xlfn.IFNA(INDEX($D$2:$D$4001,_xlfn.XMATCH(K$1&amp;"-"&amp;$F65,YEAR($B$2:$B$4001)&amp;"-"&amp;$A$2:$A$4001,0,-1)),J65))</f>
        <v>4</v>
      </c>
      <c r="L65" cm="1">
        <f t="array" ref="L65">IF(OR(AND(K65=9,L$1&gt;YEAR($N65))),9,_xlfn.IFNA(INDEX($D$2:$D$4001,_xlfn.XMATCH(L$1&amp;"-"&amp;$F65,YEAR($B$2:$B$4001)&amp;"-"&amp;$A$2:$A$4001,0,-1)),K65))</f>
        <v>4</v>
      </c>
      <c r="M65" cm="1">
        <f t="array" ref="M65">IF(OR(AND(L65=9,M$1&gt;YEAR($N65))),9,_xlfn.IFNA(INDEX($D$2:$D$4001,_xlfn.XMATCH(M$1&amp;"-"&amp;$F65,YEAR($B$2:$B$4001)&amp;"-"&amp;$A$2:$A$4001,0,-1)),L65))</f>
        <v>4</v>
      </c>
      <c r="N65" s="1">
        <f t="shared" si="0"/>
        <v>37467</v>
      </c>
    </row>
    <row r="66" spans="1:14" x14ac:dyDescent="0.35">
      <c r="A66">
        <v>34</v>
      </c>
      <c r="B66" s="2">
        <v>37771</v>
      </c>
      <c r="C66">
        <v>3</v>
      </c>
      <c r="D66">
        <v>3</v>
      </c>
      <c r="F66">
        <v>65</v>
      </c>
      <c r="G66" cm="1">
        <f t="array" ref="G66">_xlfn.IFNA(INDEX($D$2:$D$4001,_xlfn.XMATCH(G$1&amp;"-"&amp;$F66,YEAR($B$2:$B$4001)&amp;"-"&amp;$A$2:$A$4001,0,-1)),9)</f>
        <v>9</v>
      </c>
      <c r="H66" cm="1">
        <f t="array" ref="H66">IF(OR(AND(G66=9,H$1&gt;YEAR($N66))),9,_xlfn.IFNA(INDEX($D$2:$D$4001,_xlfn.XMATCH(H$1&amp;"-"&amp;$F66,YEAR($B$2:$B$4001)&amp;"-"&amp;$A$2:$A$4001,0,-1)),G66))</f>
        <v>5</v>
      </c>
      <c r="I66" cm="1">
        <f t="array" ref="I66">IF(OR(AND(H66=9,I$1&gt;YEAR($N66))),9,_xlfn.IFNA(INDEX($D$2:$D$4001,_xlfn.XMATCH(I$1&amp;"-"&amp;$F66,YEAR($B$2:$B$4001)&amp;"-"&amp;$A$2:$A$4001,0,-1)),H66))</f>
        <v>5</v>
      </c>
      <c r="J66" cm="1">
        <f t="array" ref="J66">IF(OR(AND(I66=9,J$1&gt;YEAR($N66))),9,_xlfn.IFNA(INDEX($D$2:$D$4001,_xlfn.XMATCH(J$1&amp;"-"&amp;$F66,YEAR($B$2:$B$4001)&amp;"-"&amp;$A$2:$A$4001,0,-1)),I66))</f>
        <v>4</v>
      </c>
      <c r="K66" cm="1">
        <f t="array" ref="K66">IF(OR(AND(J66=9,K$1&gt;YEAR($N66))),9,_xlfn.IFNA(INDEX($D$2:$D$4001,_xlfn.XMATCH(K$1&amp;"-"&amp;$F66,YEAR($B$2:$B$4001)&amp;"-"&amp;$A$2:$A$4001,0,-1)),J66))</f>
        <v>4</v>
      </c>
      <c r="L66" cm="1">
        <f t="array" ref="L66">IF(OR(AND(K66=9,L$1&gt;YEAR($N66))),9,_xlfn.IFNA(INDEX($D$2:$D$4001,_xlfn.XMATCH(L$1&amp;"-"&amp;$F66,YEAR($B$2:$B$4001)&amp;"-"&amp;$A$2:$A$4001,0,-1)),K66))</f>
        <v>4</v>
      </c>
      <c r="M66" cm="1">
        <f t="array" ref="M66">IF(OR(AND(L66=9,M$1&gt;YEAR($N66))),9,_xlfn.IFNA(INDEX($D$2:$D$4001,_xlfn.XMATCH(M$1&amp;"-"&amp;$F66,YEAR($B$2:$B$4001)&amp;"-"&amp;$A$2:$A$4001,0,-1)),L66))</f>
        <v>4</v>
      </c>
      <c r="N66" s="1">
        <f t="shared" si="0"/>
        <v>36667</v>
      </c>
    </row>
    <row r="67" spans="1:14" x14ac:dyDescent="0.35">
      <c r="A67">
        <v>35</v>
      </c>
      <c r="B67" s="2">
        <v>37620</v>
      </c>
      <c r="C67">
        <v>3</v>
      </c>
      <c r="D67">
        <v>3</v>
      </c>
      <c r="F67">
        <v>66</v>
      </c>
      <c r="G67" cm="1">
        <f t="array" ref="G67">_xlfn.IFNA(INDEX($D$2:$D$4001,_xlfn.XMATCH(G$1&amp;"-"&amp;$F67,YEAR($B$2:$B$4001)&amp;"-"&amp;$A$2:$A$4001,0,-1)),9)</f>
        <v>9</v>
      </c>
      <c r="H67" cm="1">
        <f t="array" ref="H67">IF(OR(AND(G67=9,H$1&gt;YEAR($N67))),9,_xlfn.IFNA(INDEX($D$2:$D$4001,_xlfn.XMATCH(H$1&amp;"-"&amp;$F67,YEAR($B$2:$B$4001)&amp;"-"&amp;$A$2:$A$4001,0,-1)),G67))</f>
        <v>9</v>
      </c>
      <c r="I67" cm="1">
        <f t="array" ref="I67">IF(OR(AND(H67=9,I$1&gt;YEAR($N67))),9,_xlfn.IFNA(INDEX($D$2:$D$4001,_xlfn.XMATCH(I$1&amp;"-"&amp;$F67,YEAR($B$2:$B$4001)&amp;"-"&amp;$A$2:$A$4001,0,-1)),H67))</f>
        <v>9</v>
      </c>
      <c r="J67" cm="1">
        <f t="array" ref="J67">IF(OR(AND(I67=9,J$1&gt;YEAR($N67))),9,_xlfn.IFNA(INDEX($D$2:$D$4001,_xlfn.XMATCH(J$1&amp;"-"&amp;$F67,YEAR($B$2:$B$4001)&amp;"-"&amp;$A$2:$A$4001,0,-1)),I67))</f>
        <v>9</v>
      </c>
      <c r="K67" cm="1">
        <f t="array" ref="K67">IF(OR(AND(J67=9,K$1&gt;YEAR($N67))),9,_xlfn.IFNA(INDEX($D$2:$D$4001,_xlfn.XMATCH(K$1&amp;"-"&amp;$F67,YEAR($B$2:$B$4001)&amp;"-"&amp;$A$2:$A$4001,0,-1)),J67))</f>
        <v>9</v>
      </c>
      <c r="L67" cm="1">
        <f t="array" ref="L67">IF(OR(AND(K67=9,L$1&gt;YEAR($N67))),9,_xlfn.IFNA(INDEX($D$2:$D$4001,_xlfn.XMATCH(L$1&amp;"-"&amp;$F67,YEAR($B$2:$B$4001)&amp;"-"&amp;$A$2:$A$4001,0,-1)),K67))</f>
        <v>4</v>
      </c>
      <c r="M67" cm="1">
        <f t="array" ref="M67">IF(OR(AND(L67=9,M$1&gt;YEAR($N67))),9,_xlfn.IFNA(INDEX($D$2:$D$4001,_xlfn.XMATCH(M$1&amp;"-"&amp;$F67,YEAR($B$2:$B$4001)&amp;"-"&amp;$A$2:$A$4001,0,-1)),L67))</f>
        <v>4</v>
      </c>
      <c r="N67" s="1">
        <f t="shared" ref="N67:N130" si="1">_xlfn.MINIFS($B$2:$B$4001,$A$2:$A$4001,F67)</f>
        <v>38168</v>
      </c>
    </row>
    <row r="68" spans="1:14" x14ac:dyDescent="0.35">
      <c r="A68">
        <v>35</v>
      </c>
      <c r="B68" s="2">
        <v>38220</v>
      </c>
      <c r="C68">
        <v>3</v>
      </c>
      <c r="D68">
        <v>3</v>
      </c>
      <c r="F68">
        <v>67</v>
      </c>
      <c r="G68" cm="1">
        <f t="array" ref="G68">_xlfn.IFNA(INDEX($D$2:$D$4001,_xlfn.XMATCH(G$1&amp;"-"&amp;$F68,YEAR($B$2:$B$4001)&amp;"-"&amp;$A$2:$A$4001,0,-1)),9)</f>
        <v>9</v>
      </c>
      <c r="H68" cm="1">
        <f t="array" ref="H68">IF(OR(AND(G68=9,H$1&gt;YEAR($N68))),9,_xlfn.IFNA(INDEX($D$2:$D$4001,_xlfn.XMATCH(H$1&amp;"-"&amp;$F68,YEAR($B$2:$B$4001)&amp;"-"&amp;$A$2:$A$4001,0,-1)),G68))</f>
        <v>3</v>
      </c>
      <c r="I68" cm="1">
        <f t="array" ref="I68">IF(OR(AND(H68=9,I$1&gt;YEAR($N68))),9,_xlfn.IFNA(INDEX($D$2:$D$4001,_xlfn.XMATCH(I$1&amp;"-"&amp;$F68,YEAR($B$2:$B$4001)&amp;"-"&amp;$A$2:$A$4001,0,-1)),H68))</f>
        <v>3</v>
      </c>
      <c r="J68" cm="1">
        <f t="array" ref="J68">IF(OR(AND(I68=9,J$1&gt;YEAR($N68))),9,_xlfn.IFNA(INDEX($D$2:$D$4001,_xlfn.XMATCH(J$1&amp;"-"&amp;$F68,YEAR($B$2:$B$4001)&amp;"-"&amp;$A$2:$A$4001,0,-1)),I68))</f>
        <v>3</v>
      </c>
      <c r="K68" cm="1">
        <f t="array" ref="K68">IF(OR(AND(J68=9,K$1&gt;YEAR($N68))),9,_xlfn.IFNA(INDEX($D$2:$D$4001,_xlfn.XMATCH(K$1&amp;"-"&amp;$F68,YEAR($B$2:$B$4001)&amp;"-"&amp;$A$2:$A$4001,0,-1)),J68))</f>
        <v>3</v>
      </c>
      <c r="L68" cm="1">
        <f t="array" ref="L68">IF(OR(AND(K68=9,L$1&gt;YEAR($N68))),9,_xlfn.IFNA(INDEX($D$2:$D$4001,_xlfn.XMATCH(L$1&amp;"-"&amp;$F68,YEAR($B$2:$B$4001)&amp;"-"&amp;$A$2:$A$4001,0,-1)),K68))</f>
        <v>4</v>
      </c>
      <c r="M68" cm="1">
        <f t="array" ref="M68">IF(OR(AND(L68=9,M$1&gt;YEAR($N68))),9,_xlfn.IFNA(INDEX($D$2:$D$4001,_xlfn.XMATCH(M$1&amp;"-"&amp;$F68,YEAR($B$2:$B$4001)&amp;"-"&amp;$A$2:$A$4001,0,-1)),L68))</f>
        <v>4</v>
      </c>
      <c r="N68" s="1">
        <f t="shared" si="1"/>
        <v>36676</v>
      </c>
    </row>
    <row r="69" spans="1:14" x14ac:dyDescent="0.35">
      <c r="A69">
        <v>36</v>
      </c>
      <c r="B69" s="2">
        <v>36676</v>
      </c>
      <c r="C69">
        <v>4</v>
      </c>
      <c r="D69">
        <v>4</v>
      </c>
      <c r="F69">
        <v>68</v>
      </c>
      <c r="G69" cm="1">
        <f t="array" ref="G69">_xlfn.IFNA(INDEX($D$2:$D$4001,_xlfn.XMATCH(G$1&amp;"-"&amp;$F69,YEAR($B$2:$B$4001)&amp;"-"&amp;$A$2:$A$4001,0,-1)),9)</f>
        <v>9</v>
      </c>
      <c r="H69" cm="1">
        <f t="array" ref="H69">IF(OR(AND(G69=9,H$1&gt;YEAR($N69))),9,_xlfn.IFNA(INDEX($D$2:$D$4001,_xlfn.XMATCH(H$1&amp;"-"&amp;$F69,YEAR($B$2:$B$4001)&amp;"-"&amp;$A$2:$A$4001,0,-1)),G69))</f>
        <v>9</v>
      </c>
      <c r="I69" cm="1">
        <f t="array" ref="I69">IF(OR(AND(H69=9,I$1&gt;YEAR($N69))),9,_xlfn.IFNA(INDEX($D$2:$D$4001,_xlfn.XMATCH(I$1&amp;"-"&amp;$F69,YEAR($B$2:$B$4001)&amp;"-"&amp;$A$2:$A$4001,0,-1)),H69))</f>
        <v>9</v>
      </c>
      <c r="J69" cm="1">
        <f t="array" ref="J69">IF(OR(AND(I69=9,J$1&gt;YEAR($N69))),9,_xlfn.IFNA(INDEX($D$2:$D$4001,_xlfn.XMATCH(J$1&amp;"-"&amp;$F69,YEAR($B$2:$B$4001)&amp;"-"&amp;$A$2:$A$4001,0,-1)),I69))</f>
        <v>9</v>
      </c>
      <c r="K69" cm="1">
        <f t="array" ref="K69">IF(OR(AND(J69=9,K$1&gt;YEAR($N69))),9,_xlfn.IFNA(INDEX($D$2:$D$4001,_xlfn.XMATCH(K$1&amp;"-"&amp;$F69,YEAR($B$2:$B$4001)&amp;"-"&amp;$A$2:$A$4001,0,-1)),J69))</f>
        <v>9</v>
      </c>
      <c r="L69" cm="1">
        <f t="array" ref="L69">IF(OR(AND(K69=9,L$1&gt;YEAR($N69))),9,_xlfn.IFNA(INDEX($D$2:$D$4001,_xlfn.XMATCH(L$1&amp;"-"&amp;$F69,YEAR($B$2:$B$4001)&amp;"-"&amp;$A$2:$A$4001,0,-1)),K69))</f>
        <v>4</v>
      </c>
      <c r="M69" cm="1">
        <f t="array" ref="M69">IF(OR(AND(L69=9,M$1&gt;YEAR($N69))),9,_xlfn.IFNA(INDEX($D$2:$D$4001,_xlfn.XMATCH(M$1&amp;"-"&amp;$F69,YEAR($B$2:$B$4001)&amp;"-"&amp;$A$2:$A$4001,0,-1)),L69))</f>
        <v>4</v>
      </c>
      <c r="N69" s="1">
        <f t="shared" si="1"/>
        <v>38225</v>
      </c>
    </row>
    <row r="70" spans="1:14" x14ac:dyDescent="0.35">
      <c r="A70">
        <v>37</v>
      </c>
      <c r="B70" s="2">
        <v>38351</v>
      </c>
      <c r="C70">
        <v>2</v>
      </c>
      <c r="D70">
        <v>2</v>
      </c>
      <c r="F70">
        <v>69</v>
      </c>
      <c r="G70" cm="1">
        <f t="array" ref="G70">_xlfn.IFNA(INDEX($D$2:$D$4001,_xlfn.XMATCH(G$1&amp;"-"&amp;$F70,YEAR($B$2:$B$4001)&amp;"-"&amp;$A$2:$A$4001,0,-1)),9)</f>
        <v>9</v>
      </c>
      <c r="H70" cm="1">
        <f t="array" ref="H70">IF(OR(AND(G70=9,H$1&gt;YEAR($N70))),9,_xlfn.IFNA(INDEX($D$2:$D$4001,_xlfn.XMATCH(H$1&amp;"-"&amp;$F70,YEAR($B$2:$B$4001)&amp;"-"&amp;$A$2:$A$4001,0,-1)),G70))</f>
        <v>3</v>
      </c>
      <c r="I70" cm="1">
        <f t="array" ref="I70">IF(OR(AND(H70=9,I$1&gt;YEAR($N70))),9,_xlfn.IFNA(INDEX($D$2:$D$4001,_xlfn.XMATCH(I$1&amp;"-"&amp;$F70,YEAR($B$2:$B$4001)&amp;"-"&amp;$A$2:$A$4001,0,-1)),H70))</f>
        <v>3</v>
      </c>
      <c r="J70" cm="1">
        <f t="array" ref="J70">IF(OR(AND(I70=9,J$1&gt;YEAR($N70))),9,_xlfn.IFNA(INDEX($D$2:$D$4001,_xlfn.XMATCH(J$1&amp;"-"&amp;$F70,YEAR($B$2:$B$4001)&amp;"-"&amp;$A$2:$A$4001,0,-1)),I70))</f>
        <v>3</v>
      </c>
      <c r="K70" cm="1">
        <f t="array" ref="K70">IF(OR(AND(J70=9,K$1&gt;YEAR($N70))),9,_xlfn.IFNA(INDEX($D$2:$D$4001,_xlfn.XMATCH(K$1&amp;"-"&amp;$F70,YEAR($B$2:$B$4001)&amp;"-"&amp;$A$2:$A$4001,0,-1)),J70))</f>
        <v>3</v>
      </c>
      <c r="L70" cm="1">
        <f t="array" ref="L70">IF(OR(AND(K70=9,L$1&gt;YEAR($N70))),9,_xlfn.IFNA(INDEX($D$2:$D$4001,_xlfn.XMATCH(L$1&amp;"-"&amp;$F70,YEAR($B$2:$B$4001)&amp;"-"&amp;$A$2:$A$4001,0,-1)),K70))</f>
        <v>3</v>
      </c>
      <c r="M70" cm="1">
        <f t="array" ref="M70">IF(OR(AND(L70=9,M$1&gt;YEAR($N70))),9,_xlfn.IFNA(INDEX($D$2:$D$4001,_xlfn.XMATCH(M$1&amp;"-"&amp;$F70,YEAR($B$2:$B$4001)&amp;"-"&amp;$A$2:$A$4001,0,-1)),L70))</f>
        <v>3</v>
      </c>
      <c r="N70" s="1">
        <f t="shared" si="1"/>
        <v>36829</v>
      </c>
    </row>
    <row r="71" spans="1:14" x14ac:dyDescent="0.35">
      <c r="A71">
        <v>38</v>
      </c>
      <c r="B71" s="2">
        <v>36890</v>
      </c>
      <c r="C71">
        <v>3</v>
      </c>
      <c r="D71">
        <v>3</v>
      </c>
      <c r="F71">
        <v>70</v>
      </c>
      <c r="G71" cm="1">
        <f t="array" ref="G71">_xlfn.IFNA(INDEX($D$2:$D$4001,_xlfn.XMATCH(G$1&amp;"-"&amp;$F71,YEAR($B$2:$B$4001)&amp;"-"&amp;$A$2:$A$4001,0,-1)),9)</f>
        <v>9</v>
      </c>
      <c r="H71" cm="1">
        <f t="array" ref="H71">IF(OR(AND(G71=9,H$1&gt;YEAR($N71))),9,_xlfn.IFNA(INDEX($D$2:$D$4001,_xlfn.XMATCH(H$1&amp;"-"&amp;$F71,YEAR($B$2:$B$4001)&amp;"-"&amp;$A$2:$A$4001,0,-1)),G71))</f>
        <v>3</v>
      </c>
      <c r="I71" cm="1">
        <f t="array" ref="I71">IF(OR(AND(H71=9,I$1&gt;YEAR($N71))),9,_xlfn.IFNA(INDEX($D$2:$D$4001,_xlfn.XMATCH(I$1&amp;"-"&amp;$F71,YEAR($B$2:$B$4001)&amp;"-"&amp;$A$2:$A$4001,0,-1)),H71))</f>
        <v>3</v>
      </c>
      <c r="J71" cm="1">
        <f t="array" ref="J71">IF(OR(AND(I71=9,J$1&gt;YEAR($N71))),9,_xlfn.IFNA(INDEX($D$2:$D$4001,_xlfn.XMATCH(J$1&amp;"-"&amp;$F71,YEAR($B$2:$B$4001)&amp;"-"&amp;$A$2:$A$4001,0,-1)),I71))</f>
        <v>4</v>
      </c>
      <c r="K71" cm="1">
        <f t="array" ref="K71">IF(OR(AND(J71=9,K$1&gt;YEAR($N71))),9,_xlfn.IFNA(INDEX($D$2:$D$4001,_xlfn.XMATCH(K$1&amp;"-"&amp;$F71,YEAR($B$2:$B$4001)&amp;"-"&amp;$A$2:$A$4001,0,-1)),J71))</f>
        <v>4</v>
      </c>
      <c r="L71" cm="1">
        <f t="array" ref="L71">IF(OR(AND(K71=9,L$1&gt;YEAR($N71))),9,_xlfn.IFNA(INDEX($D$2:$D$4001,_xlfn.XMATCH(L$1&amp;"-"&amp;$F71,YEAR($B$2:$B$4001)&amp;"-"&amp;$A$2:$A$4001,0,-1)),K71))</f>
        <v>4</v>
      </c>
      <c r="M71" cm="1">
        <f t="array" ref="M71">IF(OR(AND(L71=9,M$1&gt;YEAR($N71))),9,_xlfn.IFNA(INDEX($D$2:$D$4001,_xlfn.XMATCH(M$1&amp;"-"&amp;$F71,YEAR($B$2:$B$4001)&amp;"-"&amp;$A$2:$A$4001,0,-1)),L71))</f>
        <v>4</v>
      </c>
      <c r="N71" s="1">
        <f t="shared" si="1"/>
        <v>36707</v>
      </c>
    </row>
    <row r="72" spans="1:14" x14ac:dyDescent="0.35">
      <c r="A72">
        <v>38</v>
      </c>
      <c r="B72" s="2">
        <v>37924</v>
      </c>
      <c r="C72">
        <v>3</v>
      </c>
      <c r="D72">
        <v>3</v>
      </c>
      <c r="F72">
        <v>71</v>
      </c>
      <c r="G72" cm="1">
        <f t="array" ref="G72">_xlfn.IFNA(INDEX($D$2:$D$4001,_xlfn.XMATCH(G$1&amp;"-"&amp;$F72,YEAR($B$2:$B$4001)&amp;"-"&amp;$A$2:$A$4001,0,-1)),9)</f>
        <v>9</v>
      </c>
      <c r="H72" cm="1">
        <f t="array" ref="H72">IF(OR(AND(G72=9,H$1&gt;YEAR($N72))),9,_xlfn.IFNA(INDEX($D$2:$D$4001,_xlfn.XMATCH(H$1&amp;"-"&amp;$F72,YEAR($B$2:$B$4001)&amp;"-"&amp;$A$2:$A$4001,0,-1)),G72))</f>
        <v>9</v>
      </c>
      <c r="I72" cm="1">
        <f t="array" ref="I72">IF(OR(AND(H72=9,I$1&gt;YEAR($N72))),9,_xlfn.IFNA(INDEX($D$2:$D$4001,_xlfn.XMATCH(I$1&amp;"-"&amp;$F72,YEAR($B$2:$B$4001)&amp;"-"&amp;$A$2:$A$4001,0,-1)),H72))</f>
        <v>9</v>
      </c>
      <c r="J72" cm="1">
        <f t="array" ref="J72">IF(OR(AND(I72=9,J$1&gt;YEAR($N72))),9,_xlfn.IFNA(INDEX($D$2:$D$4001,_xlfn.XMATCH(J$1&amp;"-"&amp;$F72,YEAR($B$2:$B$4001)&amp;"-"&amp;$A$2:$A$4001,0,-1)),I72))</f>
        <v>9</v>
      </c>
      <c r="K72" cm="1">
        <f t="array" ref="K72">IF(OR(AND(J72=9,K$1&gt;YEAR($N72))),9,_xlfn.IFNA(INDEX($D$2:$D$4001,_xlfn.XMATCH(K$1&amp;"-"&amp;$F72,YEAR($B$2:$B$4001)&amp;"-"&amp;$A$2:$A$4001,0,-1)),J72))</f>
        <v>9</v>
      </c>
      <c r="L72" cm="1">
        <f t="array" ref="L72">IF(OR(AND(K72=9,L$1&gt;YEAR($N72))),9,_xlfn.IFNA(INDEX($D$2:$D$4001,_xlfn.XMATCH(L$1&amp;"-"&amp;$F72,YEAR($B$2:$B$4001)&amp;"-"&amp;$A$2:$A$4001,0,-1)),K72))</f>
        <v>4</v>
      </c>
      <c r="M72" cm="1">
        <f t="array" ref="M72">IF(OR(AND(L72=9,M$1&gt;YEAR($N72))),9,_xlfn.IFNA(INDEX($D$2:$D$4001,_xlfn.XMATCH(M$1&amp;"-"&amp;$F72,YEAR($B$2:$B$4001)&amp;"-"&amp;$A$2:$A$4001,0,-1)),L72))</f>
        <v>4</v>
      </c>
      <c r="N72" s="1">
        <f t="shared" si="1"/>
        <v>38351</v>
      </c>
    </row>
    <row r="73" spans="1:14" x14ac:dyDescent="0.35">
      <c r="A73">
        <v>39</v>
      </c>
      <c r="B73" s="2">
        <v>36667</v>
      </c>
      <c r="C73">
        <v>2</v>
      </c>
      <c r="D73">
        <v>2</v>
      </c>
      <c r="F73">
        <v>72</v>
      </c>
      <c r="G73" cm="1">
        <f t="array" ref="G73">_xlfn.IFNA(INDEX($D$2:$D$4001,_xlfn.XMATCH(G$1&amp;"-"&amp;$F73,YEAR($B$2:$B$4001)&amp;"-"&amp;$A$2:$A$4001,0,-1)),9)</f>
        <v>4</v>
      </c>
      <c r="H73" cm="1">
        <f t="array" ref="H73">IF(OR(AND(G73=9,H$1&gt;YEAR($N73))),9,_xlfn.IFNA(INDEX($D$2:$D$4001,_xlfn.XMATCH(H$1&amp;"-"&amp;$F73,YEAR($B$2:$B$4001)&amp;"-"&amp;$A$2:$A$4001,0,-1)),G73))</f>
        <v>4</v>
      </c>
      <c r="I73" cm="1">
        <f t="array" ref="I73">IF(OR(AND(H73=9,I$1&gt;YEAR($N73))),9,_xlfn.IFNA(INDEX($D$2:$D$4001,_xlfn.XMATCH(I$1&amp;"-"&amp;$F73,YEAR($B$2:$B$4001)&amp;"-"&amp;$A$2:$A$4001,0,-1)),H73))</f>
        <v>4</v>
      </c>
      <c r="J73" cm="1">
        <f t="array" ref="J73">IF(OR(AND(I73=9,J$1&gt;YEAR($N73))),9,_xlfn.IFNA(INDEX($D$2:$D$4001,_xlfn.XMATCH(J$1&amp;"-"&amp;$F73,YEAR($B$2:$B$4001)&amp;"-"&amp;$A$2:$A$4001,0,-1)),I73))</f>
        <v>4</v>
      </c>
      <c r="K73" cm="1">
        <f t="array" ref="K73">IF(OR(AND(J73=9,K$1&gt;YEAR($N73))),9,_xlfn.IFNA(INDEX($D$2:$D$4001,_xlfn.XMATCH(K$1&amp;"-"&amp;$F73,YEAR($B$2:$B$4001)&amp;"-"&amp;$A$2:$A$4001,0,-1)),J73))</f>
        <v>4</v>
      </c>
      <c r="L73" cm="1">
        <f t="array" ref="L73">IF(OR(AND(K73=9,L$1&gt;YEAR($N73))),9,_xlfn.IFNA(INDEX($D$2:$D$4001,_xlfn.XMATCH(L$1&amp;"-"&amp;$F73,YEAR($B$2:$B$4001)&amp;"-"&amp;$A$2:$A$4001,0,-1)),K73))</f>
        <v>4</v>
      </c>
      <c r="M73" cm="1">
        <f t="array" ref="M73">IF(OR(AND(L73=9,M$1&gt;YEAR($N73))),9,_xlfn.IFNA(INDEX($D$2:$D$4001,_xlfn.XMATCH(M$1&amp;"-"&amp;$F73,YEAR($B$2:$B$4001)&amp;"-"&amp;$A$2:$A$4001,0,-1)),L73))</f>
        <v>4</v>
      </c>
      <c r="N73" s="1">
        <f t="shared" si="1"/>
        <v>36304</v>
      </c>
    </row>
    <row r="74" spans="1:14" x14ac:dyDescent="0.35">
      <c r="A74">
        <v>39</v>
      </c>
      <c r="B74" s="2">
        <v>37399</v>
      </c>
      <c r="C74">
        <v>1</v>
      </c>
      <c r="D74">
        <v>1</v>
      </c>
      <c r="F74">
        <v>73</v>
      </c>
      <c r="G74" cm="1">
        <f t="array" ref="G74">_xlfn.IFNA(INDEX($D$2:$D$4001,_xlfn.XMATCH(G$1&amp;"-"&amp;$F74,YEAR($B$2:$B$4001)&amp;"-"&amp;$A$2:$A$4001,0,-1)),9)</f>
        <v>5</v>
      </c>
      <c r="H74" cm="1">
        <f t="array" ref="H74">IF(OR(AND(G74=9,H$1&gt;YEAR($N74))),9,_xlfn.IFNA(INDEX($D$2:$D$4001,_xlfn.XMATCH(H$1&amp;"-"&amp;$F74,YEAR($B$2:$B$4001)&amp;"-"&amp;$A$2:$A$4001,0,-1)),G74))</f>
        <v>5</v>
      </c>
      <c r="I74" cm="1">
        <f t="array" ref="I74">IF(OR(AND(H74=9,I$1&gt;YEAR($N74))),9,_xlfn.IFNA(INDEX($D$2:$D$4001,_xlfn.XMATCH(I$1&amp;"-"&amp;$F74,YEAR($B$2:$B$4001)&amp;"-"&amp;$A$2:$A$4001,0,-1)),H74))</f>
        <v>5</v>
      </c>
      <c r="J74" cm="1">
        <f t="array" ref="J74">IF(OR(AND(I74=9,J$1&gt;YEAR($N74))),9,_xlfn.IFNA(INDEX($D$2:$D$4001,_xlfn.XMATCH(J$1&amp;"-"&amp;$F74,YEAR($B$2:$B$4001)&amp;"-"&amp;$A$2:$A$4001,0,-1)),I74))</f>
        <v>4</v>
      </c>
      <c r="K74" cm="1">
        <f t="array" ref="K74">IF(OR(AND(J74=9,K$1&gt;YEAR($N74))),9,_xlfn.IFNA(INDEX($D$2:$D$4001,_xlfn.XMATCH(K$1&amp;"-"&amp;$F74,YEAR($B$2:$B$4001)&amp;"-"&amp;$A$2:$A$4001,0,-1)),J74))</f>
        <v>4</v>
      </c>
      <c r="L74" cm="1">
        <f t="array" ref="L74">IF(OR(AND(K74=9,L$1&gt;YEAR($N74))),9,_xlfn.IFNA(INDEX($D$2:$D$4001,_xlfn.XMATCH(L$1&amp;"-"&amp;$F74,YEAR($B$2:$B$4001)&amp;"-"&amp;$A$2:$A$4001,0,-1)),K74))</f>
        <v>4</v>
      </c>
      <c r="M74" cm="1">
        <f t="array" ref="M74">IF(OR(AND(L74=9,M$1&gt;YEAR($N74))),9,_xlfn.IFNA(INDEX($D$2:$D$4001,_xlfn.XMATCH(M$1&amp;"-"&amp;$F74,YEAR($B$2:$B$4001)&amp;"-"&amp;$A$2:$A$4001,0,-1)),L74))</f>
        <v>4</v>
      </c>
      <c r="N74" s="1">
        <f t="shared" si="1"/>
        <v>36310</v>
      </c>
    </row>
    <row r="75" spans="1:14" x14ac:dyDescent="0.35">
      <c r="A75">
        <v>40</v>
      </c>
      <c r="B75" s="2">
        <v>36494</v>
      </c>
      <c r="C75">
        <v>3</v>
      </c>
      <c r="D75">
        <v>3</v>
      </c>
      <c r="F75">
        <v>74</v>
      </c>
      <c r="G75" cm="1">
        <f t="array" ref="G75">_xlfn.IFNA(INDEX($D$2:$D$4001,_xlfn.XMATCH(G$1&amp;"-"&amp;$F75,YEAR($B$2:$B$4001)&amp;"-"&amp;$A$2:$A$4001,0,-1)),9)</f>
        <v>5</v>
      </c>
      <c r="H75" cm="1">
        <f t="array" ref="H75">IF(OR(AND(G75=9,H$1&gt;YEAR($N75))),9,_xlfn.IFNA(INDEX($D$2:$D$4001,_xlfn.XMATCH(H$1&amp;"-"&amp;$F75,YEAR($B$2:$B$4001)&amp;"-"&amp;$A$2:$A$4001,0,-1)),G75))</f>
        <v>5</v>
      </c>
      <c r="I75" cm="1">
        <f t="array" ref="I75">IF(OR(AND(H75=9,I$1&gt;YEAR($N75))),9,_xlfn.IFNA(INDEX($D$2:$D$4001,_xlfn.XMATCH(I$1&amp;"-"&amp;$F75,YEAR($B$2:$B$4001)&amp;"-"&amp;$A$2:$A$4001,0,-1)),H75))</f>
        <v>5</v>
      </c>
      <c r="J75" cm="1">
        <f t="array" ref="J75">IF(OR(AND(I75=9,J$1&gt;YEAR($N75))),9,_xlfn.IFNA(INDEX($D$2:$D$4001,_xlfn.XMATCH(J$1&amp;"-"&amp;$F75,YEAR($B$2:$B$4001)&amp;"-"&amp;$A$2:$A$4001,0,-1)),I75))</f>
        <v>4</v>
      </c>
      <c r="K75" cm="1">
        <f t="array" ref="K75">IF(OR(AND(J75=9,K$1&gt;YEAR($N75))),9,_xlfn.IFNA(INDEX($D$2:$D$4001,_xlfn.XMATCH(K$1&amp;"-"&amp;$F75,YEAR($B$2:$B$4001)&amp;"-"&amp;$A$2:$A$4001,0,-1)),J75))</f>
        <v>4</v>
      </c>
      <c r="L75" cm="1">
        <f t="array" ref="L75">IF(OR(AND(K75=9,L$1&gt;YEAR($N75))),9,_xlfn.IFNA(INDEX($D$2:$D$4001,_xlfn.XMATCH(L$1&amp;"-"&amp;$F75,YEAR($B$2:$B$4001)&amp;"-"&amp;$A$2:$A$4001,0,-1)),K75))</f>
        <v>4</v>
      </c>
      <c r="M75" cm="1">
        <f t="array" ref="M75">IF(OR(AND(L75=9,M$1&gt;YEAR($N75))),9,_xlfn.IFNA(INDEX($D$2:$D$4001,_xlfn.XMATCH(M$1&amp;"-"&amp;$F75,YEAR($B$2:$B$4001)&amp;"-"&amp;$A$2:$A$4001,0,-1)),L75))</f>
        <v>4</v>
      </c>
      <c r="N75" s="1">
        <f t="shared" si="1"/>
        <v>36369</v>
      </c>
    </row>
    <row r="76" spans="1:14" x14ac:dyDescent="0.35">
      <c r="A76">
        <v>40</v>
      </c>
      <c r="B76" s="2">
        <v>37976</v>
      </c>
      <c r="C76">
        <v>3</v>
      </c>
      <c r="D76">
        <v>3</v>
      </c>
      <c r="F76">
        <v>75</v>
      </c>
      <c r="G76" cm="1">
        <f t="array" ref="G76">_xlfn.IFNA(INDEX($D$2:$D$4001,_xlfn.XMATCH(G$1&amp;"-"&amp;$F76,YEAR($B$2:$B$4001)&amp;"-"&amp;$A$2:$A$4001,0,-1)),9)</f>
        <v>3</v>
      </c>
      <c r="H76" cm="1">
        <f t="array" ref="H76">IF(OR(AND(G76=9,H$1&gt;YEAR($N76))),9,_xlfn.IFNA(INDEX($D$2:$D$4001,_xlfn.XMATCH(H$1&amp;"-"&amp;$F76,YEAR($B$2:$B$4001)&amp;"-"&amp;$A$2:$A$4001,0,-1)),G76))</f>
        <v>3</v>
      </c>
      <c r="I76" cm="1">
        <f t="array" ref="I76">IF(OR(AND(H76=9,I$1&gt;YEAR($N76))),9,_xlfn.IFNA(INDEX($D$2:$D$4001,_xlfn.XMATCH(I$1&amp;"-"&amp;$F76,YEAR($B$2:$B$4001)&amp;"-"&amp;$A$2:$A$4001,0,-1)),H76))</f>
        <v>3</v>
      </c>
      <c r="J76" cm="1">
        <f t="array" ref="J76">IF(OR(AND(I76=9,J$1&gt;YEAR($N76))),9,_xlfn.IFNA(INDEX($D$2:$D$4001,_xlfn.XMATCH(J$1&amp;"-"&amp;$F76,YEAR($B$2:$B$4001)&amp;"-"&amp;$A$2:$A$4001,0,-1)),I76))</f>
        <v>3</v>
      </c>
      <c r="K76" cm="1">
        <f t="array" ref="K76">IF(OR(AND(J76=9,K$1&gt;YEAR($N76))),9,_xlfn.IFNA(INDEX($D$2:$D$4001,_xlfn.XMATCH(K$1&amp;"-"&amp;$F76,YEAR($B$2:$B$4001)&amp;"-"&amp;$A$2:$A$4001,0,-1)),J76))</f>
        <v>3</v>
      </c>
      <c r="L76" cm="1">
        <f t="array" ref="L76">IF(OR(AND(K76=9,L$1&gt;YEAR($N76))),9,_xlfn.IFNA(INDEX($D$2:$D$4001,_xlfn.XMATCH(L$1&amp;"-"&amp;$F76,YEAR($B$2:$B$4001)&amp;"-"&amp;$A$2:$A$4001,0,-1)),K76))</f>
        <v>3</v>
      </c>
      <c r="M76" cm="1">
        <f t="array" ref="M76">IF(OR(AND(L76=9,M$1&gt;YEAR($N76))),9,_xlfn.IFNA(INDEX($D$2:$D$4001,_xlfn.XMATCH(M$1&amp;"-"&amp;$F76,YEAR($B$2:$B$4001)&amp;"-"&amp;$A$2:$A$4001,0,-1)),L76))</f>
        <v>3</v>
      </c>
      <c r="N76" s="1">
        <f t="shared" si="1"/>
        <v>36463</v>
      </c>
    </row>
    <row r="77" spans="1:14" x14ac:dyDescent="0.35">
      <c r="A77">
        <v>40</v>
      </c>
      <c r="B77" s="2">
        <v>37985</v>
      </c>
      <c r="C77">
        <v>3</v>
      </c>
      <c r="D77">
        <v>3</v>
      </c>
      <c r="F77">
        <v>76</v>
      </c>
      <c r="G77" cm="1">
        <f t="array" ref="G77">_xlfn.IFNA(INDEX($D$2:$D$4001,_xlfn.XMATCH(G$1&amp;"-"&amp;$F77,YEAR($B$2:$B$4001)&amp;"-"&amp;$A$2:$A$4001,0,-1)),9)</f>
        <v>9</v>
      </c>
      <c r="H77" cm="1">
        <f t="array" ref="H77">IF(OR(AND(G77=9,H$1&gt;YEAR($N77))),9,_xlfn.IFNA(INDEX($D$2:$D$4001,_xlfn.XMATCH(H$1&amp;"-"&amp;$F77,YEAR($B$2:$B$4001)&amp;"-"&amp;$A$2:$A$4001,0,-1)),G77))</f>
        <v>9</v>
      </c>
      <c r="I77" cm="1">
        <f t="array" ref="I77">IF(OR(AND(H77=9,I$1&gt;YEAR($N77))),9,_xlfn.IFNA(INDEX($D$2:$D$4001,_xlfn.XMATCH(I$1&amp;"-"&amp;$F77,YEAR($B$2:$B$4001)&amp;"-"&amp;$A$2:$A$4001,0,-1)),H77))</f>
        <v>9</v>
      </c>
      <c r="J77" cm="1">
        <f t="array" ref="J77">IF(OR(AND(I77=9,J$1&gt;YEAR($N77))),9,_xlfn.IFNA(INDEX($D$2:$D$4001,_xlfn.XMATCH(J$1&amp;"-"&amp;$F77,YEAR($B$2:$B$4001)&amp;"-"&amp;$A$2:$A$4001,0,-1)),I77))</f>
        <v>3</v>
      </c>
      <c r="K77" cm="1">
        <f t="array" ref="K77">IF(OR(AND(J77=9,K$1&gt;YEAR($N77))),9,_xlfn.IFNA(INDEX($D$2:$D$4001,_xlfn.XMATCH(K$1&amp;"-"&amp;$F77,YEAR($B$2:$B$4001)&amp;"-"&amp;$A$2:$A$4001,0,-1)),J77))</f>
        <v>3</v>
      </c>
      <c r="L77" cm="1">
        <f t="array" ref="L77">IF(OR(AND(K77=9,L$1&gt;YEAR($N77))),9,_xlfn.IFNA(INDEX($D$2:$D$4001,_xlfn.XMATCH(L$1&amp;"-"&amp;$F77,YEAR($B$2:$B$4001)&amp;"-"&amp;$A$2:$A$4001,0,-1)),K77))</f>
        <v>0</v>
      </c>
      <c r="M77" cm="1">
        <f t="array" ref="M77">IF(OR(AND(L77=9,M$1&gt;YEAR($N77))),9,_xlfn.IFNA(INDEX($D$2:$D$4001,_xlfn.XMATCH(M$1&amp;"-"&amp;$F77,YEAR($B$2:$B$4001)&amp;"-"&amp;$A$2:$A$4001,0,-1)),L77))</f>
        <v>0</v>
      </c>
      <c r="N77" s="1">
        <f t="shared" si="1"/>
        <v>37406</v>
      </c>
    </row>
    <row r="78" spans="1:14" x14ac:dyDescent="0.35">
      <c r="A78">
        <v>41</v>
      </c>
      <c r="B78" s="2">
        <v>36728</v>
      </c>
      <c r="C78">
        <v>0</v>
      </c>
      <c r="D78">
        <v>0</v>
      </c>
      <c r="F78">
        <v>77</v>
      </c>
      <c r="G78" cm="1">
        <f t="array" ref="G78">_xlfn.IFNA(INDEX($D$2:$D$4001,_xlfn.XMATCH(G$1&amp;"-"&amp;$F78,YEAR($B$2:$B$4001)&amp;"-"&amp;$A$2:$A$4001,0,-1)),9)</f>
        <v>9</v>
      </c>
      <c r="H78" cm="1">
        <f t="array" ref="H78">IF(OR(AND(G78=9,H$1&gt;YEAR($N78))),9,_xlfn.IFNA(INDEX($D$2:$D$4001,_xlfn.XMATCH(H$1&amp;"-"&amp;$F78,YEAR($B$2:$B$4001)&amp;"-"&amp;$A$2:$A$4001,0,-1)),G78))</f>
        <v>9</v>
      </c>
      <c r="I78" cm="1">
        <f t="array" ref="I78">IF(OR(AND(H78=9,I$1&gt;YEAR($N78))),9,_xlfn.IFNA(INDEX($D$2:$D$4001,_xlfn.XMATCH(I$1&amp;"-"&amp;$F78,YEAR($B$2:$B$4001)&amp;"-"&amp;$A$2:$A$4001,0,-1)),H78))</f>
        <v>4</v>
      </c>
      <c r="J78" cm="1">
        <f t="array" ref="J78">IF(OR(AND(I78=9,J$1&gt;YEAR($N78))),9,_xlfn.IFNA(INDEX($D$2:$D$4001,_xlfn.XMATCH(J$1&amp;"-"&amp;$F78,YEAR($B$2:$B$4001)&amp;"-"&amp;$A$2:$A$4001,0,-1)),I78))</f>
        <v>4</v>
      </c>
      <c r="K78" cm="1">
        <f t="array" ref="K78">IF(OR(AND(J78=9,K$1&gt;YEAR($N78))),9,_xlfn.IFNA(INDEX($D$2:$D$4001,_xlfn.XMATCH(K$1&amp;"-"&amp;$F78,YEAR($B$2:$B$4001)&amp;"-"&amp;$A$2:$A$4001,0,-1)),J78))</f>
        <v>6</v>
      </c>
      <c r="L78" cm="1">
        <f t="array" ref="L78">IF(OR(AND(K78=9,L$1&gt;YEAR($N78))),9,_xlfn.IFNA(INDEX($D$2:$D$4001,_xlfn.XMATCH(L$1&amp;"-"&amp;$F78,YEAR($B$2:$B$4001)&amp;"-"&amp;$A$2:$A$4001,0,-1)),K78))</f>
        <v>6</v>
      </c>
      <c r="M78" cm="1">
        <f t="array" ref="M78">IF(OR(AND(L78=9,M$1&gt;YEAR($N78))),9,_xlfn.IFNA(INDEX($D$2:$D$4001,_xlfn.XMATCH(M$1&amp;"-"&amp;$F78,YEAR($B$2:$B$4001)&amp;"-"&amp;$A$2:$A$4001,0,-1)),L78))</f>
        <v>6</v>
      </c>
      <c r="N78" s="1">
        <f t="shared" si="1"/>
        <v>37102</v>
      </c>
    </row>
    <row r="79" spans="1:14" x14ac:dyDescent="0.35">
      <c r="A79">
        <v>42</v>
      </c>
      <c r="B79" s="2">
        <v>38168</v>
      </c>
      <c r="C79">
        <v>3</v>
      </c>
      <c r="D79">
        <v>3</v>
      </c>
      <c r="F79">
        <v>78</v>
      </c>
      <c r="G79" cm="1">
        <f t="array" ref="G79">_xlfn.IFNA(INDEX($D$2:$D$4001,_xlfn.XMATCH(G$1&amp;"-"&amp;$F79,YEAR($B$2:$B$4001)&amp;"-"&amp;$A$2:$A$4001,0,-1)),9)</f>
        <v>9</v>
      </c>
      <c r="H79" cm="1">
        <f t="array" ref="H79">IF(OR(AND(G79=9,H$1&gt;YEAR($N79))),9,_xlfn.IFNA(INDEX($D$2:$D$4001,_xlfn.XMATCH(H$1&amp;"-"&amp;$F79,YEAR($B$2:$B$4001)&amp;"-"&amp;$A$2:$A$4001,0,-1)),G79))</f>
        <v>9</v>
      </c>
      <c r="I79" cm="1">
        <f t="array" ref="I79">IF(OR(AND(H79=9,I$1&gt;YEAR($N79))),9,_xlfn.IFNA(INDEX($D$2:$D$4001,_xlfn.XMATCH(I$1&amp;"-"&amp;$F79,YEAR($B$2:$B$4001)&amp;"-"&amp;$A$2:$A$4001,0,-1)),H79))</f>
        <v>9</v>
      </c>
      <c r="J79" cm="1">
        <f t="array" ref="J79">IF(OR(AND(I79=9,J$1&gt;YEAR($N79))),9,_xlfn.IFNA(INDEX($D$2:$D$4001,_xlfn.XMATCH(J$1&amp;"-"&amp;$F79,YEAR($B$2:$B$4001)&amp;"-"&amp;$A$2:$A$4001,0,-1)),I79))</f>
        <v>1</v>
      </c>
      <c r="K79" cm="1">
        <f t="array" ref="K79">IF(OR(AND(J79=9,K$1&gt;YEAR($N79))),9,_xlfn.IFNA(INDEX($D$2:$D$4001,_xlfn.XMATCH(K$1&amp;"-"&amp;$F79,YEAR($B$2:$B$4001)&amp;"-"&amp;$A$2:$A$4001,0,-1)),J79))</f>
        <v>1</v>
      </c>
      <c r="L79" cm="1">
        <f t="array" ref="L79">IF(OR(AND(K79=9,L$1&gt;YEAR($N79))),9,_xlfn.IFNA(INDEX($D$2:$D$4001,_xlfn.XMATCH(L$1&amp;"-"&amp;$F79,YEAR($B$2:$B$4001)&amp;"-"&amp;$A$2:$A$4001,0,-1)),K79))</f>
        <v>1</v>
      </c>
      <c r="M79" cm="1">
        <f t="array" ref="M79">IF(OR(AND(L79=9,M$1&gt;YEAR($N79))),9,_xlfn.IFNA(INDEX($D$2:$D$4001,_xlfn.XMATCH(M$1&amp;"-"&amp;$F79,YEAR($B$2:$B$4001)&amp;"-"&amp;$A$2:$A$4001,0,-1)),L79))</f>
        <v>1</v>
      </c>
      <c r="N79" s="1">
        <f t="shared" si="1"/>
        <v>37620</v>
      </c>
    </row>
    <row r="80" spans="1:14" x14ac:dyDescent="0.35">
      <c r="A80">
        <v>43</v>
      </c>
      <c r="B80" s="2">
        <v>37041</v>
      </c>
      <c r="C80">
        <v>3</v>
      </c>
      <c r="D80">
        <v>3</v>
      </c>
      <c r="F80">
        <v>79</v>
      </c>
      <c r="G80" cm="1">
        <f t="array" ref="G80">_xlfn.IFNA(INDEX($D$2:$D$4001,_xlfn.XMATCH(G$1&amp;"-"&amp;$F80,YEAR($B$2:$B$4001)&amp;"-"&amp;$A$2:$A$4001,0,-1)),9)</f>
        <v>9</v>
      </c>
      <c r="H80" cm="1">
        <f t="array" ref="H80">IF(OR(AND(G80=9,H$1&gt;YEAR($N80))),9,_xlfn.IFNA(INDEX($D$2:$D$4001,_xlfn.XMATCH(H$1&amp;"-"&amp;$F80,YEAR($B$2:$B$4001)&amp;"-"&amp;$A$2:$A$4001,0,-1)),G80))</f>
        <v>9</v>
      </c>
      <c r="I80" cm="1">
        <f t="array" ref="I80">IF(OR(AND(H80=9,I$1&gt;YEAR($N80))),9,_xlfn.IFNA(INDEX($D$2:$D$4001,_xlfn.XMATCH(I$1&amp;"-"&amp;$F80,YEAR($B$2:$B$4001)&amp;"-"&amp;$A$2:$A$4001,0,-1)),H80))</f>
        <v>9</v>
      </c>
      <c r="J80" cm="1">
        <f t="array" ref="J80">IF(OR(AND(I80=9,J$1&gt;YEAR($N80))),9,_xlfn.IFNA(INDEX($D$2:$D$4001,_xlfn.XMATCH(J$1&amp;"-"&amp;$F80,YEAR($B$2:$B$4001)&amp;"-"&amp;$A$2:$A$4001,0,-1)),I80))</f>
        <v>9</v>
      </c>
      <c r="K80" cm="1">
        <f t="array" ref="K80">IF(OR(AND(J80=9,K$1&gt;YEAR($N80))),9,_xlfn.IFNA(INDEX($D$2:$D$4001,_xlfn.XMATCH(K$1&amp;"-"&amp;$F80,YEAR($B$2:$B$4001)&amp;"-"&amp;$A$2:$A$4001,0,-1)),J80))</f>
        <v>9</v>
      </c>
      <c r="L80" cm="1">
        <f t="array" ref="L80">IF(OR(AND(K80=9,L$1&gt;YEAR($N80))),9,_xlfn.IFNA(INDEX($D$2:$D$4001,_xlfn.XMATCH(L$1&amp;"-"&amp;$F80,YEAR($B$2:$B$4001)&amp;"-"&amp;$A$2:$A$4001,0,-1)),K80))</f>
        <v>2</v>
      </c>
      <c r="M80" cm="1">
        <f t="array" ref="M80">IF(OR(AND(L80=9,M$1&gt;YEAR($N80))),9,_xlfn.IFNA(INDEX($D$2:$D$4001,_xlfn.XMATCH(M$1&amp;"-"&amp;$F80,YEAR($B$2:$B$4001)&amp;"-"&amp;$A$2:$A$4001,0,-1)),L80))</f>
        <v>2</v>
      </c>
      <c r="N80" s="1">
        <f t="shared" si="1"/>
        <v>38137</v>
      </c>
    </row>
    <row r="81" spans="1:14" x14ac:dyDescent="0.35">
      <c r="A81">
        <v>43</v>
      </c>
      <c r="B81" s="2">
        <v>37063</v>
      </c>
      <c r="C81">
        <v>4</v>
      </c>
      <c r="D81">
        <v>4</v>
      </c>
      <c r="F81">
        <v>80</v>
      </c>
      <c r="G81" cm="1">
        <f t="array" ref="G81">_xlfn.IFNA(INDEX($D$2:$D$4001,_xlfn.XMATCH(G$1&amp;"-"&amp;$F81,YEAR($B$2:$B$4001)&amp;"-"&amp;$A$2:$A$4001,0,-1)),9)</f>
        <v>9</v>
      </c>
      <c r="H81" cm="1">
        <f t="array" ref="H81">IF(OR(AND(G81=9,H$1&gt;YEAR($N81))),9,_xlfn.IFNA(INDEX($D$2:$D$4001,_xlfn.XMATCH(H$1&amp;"-"&amp;$F81,YEAR($B$2:$B$4001)&amp;"-"&amp;$A$2:$A$4001,0,-1)),G81))</f>
        <v>9</v>
      </c>
      <c r="I81" cm="1">
        <f t="array" ref="I81">IF(OR(AND(H81=9,I$1&gt;YEAR($N81))),9,_xlfn.IFNA(INDEX($D$2:$D$4001,_xlfn.XMATCH(I$1&amp;"-"&amp;$F81,YEAR($B$2:$B$4001)&amp;"-"&amp;$A$2:$A$4001,0,-1)),H81))</f>
        <v>3</v>
      </c>
      <c r="J81" cm="1">
        <f t="array" ref="J81">IF(OR(AND(I81=9,J$1&gt;YEAR($N81))),9,_xlfn.IFNA(INDEX($D$2:$D$4001,_xlfn.XMATCH(J$1&amp;"-"&amp;$F81,YEAR($B$2:$B$4001)&amp;"-"&amp;$A$2:$A$4001,0,-1)),I81))</f>
        <v>0</v>
      </c>
      <c r="K81" cm="1">
        <f t="array" ref="K81">IF(OR(AND(J81=9,K$1&gt;YEAR($N81))),9,_xlfn.IFNA(INDEX($D$2:$D$4001,_xlfn.XMATCH(K$1&amp;"-"&amp;$F81,YEAR($B$2:$B$4001)&amp;"-"&amp;$A$2:$A$4001,0,-1)),J81))</f>
        <v>0</v>
      </c>
      <c r="L81" cm="1">
        <f t="array" ref="L81">IF(OR(AND(K81=9,L$1&gt;YEAR($N81))),9,_xlfn.IFNA(INDEX($D$2:$D$4001,_xlfn.XMATCH(L$1&amp;"-"&amp;$F81,YEAR($B$2:$B$4001)&amp;"-"&amp;$A$2:$A$4001,0,-1)),K81))</f>
        <v>0</v>
      </c>
      <c r="M81" cm="1">
        <f t="array" ref="M81">IF(OR(AND(L81=9,M$1&gt;YEAR($N81))),9,_xlfn.IFNA(INDEX($D$2:$D$4001,_xlfn.XMATCH(M$1&amp;"-"&amp;$F81,YEAR($B$2:$B$4001)&amp;"-"&amp;$A$2:$A$4001,0,-1)),L81))</f>
        <v>0</v>
      </c>
      <c r="N81" s="1">
        <f t="shared" si="1"/>
        <v>37133</v>
      </c>
    </row>
    <row r="82" spans="1:14" x14ac:dyDescent="0.35">
      <c r="A82">
        <v>43</v>
      </c>
      <c r="B82" s="2">
        <v>37397</v>
      </c>
      <c r="C82">
        <v>4</v>
      </c>
      <c r="D82">
        <v>4</v>
      </c>
      <c r="F82">
        <v>81</v>
      </c>
      <c r="G82" cm="1">
        <f t="array" ref="G82">_xlfn.IFNA(INDEX($D$2:$D$4001,_xlfn.XMATCH(G$1&amp;"-"&amp;$F82,YEAR($B$2:$B$4001)&amp;"-"&amp;$A$2:$A$4001,0,-1)),9)</f>
        <v>9</v>
      </c>
      <c r="H82" cm="1">
        <f t="array" ref="H82">IF(OR(AND(G82=9,H$1&gt;YEAR($N82))),9,_xlfn.IFNA(INDEX($D$2:$D$4001,_xlfn.XMATCH(H$1&amp;"-"&amp;$F82,YEAR($B$2:$B$4001)&amp;"-"&amp;$A$2:$A$4001,0,-1)),G82))</f>
        <v>9</v>
      </c>
      <c r="I82" cm="1">
        <f t="array" ref="I82">IF(OR(AND(H82=9,I$1&gt;YEAR($N82))),9,_xlfn.IFNA(INDEX($D$2:$D$4001,_xlfn.XMATCH(I$1&amp;"-"&amp;$F82,YEAR($B$2:$B$4001)&amp;"-"&amp;$A$2:$A$4001,0,-1)),H82))</f>
        <v>3</v>
      </c>
      <c r="J82" cm="1">
        <f t="array" ref="J82">IF(OR(AND(I82=9,J$1&gt;YEAR($N82))),9,_xlfn.IFNA(INDEX($D$2:$D$4001,_xlfn.XMATCH(J$1&amp;"-"&amp;$F82,YEAR($B$2:$B$4001)&amp;"-"&amp;$A$2:$A$4001,0,-1)),I82))</f>
        <v>4</v>
      </c>
      <c r="K82" cm="1">
        <f t="array" ref="K82">IF(OR(AND(J82=9,K$1&gt;YEAR($N82))),9,_xlfn.IFNA(INDEX($D$2:$D$4001,_xlfn.XMATCH(K$1&amp;"-"&amp;$F82,YEAR($B$2:$B$4001)&amp;"-"&amp;$A$2:$A$4001,0,-1)),J82))</f>
        <v>4</v>
      </c>
      <c r="L82" cm="1">
        <f t="array" ref="L82">IF(OR(AND(K82=9,L$1&gt;YEAR($N82))),9,_xlfn.IFNA(INDEX($D$2:$D$4001,_xlfn.XMATCH(L$1&amp;"-"&amp;$F82,YEAR($B$2:$B$4001)&amp;"-"&amp;$A$2:$A$4001,0,-1)),K82))</f>
        <v>4</v>
      </c>
      <c r="M82" cm="1">
        <f t="array" ref="M82">IF(OR(AND(L82=9,M$1&gt;YEAR($N82))),9,_xlfn.IFNA(INDEX($D$2:$D$4001,_xlfn.XMATCH(M$1&amp;"-"&amp;$F82,YEAR($B$2:$B$4001)&amp;"-"&amp;$A$2:$A$4001,0,-1)),L82))</f>
        <v>4</v>
      </c>
      <c r="N82" s="1">
        <f t="shared" si="1"/>
        <v>37255</v>
      </c>
    </row>
    <row r="83" spans="1:14" x14ac:dyDescent="0.35">
      <c r="A83">
        <v>43</v>
      </c>
      <c r="B83" s="2">
        <v>37397</v>
      </c>
      <c r="C83">
        <v>5</v>
      </c>
      <c r="D83">
        <v>5</v>
      </c>
      <c r="F83">
        <v>82</v>
      </c>
      <c r="G83" cm="1">
        <f t="array" ref="G83">_xlfn.IFNA(INDEX($D$2:$D$4001,_xlfn.XMATCH(G$1&amp;"-"&amp;$F83,YEAR($B$2:$B$4001)&amp;"-"&amp;$A$2:$A$4001,0,-1)),9)</f>
        <v>9</v>
      </c>
      <c r="H83" cm="1">
        <f t="array" ref="H83">IF(OR(AND(G83=9,H$1&gt;YEAR($N83))),9,_xlfn.IFNA(INDEX($D$2:$D$4001,_xlfn.XMATCH(H$1&amp;"-"&amp;$F83,YEAR($B$2:$B$4001)&amp;"-"&amp;$A$2:$A$4001,0,-1)),G83))</f>
        <v>9</v>
      </c>
      <c r="I83" cm="1">
        <f t="array" ref="I83">IF(OR(AND(H83=9,I$1&gt;YEAR($N83))),9,_xlfn.IFNA(INDEX($D$2:$D$4001,_xlfn.XMATCH(I$1&amp;"-"&amp;$F83,YEAR($B$2:$B$4001)&amp;"-"&amp;$A$2:$A$4001,0,-1)),H83))</f>
        <v>4</v>
      </c>
      <c r="J83" cm="1">
        <f t="array" ref="J83">IF(OR(AND(I83=9,J$1&gt;YEAR($N83))),9,_xlfn.IFNA(INDEX($D$2:$D$4001,_xlfn.XMATCH(J$1&amp;"-"&amp;$F83,YEAR($B$2:$B$4001)&amp;"-"&amp;$A$2:$A$4001,0,-1)),I83))</f>
        <v>4</v>
      </c>
      <c r="K83" cm="1">
        <f t="array" ref="K83">IF(OR(AND(J83=9,K$1&gt;YEAR($N83))),9,_xlfn.IFNA(INDEX($D$2:$D$4001,_xlfn.XMATCH(K$1&amp;"-"&amp;$F83,YEAR($B$2:$B$4001)&amp;"-"&amp;$A$2:$A$4001,0,-1)),J83))</f>
        <v>4</v>
      </c>
      <c r="L83" cm="1">
        <f t="array" ref="L83">IF(OR(AND(K83=9,L$1&gt;YEAR($N83))),9,_xlfn.IFNA(INDEX($D$2:$D$4001,_xlfn.XMATCH(L$1&amp;"-"&amp;$F83,YEAR($B$2:$B$4001)&amp;"-"&amp;$A$2:$A$4001,0,-1)),K83))</f>
        <v>4</v>
      </c>
      <c r="M83" cm="1">
        <f t="array" ref="M83">IF(OR(AND(L83=9,M$1&gt;YEAR($N83))),9,_xlfn.IFNA(INDEX($D$2:$D$4001,_xlfn.XMATCH(M$1&amp;"-"&amp;$F83,YEAR($B$2:$B$4001)&amp;"-"&amp;$A$2:$A$4001,0,-1)),L83))</f>
        <v>4</v>
      </c>
      <c r="N83" s="1">
        <f t="shared" si="1"/>
        <v>37072</v>
      </c>
    </row>
    <row r="84" spans="1:14" x14ac:dyDescent="0.35">
      <c r="A84">
        <v>43</v>
      </c>
      <c r="B84" s="2">
        <v>37406</v>
      </c>
      <c r="C84">
        <v>6</v>
      </c>
      <c r="D84">
        <v>6</v>
      </c>
      <c r="F84">
        <v>83</v>
      </c>
      <c r="G84" cm="1">
        <f t="array" ref="G84">_xlfn.IFNA(INDEX($D$2:$D$4001,_xlfn.XMATCH(G$1&amp;"-"&amp;$F84,YEAR($B$2:$B$4001)&amp;"-"&amp;$A$2:$A$4001,0,-1)),9)</f>
        <v>5</v>
      </c>
      <c r="H84" cm="1">
        <f t="array" ref="H84">IF(OR(AND(G84=9,H$1&gt;YEAR($N84))),9,_xlfn.IFNA(INDEX($D$2:$D$4001,_xlfn.XMATCH(H$1&amp;"-"&amp;$F84,YEAR($B$2:$B$4001)&amp;"-"&amp;$A$2:$A$4001,0,-1)),G84))</f>
        <v>5</v>
      </c>
      <c r="I84" cm="1">
        <f t="array" ref="I84">IF(OR(AND(H84=9,I$1&gt;YEAR($N84))),9,_xlfn.IFNA(INDEX($D$2:$D$4001,_xlfn.XMATCH(I$1&amp;"-"&amp;$F84,YEAR($B$2:$B$4001)&amp;"-"&amp;$A$2:$A$4001,0,-1)),H84))</f>
        <v>6</v>
      </c>
      <c r="J84" cm="1">
        <f t="array" ref="J84">IF(OR(AND(I84=9,J$1&gt;YEAR($N84))),9,_xlfn.IFNA(INDEX($D$2:$D$4001,_xlfn.XMATCH(J$1&amp;"-"&amp;$F84,YEAR($B$2:$B$4001)&amp;"-"&amp;$A$2:$A$4001,0,-1)),I84))</f>
        <v>6</v>
      </c>
      <c r="K84" cm="1">
        <f t="array" ref="K84">IF(OR(AND(J84=9,K$1&gt;YEAR($N84))),9,_xlfn.IFNA(INDEX($D$2:$D$4001,_xlfn.XMATCH(K$1&amp;"-"&amp;$F84,YEAR($B$2:$B$4001)&amp;"-"&amp;$A$2:$A$4001,0,-1)),J84))</f>
        <v>6</v>
      </c>
      <c r="L84" cm="1">
        <f t="array" ref="L84">IF(OR(AND(K84=9,L$1&gt;YEAR($N84))),9,_xlfn.IFNA(INDEX($D$2:$D$4001,_xlfn.XMATCH(L$1&amp;"-"&amp;$F84,YEAR($B$2:$B$4001)&amp;"-"&amp;$A$2:$A$4001,0,-1)),K84))</f>
        <v>6</v>
      </c>
      <c r="M84" cm="1">
        <f t="array" ref="M84">IF(OR(AND(L84=9,M$1&gt;YEAR($N84))),9,_xlfn.IFNA(INDEX($D$2:$D$4001,_xlfn.XMATCH(M$1&amp;"-"&amp;$F84,YEAR($B$2:$B$4001)&amp;"-"&amp;$A$2:$A$4001,0,-1)),L84))</f>
        <v>6</v>
      </c>
      <c r="N84" s="1">
        <f t="shared" si="1"/>
        <v>36301</v>
      </c>
    </row>
    <row r="85" spans="1:14" x14ac:dyDescent="0.35">
      <c r="A85">
        <v>43</v>
      </c>
      <c r="B85" s="2">
        <v>38220</v>
      </c>
      <c r="C85">
        <v>5</v>
      </c>
      <c r="D85">
        <v>5</v>
      </c>
      <c r="F85">
        <v>84</v>
      </c>
      <c r="G85" cm="1">
        <f t="array" ref="G85">_xlfn.IFNA(INDEX($D$2:$D$4001,_xlfn.XMATCH(G$1&amp;"-"&amp;$F85,YEAR($B$2:$B$4001)&amp;"-"&amp;$A$2:$A$4001,0,-1)),9)</f>
        <v>6</v>
      </c>
      <c r="H85" cm="1">
        <f t="array" ref="H85">IF(OR(AND(G85=9,H$1&gt;YEAR($N85))),9,_xlfn.IFNA(INDEX($D$2:$D$4001,_xlfn.XMATCH(H$1&amp;"-"&amp;$F85,YEAR($B$2:$B$4001)&amp;"-"&amp;$A$2:$A$4001,0,-1)),G85))</f>
        <v>6</v>
      </c>
      <c r="I85" cm="1">
        <f t="array" ref="I85">IF(OR(AND(H85=9,I$1&gt;YEAR($N85))),9,_xlfn.IFNA(INDEX($D$2:$D$4001,_xlfn.XMATCH(I$1&amp;"-"&amp;$F85,YEAR($B$2:$B$4001)&amp;"-"&amp;$A$2:$A$4001,0,-1)),H85))</f>
        <v>6</v>
      </c>
      <c r="J85" cm="1">
        <f t="array" ref="J85">IF(OR(AND(I85=9,J$1&gt;YEAR($N85))),9,_xlfn.IFNA(INDEX($D$2:$D$4001,_xlfn.XMATCH(J$1&amp;"-"&amp;$F85,YEAR($B$2:$B$4001)&amp;"-"&amp;$A$2:$A$4001,0,-1)),I85))</f>
        <v>6</v>
      </c>
      <c r="K85" cm="1">
        <f t="array" ref="K85">IF(OR(AND(J85=9,K$1&gt;YEAR($N85))),9,_xlfn.IFNA(INDEX($D$2:$D$4001,_xlfn.XMATCH(K$1&amp;"-"&amp;$F85,YEAR($B$2:$B$4001)&amp;"-"&amp;$A$2:$A$4001,0,-1)),J85))</f>
        <v>0</v>
      </c>
      <c r="L85" cm="1">
        <f t="array" ref="L85">IF(OR(AND(K85=9,L$1&gt;YEAR($N85))),9,_xlfn.IFNA(INDEX($D$2:$D$4001,_xlfn.XMATCH(L$1&amp;"-"&amp;$F85,YEAR($B$2:$B$4001)&amp;"-"&amp;$A$2:$A$4001,0,-1)),K85))</f>
        <v>0</v>
      </c>
      <c r="M85" cm="1">
        <f t="array" ref="M85">IF(OR(AND(L85=9,M$1&gt;YEAR($N85))),9,_xlfn.IFNA(INDEX($D$2:$D$4001,_xlfn.XMATCH(M$1&amp;"-"&amp;$F85,YEAR($B$2:$B$4001)&amp;"-"&amp;$A$2:$A$4001,0,-1)),L85))</f>
        <v>0</v>
      </c>
      <c r="N85" s="1">
        <f t="shared" si="1"/>
        <v>36524</v>
      </c>
    </row>
    <row r="86" spans="1:14" x14ac:dyDescent="0.35">
      <c r="A86">
        <v>43</v>
      </c>
      <c r="B86" s="2">
        <v>38502</v>
      </c>
      <c r="C86">
        <v>5</v>
      </c>
      <c r="D86">
        <v>5</v>
      </c>
      <c r="F86">
        <v>85</v>
      </c>
      <c r="G86" cm="1">
        <f t="array" ref="G86">_xlfn.IFNA(INDEX($D$2:$D$4001,_xlfn.XMATCH(G$1&amp;"-"&amp;$F86,YEAR($B$2:$B$4001)&amp;"-"&amp;$A$2:$A$4001,0,-1)),9)</f>
        <v>9</v>
      </c>
      <c r="H86" cm="1">
        <f t="array" ref="H86">IF(OR(AND(G86=9,H$1&gt;YEAR($N86))),9,_xlfn.IFNA(INDEX($D$2:$D$4001,_xlfn.XMATCH(H$1&amp;"-"&amp;$F86,YEAR($B$2:$B$4001)&amp;"-"&amp;$A$2:$A$4001,0,-1)),G86))</f>
        <v>9</v>
      </c>
      <c r="I86" cm="1">
        <f t="array" ref="I86">IF(OR(AND(H86=9,I$1&gt;YEAR($N86))),9,_xlfn.IFNA(INDEX($D$2:$D$4001,_xlfn.XMATCH(I$1&amp;"-"&amp;$F86,YEAR($B$2:$B$4001)&amp;"-"&amp;$A$2:$A$4001,0,-1)),H86))</f>
        <v>9</v>
      </c>
      <c r="J86" cm="1">
        <f t="array" ref="J86">IF(OR(AND(I86=9,J$1&gt;YEAR($N86))),9,_xlfn.IFNA(INDEX($D$2:$D$4001,_xlfn.XMATCH(J$1&amp;"-"&amp;$F86,YEAR($B$2:$B$4001)&amp;"-"&amp;$A$2:$A$4001,0,-1)),I86))</f>
        <v>9</v>
      </c>
      <c r="K86" cm="1">
        <f t="array" ref="K86">IF(OR(AND(J86=9,K$1&gt;YEAR($N86))),9,_xlfn.IFNA(INDEX($D$2:$D$4001,_xlfn.XMATCH(K$1&amp;"-"&amp;$F86,YEAR($B$2:$B$4001)&amp;"-"&amp;$A$2:$A$4001,0,-1)),J86))</f>
        <v>9</v>
      </c>
      <c r="L86" cm="1">
        <f t="array" ref="L86">IF(OR(AND(K86=9,L$1&gt;YEAR($N86))),9,_xlfn.IFNA(INDEX($D$2:$D$4001,_xlfn.XMATCH(L$1&amp;"-"&amp;$F86,YEAR($B$2:$B$4001)&amp;"-"&amp;$A$2:$A$4001,0,-1)),K86))</f>
        <v>4</v>
      </c>
      <c r="M86" cm="1">
        <f t="array" ref="M86">IF(OR(AND(L86=9,M$1&gt;YEAR($N86))),9,_xlfn.IFNA(INDEX($D$2:$D$4001,_xlfn.XMATCH(M$1&amp;"-"&amp;$F86,YEAR($B$2:$B$4001)&amp;"-"&amp;$A$2:$A$4001,0,-1)),L86))</f>
        <v>4</v>
      </c>
      <c r="N86" s="1">
        <f t="shared" si="1"/>
        <v>38351</v>
      </c>
    </row>
    <row r="87" spans="1:14" x14ac:dyDescent="0.35">
      <c r="A87">
        <v>44</v>
      </c>
      <c r="B87" s="2">
        <v>38502</v>
      </c>
      <c r="C87">
        <v>4</v>
      </c>
      <c r="D87">
        <v>4</v>
      </c>
      <c r="F87">
        <v>86</v>
      </c>
      <c r="G87" cm="1">
        <f t="array" ref="G87">_xlfn.IFNA(INDEX($D$2:$D$4001,_xlfn.XMATCH(G$1&amp;"-"&amp;$F87,YEAR($B$2:$B$4001)&amp;"-"&amp;$A$2:$A$4001,0,-1)),9)</f>
        <v>9</v>
      </c>
      <c r="H87" cm="1">
        <f t="array" ref="H87">IF(OR(AND(G87=9,H$1&gt;YEAR($N87))),9,_xlfn.IFNA(INDEX($D$2:$D$4001,_xlfn.XMATCH(H$1&amp;"-"&amp;$F87,YEAR($B$2:$B$4001)&amp;"-"&amp;$A$2:$A$4001,0,-1)),G87))</f>
        <v>5</v>
      </c>
      <c r="I87" cm="1">
        <f t="array" ref="I87">IF(OR(AND(H87=9,I$1&gt;YEAR($N87))),9,_xlfn.IFNA(INDEX($D$2:$D$4001,_xlfn.XMATCH(I$1&amp;"-"&amp;$F87,YEAR($B$2:$B$4001)&amp;"-"&amp;$A$2:$A$4001,0,-1)),H87))</f>
        <v>5</v>
      </c>
      <c r="J87" cm="1">
        <f t="array" ref="J87">IF(OR(AND(I87=9,J$1&gt;YEAR($N87))),9,_xlfn.IFNA(INDEX($D$2:$D$4001,_xlfn.XMATCH(J$1&amp;"-"&amp;$F87,YEAR($B$2:$B$4001)&amp;"-"&amp;$A$2:$A$4001,0,-1)),I87))</f>
        <v>5</v>
      </c>
      <c r="K87" cm="1">
        <f t="array" ref="K87">IF(OR(AND(J87=9,K$1&gt;YEAR($N87))),9,_xlfn.IFNA(INDEX($D$2:$D$4001,_xlfn.XMATCH(K$1&amp;"-"&amp;$F87,YEAR($B$2:$B$4001)&amp;"-"&amp;$A$2:$A$4001,0,-1)),J87))</f>
        <v>5</v>
      </c>
      <c r="L87" cm="1">
        <f t="array" ref="L87">IF(OR(AND(K87=9,L$1&gt;YEAR($N87))),9,_xlfn.IFNA(INDEX($D$2:$D$4001,_xlfn.XMATCH(L$1&amp;"-"&amp;$F87,YEAR($B$2:$B$4001)&amp;"-"&amp;$A$2:$A$4001,0,-1)),K87))</f>
        <v>6</v>
      </c>
      <c r="M87" cm="1">
        <f t="array" ref="M87">IF(OR(AND(L87=9,M$1&gt;YEAR($N87))),9,_xlfn.IFNA(INDEX($D$2:$D$4001,_xlfn.XMATCH(M$1&amp;"-"&amp;$F87,YEAR($B$2:$B$4001)&amp;"-"&amp;$A$2:$A$4001,0,-1)),L87))</f>
        <v>6</v>
      </c>
      <c r="N87" s="1">
        <f t="shared" si="1"/>
        <v>36881</v>
      </c>
    </row>
    <row r="88" spans="1:14" x14ac:dyDescent="0.35">
      <c r="A88">
        <v>45</v>
      </c>
      <c r="B88" s="2">
        <v>37406</v>
      </c>
      <c r="C88">
        <v>1</v>
      </c>
      <c r="D88">
        <v>1</v>
      </c>
      <c r="F88">
        <v>87</v>
      </c>
      <c r="G88" cm="1">
        <f t="array" ref="G88">_xlfn.IFNA(INDEX($D$2:$D$4001,_xlfn.XMATCH(G$1&amp;"-"&amp;$F88,YEAR($B$2:$B$4001)&amp;"-"&amp;$A$2:$A$4001,0,-1)),9)</f>
        <v>9</v>
      </c>
      <c r="H88" cm="1">
        <f t="array" ref="H88">IF(OR(AND(G88=9,H$1&gt;YEAR($N88))),9,_xlfn.IFNA(INDEX($D$2:$D$4001,_xlfn.XMATCH(H$1&amp;"-"&amp;$F88,YEAR($B$2:$B$4001)&amp;"-"&amp;$A$2:$A$4001,0,-1)),G88))</f>
        <v>9</v>
      </c>
      <c r="I88" cm="1">
        <f t="array" ref="I88">IF(OR(AND(H88=9,I$1&gt;YEAR($N88))),9,_xlfn.IFNA(INDEX($D$2:$D$4001,_xlfn.XMATCH(I$1&amp;"-"&amp;$F88,YEAR($B$2:$B$4001)&amp;"-"&amp;$A$2:$A$4001,0,-1)),H88))</f>
        <v>9</v>
      </c>
      <c r="J88" cm="1">
        <f t="array" ref="J88">IF(OR(AND(I88=9,J$1&gt;YEAR($N88))),9,_xlfn.IFNA(INDEX($D$2:$D$4001,_xlfn.XMATCH(J$1&amp;"-"&amp;$F88,YEAR($B$2:$B$4001)&amp;"-"&amp;$A$2:$A$4001,0,-1)),I88))</f>
        <v>3</v>
      </c>
      <c r="K88" cm="1">
        <f t="array" ref="K88">IF(OR(AND(J88=9,K$1&gt;YEAR($N88))),9,_xlfn.IFNA(INDEX($D$2:$D$4001,_xlfn.XMATCH(K$1&amp;"-"&amp;$F88,YEAR($B$2:$B$4001)&amp;"-"&amp;$A$2:$A$4001,0,-1)),J88))</f>
        <v>3</v>
      </c>
      <c r="L88" cm="1">
        <f t="array" ref="L88">IF(OR(AND(K88=9,L$1&gt;YEAR($N88))),9,_xlfn.IFNA(INDEX($D$2:$D$4001,_xlfn.XMATCH(L$1&amp;"-"&amp;$F88,YEAR($B$2:$B$4001)&amp;"-"&amp;$A$2:$A$4001,0,-1)),K88))</f>
        <v>3</v>
      </c>
      <c r="M88" cm="1">
        <f t="array" ref="M88">IF(OR(AND(L88=9,M$1&gt;YEAR($N88))),9,_xlfn.IFNA(INDEX($D$2:$D$4001,_xlfn.XMATCH(M$1&amp;"-"&amp;$F88,YEAR($B$2:$B$4001)&amp;"-"&amp;$A$2:$A$4001,0,-1)),L88))</f>
        <v>3</v>
      </c>
      <c r="N88" s="1">
        <f t="shared" si="1"/>
        <v>37520</v>
      </c>
    </row>
    <row r="89" spans="1:14" x14ac:dyDescent="0.35">
      <c r="A89">
        <v>46</v>
      </c>
      <c r="B89" s="2">
        <v>36310</v>
      </c>
      <c r="C89">
        <v>2</v>
      </c>
      <c r="D89">
        <v>2</v>
      </c>
      <c r="F89">
        <v>88</v>
      </c>
      <c r="G89" cm="1">
        <f t="array" ref="G89">_xlfn.IFNA(INDEX($D$2:$D$4001,_xlfn.XMATCH(G$1&amp;"-"&amp;$F89,YEAR($B$2:$B$4001)&amp;"-"&amp;$A$2:$A$4001,0,-1)),9)</f>
        <v>5</v>
      </c>
      <c r="H89" cm="1">
        <f t="array" ref="H89">IF(OR(AND(G89=9,H$1&gt;YEAR($N89))),9,_xlfn.IFNA(INDEX($D$2:$D$4001,_xlfn.XMATCH(H$1&amp;"-"&amp;$F89,YEAR($B$2:$B$4001)&amp;"-"&amp;$A$2:$A$4001,0,-1)),G89))</f>
        <v>5</v>
      </c>
      <c r="I89" cm="1">
        <f t="array" ref="I89">IF(OR(AND(H89=9,I$1&gt;YEAR($N89))),9,_xlfn.IFNA(INDEX($D$2:$D$4001,_xlfn.XMATCH(I$1&amp;"-"&amp;$F89,YEAR($B$2:$B$4001)&amp;"-"&amp;$A$2:$A$4001,0,-1)),H89))</f>
        <v>5</v>
      </c>
      <c r="J89" cm="1">
        <f t="array" ref="J89">IF(OR(AND(I89=9,J$1&gt;YEAR($N89))),9,_xlfn.IFNA(INDEX($D$2:$D$4001,_xlfn.XMATCH(J$1&amp;"-"&amp;$F89,YEAR($B$2:$B$4001)&amp;"-"&amp;$A$2:$A$4001,0,-1)),I89))</f>
        <v>5</v>
      </c>
      <c r="K89" cm="1">
        <f t="array" ref="K89">IF(OR(AND(J89=9,K$1&gt;YEAR($N89))),9,_xlfn.IFNA(INDEX($D$2:$D$4001,_xlfn.XMATCH(K$1&amp;"-"&amp;$F89,YEAR($B$2:$B$4001)&amp;"-"&amp;$A$2:$A$4001,0,-1)),J89))</f>
        <v>5</v>
      </c>
      <c r="L89" cm="1">
        <f t="array" ref="L89">IF(OR(AND(K89=9,L$1&gt;YEAR($N89))),9,_xlfn.IFNA(INDEX($D$2:$D$4001,_xlfn.XMATCH(L$1&amp;"-"&amp;$F89,YEAR($B$2:$B$4001)&amp;"-"&amp;$A$2:$A$4001,0,-1)),K89))</f>
        <v>5</v>
      </c>
      <c r="M89" cm="1">
        <f t="array" ref="M89">IF(OR(AND(L89=9,M$1&gt;YEAR($N89))),9,_xlfn.IFNA(INDEX($D$2:$D$4001,_xlfn.XMATCH(M$1&amp;"-"&amp;$F89,YEAR($B$2:$B$4001)&amp;"-"&amp;$A$2:$A$4001,0,-1)),L89))</f>
        <v>5</v>
      </c>
      <c r="N89" s="1">
        <f t="shared" si="1"/>
        <v>36301</v>
      </c>
    </row>
    <row r="90" spans="1:14" x14ac:dyDescent="0.35">
      <c r="A90">
        <v>46</v>
      </c>
      <c r="B90" s="2">
        <v>37133</v>
      </c>
      <c r="C90">
        <v>2</v>
      </c>
      <c r="D90">
        <v>2</v>
      </c>
      <c r="F90">
        <v>89</v>
      </c>
      <c r="G90" cm="1">
        <f t="array" ref="G90">_xlfn.IFNA(INDEX($D$2:$D$4001,_xlfn.XMATCH(G$1&amp;"-"&amp;$F90,YEAR($B$2:$B$4001)&amp;"-"&amp;$A$2:$A$4001,0,-1)),9)</f>
        <v>9</v>
      </c>
      <c r="H90" cm="1">
        <f t="array" ref="H90">IF(OR(AND(G90=9,H$1&gt;YEAR($N90))),9,_xlfn.IFNA(INDEX($D$2:$D$4001,_xlfn.XMATCH(H$1&amp;"-"&amp;$F90,YEAR($B$2:$B$4001)&amp;"-"&amp;$A$2:$A$4001,0,-1)),G90))</f>
        <v>9</v>
      </c>
      <c r="I90" cm="1">
        <f t="array" ref="I90">IF(OR(AND(H90=9,I$1&gt;YEAR($N90))),9,_xlfn.IFNA(INDEX($D$2:$D$4001,_xlfn.XMATCH(I$1&amp;"-"&amp;$F90,YEAR($B$2:$B$4001)&amp;"-"&amp;$A$2:$A$4001,0,-1)),H90))</f>
        <v>4</v>
      </c>
      <c r="J90" cm="1">
        <f t="array" ref="J90">IF(OR(AND(I90=9,J$1&gt;YEAR($N90))),9,_xlfn.IFNA(INDEX($D$2:$D$4001,_xlfn.XMATCH(J$1&amp;"-"&amp;$F90,YEAR($B$2:$B$4001)&amp;"-"&amp;$A$2:$A$4001,0,-1)),I90))</f>
        <v>4</v>
      </c>
      <c r="K90" cm="1">
        <f t="array" ref="K90">IF(OR(AND(J90=9,K$1&gt;YEAR($N90))),9,_xlfn.IFNA(INDEX($D$2:$D$4001,_xlfn.XMATCH(K$1&amp;"-"&amp;$F90,YEAR($B$2:$B$4001)&amp;"-"&amp;$A$2:$A$4001,0,-1)),J90))</f>
        <v>4</v>
      </c>
      <c r="L90" cm="1">
        <f t="array" ref="L90">IF(OR(AND(K90=9,L$1&gt;YEAR($N90))),9,_xlfn.IFNA(INDEX($D$2:$D$4001,_xlfn.XMATCH(L$1&amp;"-"&amp;$F90,YEAR($B$2:$B$4001)&amp;"-"&amp;$A$2:$A$4001,0,-1)),K90))</f>
        <v>4</v>
      </c>
      <c r="M90" cm="1">
        <f t="array" ref="M90">IF(OR(AND(L90=9,M$1&gt;YEAR($N90))),9,_xlfn.IFNA(INDEX($D$2:$D$4001,_xlfn.XMATCH(M$1&amp;"-"&amp;$F90,YEAR($B$2:$B$4001)&amp;"-"&amp;$A$2:$A$4001,0,-1)),L90))</f>
        <v>4</v>
      </c>
      <c r="N90" s="1">
        <f t="shared" si="1"/>
        <v>37133</v>
      </c>
    </row>
    <row r="91" spans="1:14" x14ac:dyDescent="0.35">
      <c r="A91">
        <v>46</v>
      </c>
      <c r="B91" s="2">
        <v>37620</v>
      </c>
      <c r="C91">
        <v>2</v>
      </c>
      <c r="D91">
        <v>2</v>
      </c>
      <c r="F91">
        <v>90</v>
      </c>
      <c r="G91" cm="1">
        <f t="array" ref="G91">_xlfn.IFNA(INDEX($D$2:$D$4001,_xlfn.XMATCH(G$1&amp;"-"&amp;$F91,YEAR($B$2:$B$4001)&amp;"-"&amp;$A$2:$A$4001,0,-1)),9)</f>
        <v>9</v>
      </c>
      <c r="H91" cm="1">
        <f t="array" ref="H91">IF(OR(AND(G91=9,H$1&gt;YEAR($N91))),9,_xlfn.IFNA(INDEX($D$2:$D$4001,_xlfn.XMATCH(H$1&amp;"-"&amp;$F91,YEAR($B$2:$B$4001)&amp;"-"&amp;$A$2:$A$4001,0,-1)),G91))</f>
        <v>0</v>
      </c>
      <c r="I91" cm="1">
        <f t="array" ref="I91">IF(OR(AND(H91=9,I$1&gt;YEAR($N91))),9,_xlfn.IFNA(INDEX($D$2:$D$4001,_xlfn.XMATCH(I$1&amp;"-"&amp;$F91,YEAR($B$2:$B$4001)&amp;"-"&amp;$A$2:$A$4001,0,-1)),H91))</f>
        <v>0</v>
      </c>
      <c r="J91" cm="1">
        <f t="array" ref="J91">IF(OR(AND(I91=9,J$1&gt;YEAR($N91))),9,_xlfn.IFNA(INDEX($D$2:$D$4001,_xlfn.XMATCH(J$1&amp;"-"&amp;$F91,YEAR($B$2:$B$4001)&amp;"-"&amp;$A$2:$A$4001,0,-1)),I91))</f>
        <v>0</v>
      </c>
      <c r="K91" cm="1">
        <f t="array" ref="K91">IF(OR(AND(J91=9,K$1&gt;YEAR($N91))),9,_xlfn.IFNA(INDEX($D$2:$D$4001,_xlfn.XMATCH(K$1&amp;"-"&amp;$F91,YEAR($B$2:$B$4001)&amp;"-"&amp;$A$2:$A$4001,0,-1)),J91))</f>
        <v>0</v>
      </c>
      <c r="L91" cm="1">
        <f t="array" ref="L91">IF(OR(AND(K91=9,L$1&gt;YEAR($N91))),9,_xlfn.IFNA(INDEX($D$2:$D$4001,_xlfn.XMATCH(L$1&amp;"-"&amp;$F91,YEAR($B$2:$B$4001)&amp;"-"&amp;$A$2:$A$4001,0,-1)),K91))</f>
        <v>0</v>
      </c>
      <c r="M91" cm="1">
        <f t="array" ref="M91">IF(OR(AND(L91=9,M$1&gt;YEAR($N91))),9,_xlfn.IFNA(INDEX($D$2:$D$4001,_xlfn.XMATCH(M$1&amp;"-"&amp;$F91,YEAR($B$2:$B$4001)&amp;"-"&amp;$A$2:$A$4001,0,-1)),L91))</f>
        <v>0</v>
      </c>
      <c r="N91" s="1">
        <f t="shared" si="1"/>
        <v>36703</v>
      </c>
    </row>
    <row r="92" spans="1:14" x14ac:dyDescent="0.35">
      <c r="A92">
        <v>46</v>
      </c>
      <c r="B92" s="2">
        <v>37985</v>
      </c>
      <c r="C92">
        <v>3</v>
      </c>
      <c r="D92">
        <v>3</v>
      </c>
      <c r="F92">
        <v>91</v>
      </c>
      <c r="G92" cm="1">
        <f t="array" ref="G92">_xlfn.IFNA(INDEX($D$2:$D$4001,_xlfn.XMATCH(G$1&amp;"-"&amp;$F92,YEAR($B$2:$B$4001)&amp;"-"&amp;$A$2:$A$4001,0,-1)),9)</f>
        <v>2</v>
      </c>
      <c r="H92" cm="1">
        <f t="array" ref="H92">IF(OR(AND(G92=9,H$1&gt;YEAR($N92))),9,_xlfn.IFNA(INDEX($D$2:$D$4001,_xlfn.XMATCH(H$1&amp;"-"&amp;$F92,YEAR($B$2:$B$4001)&amp;"-"&amp;$A$2:$A$4001,0,-1)),G92))</f>
        <v>2</v>
      </c>
      <c r="I92" cm="1">
        <f t="array" ref="I92">IF(OR(AND(H92=9,I$1&gt;YEAR($N92))),9,_xlfn.IFNA(INDEX($D$2:$D$4001,_xlfn.XMATCH(I$1&amp;"-"&amp;$F92,YEAR($B$2:$B$4001)&amp;"-"&amp;$A$2:$A$4001,0,-1)),H92))</f>
        <v>2</v>
      </c>
      <c r="J92" cm="1">
        <f t="array" ref="J92">IF(OR(AND(I92=9,J$1&gt;YEAR($N92))),9,_xlfn.IFNA(INDEX($D$2:$D$4001,_xlfn.XMATCH(J$1&amp;"-"&amp;$F92,YEAR($B$2:$B$4001)&amp;"-"&amp;$A$2:$A$4001,0,-1)),I92))</f>
        <v>2</v>
      </c>
      <c r="K92" cm="1">
        <f t="array" ref="K92">IF(OR(AND(J92=9,K$1&gt;YEAR($N92))),9,_xlfn.IFNA(INDEX($D$2:$D$4001,_xlfn.XMATCH(K$1&amp;"-"&amp;$F92,YEAR($B$2:$B$4001)&amp;"-"&amp;$A$2:$A$4001,0,-1)),J92))</f>
        <v>3</v>
      </c>
      <c r="L92" cm="1">
        <f t="array" ref="L92">IF(OR(AND(K92=9,L$1&gt;YEAR($N92))),9,_xlfn.IFNA(INDEX($D$2:$D$4001,_xlfn.XMATCH(L$1&amp;"-"&amp;$F92,YEAR($B$2:$B$4001)&amp;"-"&amp;$A$2:$A$4001,0,-1)),K92))</f>
        <v>0</v>
      </c>
      <c r="M92" cm="1">
        <f t="array" ref="M92">IF(OR(AND(L92=9,M$1&gt;YEAR($N92))),9,_xlfn.IFNA(INDEX($D$2:$D$4001,_xlfn.XMATCH(M$1&amp;"-"&amp;$F92,YEAR($B$2:$B$4001)&amp;"-"&amp;$A$2:$A$4001,0,-1)),L92))</f>
        <v>0</v>
      </c>
      <c r="N92" s="1">
        <f t="shared" si="1"/>
        <v>36524</v>
      </c>
    </row>
    <row r="93" spans="1:14" x14ac:dyDescent="0.35">
      <c r="A93">
        <v>47</v>
      </c>
      <c r="B93" s="2">
        <v>37620</v>
      </c>
      <c r="C93">
        <v>4</v>
      </c>
      <c r="D93">
        <v>4</v>
      </c>
      <c r="F93">
        <v>92</v>
      </c>
      <c r="G93" cm="1">
        <f t="array" ref="G93">_xlfn.IFNA(INDEX($D$2:$D$4001,_xlfn.XMATCH(G$1&amp;"-"&amp;$F93,YEAR($B$2:$B$4001)&amp;"-"&amp;$A$2:$A$4001,0,-1)),9)</f>
        <v>5</v>
      </c>
      <c r="H93" cm="1">
        <f t="array" ref="H93">IF(OR(AND(G93=9,H$1&gt;YEAR($N93))),9,_xlfn.IFNA(INDEX($D$2:$D$4001,_xlfn.XMATCH(H$1&amp;"-"&amp;$F93,YEAR($B$2:$B$4001)&amp;"-"&amp;$A$2:$A$4001,0,-1)),G93))</f>
        <v>5</v>
      </c>
      <c r="I93" cm="1">
        <f t="array" ref="I93">IF(OR(AND(H93=9,I$1&gt;YEAR($N93))),9,_xlfn.IFNA(INDEX($D$2:$D$4001,_xlfn.XMATCH(I$1&amp;"-"&amp;$F93,YEAR($B$2:$B$4001)&amp;"-"&amp;$A$2:$A$4001,0,-1)),H93))</f>
        <v>5</v>
      </c>
      <c r="J93" cm="1">
        <f t="array" ref="J93">IF(OR(AND(I93=9,J$1&gt;YEAR($N93))),9,_xlfn.IFNA(INDEX($D$2:$D$4001,_xlfn.XMATCH(J$1&amp;"-"&amp;$F93,YEAR($B$2:$B$4001)&amp;"-"&amp;$A$2:$A$4001,0,-1)),I93))</f>
        <v>5</v>
      </c>
      <c r="K93" cm="1">
        <f t="array" ref="K93">IF(OR(AND(J93=9,K$1&gt;YEAR($N93))),9,_xlfn.IFNA(INDEX($D$2:$D$4001,_xlfn.XMATCH(K$1&amp;"-"&amp;$F93,YEAR($B$2:$B$4001)&amp;"-"&amp;$A$2:$A$4001,0,-1)),J93))</f>
        <v>5</v>
      </c>
      <c r="L93" cm="1">
        <f t="array" ref="L93">IF(OR(AND(K93=9,L$1&gt;YEAR($N93))),9,_xlfn.IFNA(INDEX($D$2:$D$4001,_xlfn.XMATCH(L$1&amp;"-"&amp;$F93,YEAR($B$2:$B$4001)&amp;"-"&amp;$A$2:$A$4001,0,-1)),K93))</f>
        <v>4</v>
      </c>
      <c r="M93" cm="1">
        <f t="array" ref="M93">IF(OR(AND(L93=9,M$1&gt;YEAR($N93))),9,_xlfn.IFNA(INDEX($D$2:$D$4001,_xlfn.XMATCH(M$1&amp;"-"&amp;$F93,YEAR($B$2:$B$4001)&amp;"-"&amp;$A$2:$A$4001,0,-1)),L93))</f>
        <v>4</v>
      </c>
      <c r="N93" s="1">
        <f t="shared" si="1"/>
        <v>36301</v>
      </c>
    </row>
    <row r="94" spans="1:14" x14ac:dyDescent="0.35">
      <c r="A94">
        <v>47</v>
      </c>
      <c r="B94" s="2">
        <v>37771</v>
      </c>
      <c r="C94">
        <v>4</v>
      </c>
      <c r="D94">
        <v>4</v>
      </c>
      <c r="F94">
        <v>93</v>
      </c>
      <c r="G94" cm="1">
        <f t="array" ref="G94">_xlfn.IFNA(INDEX($D$2:$D$4001,_xlfn.XMATCH(G$1&amp;"-"&amp;$F94,YEAR($B$2:$B$4001)&amp;"-"&amp;$A$2:$A$4001,0,-1)),9)</f>
        <v>9</v>
      </c>
      <c r="H94" cm="1">
        <f t="array" ref="H94">IF(OR(AND(G94=9,H$1&gt;YEAR($N94))),9,_xlfn.IFNA(INDEX($D$2:$D$4001,_xlfn.XMATCH(H$1&amp;"-"&amp;$F94,YEAR($B$2:$B$4001)&amp;"-"&amp;$A$2:$A$4001,0,-1)),G94))</f>
        <v>9</v>
      </c>
      <c r="I94" cm="1">
        <f t="array" ref="I94">IF(OR(AND(H94=9,I$1&gt;YEAR($N94))),9,_xlfn.IFNA(INDEX($D$2:$D$4001,_xlfn.XMATCH(I$1&amp;"-"&amp;$F94,YEAR($B$2:$B$4001)&amp;"-"&amp;$A$2:$A$4001,0,-1)),H94))</f>
        <v>9</v>
      </c>
      <c r="J94" cm="1">
        <f t="array" ref="J94">IF(OR(AND(I94=9,J$1&gt;YEAR($N94))),9,_xlfn.IFNA(INDEX($D$2:$D$4001,_xlfn.XMATCH(J$1&amp;"-"&amp;$F94,YEAR($B$2:$B$4001)&amp;"-"&amp;$A$2:$A$4001,0,-1)),I94))</f>
        <v>4</v>
      </c>
      <c r="K94" cm="1">
        <f t="array" ref="K94">IF(OR(AND(J94=9,K$1&gt;YEAR($N94))),9,_xlfn.IFNA(INDEX($D$2:$D$4001,_xlfn.XMATCH(K$1&amp;"-"&amp;$F94,YEAR($B$2:$B$4001)&amp;"-"&amp;$A$2:$A$4001,0,-1)),J94))</f>
        <v>4</v>
      </c>
      <c r="L94" cm="1">
        <f t="array" ref="L94">IF(OR(AND(K94=9,L$1&gt;YEAR($N94))),9,_xlfn.IFNA(INDEX($D$2:$D$4001,_xlfn.XMATCH(L$1&amp;"-"&amp;$F94,YEAR($B$2:$B$4001)&amp;"-"&amp;$A$2:$A$4001,0,-1)),K94))</f>
        <v>4</v>
      </c>
      <c r="M94" cm="1">
        <f t="array" ref="M94">IF(OR(AND(L94=9,M$1&gt;YEAR($N94))),9,_xlfn.IFNA(INDEX($D$2:$D$4001,_xlfn.XMATCH(M$1&amp;"-"&amp;$F94,YEAR($B$2:$B$4001)&amp;"-"&amp;$A$2:$A$4001,0,-1)),L94))</f>
        <v>4</v>
      </c>
      <c r="N94" s="1">
        <f t="shared" si="1"/>
        <v>37428</v>
      </c>
    </row>
    <row r="95" spans="1:14" x14ac:dyDescent="0.35">
      <c r="A95">
        <v>48</v>
      </c>
      <c r="B95" s="2">
        <v>36310</v>
      </c>
      <c r="C95">
        <v>4</v>
      </c>
      <c r="D95">
        <v>4</v>
      </c>
      <c r="F95">
        <v>94</v>
      </c>
      <c r="G95" cm="1">
        <f t="array" ref="G95">_xlfn.IFNA(INDEX($D$2:$D$4001,_xlfn.XMATCH(G$1&amp;"-"&amp;$F95,YEAR($B$2:$B$4001)&amp;"-"&amp;$A$2:$A$4001,0,-1)),9)</f>
        <v>9</v>
      </c>
      <c r="H95" cm="1">
        <f t="array" ref="H95">IF(OR(AND(G95=9,H$1&gt;YEAR($N95))),9,_xlfn.IFNA(INDEX($D$2:$D$4001,_xlfn.XMATCH(H$1&amp;"-"&amp;$F95,YEAR($B$2:$B$4001)&amp;"-"&amp;$A$2:$A$4001,0,-1)),G95))</f>
        <v>4</v>
      </c>
      <c r="I95" cm="1">
        <f t="array" ref="I95">IF(OR(AND(H95=9,I$1&gt;YEAR($N95))),9,_xlfn.IFNA(INDEX($D$2:$D$4001,_xlfn.XMATCH(I$1&amp;"-"&amp;$F95,YEAR($B$2:$B$4001)&amp;"-"&amp;$A$2:$A$4001,0,-1)),H95))</f>
        <v>4</v>
      </c>
      <c r="J95" cm="1">
        <f t="array" ref="J95">IF(OR(AND(I95=9,J$1&gt;YEAR($N95))),9,_xlfn.IFNA(INDEX($D$2:$D$4001,_xlfn.XMATCH(J$1&amp;"-"&amp;$F95,YEAR($B$2:$B$4001)&amp;"-"&amp;$A$2:$A$4001,0,-1)),I95))</f>
        <v>4</v>
      </c>
      <c r="K95" cm="1">
        <f t="array" ref="K95">IF(OR(AND(J95=9,K$1&gt;YEAR($N95))),9,_xlfn.IFNA(INDEX($D$2:$D$4001,_xlfn.XMATCH(K$1&amp;"-"&amp;$F95,YEAR($B$2:$B$4001)&amp;"-"&amp;$A$2:$A$4001,0,-1)),J95))</f>
        <v>4</v>
      </c>
      <c r="L95" cm="1">
        <f t="array" ref="L95">IF(OR(AND(K95=9,L$1&gt;YEAR($N95))),9,_xlfn.IFNA(INDEX($D$2:$D$4001,_xlfn.XMATCH(L$1&amp;"-"&amp;$F95,YEAR($B$2:$B$4001)&amp;"-"&amp;$A$2:$A$4001,0,-1)),K95))</f>
        <v>4</v>
      </c>
      <c r="M95" cm="1">
        <f t="array" ref="M95">IF(OR(AND(L95=9,M$1&gt;YEAR($N95))),9,_xlfn.IFNA(INDEX($D$2:$D$4001,_xlfn.XMATCH(M$1&amp;"-"&amp;$F95,YEAR($B$2:$B$4001)&amp;"-"&amp;$A$2:$A$4001,0,-1)),L95))</f>
        <v>4</v>
      </c>
      <c r="N95" s="1">
        <f t="shared" si="1"/>
        <v>36676</v>
      </c>
    </row>
    <row r="96" spans="1:14" x14ac:dyDescent="0.35">
      <c r="A96">
        <v>49</v>
      </c>
      <c r="B96" s="2">
        <v>37404</v>
      </c>
      <c r="C96">
        <v>0</v>
      </c>
      <c r="D96">
        <v>0</v>
      </c>
      <c r="F96">
        <v>95</v>
      </c>
      <c r="G96" cm="1">
        <f t="array" ref="G96">_xlfn.IFNA(INDEX($D$2:$D$4001,_xlfn.XMATCH(G$1&amp;"-"&amp;$F96,YEAR($B$2:$B$4001)&amp;"-"&amp;$A$2:$A$4001,0,-1)),9)</f>
        <v>9</v>
      </c>
      <c r="H96" cm="1">
        <f t="array" ref="H96">IF(OR(AND(G96=9,H$1&gt;YEAR($N96))),9,_xlfn.IFNA(INDEX($D$2:$D$4001,_xlfn.XMATCH(H$1&amp;"-"&amp;$F96,YEAR($B$2:$B$4001)&amp;"-"&amp;$A$2:$A$4001,0,-1)),G96))</f>
        <v>9</v>
      </c>
      <c r="I96" cm="1">
        <f t="array" ref="I96">IF(OR(AND(H96=9,I$1&gt;YEAR($N96))),9,_xlfn.IFNA(INDEX($D$2:$D$4001,_xlfn.XMATCH(I$1&amp;"-"&amp;$F96,YEAR($B$2:$B$4001)&amp;"-"&amp;$A$2:$A$4001,0,-1)),H96))</f>
        <v>9</v>
      </c>
      <c r="J96" cm="1">
        <f t="array" ref="J96">IF(OR(AND(I96=9,J$1&gt;YEAR($N96))),9,_xlfn.IFNA(INDEX($D$2:$D$4001,_xlfn.XMATCH(J$1&amp;"-"&amp;$F96,YEAR($B$2:$B$4001)&amp;"-"&amp;$A$2:$A$4001,0,-1)),I96))</f>
        <v>9</v>
      </c>
      <c r="K96" cm="1">
        <f t="array" ref="K96">IF(OR(AND(J96=9,K$1&gt;YEAR($N96))),9,_xlfn.IFNA(INDEX($D$2:$D$4001,_xlfn.XMATCH(K$1&amp;"-"&amp;$F96,YEAR($B$2:$B$4001)&amp;"-"&amp;$A$2:$A$4001,0,-1)),J96))</f>
        <v>9</v>
      </c>
      <c r="L96" cm="1">
        <f t="array" ref="L96">IF(OR(AND(K96=9,L$1&gt;YEAR($N96))),9,_xlfn.IFNA(INDEX($D$2:$D$4001,_xlfn.XMATCH(L$1&amp;"-"&amp;$F96,YEAR($B$2:$B$4001)&amp;"-"&amp;$A$2:$A$4001,0,-1)),K96))</f>
        <v>9</v>
      </c>
      <c r="M96" cm="1">
        <f t="array" ref="M96">IF(OR(AND(L96=9,M$1&gt;YEAR($N96))),9,_xlfn.IFNA(INDEX($D$2:$D$4001,_xlfn.XMATCH(M$1&amp;"-"&amp;$F96,YEAR($B$2:$B$4001)&amp;"-"&amp;$A$2:$A$4001,0,-1)),L96))</f>
        <v>4</v>
      </c>
      <c r="N96" s="1">
        <f t="shared" si="1"/>
        <v>38502</v>
      </c>
    </row>
    <row r="97" spans="1:14" x14ac:dyDescent="0.35">
      <c r="A97">
        <v>49</v>
      </c>
      <c r="B97" s="2">
        <v>37406</v>
      </c>
      <c r="C97">
        <v>2</v>
      </c>
      <c r="D97">
        <v>2</v>
      </c>
      <c r="F97">
        <v>96</v>
      </c>
      <c r="G97" cm="1">
        <f t="array" ref="G97">_xlfn.IFNA(INDEX($D$2:$D$4001,_xlfn.XMATCH(G$1&amp;"-"&amp;$F97,YEAR($B$2:$B$4001)&amp;"-"&amp;$A$2:$A$4001,0,-1)),9)</f>
        <v>9</v>
      </c>
      <c r="H97" cm="1">
        <f t="array" ref="H97">IF(OR(AND(G97=9,H$1&gt;YEAR($N97))),9,_xlfn.IFNA(INDEX($D$2:$D$4001,_xlfn.XMATCH(H$1&amp;"-"&amp;$F97,YEAR($B$2:$B$4001)&amp;"-"&amp;$A$2:$A$4001,0,-1)),G97))</f>
        <v>3</v>
      </c>
      <c r="I97" cm="1">
        <f t="array" ref="I97">IF(OR(AND(H97=9,I$1&gt;YEAR($N97))),9,_xlfn.IFNA(INDEX($D$2:$D$4001,_xlfn.XMATCH(I$1&amp;"-"&amp;$F97,YEAR($B$2:$B$4001)&amp;"-"&amp;$A$2:$A$4001,0,-1)),H97))</f>
        <v>3</v>
      </c>
      <c r="J97" cm="1">
        <f t="array" ref="J97">IF(OR(AND(I97=9,J$1&gt;YEAR($N97))),9,_xlfn.IFNA(INDEX($D$2:$D$4001,_xlfn.XMATCH(J$1&amp;"-"&amp;$F97,YEAR($B$2:$B$4001)&amp;"-"&amp;$A$2:$A$4001,0,-1)),I97))</f>
        <v>3</v>
      </c>
      <c r="K97" cm="1">
        <f t="array" ref="K97">IF(OR(AND(J97=9,K$1&gt;YEAR($N97))),9,_xlfn.IFNA(INDEX($D$2:$D$4001,_xlfn.XMATCH(K$1&amp;"-"&amp;$F97,YEAR($B$2:$B$4001)&amp;"-"&amp;$A$2:$A$4001,0,-1)),J97))</f>
        <v>3</v>
      </c>
      <c r="L97" cm="1">
        <f t="array" ref="L97">IF(OR(AND(K97=9,L$1&gt;YEAR($N97))),9,_xlfn.IFNA(INDEX($D$2:$D$4001,_xlfn.XMATCH(L$1&amp;"-"&amp;$F97,YEAR($B$2:$B$4001)&amp;"-"&amp;$A$2:$A$4001,0,-1)),K97))</f>
        <v>3</v>
      </c>
      <c r="M97" cm="1">
        <f t="array" ref="M97">IF(OR(AND(L97=9,M$1&gt;YEAR($N97))),9,_xlfn.IFNA(INDEX($D$2:$D$4001,_xlfn.XMATCH(M$1&amp;"-"&amp;$F97,YEAR($B$2:$B$4001)&amp;"-"&amp;$A$2:$A$4001,0,-1)),L97))</f>
        <v>3</v>
      </c>
      <c r="N97" s="1">
        <f t="shared" si="1"/>
        <v>36890</v>
      </c>
    </row>
    <row r="98" spans="1:14" x14ac:dyDescent="0.35">
      <c r="A98">
        <v>50</v>
      </c>
      <c r="B98" s="2">
        <v>36668</v>
      </c>
      <c r="C98">
        <v>3</v>
      </c>
      <c r="D98">
        <v>3</v>
      </c>
      <c r="F98">
        <v>97</v>
      </c>
      <c r="G98" cm="1">
        <f t="array" ref="G98">_xlfn.IFNA(INDEX($D$2:$D$4001,_xlfn.XMATCH(G$1&amp;"-"&amp;$F98,YEAR($B$2:$B$4001)&amp;"-"&amp;$A$2:$A$4001,0,-1)),9)</f>
        <v>9</v>
      </c>
      <c r="H98" cm="1">
        <f t="array" ref="H98">IF(OR(AND(G98=9,H$1&gt;YEAR($N98))),9,_xlfn.IFNA(INDEX($D$2:$D$4001,_xlfn.XMATCH(H$1&amp;"-"&amp;$F98,YEAR($B$2:$B$4001)&amp;"-"&amp;$A$2:$A$4001,0,-1)),G98))</f>
        <v>9</v>
      </c>
      <c r="I98" cm="1">
        <f t="array" ref="I98">IF(OR(AND(H98=9,I$1&gt;YEAR($N98))),9,_xlfn.IFNA(INDEX($D$2:$D$4001,_xlfn.XMATCH(I$1&amp;"-"&amp;$F98,YEAR($B$2:$B$4001)&amp;"-"&amp;$A$2:$A$4001,0,-1)),H98))</f>
        <v>4</v>
      </c>
      <c r="J98" cm="1">
        <f t="array" ref="J98">IF(OR(AND(I98=9,J$1&gt;YEAR($N98))),9,_xlfn.IFNA(INDEX($D$2:$D$4001,_xlfn.XMATCH(J$1&amp;"-"&amp;$F98,YEAR($B$2:$B$4001)&amp;"-"&amp;$A$2:$A$4001,0,-1)),I98))</f>
        <v>4</v>
      </c>
      <c r="K98" cm="1">
        <f t="array" ref="K98">IF(OR(AND(J98=9,K$1&gt;YEAR($N98))),9,_xlfn.IFNA(INDEX($D$2:$D$4001,_xlfn.XMATCH(K$1&amp;"-"&amp;$F98,YEAR($B$2:$B$4001)&amp;"-"&amp;$A$2:$A$4001,0,-1)),J98))</f>
        <v>4</v>
      </c>
      <c r="L98" cm="1">
        <f t="array" ref="L98">IF(OR(AND(K98=9,L$1&gt;YEAR($N98))),9,_xlfn.IFNA(INDEX($D$2:$D$4001,_xlfn.XMATCH(L$1&amp;"-"&amp;$F98,YEAR($B$2:$B$4001)&amp;"-"&amp;$A$2:$A$4001,0,-1)),K98))</f>
        <v>5</v>
      </c>
      <c r="M98" cm="1">
        <f t="array" ref="M98">IF(OR(AND(L98=9,M$1&gt;YEAR($N98))),9,_xlfn.IFNA(INDEX($D$2:$D$4001,_xlfn.XMATCH(M$1&amp;"-"&amp;$F98,YEAR($B$2:$B$4001)&amp;"-"&amp;$A$2:$A$4001,0,-1)),L98))</f>
        <v>5</v>
      </c>
      <c r="N98" s="1">
        <f t="shared" si="1"/>
        <v>37063</v>
      </c>
    </row>
    <row r="99" spans="1:14" x14ac:dyDescent="0.35">
      <c r="A99">
        <v>51</v>
      </c>
      <c r="B99" s="2">
        <v>37041</v>
      </c>
      <c r="C99">
        <v>0</v>
      </c>
      <c r="D99">
        <v>0</v>
      </c>
      <c r="F99">
        <v>98</v>
      </c>
      <c r="G99" cm="1">
        <f t="array" ref="G99">_xlfn.IFNA(INDEX($D$2:$D$4001,_xlfn.XMATCH(G$1&amp;"-"&amp;$F99,YEAR($B$2:$B$4001)&amp;"-"&amp;$A$2:$A$4001,0,-1)),9)</f>
        <v>9</v>
      </c>
      <c r="H99" cm="1">
        <f t="array" ref="H99">IF(OR(AND(G99=9,H$1&gt;YEAR($N99))),9,_xlfn.IFNA(INDEX($D$2:$D$4001,_xlfn.XMATCH(H$1&amp;"-"&amp;$F99,YEAR($B$2:$B$4001)&amp;"-"&amp;$A$2:$A$4001,0,-1)),G99))</f>
        <v>9</v>
      </c>
      <c r="I99" cm="1">
        <f t="array" ref="I99">IF(OR(AND(H99=9,I$1&gt;YEAR($N99))),9,_xlfn.IFNA(INDEX($D$2:$D$4001,_xlfn.XMATCH(I$1&amp;"-"&amp;$F99,YEAR($B$2:$B$4001)&amp;"-"&amp;$A$2:$A$4001,0,-1)),H99))</f>
        <v>9</v>
      </c>
      <c r="J99" cm="1">
        <f t="array" ref="J99">IF(OR(AND(I99=9,J$1&gt;YEAR($N99))),9,_xlfn.IFNA(INDEX($D$2:$D$4001,_xlfn.XMATCH(J$1&amp;"-"&amp;$F99,YEAR($B$2:$B$4001)&amp;"-"&amp;$A$2:$A$4001,0,-1)),I99))</f>
        <v>3</v>
      </c>
      <c r="K99" cm="1">
        <f t="array" ref="K99">IF(OR(AND(J99=9,K$1&gt;YEAR($N99))),9,_xlfn.IFNA(INDEX($D$2:$D$4001,_xlfn.XMATCH(K$1&amp;"-"&amp;$F99,YEAR($B$2:$B$4001)&amp;"-"&amp;$A$2:$A$4001,0,-1)),J99))</f>
        <v>3</v>
      </c>
      <c r="L99" cm="1">
        <f t="array" ref="L99">IF(OR(AND(K99=9,L$1&gt;YEAR($N99))),9,_xlfn.IFNA(INDEX($D$2:$D$4001,_xlfn.XMATCH(L$1&amp;"-"&amp;$F99,YEAR($B$2:$B$4001)&amp;"-"&amp;$A$2:$A$4001,0,-1)),K99))</f>
        <v>3</v>
      </c>
      <c r="M99" cm="1">
        <f t="array" ref="M99">IF(OR(AND(L99=9,M$1&gt;YEAR($N99))),9,_xlfn.IFNA(INDEX($D$2:$D$4001,_xlfn.XMATCH(M$1&amp;"-"&amp;$F99,YEAR($B$2:$B$4001)&amp;"-"&amp;$A$2:$A$4001,0,-1)),L99))</f>
        <v>3</v>
      </c>
      <c r="N99" s="1">
        <f t="shared" si="1"/>
        <v>37400</v>
      </c>
    </row>
    <row r="100" spans="1:14" x14ac:dyDescent="0.35">
      <c r="A100">
        <v>52</v>
      </c>
      <c r="B100" s="2">
        <v>36494</v>
      </c>
      <c r="C100">
        <v>4</v>
      </c>
      <c r="D100">
        <v>4</v>
      </c>
      <c r="F100">
        <v>99</v>
      </c>
      <c r="G100" cm="1">
        <f t="array" ref="G100">_xlfn.IFNA(INDEX($D$2:$D$4001,_xlfn.XMATCH(G$1&amp;"-"&amp;$F100,YEAR($B$2:$B$4001)&amp;"-"&amp;$A$2:$A$4001,0,-1)),9)</f>
        <v>9</v>
      </c>
      <c r="H100" cm="1">
        <f t="array" ref="H100">IF(OR(AND(G100=9,H$1&gt;YEAR($N100))),9,_xlfn.IFNA(INDEX($D$2:$D$4001,_xlfn.XMATCH(H$1&amp;"-"&amp;$F100,YEAR($B$2:$B$4001)&amp;"-"&amp;$A$2:$A$4001,0,-1)),G100))</f>
        <v>9</v>
      </c>
      <c r="I100" cm="1">
        <f t="array" ref="I100">IF(OR(AND(H100=9,I$1&gt;YEAR($N100))),9,_xlfn.IFNA(INDEX($D$2:$D$4001,_xlfn.XMATCH(I$1&amp;"-"&amp;$F100,YEAR($B$2:$B$4001)&amp;"-"&amp;$A$2:$A$4001,0,-1)),H100))</f>
        <v>9</v>
      </c>
      <c r="J100" cm="1">
        <f t="array" ref="J100">IF(OR(AND(I100=9,J$1&gt;YEAR($N100))),9,_xlfn.IFNA(INDEX($D$2:$D$4001,_xlfn.XMATCH(J$1&amp;"-"&amp;$F100,YEAR($B$2:$B$4001)&amp;"-"&amp;$A$2:$A$4001,0,-1)),I100))</f>
        <v>0</v>
      </c>
      <c r="K100" cm="1">
        <f t="array" ref="K100">IF(OR(AND(J100=9,K$1&gt;YEAR($N100))),9,_xlfn.IFNA(INDEX($D$2:$D$4001,_xlfn.XMATCH(K$1&amp;"-"&amp;$F100,YEAR($B$2:$B$4001)&amp;"-"&amp;$A$2:$A$4001,0,-1)),J100))</f>
        <v>0</v>
      </c>
      <c r="L100" cm="1">
        <f t="array" ref="L100">IF(OR(AND(K100=9,L$1&gt;YEAR($N100))),9,_xlfn.IFNA(INDEX($D$2:$D$4001,_xlfn.XMATCH(L$1&amp;"-"&amp;$F100,YEAR($B$2:$B$4001)&amp;"-"&amp;$A$2:$A$4001,0,-1)),K100))</f>
        <v>0</v>
      </c>
      <c r="M100" cm="1">
        <f t="array" ref="M100">IF(OR(AND(L100=9,M$1&gt;YEAR($N100))),9,_xlfn.IFNA(INDEX($D$2:$D$4001,_xlfn.XMATCH(M$1&amp;"-"&amp;$F100,YEAR($B$2:$B$4001)&amp;"-"&amp;$A$2:$A$4001,0,-1)),L100))</f>
        <v>0</v>
      </c>
      <c r="N100" s="1">
        <f t="shared" si="1"/>
        <v>37559</v>
      </c>
    </row>
    <row r="101" spans="1:14" x14ac:dyDescent="0.35">
      <c r="A101">
        <v>52</v>
      </c>
      <c r="B101" s="2">
        <v>36515</v>
      </c>
      <c r="C101">
        <v>4</v>
      </c>
      <c r="D101">
        <v>4</v>
      </c>
      <c r="F101">
        <v>100</v>
      </c>
      <c r="G101" cm="1">
        <f t="array" ref="G101">_xlfn.IFNA(INDEX($D$2:$D$4001,_xlfn.XMATCH(G$1&amp;"-"&amp;$F101,YEAR($B$2:$B$4001)&amp;"-"&amp;$A$2:$A$4001,0,-1)),9)</f>
        <v>4</v>
      </c>
      <c r="H101" cm="1">
        <f t="array" ref="H101">IF(OR(AND(G101=9,H$1&gt;YEAR($N101))),9,_xlfn.IFNA(INDEX($D$2:$D$4001,_xlfn.XMATCH(H$1&amp;"-"&amp;$F101,YEAR($B$2:$B$4001)&amp;"-"&amp;$A$2:$A$4001,0,-1)),G101))</f>
        <v>4</v>
      </c>
      <c r="I101" cm="1">
        <f t="array" ref="I101">IF(OR(AND(H101=9,I$1&gt;YEAR($N101))),9,_xlfn.IFNA(INDEX($D$2:$D$4001,_xlfn.XMATCH(I$1&amp;"-"&amp;$F101,YEAR($B$2:$B$4001)&amp;"-"&amp;$A$2:$A$4001,0,-1)),H101))</f>
        <v>4</v>
      </c>
      <c r="J101" cm="1">
        <f t="array" ref="J101">IF(OR(AND(I101=9,J$1&gt;YEAR($N101))),9,_xlfn.IFNA(INDEX($D$2:$D$4001,_xlfn.XMATCH(J$1&amp;"-"&amp;$F101,YEAR($B$2:$B$4001)&amp;"-"&amp;$A$2:$A$4001,0,-1)),I101))</f>
        <v>4</v>
      </c>
      <c r="K101" cm="1">
        <f t="array" ref="K101">IF(OR(AND(J101=9,K$1&gt;YEAR($N101))),9,_xlfn.IFNA(INDEX($D$2:$D$4001,_xlfn.XMATCH(K$1&amp;"-"&amp;$F101,YEAR($B$2:$B$4001)&amp;"-"&amp;$A$2:$A$4001,0,-1)),J101))</f>
        <v>3</v>
      </c>
      <c r="L101" cm="1">
        <f t="array" ref="L101">IF(OR(AND(K101=9,L$1&gt;YEAR($N101))),9,_xlfn.IFNA(INDEX($D$2:$D$4001,_xlfn.XMATCH(L$1&amp;"-"&amp;$F101,YEAR($B$2:$B$4001)&amp;"-"&amp;$A$2:$A$4001,0,-1)),K101))</f>
        <v>3</v>
      </c>
      <c r="M101" cm="1">
        <f t="array" ref="M101">IF(OR(AND(L101=9,M$1&gt;YEAR($N101))),9,_xlfn.IFNA(INDEX($D$2:$D$4001,_xlfn.XMATCH(M$1&amp;"-"&amp;$F101,YEAR($B$2:$B$4001)&amp;"-"&amp;$A$2:$A$4001,0,-1)),L101))</f>
        <v>3</v>
      </c>
      <c r="N101" s="1">
        <f t="shared" si="1"/>
        <v>36301</v>
      </c>
    </row>
    <row r="102" spans="1:14" x14ac:dyDescent="0.35">
      <c r="A102">
        <v>52</v>
      </c>
      <c r="B102" s="2">
        <v>37406</v>
      </c>
      <c r="C102">
        <v>3</v>
      </c>
      <c r="D102">
        <v>3</v>
      </c>
      <c r="F102">
        <v>101</v>
      </c>
      <c r="G102" cm="1">
        <f t="array" ref="G102">_xlfn.IFNA(INDEX($D$2:$D$4001,_xlfn.XMATCH(G$1&amp;"-"&amp;$F102,YEAR($B$2:$B$4001)&amp;"-"&amp;$A$2:$A$4001,0,-1)),9)</f>
        <v>9</v>
      </c>
      <c r="H102" cm="1">
        <f t="array" ref="H102">IF(OR(AND(G102=9,H$1&gt;YEAR($N102))),9,_xlfn.IFNA(INDEX($D$2:$D$4001,_xlfn.XMATCH(H$1&amp;"-"&amp;$F102,YEAR($B$2:$B$4001)&amp;"-"&amp;$A$2:$A$4001,0,-1)),G102))</f>
        <v>9</v>
      </c>
      <c r="I102" cm="1">
        <f t="array" ref="I102">IF(OR(AND(H102=9,I$1&gt;YEAR($N102))),9,_xlfn.IFNA(INDEX($D$2:$D$4001,_xlfn.XMATCH(I$1&amp;"-"&amp;$F102,YEAR($B$2:$B$4001)&amp;"-"&amp;$A$2:$A$4001,0,-1)),H102))</f>
        <v>9</v>
      </c>
      <c r="J102" cm="1">
        <f t="array" ref="J102">IF(OR(AND(I102=9,J$1&gt;YEAR($N102))),9,_xlfn.IFNA(INDEX($D$2:$D$4001,_xlfn.XMATCH(J$1&amp;"-"&amp;$F102,YEAR($B$2:$B$4001)&amp;"-"&amp;$A$2:$A$4001,0,-1)),I102))</f>
        <v>3</v>
      </c>
      <c r="K102" cm="1">
        <f t="array" ref="K102">IF(OR(AND(J102=9,K$1&gt;YEAR($N102))),9,_xlfn.IFNA(INDEX($D$2:$D$4001,_xlfn.XMATCH(K$1&amp;"-"&amp;$F102,YEAR($B$2:$B$4001)&amp;"-"&amp;$A$2:$A$4001,0,-1)),J102))</f>
        <v>3</v>
      </c>
      <c r="L102" cm="1">
        <f t="array" ref="L102">IF(OR(AND(K102=9,L$1&gt;YEAR($N102))),9,_xlfn.IFNA(INDEX($D$2:$D$4001,_xlfn.XMATCH(L$1&amp;"-"&amp;$F102,YEAR($B$2:$B$4001)&amp;"-"&amp;$A$2:$A$4001,0,-1)),K102))</f>
        <v>3</v>
      </c>
      <c r="M102" cm="1">
        <f t="array" ref="M102">IF(OR(AND(L102=9,M$1&gt;YEAR($N102))),9,_xlfn.IFNA(INDEX($D$2:$D$4001,_xlfn.XMATCH(M$1&amp;"-"&amp;$F102,YEAR($B$2:$B$4001)&amp;"-"&amp;$A$2:$A$4001,0,-1)),L102))</f>
        <v>3</v>
      </c>
      <c r="N102" s="1">
        <f t="shared" si="1"/>
        <v>37620</v>
      </c>
    </row>
    <row r="103" spans="1:14" x14ac:dyDescent="0.35">
      <c r="A103">
        <v>53</v>
      </c>
      <c r="B103" s="2">
        <v>36676</v>
      </c>
      <c r="C103">
        <v>2</v>
      </c>
      <c r="D103">
        <v>2</v>
      </c>
      <c r="F103">
        <v>102</v>
      </c>
      <c r="G103" cm="1">
        <f t="array" ref="G103">_xlfn.IFNA(INDEX($D$2:$D$4001,_xlfn.XMATCH(G$1&amp;"-"&amp;$F103,YEAR($B$2:$B$4001)&amp;"-"&amp;$A$2:$A$4001,0,-1)),9)</f>
        <v>9</v>
      </c>
      <c r="H103" cm="1">
        <f t="array" ref="H103">IF(OR(AND(G103=9,H$1&gt;YEAR($N103))),9,_xlfn.IFNA(INDEX($D$2:$D$4001,_xlfn.XMATCH(H$1&amp;"-"&amp;$F103,YEAR($B$2:$B$4001)&amp;"-"&amp;$A$2:$A$4001,0,-1)),G103))</f>
        <v>9</v>
      </c>
      <c r="I103" cm="1">
        <f t="array" ref="I103">IF(OR(AND(H103=9,I$1&gt;YEAR($N103))),9,_xlfn.IFNA(INDEX($D$2:$D$4001,_xlfn.XMATCH(I$1&amp;"-"&amp;$F103,YEAR($B$2:$B$4001)&amp;"-"&amp;$A$2:$A$4001,0,-1)),H103))</f>
        <v>9</v>
      </c>
      <c r="J103" cm="1">
        <f t="array" ref="J103">IF(OR(AND(I103=9,J$1&gt;YEAR($N103))),9,_xlfn.IFNA(INDEX($D$2:$D$4001,_xlfn.XMATCH(J$1&amp;"-"&amp;$F103,YEAR($B$2:$B$4001)&amp;"-"&amp;$A$2:$A$4001,0,-1)),I103))</f>
        <v>9</v>
      </c>
      <c r="K103" cm="1">
        <f t="array" ref="K103">IF(OR(AND(J103=9,K$1&gt;YEAR($N103))),9,_xlfn.IFNA(INDEX($D$2:$D$4001,_xlfn.XMATCH(K$1&amp;"-"&amp;$F103,YEAR($B$2:$B$4001)&amp;"-"&amp;$A$2:$A$4001,0,-1)),J103))</f>
        <v>0</v>
      </c>
      <c r="L103" cm="1">
        <f t="array" ref="L103">IF(OR(AND(K103=9,L$1&gt;YEAR($N103))),9,_xlfn.IFNA(INDEX($D$2:$D$4001,_xlfn.XMATCH(L$1&amp;"-"&amp;$F103,YEAR($B$2:$B$4001)&amp;"-"&amp;$A$2:$A$4001,0,-1)),K103))</f>
        <v>0</v>
      </c>
      <c r="M103" cm="1">
        <f t="array" ref="M103">IF(OR(AND(L103=9,M$1&gt;YEAR($N103))),9,_xlfn.IFNA(INDEX($D$2:$D$4001,_xlfn.XMATCH(M$1&amp;"-"&amp;$F103,YEAR($B$2:$B$4001)&amp;"-"&amp;$A$2:$A$4001,0,-1)),L103))</f>
        <v>0</v>
      </c>
      <c r="N103" s="1">
        <f t="shared" si="1"/>
        <v>37832</v>
      </c>
    </row>
    <row r="104" spans="1:14" x14ac:dyDescent="0.35">
      <c r="A104">
        <v>54</v>
      </c>
      <c r="B104" s="2">
        <v>36881</v>
      </c>
      <c r="C104">
        <v>6</v>
      </c>
      <c r="D104">
        <v>6</v>
      </c>
      <c r="F104">
        <v>103</v>
      </c>
      <c r="G104" cm="1">
        <f t="array" ref="G104">_xlfn.IFNA(INDEX($D$2:$D$4001,_xlfn.XMATCH(G$1&amp;"-"&amp;$F104,YEAR($B$2:$B$4001)&amp;"-"&amp;$A$2:$A$4001,0,-1)),9)</f>
        <v>0</v>
      </c>
      <c r="H104" cm="1">
        <f t="array" ref="H104">IF(OR(AND(G104=9,H$1&gt;YEAR($N104))),9,_xlfn.IFNA(INDEX($D$2:$D$4001,_xlfn.XMATCH(H$1&amp;"-"&amp;$F104,YEAR($B$2:$B$4001)&amp;"-"&amp;$A$2:$A$4001,0,-1)),G104))</f>
        <v>0</v>
      </c>
      <c r="I104" cm="1">
        <f t="array" ref="I104">IF(OR(AND(H104=9,I$1&gt;YEAR($N104))),9,_xlfn.IFNA(INDEX($D$2:$D$4001,_xlfn.XMATCH(I$1&amp;"-"&amp;$F104,YEAR($B$2:$B$4001)&amp;"-"&amp;$A$2:$A$4001,0,-1)),H104))</f>
        <v>0</v>
      </c>
      <c r="J104" cm="1">
        <f t="array" ref="J104">IF(OR(AND(I104=9,J$1&gt;YEAR($N104))),9,_xlfn.IFNA(INDEX($D$2:$D$4001,_xlfn.XMATCH(J$1&amp;"-"&amp;$F104,YEAR($B$2:$B$4001)&amp;"-"&amp;$A$2:$A$4001,0,-1)),I104))</f>
        <v>0</v>
      </c>
      <c r="K104" cm="1">
        <f t="array" ref="K104">IF(OR(AND(J104=9,K$1&gt;YEAR($N104))),9,_xlfn.IFNA(INDEX($D$2:$D$4001,_xlfn.XMATCH(K$1&amp;"-"&amp;$F104,YEAR($B$2:$B$4001)&amp;"-"&amp;$A$2:$A$4001,0,-1)),J104))</f>
        <v>0</v>
      </c>
      <c r="L104" cm="1">
        <f t="array" ref="L104">IF(OR(AND(K104=9,L$1&gt;YEAR($N104))),9,_xlfn.IFNA(INDEX($D$2:$D$4001,_xlfn.XMATCH(L$1&amp;"-"&amp;$F104,YEAR($B$2:$B$4001)&amp;"-"&amp;$A$2:$A$4001,0,-1)),K104))</f>
        <v>0</v>
      </c>
      <c r="M104" cm="1">
        <f t="array" ref="M104">IF(OR(AND(L104=9,M$1&gt;YEAR($N104))),9,_xlfn.IFNA(INDEX($D$2:$D$4001,_xlfn.XMATCH(M$1&amp;"-"&amp;$F104,YEAR($B$2:$B$4001)&amp;"-"&amp;$A$2:$A$4001,0,-1)),L104))</f>
        <v>0</v>
      </c>
      <c r="N104" s="1">
        <f t="shared" si="1"/>
        <v>36310</v>
      </c>
    </row>
    <row r="105" spans="1:14" x14ac:dyDescent="0.35">
      <c r="A105">
        <v>54</v>
      </c>
      <c r="B105" s="2">
        <v>37194</v>
      </c>
      <c r="C105">
        <v>7</v>
      </c>
      <c r="D105">
        <v>7</v>
      </c>
      <c r="F105">
        <v>104</v>
      </c>
      <c r="G105" cm="1">
        <f t="array" ref="G105">_xlfn.IFNA(INDEX($D$2:$D$4001,_xlfn.XMATCH(G$1&amp;"-"&amp;$F105,YEAR($B$2:$B$4001)&amp;"-"&amp;$A$2:$A$4001,0,-1)),9)</f>
        <v>3</v>
      </c>
      <c r="H105" cm="1">
        <f t="array" ref="H105">IF(OR(AND(G105=9,H$1&gt;YEAR($N105))),9,_xlfn.IFNA(INDEX($D$2:$D$4001,_xlfn.XMATCH(H$1&amp;"-"&amp;$F105,YEAR($B$2:$B$4001)&amp;"-"&amp;$A$2:$A$4001,0,-1)),G105))</f>
        <v>3</v>
      </c>
      <c r="I105" cm="1">
        <f t="array" ref="I105">IF(OR(AND(H105=9,I$1&gt;YEAR($N105))),9,_xlfn.IFNA(INDEX($D$2:$D$4001,_xlfn.XMATCH(I$1&amp;"-"&amp;$F105,YEAR($B$2:$B$4001)&amp;"-"&amp;$A$2:$A$4001,0,-1)),H105))</f>
        <v>3</v>
      </c>
      <c r="J105" cm="1">
        <f t="array" ref="J105">IF(OR(AND(I105=9,J$1&gt;YEAR($N105))),9,_xlfn.IFNA(INDEX($D$2:$D$4001,_xlfn.XMATCH(J$1&amp;"-"&amp;$F105,YEAR($B$2:$B$4001)&amp;"-"&amp;$A$2:$A$4001,0,-1)),I105))</f>
        <v>0</v>
      </c>
      <c r="K105" cm="1">
        <f t="array" ref="K105">IF(OR(AND(J105=9,K$1&gt;YEAR($N105))),9,_xlfn.IFNA(INDEX($D$2:$D$4001,_xlfn.XMATCH(K$1&amp;"-"&amp;$F105,YEAR($B$2:$B$4001)&amp;"-"&amp;$A$2:$A$4001,0,-1)),J105))</f>
        <v>0</v>
      </c>
      <c r="L105" cm="1">
        <f t="array" ref="L105">IF(OR(AND(K105=9,L$1&gt;YEAR($N105))),9,_xlfn.IFNA(INDEX($D$2:$D$4001,_xlfn.XMATCH(L$1&amp;"-"&amp;$F105,YEAR($B$2:$B$4001)&amp;"-"&amp;$A$2:$A$4001,0,-1)),K105))</f>
        <v>0</v>
      </c>
      <c r="M105" cm="1">
        <f t="array" ref="M105">IF(OR(AND(L105=9,M$1&gt;YEAR($N105))),9,_xlfn.IFNA(INDEX($D$2:$D$4001,_xlfn.XMATCH(M$1&amp;"-"&amp;$F105,YEAR($B$2:$B$4001)&amp;"-"&amp;$A$2:$A$4001,0,-1)),L105))</f>
        <v>0</v>
      </c>
      <c r="N105" s="1">
        <f t="shared" si="1"/>
        <v>36524</v>
      </c>
    </row>
    <row r="106" spans="1:14" x14ac:dyDescent="0.35">
      <c r="A106">
        <v>54</v>
      </c>
      <c r="B106" s="2">
        <v>37467</v>
      </c>
      <c r="C106">
        <v>8</v>
      </c>
      <c r="D106">
        <v>8</v>
      </c>
      <c r="F106">
        <v>105</v>
      </c>
      <c r="G106" cm="1">
        <f t="array" ref="G106">_xlfn.IFNA(INDEX($D$2:$D$4001,_xlfn.XMATCH(G$1&amp;"-"&amp;$F106,YEAR($B$2:$B$4001)&amp;"-"&amp;$A$2:$A$4001,0,-1)),9)</f>
        <v>3</v>
      </c>
      <c r="H106" cm="1">
        <f t="array" ref="H106">IF(OR(AND(G106=9,H$1&gt;YEAR($N106))),9,_xlfn.IFNA(INDEX($D$2:$D$4001,_xlfn.XMATCH(H$1&amp;"-"&amp;$F106,YEAR($B$2:$B$4001)&amp;"-"&amp;$A$2:$A$4001,0,-1)),G106))</f>
        <v>3</v>
      </c>
      <c r="I106" cm="1">
        <f t="array" ref="I106">IF(OR(AND(H106=9,I$1&gt;YEAR($N106))),9,_xlfn.IFNA(INDEX($D$2:$D$4001,_xlfn.XMATCH(I$1&amp;"-"&amp;$F106,YEAR($B$2:$B$4001)&amp;"-"&amp;$A$2:$A$4001,0,-1)),H106))</f>
        <v>3</v>
      </c>
      <c r="J106" cm="1">
        <f t="array" ref="J106">IF(OR(AND(I106=9,J$1&gt;YEAR($N106))),9,_xlfn.IFNA(INDEX($D$2:$D$4001,_xlfn.XMATCH(J$1&amp;"-"&amp;$F106,YEAR($B$2:$B$4001)&amp;"-"&amp;$A$2:$A$4001,0,-1)),I106))</f>
        <v>3</v>
      </c>
      <c r="K106" cm="1">
        <f t="array" ref="K106">IF(OR(AND(J106=9,K$1&gt;YEAR($N106))),9,_xlfn.IFNA(INDEX($D$2:$D$4001,_xlfn.XMATCH(K$1&amp;"-"&amp;$F106,YEAR($B$2:$B$4001)&amp;"-"&amp;$A$2:$A$4001,0,-1)),J106))</f>
        <v>3</v>
      </c>
      <c r="L106" cm="1">
        <f t="array" ref="L106">IF(OR(AND(K106=9,L$1&gt;YEAR($N106))),9,_xlfn.IFNA(INDEX($D$2:$D$4001,_xlfn.XMATCH(L$1&amp;"-"&amp;$F106,YEAR($B$2:$B$4001)&amp;"-"&amp;$A$2:$A$4001,0,-1)),K106))</f>
        <v>3</v>
      </c>
      <c r="M106" cm="1">
        <f t="array" ref="M106">IF(OR(AND(L106=9,M$1&gt;YEAR($N106))),9,_xlfn.IFNA(INDEX($D$2:$D$4001,_xlfn.XMATCH(M$1&amp;"-"&amp;$F106,YEAR($B$2:$B$4001)&amp;"-"&amp;$A$2:$A$4001,0,-1)),L106))</f>
        <v>3</v>
      </c>
      <c r="N106" s="1">
        <f t="shared" si="1"/>
        <v>36524</v>
      </c>
    </row>
    <row r="107" spans="1:14" x14ac:dyDescent="0.35">
      <c r="A107">
        <v>54</v>
      </c>
      <c r="B107" s="2">
        <v>37620</v>
      </c>
      <c r="C107">
        <v>0</v>
      </c>
      <c r="D107">
        <v>8</v>
      </c>
      <c r="F107">
        <v>106</v>
      </c>
      <c r="G107" cm="1">
        <f t="array" ref="G107">_xlfn.IFNA(INDEX($D$2:$D$4001,_xlfn.XMATCH(G$1&amp;"-"&amp;$F107,YEAR($B$2:$B$4001)&amp;"-"&amp;$A$2:$A$4001,0,-1)),9)</f>
        <v>9</v>
      </c>
      <c r="H107" cm="1">
        <f t="array" ref="H107">IF(OR(AND(G107=9,H$1&gt;YEAR($N107))),9,_xlfn.IFNA(INDEX($D$2:$D$4001,_xlfn.XMATCH(H$1&amp;"-"&amp;$F107,YEAR($B$2:$B$4001)&amp;"-"&amp;$A$2:$A$4001,0,-1)),G107))</f>
        <v>9</v>
      </c>
      <c r="I107" cm="1">
        <f t="array" ref="I107">IF(OR(AND(H107=9,I$1&gt;YEAR($N107))),9,_xlfn.IFNA(INDEX($D$2:$D$4001,_xlfn.XMATCH(I$1&amp;"-"&amp;$F107,YEAR($B$2:$B$4001)&amp;"-"&amp;$A$2:$A$4001,0,-1)),H107))</f>
        <v>9</v>
      </c>
      <c r="J107" cm="1">
        <f t="array" ref="J107">IF(OR(AND(I107=9,J$1&gt;YEAR($N107))),9,_xlfn.IFNA(INDEX($D$2:$D$4001,_xlfn.XMATCH(J$1&amp;"-"&amp;$F107,YEAR($B$2:$B$4001)&amp;"-"&amp;$A$2:$A$4001,0,-1)),I107))</f>
        <v>4</v>
      </c>
      <c r="K107" cm="1">
        <f t="array" ref="K107">IF(OR(AND(J107=9,K$1&gt;YEAR($N107))),9,_xlfn.IFNA(INDEX($D$2:$D$4001,_xlfn.XMATCH(K$1&amp;"-"&amp;$F107,YEAR($B$2:$B$4001)&amp;"-"&amp;$A$2:$A$4001,0,-1)),J107))</f>
        <v>5</v>
      </c>
      <c r="L107" cm="1">
        <f t="array" ref="L107">IF(OR(AND(K107=9,L$1&gt;YEAR($N107))),9,_xlfn.IFNA(INDEX($D$2:$D$4001,_xlfn.XMATCH(L$1&amp;"-"&amp;$F107,YEAR($B$2:$B$4001)&amp;"-"&amp;$A$2:$A$4001,0,-1)),K107))</f>
        <v>5</v>
      </c>
      <c r="M107" cm="1">
        <f t="array" ref="M107">IF(OR(AND(L107=9,M$1&gt;YEAR($N107))),9,_xlfn.IFNA(INDEX($D$2:$D$4001,_xlfn.XMATCH(M$1&amp;"-"&amp;$F107,YEAR($B$2:$B$4001)&amp;"-"&amp;$A$2:$A$4001,0,-1)),L107))</f>
        <v>5</v>
      </c>
      <c r="N107" s="1">
        <f t="shared" si="1"/>
        <v>37529</v>
      </c>
    </row>
    <row r="108" spans="1:14" x14ac:dyDescent="0.35">
      <c r="A108">
        <v>55</v>
      </c>
      <c r="B108" s="2">
        <v>37403</v>
      </c>
      <c r="C108">
        <v>7</v>
      </c>
      <c r="D108">
        <v>7</v>
      </c>
      <c r="F108">
        <v>107</v>
      </c>
      <c r="G108" cm="1">
        <f t="array" ref="G108">_xlfn.IFNA(INDEX($D$2:$D$4001,_xlfn.XMATCH(G$1&amp;"-"&amp;$F108,YEAR($B$2:$B$4001)&amp;"-"&amp;$A$2:$A$4001,0,-1)),9)</f>
        <v>4</v>
      </c>
      <c r="H108" cm="1">
        <f t="array" ref="H108">IF(OR(AND(G108=9,H$1&gt;YEAR($N108))),9,_xlfn.IFNA(INDEX($D$2:$D$4001,_xlfn.XMATCH(H$1&amp;"-"&amp;$F108,YEAR($B$2:$B$4001)&amp;"-"&amp;$A$2:$A$4001,0,-1)),G108))</f>
        <v>4</v>
      </c>
      <c r="I108" cm="1">
        <f t="array" ref="I108">IF(OR(AND(H108=9,I$1&gt;YEAR($N108))),9,_xlfn.IFNA(INDEX($D$2:$D$4001,_xlfn.XMATCH(I$1&amp;"-"&amp;$F108,YEAR($B$2:$B$4001)&amp;"-"&amp;$A$2:$A$4001,0,-1)),H108))</f>
        <v>4</v>
      </c>
      <c r="J108" cm="1">
        <f t="array" ref="J108">IF(OR(AND(I108=9,J$1&gt;YEAR($N108))),9,_xlfn.IFNA(INDEX($D$2:$D$4001,_xlfn.XMATCH(J$1&amp;"-"&amp;$F108,YEAR($B$2:$B$4001)&amp;"-"&amp;$A$2:$A$4001,0,-1)),I108))</f>
        <v>4</v>
      </c>
      <c r="K108" cm="1">
        <f t="array" ref="K108">IF(OR(AND(J108=9,K$1&gt;YEAR($N108))),9,_xlfn.IFNA(INDEX($D$2:$D$4001,_xlfn.XMATCH(K$1&amp;"-"&amp;$F108,YEAR($B$2:$B$4001)&amp;"-"&amp;$A$2:$A$4001,0,-1)),J108))</f>
        <v>4</v>
      </c>
      <c r="L108" cm="1">
        <f t="array" ref="L108">IF(OR(AND(K108=9,L$1&gt;YEAR($N108))),9,_xlfn.IFNA(INDEX($D$2:$D$4001,_xlfn.XMATCH(L$1&amp;"-"&amp;$F108,YEAR($B$2:$B$4001)&amp;"-"&amp;$A$2:$A$4001,0,-1)),K108))</f>
        <v>4</v>
      </c>
      <c r="M108" cm="1">
        <f t="array" ref="M108">IF(OR(AND(L108=9,M$1&gt;YEAR($N108))),9,_xlfn.IFNA(INDEX($D$2:$D$4001,_xlfn.XMATCH(M$1&amp;"-"&amp;$F108,YEAR($B$2:$B$4001)&amp;"-"&amp;$A$2:$A$4001,0,-1)),L108))</f>
        <v>4</v>
      </c>
      <c r="N108" s="1">
        <f t="shared" si="1"/>
        <v>36301</v>
      </c>
    </row>
    <row r="109" spans="1:14" x14ac:dyDescent="0.35">
      <c r="A109">
        <v>55</v>
      </c>
      <c r="B109" s="2">
        <v>37620</v>
      </c>
      <c r="C109">
        <v>0</v>
      </c>
      <c r="D109">
        <v>0</v>
      </c>
      <c r="F109">
        <v>108</v>
      </c>
      <c r="G109" cm="1">
        <f t="array" ref="G109">_xlfn.IFNA(INDEX($D$2:$D$4001,_xlfn.XMATCH(G$1&amp;"-"&amp;$F109,YEAR($B$2:$B$4001)&amp;"-"&amp;$A$2:$A$4001,0,-1)),9)</f>
        <v>3</v>
      </c>
      <c r="H109" cm="1">
        <f t="array" ref="H109">IF(OR(AND(G109=9,H$1&gt;YEAR($N109))),9,_xlfn.IFNA(INDEX($D$2:$D$4001,_xlfn.XMATCH(H$1&amp;"-"&amp;$F109,YEAR($B$2:$B$4001)&amp;"-"&amp;$A$2:$A$4001,0,-1)),G109))</f>
        <v>3</v>
      </c>
      <c r="I109" cm="1">
        <f t="array" ref="I109">IF(OR(AND(H109=9,I$1&gt;YEAR($N109))),9,_xlfn.IFNA(INDEX($D$2:$D$4001,_xlfn.XMATCH(I$1&amp;"-"&amp;$F109,YEAR($B$2:$B$4001)&amp;"-"&amp;$A$2:$A$4001,0,-1)),H109))</f>
        <v>3</v>
      </c>
      <c r="J109" cm="1">
        <f t="array" ref="J109">IF(OR(AND(I109=9,J$1&gt;YEAR($N109))),9,_xlfn.IFNA(INDEX($D$2:$D$4001,_xlfn.XMATCH(J$1&amp;"-"&amp;$F109,YEAR($B$2:$B$4001)&amp;"-"&amp;$A$2:$A$4001,0,-1)),I109))</f>
        <v>3</v>
      </c>
      <c r="K109" cm="1">
        <f t="array" ref="K109">IF(OR(AND(J109=9,K$1&gt;YEAR($N109))),9,_xlfn.IFNA(INDEX($D$2:$D$4001,_xlfn.XMATCH(K$1&amp;"-"&amp;$F109,YEAR($B$2:$B$4001)&amp;"-"&amp;$A$2:$A$4001,0,-1)),J109))</f>
        <v>3</v>
      </c>
      <c r="L109" cm="1">
        <f t="array" ref="L109">IF(OR(AND(K109=9,L$1&gt;YEAR($N109))),9,_xlfn.IFNA(INDEX($D$2:$D$4001,_xlfn.XMATCH(L$1&amp;"-"&amp;$F109,YEAR($B$2:$B$4001)&amp;"-"&amp;$A$2:$A$4001,0,-1)),K109))</f>
        <v>3</v>
      </c>
      <c r="M109" cm="1">
        <f t="array" ref="M109">IF(OR(AND(L109=9,M$1&gt;YEAR($N109))),9,_xlfn.IFNA(INDEX($D$2:$D$4001,_xlfn.XMATCH(M$1&amp;"-"&amp;$F109,YEAR($B$2:$B$4001)&amp;"-"&amp;$A$2:$A$4001,0,-1)),L109))</f>
        <v>3</v>
      </c>
      <c r="N109" s="1">
        <f t="shared" si="1"/>
        <v>36524</v>
      </c>
    </row>
    <row r="110" spans="1:14" x14ac:dyDescent="0.35">
      <c r="A110">
        <v>56</v>
      </c>
      <c r="B110" s="2">
        <v>37406</v>
      </c>
      <c r="C110">
        <v>5</v>
      </c>
      <c r="D110">
        <v>5</v>
      </c>
      <c r="F110">
        <v>109</v>
      </c>
      <c r="G110" cm="1">
        <f t="array" ref="G110">_xlfn.IFNA(INDEX($D$2:$D$4001,_xlfn.XMATCH(G$1&amp;"-"&amp;$F110,YEAR($B$2:$B$4001)&amp;"-"&amp;$A$2:$A$4001,0,-1)),9)</f>
        <v>9</v>
      </c>
      <c r="H110" cm="1">
        <f t="array" ref="H110">IF(OR(AND(G110=9,H$1&gt;YEAR($N110))),9,_xlfn.IFNA(INDEX($D$2:$D$4001,_xlfn.XMATCH(H$1&amp;"-"&amp;$F110,YEAR($B$2:$B$4001)&amp;"-"&amp;$A$2:$A$4001,0,-1)),G110))</f>
        <v>9</v>
      </c>
      <c r="I110" cm="1">
        <f t="array" ref="I110">IF(OR(AND(H110=9,I$1&gt;YEAR($N110))),9,_xlfn.IFNA(INDEX($D$2:$D$4001,_xlfn.XMATCH(I$1&amp;"-"&amp;$F110,YEAR($B$2:$B$4001)&amp;"-"&amp;$A$2:$A$4001,0,-1)),H110))</f>
        <v>9</v>
      </c>
      <c r="J110" cm="1">
        <f t="array" ref="J110">IF(OR(AND(I110=9,J$1&gt;YEAR($N110))),9,_xlfn.IFNA(INDEX($D$2:$D$4001,_xlfn.XMATCH(J$1&amp;"-"&amp;$F110,YEAR($B$2:$B$4001)&amp;"-"&amp;$A$2:$A$4001,0,-1)),I110))</f>
        <v>9</v>
      </c>
      <c r="K110" cm="1">
        <f t="array" ref="K110">IF(OR(AND(J110=9,K$1&gt;YEAR($N110))),9,_xlfn.IFNA(INDEX($D$2:$D$4001,_xlfn.XMATCH(K$1&amp;"-"&amp;$F110,YEAR($B$2:$B$4001)&amp;"-"&amp;$A$2:$A$4001,0,-1)),J110))</f>
        <v>0</v>
      </c>
      <c r="L110" cm="1">
        <f t="array" ref="L110">IF(OR(AND(K110=9,L$1&gt;YEAR($N110))),9,_xlfn.IFNA(INDEX($D$2:$D$4001,_xlfn.XMATCH(L$1&amp;"-"&amp;$F110,YEAR($B$2:$B$4001)&amp;"-"&amp;$A$2:$A$4001,0,-1)),K110))</f>
        <v>0</v>
      </c>
      <c r="M110" cm="1">
        <f t="array" ref="M110">IF(OR(AND(L110=9,M$1&gt;YEAR($N110))),9,_xlfn.IFNA(INDEX($D$2:$D$4001,_xlfn.XMATCH(M$1&amp;"-"&amp;$F110,YEAR($B$2:$B$4001)&amp;"-"&amp;$A$2:$A$4001,0,-1)),L110))</f>
        <v>0</v>
      </c>
      <c r="N110" s="1">
        <f t="shared" si="1"/>
        <v>37771</v>
      </c>
    </row>
    <row r="111" spans="1:14" x14ac:dyDescent="0.35">
      <c r="A111">
        <v>56</v>
      </c>
      <c r="B111" s="2">
        <v>37771</v>
      </c>
      <c r="C111">
        <v>6</v>
      </c>
      <c r="D111">
        <v>6</v>
      </c>
      <c r="F111">
        <v>110</v>
      </c>
      <c r="G111" cm="1">
        <f t="array" ref="G111">_xlfn.IFNA(INDEX($D$2:$D$4001,_xlfn.XMATCH(G$1&amp;"-"&amp;$F111,YEAR($B$2:$B$4001)&amp;"-"&amp;$A$2:$A$4001,0,-1)),9)</f>
        <v>9</v>
      </c>
      <c r="H111" cm="1">
        <f t="array" ref="H111">IF(OR(AND(G111=9,H$1&gt;YEAR($N111))),9,_xlfn.IFNA(INDEX($D$2:$D$4001,_xlfn.XMATCH(H$1&amp;"-"&amp;$F111,YEAR($B$2:$B$4001)&amp;"-"&amp;$A$2:$A$4001,0,-1)),G111))</f>
        <v>3</v>
      </c>
      <c r="I111" cm="1">
        <f t="array" ref="I111">IF(OR(AND(H111=9,I$1&gt;YEAR($N111))),9,_xlfn.IFNA(INDEX($D$2:$D$4001,_xlfn.XMATCH(I$1&amp;"-"&amp;$F111,YEAR($B$2:$B$4001)&amp;"-"&amp;$A$2:$A$4001,0,-1)),H111))</f>
        <v>3</v>
      </c>
      <c r="J111" cm="1">
        <f t="array" ref="J111">IF(OR(AND(I111=9,J$1&gt;YEAR($N111))),9,_xlfn.IFNA(INDEX($D$2:$D$4001,_xlfn.XMATCH(J$1&amp;"-"&amp;$F111,YEAR($B$2:$B$4001)&amp;"-"&amp;$A$2:$A$4001,0,-1)),I111))</f>
        <v>3</v>
      </c>
      <c r="K111" cm="1">
        <f t="array" ref="K111">IF(OR(AND(J111=9,K$1&gt;YEAR($N111))),9,_xlfn.IFNA(INDEX($D$2:$D$4001,_xlfn.XMATCH(K$1&amp;"-"&amp;$F111,YEAR($B$2:$B$4001)&amp;"-"&amp;$A$2:$A$4001,0,-1)),J111))</f>
        <v>3</v>
      </c>
      <c r="L111" cm="1">
        <f t="array" ref="L111">IF(OR(AND(K111=9,L$1&gt;YEAR($N111))),9,_xlfn.IFNA(INDEX($D$2:$D$4001,_xlfn.XMATCH(L$1&amp;"-"&amp;$F111,YEAR($B$2:$B$4001)&amp;"-"&amp;$A$2:$A$4001,0,-1)),K111))</f>
        <v>3</v>
      </c>
      <c r="M111" cm="1">
        <f t="array" ref="M111">IF(OR(AND(L111=9,M$1&gt;YEAR($N111))),9,_xlfn.IFNA(INDEX($D$2:$D$4001,_xlfn.XMATCH(M$1&amp;"-"&amp;$F111,YEAR($B$2:$B$4001)&amp;"-"&amp;$A$2:$A$4001,0,-1)),L111))</f>
        <v>3</v>
      </c>
      <c r="N111" s="1">
        <f t="shared" si="1"/>
        <v>36676</v>
      </c>
    </row>
    <row r="112" spans="1:14" x14ac:dyDescent="0.35">
      <c r="A112">
        <v>57</v>
      </c>
      <c r="B112" s="2">
        <v>36310</v>
      </c>
      <c r="C112">
        <v>3</v>
      </c>
      <c r="D112">
        <v>3</v>
      </c>
      <c r="F112">
        <v>111</v>
      </c>
      <c r="G112" cm="1">
        <f t="array" ref="G112">_xlfn.IFNA(INDEX($D$2:$D$4001,_xlfn.XMATCH(G$1&amp;"-"&amp;$F112,YEAR($B$2:$B$4001)&amp;"-"&amp;$A$2:$A$4001,0,-1)),9)</f>
        <v>9</v>
      </c>
      <c r="H112" cm="1">
        <f t="array" ref="H112">IF(OR(AND(G112=9,H$1&gt;YEAR($N112))),9,_xlfn.IFNA(INDEX($D$2:$D$4001,_xlfn.XMATCH(H$1&amp;"-"&amp;$F112,YEAR($B$2:$B$4001)&amp;"-"&amp;$A$2:$A$4001,0,-1)),G112))</f>
        <v>9</v>
      </c>
      <c r="I112" cm="1">
        <f t="array" ref="I112">IF(OR(AND(H112=9,I$1&gt;YEAR($N112))),9,_xlfn.IFNA(INDEX($D$2:$D$4001,_xlfn.XMATCH(I$1&amp;"-"&amp;$F112,YEAR($B$2:$B$4001)&amp;"-"&amp;$A$2:$A$4001,0,-1)),H112))</f>
        <v>2</v>
      </c>
      <c r="J112" cm="1">
        <f t="array" ref="J112">IF(OR(AND(I112=9,J$1&gt;YEAR($N112))),9,_xlfn.IFNA(INDEX($D$2:$D$4001,_xlfn.XMATCH(J$1&amp;"-"&amp;$F112,YEAR($B$2:$B$4001)&amp;"-"&amp;$A$2:$A$4001,0,-1)),I112))</f>
        <v>2</v>
      </c>
      <c r="K112" cm="1">
        <f t="array" ref="K112">IF(OR(AND(J112=9,K$1&gt;YEAR($N112))),9,_xlfn.IFNA(INDEX($D$2:$D$4001,_xlfn.XMATCH(K$1&amp;"-"&amp;$F112,YEAR($B$2:$B$4001)&amp;"-"&amp;$A$2:$A$4001,0,-1)),J112))</f>
        <v>2</v>
      </c>
      <c r="L112" cm="1">
        <f t="array" ref="L112">IF(OR(AND(K112=9,L$1&gt;YEAR($N112))),9,_xlfn.IFNA(INDEX($D$2:$D$4001,_xlfn.XMATCH(L$1&amp;"-"&amp;$F112,YEAR($B$2:$B$4001)&amp;"-"&amp;$A$2:$A$4001,0,-1)),K112))</f>
        <v>2</v>
      </c>
      <c r="M112" cm="1">
        <f t="array" ref="M112">IF(OR(AND(L112=9,M$1&gt;YEAR($N112))),9,_xlfn.IFNA(INDEX($D$2:$D$4001,_xlfn.XMATCH(M$1&amp;"-"&amp;$F112,YEAR($B$2:$B$4001)&amp;"-"&amp;$A$2:$A$4001,0,-1)),L112))</f>
        <v>2</v>
      </c>
      <c r="N112" s="1">
        <f t="shared" si="1"/>
        <v>37255</v>
      </c>
    </row>
    <row r="113" spans="1:14" x14ac:dyDescent="0.35">
      <c r="A113">
        <v>57</v>
      </c>
      <c r="B113" s="2">
        <v>37032</v>
      </c>
      <c r="C113">
        <v>3</v>
      </c>
      <c r="D113">
        <v>3</v>
      </c>
      <c r="F113">
        <v>112</v>
      </c>
      <c r="G113" cm="1">
        <f t="array" ref="G113">_xlfn.IFNA(INDEX($D$2:$D$4001,_xlfn.XMATCH(G$1&amp;"-"&amp;$F113,YEAR($B$2:$B$4001)&amp;"-"&amp;$A$2:$A$4001,0,-1)),9)</f>
        <v>9</v>
      </c>
      <c r="H113" cm="1">
        <f t="array" ref="H113">IF(OR(AND(G113=9,H$1&gt;YEAR($N113))),9,_xlfn.IFNA(INDEX($D$2:$D$4001,_xlfn.XMATCH(H$1&amp;"-"&amp;$F113,YEAR($B$2:$B$4001)&amp;"-"&amp;$A$2:$A$4001,0,-1)),G113))</f>
        <v>9</v>
      </c>
      <c r="I113" cm="1">
        <f t="array" ref="I113">IF(OR(AND(H113=9,I$1&gt;YEAR($N113))),9,_xlfn.IFNA(INDEX($D$2:$D$4001,_xlfn.XMATCH(I$1&amp;"-"&amp;$F113,YEAR($B$2:$B$4001)&amp;"-"&amp;$A$2:$A$4001,0,-1)),H113))</f>
        <v>9</v>
      </c>
      <c r="J113" cm="1">
        <f t="array" ref="J113">IF(OR(AND(I113=9,J$1&gt;YEAR($N113))),9,_xlfn.IFNA(INDEX($D$2:$D$4001,_xlfn.XMATCH(J$1&amp;"-"&amp;$F113,YEAR($B$2:$B$4001)&amp;"-"&amp;$A$2:$A$4001,0,-1)),I113))</f>
        <v>9</v>
      </c>
      <c r="K113" cm="1">
        <f t="array" ref="K113">IF(OR(AND(J113=9,K$1&gt;YEAR($N113))),9,_xlfn.IFNA(INDEX($D$2:$D$4001,_xlfn.XMATCH(K$1&amp;"-"&amp;$F113,YEAR($B$2:$B$4001)&amp;"-"&amp;$A$2:$A$4001,0,-1)),J113))</f>
        <v>9</v>
      </c>
      <c r="L113" cm="1">
        <f t="array" ref="L113">IF(OR(AND(K113=9,L$1&gt;YEAR($N113))),9,_xlfn.IFNA(INDEX($D$2:$D$4001,_xlfn.XMATCH(L$1&amp;"-"&amp;$F113,YEAR($B$2:$B$4001)&amp;"-"&amp;$A$2:$A$4001,0,-1)),K113))</f>
        <v>5</v>
      </c>
      <c r="M113" cm="1">
        <f t="array" ref="M113">IF(OR(AND(L113=9,M$1&gt;YEAR($N113))),9,_xlfn.IFNA(INDEX($D$2:$D$4001,_xlfn.XMATCH(M$1&amp;"-"&amp;$F113,YEAR($B$2:$B$4001)&amp;"-"&amp;$A$2:$A$4001,0,-1)),L113))</f>
        <v>5</v>
      </c>
      <c r="N113" s="1">
        <f t="shared" si="1"/>
        <v>38351</v>
      </c>
    </row>
    <row r="114" spans="1:14" x14ac:dyDescent="0.35">
      <c r="A114">
        <v>57</v>
      </c>
      <c r="B114" s="2">
        <v>38281</v>
      </c>
      <c r="C114">
        <v>0</v>
      </c>
      <c r="D114">
        <v>0</v>
      </c>
      <c r="F114">
        <v>113</v>
      </c>
      <c r="G114" cm="1">
        <f t="array" ref="G114">_xlfn.IFNA(INDEX($D$2:$D$4001,_xlfn.XMATCH(G$1&amp;"-"&amp;$F114,YEAR($B$2:$B$4001)&amp;"-"&amp;$A$2:$A$4001,0,-1)),9)</f>
        <v>4</v>
      </c>
      <c r="H114" cm="1">
        <f t="array" ref="H114">IF(OR(AND(G114=9,H$1&gt;YEAR($N114))),9,_xlfn.IFNA(INDEX($D$2:$D$4001,_xlfn.XMATCH(H$1&amp;"-"&amp;$F114,YEAR($B$2:$B$4001)&amp;"-"&amp;$A$2:$A$4001,0,-1)),G114))</f>
        <v>4</v>
      </c>
      <c r="I114" cm="1">
        <f t="array" ref="I114">IF(OR(AND(H114=9,I$1&gt;YEAR($N114))),9,_xlfn.IFNA(INDEX($D$2:$D$4001,_xlfn.XMATCH(I$1&amp;"-"&amp;$F114,YEAR($B$2:$B$4001)&amp;"-"&amp;$A$2:$A$4001,0,-1)),H114))</f>
        <v>4</v>
      </c>
      <c r="J114" cm="1">
        <f t="array" ref="J114">IF(OR(AND(I114=9,J$1&gt;YEAR($N114))),9,_xlfn.IFNA(INDEX($D$2:$D$4001,_xlfn.XMATCH(J$1&amp;"-"&amp;$F114,YEAR($B$2:$B$4001)&amp;"-"&amp;$A$2:$A$4001,0,-1)),I114))</f>
        <v>4</v>
      </c>
      <c r="K114" cm="1">
        <f t="array" ref="K114">IF(OR(AND(J114=9,K$1&gt;YEAR($N114))),9,_xlfn.IFNA(INDEX($D$2:$D$4001,_xlfn.XMATCH(K$1&amp;"-"&amp;$F114,YEAR($B$2:$B$4001)&amp;"-"&amp;$A$2:$A$4001,0,-1)),J114))</f>
        <v>4</v>
      </c>
      <c r="L114" cm="1">
        <f t="array" ref="L114">IF(OR(AND(K114=9,L$1&gt;YEAR($N114))),9,_xlfn.IFNA(INDEX($D$2:$D$4001,_xlfn.XMATCH(L$1&amp;"-"&amp;$F114,YEAR($B$2:$B$4001)&amp;"-"&amp;$A$2:$A$4001,0,-1)),K114))</f>
        <v>4</v>
      </c>
      <c r="M114" cm="1">
        <f t="array" ref="M114">IF(OR(AND(L114=9,M$1&gt;YEAR($N114))),9,_xlfn.IFNA(INDEX($D$2:$D$4001,_xlfn.XMATCH(M$1&amp;"-"&amp;$F114,YEAR($B$2:$B$4001)&amp;"-"&amp;$A$2:$A$4001,0,-1)),L114))</f>
        <v>4</v>
      </c>
      <c r="N114" s="1">
        <f t="shared" si="1"/>
        <v>36310</v>
      </c>
    </row>
    <row r="115" spans="1:14" x14ac:dyDescent="0.35">
      <c r="A115">
        <v>58</v>
      </c>
      <c r="B115" s="2">
        <v>38159</v>
      </c>
      <c r="C115">
        <v>2</v>
      </c>
      <c r="D115">
        <v>2</v>
      </c>
      <c r="F115">
        <v>114</v>
      </c>
      <c r="G115" cm="1">
        <f t="array" ref="G115">_xlfn.IFNA(INDEX($D$2:$D$4001,_xlfn.XMATCH(G$1&amp;"-"&amp;$F115,YEAR($B$2:$B$4001)&amp;"-"&amp;$A$2:$A$4001,0,-1)),9)</f>
        <v>9</v>
      </c>
      <c r="H115" cm="1">
        <f t="array" ref="H115">IF(OR(AND(G115=9,H$1&gt;YEAR($N115))),9,_xlfn.IFNA(INDEX($D$2:$D$4001,_xlfn.XMATCH(H$1&amp;"-"&amp;$F115,YEAR($B$2:$B$4001)&amp;"-"&amp;$A$2:$A$4001,0,-1)),G115))</f>
        <v>9</v>
      </c>
      <c r="I115" cm="1">
        <f t="array" ref="I115">IF(OR(AND(H115=9,I$1&gt;YEAR($N115))),9,_xlfn.IFNA(INDEX($D$2:$D$4001,_xlfn.XMATCH(I$1&amp;"-"&amp;$F115,YEAR($B$2:$B$4001)&amp;"-"&amp;$A$2:$A$4001,0,-1)),H115))</f>
        <v>9</v>
      </c>
      <c r="J115" cm="1">
        <f t="array" ref="J115">IF(OR(AND(I115=9,J$1&gt;YEAR($N115))),9,_xlfn.IFNA(INDEX($D$2:$D$4001,_xlfn.XMATCH(J$1&amp;"-"&amp;$F115,YEAR($B$2:$B$4001)&amp;"-"&amp;$A$2:$A$4001,0,-1)),I115))</f>
        <v>3</v>
      </c>
      <c r="K115" cm="1">
        <f t="array" ref="K115">IF(OR(AND(J115=9,K$1&gt;YEAR($N115))),9,_xlfn.IFNA(INDEX($D$2:$D$4001,_xlfn.XMATCH(K$1&amp;"-"&amp;$F115,YEAR($B$2:$B$4001)&amp;"-"&amp;$A$2:$A$4001,0,-1)),J115))</f>
        <v>3</v>
      </c>
      <c r="L115" cm="1">
        <f t="array" ref="L115">IF(OR(AND(K115=9,L$1&gt;YEAR($N115))),9,_xlfn.IFNA(INDEX($D$2:$D$4001,_xlfn.XMATCH(L$1&amp;"-"&amp;$F115,YEAR($B$2:$B$4001)&amp;"-"&amp;$A$2:$A$4001,0,-1)),K115))</f>
        <v>3</v>
      </c>
      <c r="M115" cm="1">
        <f t="array" ref="M115">IF(OR(AND(L115=9,M$1&gt;YEAR($N115))),9,_xlfn.IFNA(INDEX($D$2:$D$4001,_xlfn.XMATCH(M$1&amp;"-"&amp;$F115,YEAR($B$2:$B$4001)&amp;"-"&amp;$A$2:$A$4001,0,-1)),L115))</f>
        <v>3</v>
      </c>
      <c r="N115" s="1">
        <f t="shared" si="1"/>
        <v>37620</v>
      </c>
    </row>
    <row r="116" spans="1:14" x14ac:dyDescent="0.35">
      <c r="A116">
        <v>59</v>
      </c>
      <c r="B116" s="2">
        <v>38137</v>
      </c>
      <c r="C116">
        <v>4</v>
      </c>
      <c r="D116">
        <v>4</v>
      </c>
      <c r="F116">
        <v>115</v>
      </c>
      <c r="G116" cm="1">
        <f t="array" ref="G116">_xlfn.IFNA(INDEX($D$2:$D$4001,_xlfn.XMATCH(G$1&amp;"-"&amp;$F116,YEAR($B$2:$B$4001)&amp;"-"&amp;$A$2:$A$4001,0,-1)),9)</f>
        <v>3</v>
      </c>
      <c r="H116" cm="1">
        <f t="array" ref="H116">IF(OR(AND(G116=9,H$1&gt;YEAR($N116))),9,_xlfn.IFNA(INDEX($D$2:$D$4001,_xlfn.XMATCH(H$1&amp;"-"&amp;$F116,YEAR($B$2:$B$4001)&amp;"-"&amp;$A$2:$A$4001,0,-1)),G116))</f>
        <v>3</v>
      </c>
      <c r="I116" cm="1">
        <f t="array" ref="I116">IF(OR(AND(H116=9,I$1&gt;YEAR($N116))),9,_xlfn.IFNA(INDEX($D$2:$D$4001,_xlfn.XMATCH(I$1&amp;"-"&amp;$F116,YEAR($B$2:$B$4001)&amp;"-"&amp;$A$2:$A$4001,0,-1)),H116))</f>
        <v>3</v>
      </c>
      <c r="J116" cm="1">
        <f t="array" ref="J116">IF(OR(AND(I116=9,J$1&gt;YEAR($N116))),9,_xlfn.IFNA(INDEX($D$2:$D$4001,_xlfn.XMATCH(J$1&amp;"-"&amp;$F116,YEAR($B$2:$B$4001)&amp;"-"&amp;$A$2:$A$4001,0,-1)),I116))</f>
        <v>3</v>
      </c>
      <c r="K116" cm="1">
        <f t="array" ref="K116">IF(OR(AND(J116=9,K$1&gt;YEAR($N116))),9,_xlfn.IFNA(INDEX($D$2:$D$4001,_xlfn.XMATCH(K$1&amp;"-"&amp;$F116,YEAR($B$2:$B$4001)&amp;"-"&amp;$A$2:$A$4001,0,-1)),J116))</f>
        <v>3</v>
      </c>
      <c r="L116" cm="1">
        <f t="array" ref="L116">IF(OR(AND(K116=9,L$1&gt;YEAR($N116))),9,_xlfn.IFNA(INDEX($D$2:$D$4001,_xlfn.XMATCH(L$1&amp;"-"&amp;$F116,YEAR($B$2:$B$4001)&amp;"-"&amp;$A$2:$A$4001,0,-1)),K116))</f>
        <v>3</v>
      </c>
      <c r="M116" cm="1">
        <f t="array" ref="M116">IF(OR(AND(L116=9,M$1&gt;YEAR($N116))),9,_xlfn.IFNA(INDEX($D$2:$D$4001,_xlfn.XMATCH(M$1&amp;"-"&amp;$F116,YEAR($B$2:$B$4001)&amp;"-"&amp;$A$2:$A$4001,0,-1)),L116))</f>
        <v>3</v>
      </c>
      <c r="N116" s="1">
        <f t="shared" si="1"/>
        <v>36341</v>
      </c>
    </row>
    <row r="117" spans="1:14" x14ac:dyDescent="0.35">
      <c r="A117">
        <v>60</v>
      </c>
      <c r="B117" s="2">
        <v>36369</v>
      </c>
      <c r="C117">
        <v>5</v>
      </c>
      <c r="D117">
        <v>5</v>
      </c>
      <c r="F117">
        <v>116</v>
      </c>
      <c r="G117" cm="1">
        <f t="array" ref="G117">_xlfn.IFNA(INDEX($D$2:$D$4001,_xlfn.XMATCH(G$1&amp;"-"&amp;$F117,YEAR($B$2:$B$4001)&amp;"-"&amp;$A$2:$A$4001,0,-1)),9)</f>
        <v>4</v>
      </c>
      <c r="H117" cm="1">
        <f t="array" ref="H117">IF(OR(AND(G117=9,H$1&gt;YEAR($N117))),9,_xlfn.IFNA(INDEX($D$2:$D$4001,_xlfn.XMATCH(H$1&amp;"-"&amp;$F117,YEAR($B$2:$B$4001)&amp;"-"&amp;$A$2:$A$4001,0,-1)),G117))</f>
        <v>3</v>
      </c>
      <c r="I117" cm="1">
        <f t="array" ref="I117">IF(OR(AND(H117=9,I$1&gt;YEAR($N117))),9,_xlfn.IFNA(INDEX($D$2:$D$4001,_xlfn.XMATCH(I$1&amp;"-"&amp;$F117,YEAR($B$2:$B$4001)&amp;"-"&amp;$A$2:$A$4001,0,-1)),H117))</f>
        <v>3</v>
      </c>
      <c r="J117" cm="1">
        <f t="array" ref="J117">IF(OR(AND(I117=9,J$1&gt;YEAR($N117))),9,_xlfn.IFNA(INDEX($D$2:$D$4001,_xlfn.XMATCH(J$1&amp;"-"&amp;$F117,YEAR($B$2:$B$4001)&amp;"-"&amp;$A$2:$A$4001,0,-1)),I117))</f>
        <v>3</v>
      </c>
      <c r="K117" cm="1">
        <f t="array" ref="K117">IF(OR(AND(J117=9,K$1&gt;YEAR($N117))),9,_xlfn.IFNA(INDEX($D$2:$D$4001,_xlfn.XMATCH(K$1&amp;"-"&amp;$F117,YEAR($B$2:$B$4001)&amp;"-"&amp;$A$2:$A$4001,0,-1)),J117))</f>
        <v>3</v>
      </c>
      <c r="L117" cm="1">
        <f t="array" ref="L117">IF(OR(AND(K117=9,L$1&gt;YEAR($N117))),9,_xlfn.IFNA(INDEX($D$2:$D$4001,_xlfn.XMATCH(L$1&amp;"-"&amp;$F117,YEAR($B$2:$B$4001)&amp;"-"&amp;$A$2:$A$4001,0,-1)),K117))</f>
        <v>3</v>
      </c>
      <c r="M117" cm="1">
        <f t="array" ref="M117">IF(OR(AND(L117=9,M$1&gt;YEAR($N117))),9,_xlfn.IFNA(INDEX($D$2:$D$4001,_xlfn.XMATCH(M$1&amp;"-"&amp;$F117,YEAR($B$2:$B$4001)&amp;"-"&amp;$A$2:$A$4001,0,-1)),L117))</f>
        <v>3</v>
      </c>
      <c r="N117" s="1">
        <f t="shared" si="1"/>
        <v>36310</v>
      </c>
    </row>
    <row r="118" spans="1:14" x14ac:dyDescent="0.35">
      <c r="A118">
        <v>60</v>
      </c>
      <c r="B118" s="2">
        <v>36860</v>
      </c>
      <c r="C118">
        <v>5</v>
      </c>
      <c r="D118">
        <v>5</v>
      </c>
      <c r="F118">
        <v>117</v>
      </c>
      <c r="G118" cm="1">
        <f t="array" ref="G118">_xlfn.IFNA(INDEX($D$2:$D$4001,_xlfn.XMATCH(G$1&amp;"-"&amp;$F118,YEAR($B$2:$B$4001)&amp;"-"&amp;$A$2:$A$4001,0,-1)),9)</f>
        <v>4</v>
      </c>
      <c r="H118" cm="1">
        <f t="array" ref="H118">IF(OR(AND(G118=9,H$1&gt;YEAR($N118))),9,_xlfn.IFNA(INDEX($D$2:$D$4001,_xlfn.XMATCH(H$1&amp;"-"&amp;$F118,YEAR($B$2:$B$4001)&amp;"-"&amp;$A$2:$A$4001,0,-1)),G118))</f>
        <v>3</v>
      </c>
      <c r="I118" cm="1">
        <f t="array" ref="I118">IF(OR(AND(H118=9,I$1&gt;YEAR($N118))),9,_xlfn.IFNA(INDEX($D$2:$D$4001,_xlfn.XMATCH(I$1&amp;"-"&amp;$F118,YEAR($B$2:$B$4001)&amp;"-"&amp;$A$2:$A$4001,0,-1)),H118))</f>
        <v>3</v>
      </c>
      <c r="J118" cm="1">
        <f t="array" ref="J118">IF(OR(AND(I118=9,J$1&gt;YEAR($N118))),9,_xlfn.IFNA(INDEX($D$2:$D$4001,_xlfn.XMATCH(J$1&amp;"-"&amp;$F118,YEAR($B$2:$B$4001)&amp;"-"&amp;$A$2:$A$4001,0,-1)),I118))</f>
        <v>3</v>
      </c>
      <c r="K118" cm="1">
        <f t="array" ref="K118">IF(OR(AND(J118=9,K$1&gt;YEAR($N118))),9,_xlfn.IFNA(INDEX($D$2:$D$4001,_xlfn.XMATCH(K$1&amp;"-"&amp;$F118,YEAR($B$2:$B$4001)&amp;"-"&amp;$A$2:$A$4001,0,-1)),J118))</f>
        <v>3</v>
      </c>
      <c r="L118" cm="1">
        <f t="array" ref="L118">IF(OR(AND(K118=9,L$1&gt;YEAR($N118))),9,_xlfn.IFNA(INDEX($D$2:$D$4001,_xlfn.XMATCH(L$1&amp;"-"&amp;$F118,YEAR($B$2:$B$4001)&amp;"-"&amp;$A$2:$A$4001,0,-1)),K118))</f>
        <v>3</v>
      </c>
      <c r="M118" cm="1">
        <f t="array" ref="M118">IF(OR(AND(L118=9,M$1&gt;YEAR($N118))),9,_xlfn.IFNA(INDEX($D$2:$D$4001,_xlfn.XMATCH(M$1&amp;"-"&amp;$F118,YEAR($B$2:$B$4001)&amp;"-"&amp;$A$2:$A$4001,0,-1)),L118))</f>
        <v>3</v>
      </c>
      <c r="N118" s="1">
        <f t="shared" si="1"/>
        <v>36310</v>
      </c>
    </row>
    <row r="119" spans="1:14" x14ac:dyDescent="0.35">
      <c r="A119">
        <v>60</v>
      </c>
      <c r="B119" s="2">
        <v>37620</v>
      </c>
      <c r="C119">
        <v>0</v>
      </c>
      <c r="D119">
        <v>0</v>
      </c>
      <c r="F119">
        <v>118</v>
      </c>
      <c r="G119" cm="1">
        <f t="array" ref="G119">_xlfn.IFNA(INDEX($D$2:$D$4001,_xlfn.XMATCH(G$1&amp;"-"&amp;$F119,YEAR($B$2:$B$4001)&amp;"-"&amp;$A$2:$A$4001,0,-1)),9)</f>
        <v>9</v>
      </c>
      <c r="H119" cm="1">
        <f t="array" ref="H119">IF(OR(AND(G119=9,H$1&gt;YEAR($N119))),9,_xlfn.IFNA(INDEX($D$2:$D$4001,_xlfn.XMATCH(H$1&amp;"-"&amp;$F119,YEAR($B$2:$B$4001)&amp;"-"&amp;$A$2:$A$4001,0,-1)),G119))</f>
        <v>9</v>
      </c>
      <c r="I119" cm="1">
        <f t="array" ref="I119">IF(OR(AND(H119=9,I$1&gt;YEAR($N119))),9,_xlfn.IFNA(INDEX($D$2:$D$4001,_xlfn.XMATCH(I$1&amp;"-"&amp;$F119,YEAR($B$2:$B$4001)&amp;"-"&amp;$A$2:$A$4001,0,-1)),H119))</f>
        <v>9</v>
      </c>
      <c r="J119" cm="1">
        <f t="array" ref="J119">IF(OR(AND(I119=9,J$1&gt;YEAR($N119))),9,_xlfn.IFNA(INDEX($D$2:$D$4001,_xlfn.XMATCH(J$1&amp;"-"&amp;$F119,YEAR($B$2:$B$4001)&amp;"-"&amp;$A$2:$A$4001,0,-1)),I119))</f>
        <v>9</v>
      </c>
      <c r="K119" cm="1">
        <f t="array" ref="K119">IF(OR(AND(J119=9,K$1&gt;YEAR($N119))),9,_xlfn.IFNA(INDEX($D$2:$D$4001,_xlfn.XMATCH(K$1&amp;"-"&amp;$F119,YEAR($B$2:$B$4001)&amp;"-"&amp;$A$2:$A$4001,0,-1)),J119))</f>
        <v>9</v>
      </c>
      <c r="L119" cm="1">
        <f t="array" ref="L119">IF(OR(AND(K119=9,L$1&gt;YEAR($N119))),9,_xlfn.IFNA(INDEX($D$2:$D$4001,_xlfn.XMATCH(L$1&amp;"-"&amp;$F119,YEAR($B$2:$B$4001)&amp;"-"&amp;$A$2:$A$4001,0,-1)),K119))</f>
        <v>9</v>
      </c>
      <c r="M119" cm="1">
        <f t="array" ref="M119">IF(OR(AND(L119=9,M$1&gt;YEAR($N119))),9,_xlfn.IFNA(INDEX($D$2:$D$4001,_xlfn.XMATCH(M$1&amp;"-"&amp;$F119,YEAR($B$2:$B$4001)&amp;"-"&amp;$A$2:$A$4001,0,-1)),L119))</f>
        <v>4</v>
      </c>
      <c r="N119" s="1">
        <f t="shared" si="1"/>
        <v>38493</v>
      </c>
    </row>
    <row r="120" spans="1:14" x14ac:dyDescent="0.35">
      <c r="A120">
        <v>61</v>
      </c>
      <c r="B120" s="2">
        <v>36765</v>
      </c>
      <c r="C120">
        <v>4</v>
      </c>
      <c r="D120">
        <v>4</v>
      </c>
      <c r="F120">
        <v>119</v>
      </c>
      <c r="G120" cm="1">
        <f t="array" ref="G120">_xlfn.IFNA(INDEX($D$2:$D$4001,_xlfn.XMATCH(G$1&amp;"-"&amp;$F120,YEAR($B$2:$B$4001)&amp;"-"&amp;$A$2:$A$4001,0,-1)),9)</f>
        <v>9</v>
      </c>
      <c r="H120" cm="1">
        <f t="array" ref="H120">IF(OR(AND(G120=9,H$1&gt;YEAR($N120))),9,_xlfn.IFNA(INDEX($D$2:$D$4001,_xlfn.XMATCH(H$1&amp;"-"&amp;$F120,YEAR($B$2:$B$4001)&amp;"-"&amp;$A$2:$A$4001,0,-1)),G120))</f>
        <v>9</v>
      </c>
      <c r="I120" cm="1">
        <f t="array" ref="I120">IF(OR(AND(H120=9,I$1&gt;YEAR($N120))),9,_xlfn.IFNA(INDEX($D$2:$D$4001,_xlfn.XMATCH(I$1&amp;"-"&amp;$F120,YEAR($B$2:$B$4001)&amp;"-"&amp;$A$2:$A$4001,0,-1)),H120))</f>
        <v>9</v>
      </c>
      <c r="J120" cm="1">
        <f t="array" ref="J120">IF(OR(AND(I120=9,J$1&gt;YEAR($N120))),9,_xlfn.IFNA(INDEX($D$2:$D$4001,_xlfn.XMATCH(J$1&amp;"-"&amp;$F120,YEAR($B$2:$B$4001)&amp;"-"&amp;$A$2:$A$4001,0,-1)),I120))</f>
        <v>9</v>
      </c>
      <c r="K120" cm="1">
        <f t="array" ref="K120">IF(OR(AND(J120=9,K$1&gt;YEAR($N120))),9,_xlfn.IFNA(INDEX($D$2:$D$4001,_xlfn.XMATCH(K$1&amp;"-"&amp;$F120,YEAR($B$2:$B$4001)&amp;"-"&amp;$A$2:$A$4001,0,-1)),J120))</f>
        <v>0</v>
      </c>
      <c r="L120" cm="1">
        <f t="array" ref="L120">IF(OR(AND(K120=9,L$1&gt;YEAR($N120))),9,_xlfn.IFNA(INDEX($D$2:$D$4001,_xlfn.XMATCH(L$1&amp;"-"&amp;$F120,YEAR($B$2:$B$4001)&amp;"-"&amp;$A$2:$A$4001,0,-1)),K120))</f>
        <v>0</v>
      </c>
      <c r="M120" cm="1">
        <f t="array" ref="M120">IF(OR(AND(L120=9,M$1&gt;YEAR($N120))),9,_xlfn.IFNA(INDEX($D$2:$D$4001,_xlfn.XMATCH(M$1&amp;"-"&amp;$F120,YEAR($B$2:$B$4001)&amp;"-"&amp;$A$2:$A$4001,0,-1)),L120))</f>
        <v>0</v>
      </c>
      <c r="N120" s="1">
        <f t="shared" si="1"/>
        <v>37771</v>
      </c>
    </row>
    <row r="121" spans="1:14" x14ac:dyDescent="0.35">
      <c r="A121">
        <v>62</v>
      </c>
      <c r="B121" s="2">
        <v>36301</v>
      </c>
      <c r="C121">
        <v>3</v>
      </c>
      <c r="D121">
        <v>3</v>
      </c>
      <c r="F121">
        <v>120</v>
      </c>
      <c r="G121" cm="1">
        <f t="array" ref="G121">_xlfn.IFNA(INDEX($D$2:$D$4001,_xlfn.XMATCH(G$1&amp;"-"&amp;$F121,YEAR($B$2:$B$4001)&amp;"-"&amp;$A$2:$A$4001,0,-1)),9)</f>
        <v>4</v>
      </c>
      <c r="H121" cm="1">
        <f t="array" ref="H121">IF(OR(AND(G121=9,H$1&gt;YEAR($N121))),9,_xlfn.IFNA(INDEX($D$2:$D$4001,_xlfn.XMATCH(H$1&amp;"-"&amp;$F121,YEAR($B$2:$B$4001)&amp;"-"&amp;$A$2:$A$4001,0,-1)),G121))</f>
        <v>4</v>
      </c>
      <c r="I121" cm="1">
        <f t="array" ref="I121">IF(OR(AND(H121=9,I$1&gt;YEAR($N121))),9,_xlfn.IFNA(INDEX($D$2:$D$4001,_xlfn.XMATCH(I$1&amp;"-"&amp;$F121,YEAR($B$2:$B$4001)&amp;"-"&amp;$A$2:$A$4001,0,-1)),H121))</f>
        <v>4</v>
      </c>
      <c r="J121" cm="1">
        <f t="array" ref="J121">IF(OR(AND(I121=9,J$1&gt;YEAR($N121))),9,_xlfn.IFNA(INDEX($D$2:$D$4001,_xlfn.XMATCH(J$1&amp;"-"&amp;$F121,YEAR($B$2:$B$4001)&amp;"-"&amp;$A$2:$A$4001,0,-1)),I121))</f>
        <v>4</v>
      </c>
      <c r="K121" cm="1">
        <f t="array" ref="K121">IF(OR(AND(J121=9,K$1&gt;YEAR($N121))),9,_xlfn.IFNA(INDEX($D$2:$D$4001,_xlfn.XMATCH(K$1&amp;"-"&amp;$F121,YEAR($B$2:$B$4001)&amp;"-"&amp;$A$2:$A$4001,0,-1)),J121))</f>
        <v>4</v>
      </c>
      <c r="L121" cm="1">
        <f t="array" ref="L121">IF(OR(AND(K121=9,L$1&gt;YEAR($N121))),9,_xlfn.IFNA(INDEX($D$2:$D$4001,_xlfn.XMATCH(L$1&amp;"-"&amp;$F121,YEAR($B$2:$B$4001)&amp;"-"&amp;$A$2:$A$4001,0,-1)),K121))</f>
        <v>4</v>
      </c>
      <c r="M121" cm="1">
        <f t="array" ref="M121">IF(OR(AND(L121=9,M$1&gt;YEAR($N121))),9,_xlfn.IFNA(INDEX($D$2:$D$4001,_xlfn.XMATCH(M$1&amp;"-"&amp;$F121,YEAR($B$2:$B$4001)&amp;"-"&amp;$A$2:$A$4001,0,-1)),L121))</f>
        <v>4</v>
      </c>
      <c r="N121" s="1">
        <f t="shared" si="1"/>
        <v>36301</v>
      </c>
    </row>
    <row r="122" spans="1:14" x14ac:dyDescent="0.35">
      <c r="A122">
        <v>62</v>
      </c>
      <c r="B122" s="2">
        <v>37985</v>
      </c>
      <c r="C122">
        <v>3</v>
      </c>
      <c r="D122">
        <v>3</v>
      </c>
      <c r="F122">
        <v>121</v>
      </c>
      <c r="G122" cm="1">
        <f t="array" ref="G122">_xlfn.IFNA(INDEX($D$2:$D$4001,_xlfn.XMATCH(G$1&amp;"-"&amp;$F122,YEAR($B$2:$B$4001)&amp;"-"&amp;$A$2:$A$4001,0,-1)),9)</f>
        <v>9</v>
      </c>
      <c r="H122" cm="1">
        <f t="array" ref="H122">IF(OR(AND(G122=9,H$1&gt;YEAR($N122))),9,_xlfn.IFNA(INDEX($D$2:$D$4001,_xlfn.XMATCH(H$1&amp;"-"&amp;$F122,YEAR($B$2:$B$4001)&amp;"-"&amp;$A$2:$A$4001,0,-1)),G122))</f>
        <v>9</v>
      </c>
      <c r="I122" cm="1">
        <f t="array" ref="I122">IF(OR(AND(H122=9,I$1&gt;YEAR($N122))),9,_xlfn.IFNA(INDEX($D$2:$D$4001,_xlfn.XMATCH(I$1&amp;"-"&amp;$F122,YEAR($B$2:$B$4001)&amp;"-"&amp;$A$2:$A$4001,0,-1)),H122))</f>
        <v>9</v>
      </c>
      <c r="J122" cm="1">
        <f t="array" ref="J122">IF(OR(AND(I122=9,J$1&gt;YEAR($N122))),9,_xlfn.IFNA(INDEX($D$2:$D$4001,_xlfn.XMATCH(J$1&amp;"-"&amp;$F122,YEAR($B$2:$B$4001)&amp;"-"&amp;$A$2:$A$4001,0,-1)),I122))</f>
        <v>9</v>
      </c>
      <c r="K122" cm="1">
        <f t="array" ref="K122">IF(OR(AND(J122=9,K$1&gt;YEAR($N122))),9,_xlfn.IFNA(INDEX($D$2:$D$4001,_xlfn.XMATCH(K$1&amp;"-"&amp;$F122,YEAR($B$2:$B$4001)&amp;"-"&amp;$A$2:$A$4001,0,-1)),J122))</f>
        <v>9</v>
      </c>
      <c r="L122" cm="1">
        <f t="array" ref="L122">IF(OR(AND(K122=9,L$1&gt;YEAR($N122))),9,_xlfn.IFNA(INDEX($D$2:$D$4001,_xlfn.XMATCH(L$1&amp;"-"&amp;$F122,YEAR($B$2:$B$4001)&amp;"-"&amp;$A$2:$A$4001,0,-1)),K122))</f>
        <v>4</v>
      </c>
      <c r="M122" cm="1">
        <f t="array" ref="M122">IF(OR(AND(L122=9,M$1&gt;YEAR($N122))),9,_xlfn.IFNA(INDEX($D$2:$D$4001,_xlfn.XMATCH(M$1&amp;"-"&amp;$F122,YEAR($B$2:$B$4001)&amp;"-"&amp;$A$2:$A$4001,0,-1)),L122))</f>
        <v>4</v>
      </c>
      <c r="N122" s="1">
        <f t="shared" si="1"/>
        <v>38251</v>
      </c>
    </row>
    <row r="123" spans="1:14" x14ac:dyDescent="0.35">
      <c r="A123">
        <v>63</v>
      </c>
      <c r="B123" s="2">
        <v>36433</v>
      </c>
      <c r="C123">
        <v>3</v>
      </c>
      <c r="D123">
        <v>3</v>
      </c>
      <c r="F123">
        <v>122</v>
      </c>
      <c r="G123" cm="1">
        <f t="array" ref="G123">_xlfn.IFNA(INDEX($D$2:$D$4001,_xlfn.XMATCH(G$1&amp;"-"&amp;$F123,YEAR($B$2:$B$4001)&amp;"-"&amp;$A$2:$A$4001,0,-1)),9)</f>
        <v>9</v>
      </c>
      <c r="H123" cm="1">
        <f t="array" ref="H123">IF(OR(AND(G123=9,H$1&gt;YEAR($N123))),9,_xlfn.IFNA(INDEX($D$2:$D$4001,_xlfn.XMATCH(H$1&amp;"-"&amp;$F123,YEAR($B$2:$B$4001)&amp;"-"&amp;$A$2:$A$4001,0,-1)),G123))</f>
        <v>3</v>
      </c>
      <c r="I123" cm="1">
        <f t="array" ref="I123">IF(OR(AND(H123=9,I$1&gt;YEAR($N123))),9,_xlfn.IFNA(INDEX($D$2:$D$4001,_xlfn.XMATCH(I$1&amp;"-"&amp;$F123,YEAR($B$2:$B$4001)&amp;"-"&amp;$A$2:$A$4001,0,-1)),H123))</f>
        <v>3</v>
      </c>
      <c r="J123" cm="1">
        <f t="array" ref="J123">IF(OR(AND(I123=9,J$1&gt;YEAR($N123))),9,_xlfn.IFNA(INDEX($D$2:$D$4001,_xlfn.XMATCH(J$1&amp;"-"&amp;$F123,YEAR($B$2:$B$4001)&amp;"-"&amp;$A$2:$A$4001,0,-1)),I123))</f>
        <v>3</v>
      </c>
      <c r="K123" cm="1">
        <f t="array" ref="K123">IF(OR(AND(J123=9,K$1&gt;YEAR($N123))),9,_xlfn.IFNA(INDEX($D$2:$D$4001,_xlfn.XMATCH(K$1&amp;"-"&amp;$F123,YEAR($B$2:$B$4001)&amp;"-"&amp;$A$2:$A$4001,0,-1)),J123))</f>
        <v>2</v>
      </c>
      <c r="L123" cm="1">
        <f t="array" ref="L123">IF(OR(AND(K123=9,L$1&gt;YEAR($N123))),9,_xlfn.IFNA(INDEX($D$2:$D$4001,_xlfn.XMATCH(L$1&amp;"-"&amp;$F123,YEAR($B$2:$B$4001)&amp;"-"&amp;$A$2:$A$4001,0,-1)),K123))</f>
        <v>2</v>
      </c>
      <c r="M123" cm="1">
        <f t="array" ref="M123">IF(OR(AND(L123=9,M$1&gt;YEAR($N123))),9,_xlfn.IFNA(INDEX($D$2:$D$4001,_xlfn.XMATCH(M$1&amp;"-"&amp;$F123,YEAR($B$2:$B$4001)&amp;"-"&amp;$A$2:$A$4001,0,-1)),L123))</f>
        <v>2</v>
      </c>
      <c r="N123" s="1">
        <f t="shared" si="1"/>
        <v>36705</v>
      </c>
    </row>
    <row r="124" spans="1:14" x14ac:dyDescent="0.35">
      <c r="A124">
        <v>63</v>
      </c>
      <c r="B124" s="2">
        <v>37771</v>
      </c>
      <c r="C124">
        <v>3</v>
      </c>
      <c r="D124">
        <v>3</v>
      </c>
      <c r="F124">
        <v>123</v>
      </c>
      <c r="G124" cm="1">
        <f t="array" ref="G124">_xlfn.IFNA(INDEX($D$2:$D$4001,_xlfn.XMATCH(G$1&amp;"-"&amp;$F124,YEAR($B$2:$B$4001)&amp;"-"&amp;$A$2:$A$4001,0,-1)),9)</f>
        <v>9</v>
      </c>
      <c r="H124" cm="1">
        <f t="array" ref="H124">IF(OR(AND(G124=9,H$1&gt;YEAR($N124))),9,_xlfn.IFNA(INDEX($D$2:$D$4001,_xlfn.XMATCH(H$1&amp;"-"&amp;$F124,YEAR($B$2:$B$4001)&amp;"-"&amp;$A$2:$A$4001,0,-1)),G124))</f>
        <v>9</v>
      </c>
      <c r="I124" cm="1">
        <f t="array" ref="I124">IF(OR(AND(H124=9,I$1&gt;YEAR($N124))),9,_xlfn.IFNA(INDEX($D$2:$D$4001,_xlfn.XMATCH(I$1&amp;"-"&amp;$F124,YEAR($B$2:$B$4001)&amp;"-"&amp;$A$2:$A$4001,0,-1)),H124))</f>
        <v>9</v>
      </c>
      <c r="J124" cm="1">
        <f t="array" ref="J124">IF(OR(AND(I124=9,J$1&gt;YEAR($N124))),9,_xlfn.IFNA(INDEX($D$2:$D$4001,_xlfn.XMATCH(J$1&amp;"-"&amp;$F124,YEAR($B$2:$B$4001)&amp;"-"&amp;$A$2:$A$4001,0,-1)),I124))</f>
        <v>9</v>
      </c>
      <c r="K124" cm="1">
        <f t="array" ref="K124">IF(OR(AND(J124=9,K$1&gt;YEAR($N124))),9,_xlfn.IFNA(INDEX($D$2:$D$4001,_xlfn.XMATCH(K$1&amp;"-"&amp;$F124,YEAR($B$2:$B$4001)&amp;"-"&amp;$A$2:$A$4001,0,-1)),J124))</f>
        <v>3</v>
      </c>
      <c r="L124" cm="1">
        <f t="array" ref="L124">IF(OR(AND(K124=9,L$1&gt;YEAR($N124))),9,_xlfn.IFNA(INDEX($D$2:$D$4001,_xlfn.XMATCH(L$1&amp;"-"&amp;$F124,YEAR($B$2:$B$4001)&amp;"-"&amp;$A$2:$A$4001,0,-1)),K124))</f>
        <v>3</v>
      </c>
      <c r="M124" cm="1">
        <f t="array" ref="M124">IF(OR(AND(L124=9,M$1&gt;YEAR($N124))),9,_xlfn.IFNA(INDEX($D$2:$D$4001,_xlfn.XMATCH(M$1&amp;"-"&amp;$F124,YEAR($B$2:$B$4001)&amp;"-"&amp;$A$2:$A$4001,0,-1)),L124))</f>
        <v>3</v>
      </c>
      <c r="N124" s="1">
        <f t="shared" si="1"/>
        <v>37771</v>
      </c>
    </row>
    <row r="125" spans="1:14" x14ac:dyDescent="0.35">
      <c r="A125">
        <v>64</v>
      </c>
      <c r="B125" s="2">
        <v>37467</v>
      </c>
      <c r="C125">
        <v>5</v>
      </c>
      <c r="D125">
        <v>5</v>
      </c>
      <c r="F125">
        <v>124</v>
      </c>
      <c r="G125" cm="1">
        <f t="array" ref="G125">_xlfn.IFNA(INDEX($D$2:$D$4001,_xlfn.XMATCH(G$1&amp;"-"&amp;$F125,YEAR($B$2:$B$4001)&amp;"-"&amp;$A$2:$A$4001,0,-1)),9)</f>
        <v>3</v>
      </c>
      <c r="H125" cm="1">
        <f t="array" ref="H125">IF(OR(AND(G125=9,H$1&gt;YEAR($N125))),9,_xlfn.IFNA(INDEX($D$2:$D$4001,_xlfn.XMATCH(H$1&amp;"-"&amp;$F125,YEAR($B$2:$B$4001)&amp;"-"&amp;$A$2:$A$4001,0,-1)),G125))</f>
        <v>3</v>
      </c>
      <c r="I125" cm="1">
        <f t="array" ref="I125">IF(OR(AND(H125=9,I$1&gt;YEAR($N125))),9,_xlfn.IFNA(INDEX($D$2:$D$4001,_xlfn.XMATCH(I$1&amp;"-"&amp;$F125,YEAR($B$2:$B$4001)&amp;"-"&amp;$A$2:$A$4001,0,-1)),H125))</f>
        <v>3</v>
      </c>
      <c r="J125" cm="1">
        <f t="array" ref="J125">IF(OR(AND(I125=9,J$1&gt;YEAR($N125))),9,_xlfn.IFNA(INDEX($D$2:$D$4001,_xlfn.XMATCH(J$1&amp;"-"&amp;$F125,YEAR($B$2:$B$4001)&amp;"-"&amp;$A$2:$A$4001,0,-1)),I125))</f>
        <v>3</v>
      </c>
      <c r="K125" cm="1">
        <f t="array" ref="K125">IF(OR(AND(J125=9,K$1&gt;YEAR($N125))),9,_xlfn.IFNA(INDEX($D$2:$D$4001,_xlfn.XMATCH(K$1&amp;"-"&amp;$F125,YEAR($B$2:$B$4001)&amp;"-"&amp;$A$2:$A$4001,0,-1)),J125))</f>
        <v>3</v>
      </c>
      <c r="L125" cm="1">
        <f t="array" ref="L125">IF(OR(AND(K125=9,L$1&gt;YEAR($N125))),9,_xlfn.IFNA(INDEX($D$2:$D$4001,_xlfn.XMATCH(L$1&amp;"-"&amp;$F125,YEAR($B$2:$B$4001)&amp;"-"&amp;$A$2:$A$4001,0,-1)),K125))</f>
        <v>3</v>
      </c>
      <c r="M125" cm="1">
        <f t="array" ref="M125">IF(OR(AND(L125=9,M$1&gt;YEAR($N125))),9,_xlfn.IFNA(INDEX($D$2:$D$4001,_xlfn.XMATCH(M$1&amp;"-"&amp;$F125,YEAR($B$2:$B$4001)&amp;"-"&amp;$A$2:$A$4001,0,-1)),L125))</f>
        <v>3</v>
      </c>
      <c r="N125" s="1">
        <f t="shared" si="1"/>
        <v>36424</v>
      </c>
    </row>
    <row r="126" spans="1:14" x14ac:dyDescent="0.35">
      <c r="A126">
        <v>64</v>
      </c>
      <c r="B126" s="2">
        <v>37771</v>
      </c>
      <c r="C126">
        <v>4</v>
      </c>
      <c r="D126">
        <v>4</v>
      </c>
      <c r="F126">
        <v>125</v>
      </c>
      <c r="G126" cm="1">
        <f t="array" ref="G126">_xlfn.IFNA(INDEX($D$2:$D$4001,_xlfn.XMATCH(G$1&amp;"-"&amp;$F126,YEAR($B$2:$B$4001)&amp;"-"&amp;$A$2:$A$4001,0,-1)),9)</f>
        <v>2</v>
      </c>
      <c r="H126" cm="1">
        <f t="array" ref="H126">IF(OR(AND(G126=9,H$1&gt;YEAR($N126))),9,_xlfn.IFNA(INDEX($D$2:$D$4001,_xlfn.XMATCH(H$1&amp;"-"&amp;$F126,YEAR($B$2:$B$4001)&amp;"-"&amp;$A$2:$A$4001,0,-1)),G126))</f>
        <v>2</v>
      </c>
      <c r="I126" cm="1">
        <f t="array" ref="I126">IF(OR(AND(H126=9,I$1&gt;YEAR($N126))),9,_xlfn.IFNA(INDEX($D$2:$D$4001,_xlfn.XMATCH(I$1&amp;"-"&amp;$F126,YEAR($B$2:$B$4001)&amp;"-"&amp;$A$2:$A$4001,0,-1)),H126))</f>
        <v>2</v>
      </c>
      <c r="J126" cm="1">
        <f t="array" ref="J126">IF(OR(AND(I126=9,J$1&gt;YEAR($N126))),9,_xlfn.IFNA(INDEX($D$2:$D$4001,_xlfn.XMATCH(J$1&amp;"-"&amp;$F126,YEAR($B$2:$B$4001)&amp;"-"&amp;$A$2:$A$4001,0,-1)),I126))</f>
        <v>2</v>
      </c>
      <c r="K126" cm="1">
        <f t="array" ref="K126">IF(OR(AND(J126=9,K$1&gt;YEAR($N126))),9,_xlfn.IFNA(INDEX($D$2:$D$4001,_xlfn.XMATCH(K$1&amp;"-"&amp;$F126,YEAR($B$2:$B$4001)&amp;"-"&amp;$A$2:$A$4001,0,-1)),J126))</f>
        <v>2</v>
      </c>
      <c r="L126" cm="1">
        <f t="array" ref="L126">IF(OR(AND(K126=9,L$1&gt;YEAR($N126))),9,_xlfn.IFNA(INDEX($D$2:$D$4001,_xlfn.XMATCH(L$1&amp;"-"&amp;$F126,YEAR($B$2:$B$4001)&amp;"-"&amp;$A$2:$A$4001,0,-1)),K126))</f>
        <v>2</v>
      </c>
      <c r="M126" cm="1">
        <f t="array" ref="M126">IF(OR(AND(L126=9,M$1&gt;YEAR($N126))),9,_xlfn.IFNA(INDEX($D$2:$D$4001,_xlfn.XMATCH(M$1&amp;"-"&amp;$F126,YEAR($B$2:$B$4001)&amp;"-"&amp;$A$2:$A$4001,0,-1)),L126))</f>
        <v>2</v>
      </c>
      <c r="N126" s="1">
        <f t="shared" si="1"/>
        <v>36524</v>
      </c>
    </row>
    <row r="127" spans="1:14" x14ac:dyDescent="0.35">
      <c r="A127">
        <v>65</v>
      </c>
      <c r="B127" s="2">
        <v>36667</v>
      </c>
      <c r="C127">
        <v>5</v>
      </c>
      <c r="D127">
        <v>5</v>
      </c>
      <c r="F127">
        <v>126</v>
      </c>
      <c r="G127" cm="1">
        <f t="array" ref="G127">_xlfn.IFNA(INDEX($D$2:$D$4001,_xlfn.XMATCH(G$1&amp;"-"&amp;$F127,YEAR($B$2:$B$4001)&amp;"-"&amp;$A$2:$A$4001,0,-1)),9)</f>
        <v>9</v>
      </c>
      <c r="H127" cm="1">
        <f t="array" ref="H127">IF(OR(AND(G127=9,H$1&gt;YEAR($N127))),9,_xlfn.IFNA(INDEX($D$2:$D$4001,_xlfn.XMATCH(H$1&amp;"-"&amp;$F127,YEAR($B$2:$B$4001)&amp;"-"&amp;$A$2:$A$4001,0,-1)),G127))</f>
        <v>9</v>
      </c>
      <c r="I127" cm="1">
        <f t="array" ref="I127">IF(OR(AND(H127=9,I$1&gt;YEAR($N127))),9,_xlfn.IFNA(INDEX($D$2:$D$4001,_xlfn.XMATCH(I$1&amp;"-"&amp;$F127,YEAR($B$2:$B$4001)&amp;"-"&amp;$A$2:$A$4001,0,-1)),H127))</f>
        <v>9</v>
      </c>
      <c r="J127" cm="1">
        <f t="array" ref="J127">IF(OR(AND(I127=9,J$1&gt;YEAR($N127))),9,_xlfn.IFNA(INDEX($D$2:$D$4001,_xlfn.XMATCH(J$1&amp;"-"&amp;$F127,YEAR($B$2:$B$4001)&amp;"-"&amp;$A$2:$A$4001,0,-1)),I127))</f>
        <v>5</v>
      </c>
      <c r="K127" cm="1">
        <f t="array" ref="K127">IF(OR(AND(J127=9,K$1&gt;YEAR($N127))),9,_xlfn.IFNA(INDEX($D$2:$D$4001,_xlfn.XMATCH(K$1&amp;"-"&amp;$F127,YEAR($B$2:$B$4001)&amp;"-"&amp;$A$2:$A$4001,0,-1)),J127))</f>
        <v>5</v>
      </c>
      <c r="L127" cm="1">
        <f t="array" ref="L127">IF(OR(AND(K127=9,L$1&gt;YEAR($N127))),9,_xlfn.IFNA(INDEX($D$2:$D$4001,_xlfn.XMATCH(L$1&amp;"-"&amp;$F127,YEAR($B$2:$B$4001)&amp;"-"&amp;$A$2:$A$4001,0,-1)),K127))</f>
        <v>4</v>
      </c>
      <c r="M127" cm="1">
        <f t="array" ref="M127">IF(OR(AND(L127=9,M$1&gt;YEAR($N127))),9,_xlfn.IFNA(INDEX($D$2:$D$4001,_xlfn.XMATCH(M$1&amp;"-"&amp;$F127,YEAR($B$2:$B$4001)&amp;"-"&amp;$A$2:$A$4001,0,-1)),L127))</f>
        <v>4</v>
      </c>
      <c r="N127" s="1">
        <f t="shared" si="1"/>
        <v>37406</v>
      </c>
    </row>
    <row r="128" spans="1:14" x14ac:dyDescent="0.35">
      <c r="A128">
        <v>65</v>
      </c>
      <c r="B128" s="2">
        <v>37041</v>
      </c>
      <c r="C128">
        <v>5</v>
      </c>
      <c r="D128">
        <v>5</v>
      </c>
      <c r="F128">
        <v>127</v>
      </c>
      <c r="G128" cm="1">
        <f t="array" ref="G128">_xlfn.IFNA(INDEX($D$2:$D$4001,_xlfn.XMATCH(G$1&amp;"-"&amp;$F128,YEAR($B$2:$B$4001)&amp;"-"&amp;$A$2:$A$4001,0,-1)),9)</f>
        <v>6</v>
      </c>
      <c r="H128" cm="1">
        <f t="array" ref="H128">IF(OR(AND(G128=9,H$1&gt;YEAR($N128))),9,_xlfn.IFNA(INDEX($D$2:$D$4001,_xlfn.XMATCH(H$1&amp;"-"&amp;$F128,YEAR($B$2:$B$4001)&amp;"-"&amp;$A$2:$A$4001,0,-1)),G128))</f>
        <v>6</v>
      </c>
      <c r="I128" cm="1">
        <f t="array" ref="I128">IF(OR(AND(H128=9,I$1&gt;YEAR($N128))),9,_xlfn.IFNA(INDEX($D$2:$D$4001,_xlfn.XMATCH(I$1&amp;"-"&amp;$F128,YEAR($B$2:$B$4001)&amp;"-"&amp;$A$2:$A$4001,0,-1)),H128))</f>
        <v>6</v>
      </c>
      <c r="J128" cm="1">
        <f t="array" ref="J128">IF(OR(AND(I128=9,J$1&gt;YEAR($N128))),9,_xlfn.IFNA(INDEX($D$2:$D$4001,_xlfn.XMATCH(J$1&amp;"-"&amp;$F128,YEAR($B$2:$B$4001)&amp;"-"&amp;$A$2:$A$4001,0,-1)),I128))</f>
        <v>6</v>
      </c>
      <c r="K128" cm="1">
        <f t="array" ref="K128">IF(OR(AND(J128=9,K$1&gt;YEAR($N128))),9,_xlfn.IFNA(INDEX($D$2:$D$4001,_xlfn.XMATCH(K$1&amp;"-"&amp;$F128,YEAR($B$2:$B$4001)&amp;"-"&amp;$A$2:$A$4001,0,-1)),J128))</f>
        <v>6</v>
      </c>
      <c r="L128" cm="1">
        <f t="array" ref="L128">IF(OR(AND(K128=9,L$1&gt;YEAR($N128))),9,_xlfn.IFNA(INDEX($D$2:$D$4001,_xlfn.XMATCH(L$1&amp;"-"&amp;$F128,YEAR($B$2:$B$4001)&amp;"-"&amp;$A$2:$A$4001,0,-1)),K128))</f>
        <v>5</v>
      </c>
      <c r="M128" cm="1">
        <f t="array" ref="M128">IF(OR(AND(L128=9,M$1&gt;YEAR($N128))),9,_xlfn.IFNA(INDEX($D$2:$D$4001,_xlfn.XMATCH(M$1&amp;"-"&amp;$F128,YEAR($B$2:$B$4001)&amp;"-"&amp;$A$2:$A$4001,0,-1)),L128))</f>
        <v>5</v>
      </c>
      <c r="N128" s="1">
        <f t="shared" si="1"/>
        <v>36463</v>
      </c>
    </row>
    <row r="129" spans="1:14" x14ac:dyDescent="0.35">
      <c r="A129">
        <v>65</v>
      </c>
      <c r="B129" s="2">
        <v>37620</v>
      </c>
      <c r="C129">
        <v>4</v>
      </c>
      <c r="D129">
        <v>4</v>
      </c>
      <c r="F129">
        <v>128</v>
      </c>
      <c r="G129" cm="1">
        <f t="array" ref="G129">_xlfn.IFNA(INDEX($D$2:$D$4001,_xlfn.XMATCH(G$1&amp;"-"&amp;$F129,YEAR($B$2:$B$4001)&amp;"-"&amp;$A$2:$A$4001,0,-1)),9)</f>
        <v>2</v>
      </c>
      <c r="H129" cm="1">
        <f t="array" ref="H129">IF(OR(AND(G129=9,H$1&gt;YEAR($N129))),9,_xlfn.IFNA(INDEX($D$2:$D$4001,_xlfn.XMATCH(H$1&amp;"-"&amp;$F129,YEAR($B$2:$B$4001)&amp;"-"&amp;$A$2:$A$4001,0,-1)),G129))</f>
        <v>2</v>
      </c>
      <c r="I129" cm="1">
        <f t="array" ref="I129">IF(OR(AND(H129=9,I$1&gt;YEAR($N129))),9,_xlfn.IFNA(INDEX($D$2:$D$4001,_xlfn.XMATCH(I$1&amp;"-"&amp;$F129,YEAR($B$2:$B$4001)&amp;"-"&amp;$A$2:$A$4001,0,-1)),H129))</f>
        <v>2</v>
      </c>
      <c r="J129" cm="1">
        <f t="array" ref="J129">IF(OR(AND(I129=9,J$1&gt;YEAR($N129))),9,_xlfn.IFNA(INDEX($D$2:$D$4001,_xlfn.XMATCH(J$1&amp;"-"&amp;$F129,YEAR($B$2:$B$4001)&amp;"-"&amp;$A$2:$A$4001,0,-1)),I129))</f>
        <v>3</v>
      </c>
      <c r="K129" cm="1">
        <f t="array" ref="K129">IF(OR(AND(J129=9,K$1&gt;YEAR($N129))),9,_xlfn.IFNA(INDEX($D$2:$D$4001,_xlfn.XMATCH(K$1&amp;"-"&amp;$F129,YEAR($B$2:$B$4001)&amp;"-"&amp;$A$2:$A$4001,0,-1)),J129))</f>
        <v>0</v>
      </c>
      <c r="L129" cm="1">
        <f t="array" ref="L129">IF(OR(AND(K129=9,L$1&gt;YEAR($N129))),9,_xlfn.IFNA(INDEX($D$2:$D$4001,_xlfn.XMATCH(L$1&amp;"-"&amp;$F129,YEAR($B$2:$B$4001)&amp;"-"&amp;$A$2:$A$4001,0,-1)),K129))</f>
        <v>0</v>
      </c>
      <c r="M129" cm="1">
        <f t="array" ref="M129">IF(OR(AND(L129=9,M$1&gt;YEAR($N129))),9,_xlfn.IFNA(INDEX($D$2:$D$4001,_xlfn.XMATCH(M$1&amp;"-"&amp;$F129,YEAR($B$2:$B$4001)&amp;"-"&amp;$A$2:$A$4001,0,-1)),L129))</f>
        <v>0</v>
      </c>
      <c r="N129" s="1">
        <f t="shared" si="1"/>
        <v>36494</v>
      </c>
    </row>
    <row r="130" spans="1:14" x14ac:dyDescent="0.35">
      <c r="A130">
        <v>65</v>
      </c>
      <c r="B130" s="2">
        <v>38137</v>
      </c>
      <c r="C130">
        <v>4</v>
      </c>
      <c r="D130">
        <v>4</v>
      </c>
      <c r="F130">
        <v>129</v>
      </c>
      <c r="G130" cm="1">
        <f t="array" ref="G130">_xlfn.IFNA(INDEX($D$2:$D$4001,_xlfn.XMATCH(G$1&amp;"-"&amp;$F130,YEAR($B$2:$B$4001)&amp;"-"&amp;$A$2:$A$4001,0,-1)),9)</f>
        <v>9</v>
      </c>
      <c r="H130" cm="1">
        <f t="array" ref="H130">IF(OR(AND(G130=9,H$1&gt;YEAR($N130))),9,_xlfn.IFNA(INDEX($D$2:$D$4001,_xlfn.XMATCH(H$1&amp;"-"&amp;$F130,YEAR($B$2:$B$4001)&amp;"-"&amp;$A$2:$A$4001,0,-1)),G130))</f>
        <v>9</v>
      </c>
      <c r="I130" cm="1">
        <f t="array" ref="I130">IF(OR(AND(H130=9,I$1&gt;YEAR($N130))),9,_xlfn.IFNA(INDEX($D$2:$D$4001,_xlfn.XMATCH(I$1&amp;"-"&amp;$F130,YEAR($B$2:$B$4001)&amp;"-"&amp;$A$2:$A$4001,0,-1)),H130))</f>
        <v>9</v>
      </c>
      <c r="J130" cm="1">
        <f t="array" ref="J130">IF(OR(AND(I130=9,J$1&gt;YEAR($N130))),9,_xlfn.IFNA(INDEX($D$2:$D$4001,_xlfn.XMATCH(J$1&amp;"-"&amp;$F130,YEAR($B$2:$B$4001)&amp;"-"&amp;$A$2:$A$4001,0,-1)),I130))</f>
        <v>9</v>
      </c>
      <c r="K130" cm="1">
        <f t="array" ref="K130">IF(OR(AND(J130=9,K$1&gt;YEAR($N130))),9,_xlfn.IFNA(INDEX($D$2:$D$4001,_xlfn.XMATCH(K$1&amp;"-"&amp;$F130,YEAR($B$2:$B$4001)&amp;"-"&amp;$A$2:$A$4001,0,-1)),J130))</f>
        <v>9</v>
      </c>
      <c r="L130" cm="1">
        <f t="array" ref="L130">IF(OR(AND(K130=9,L$1&gt;YEAR($N130))),9,_xlfn.IFNA(INDEX($D$2:$D$4001,_xlfn.XMATCH(L$1&amp;"-"&amp;$F130,YEAR($B$2:$B$4001)&amp;"-"&amp;$A$2:$A$4001,0,-1)),K130))</f>
        <v>3</v>
      </c>
      <c r="M130" cm="1">
        <f t="array" ref="M130">IF(OR(AND(L130=9,M$1&gt;YEAR($N130))),9,_xlfn.IFNA(INDEX($D$2:$D$4001,_xlfn.XMATCH(M$1&amp;"-"&amp;$F130,YEAR($B$2:$B$4001)&amp;"-"&amp;$A$2:$A$4001,0,-1)),L130))</f>
        <v>3</v>
      </c>
      <c r="N130" s="1">
        <f t="shared" si="1"/>
        <v>38128</v>
      </c>
    </row>
    <row r="131" spans="1:14" x14ac:dyDescent="0.35">
      <c r="A131">
        <v>66</v>
      </c>
      <c r="B131" s="2">
        <v>38168</v>
      </c>
      <c r="C131">
        <v>4</v>
      </c>
      <c r="D131">
        <v>4</v>
      </c>
      <c r="F131">
        <v>130</v>
      </c>
      <c r="G131" cm="1">
        <f t="array" ref="G131">_xlfn.IFNA(INDEX($D$2:$D$4001,_xlfn.XMATCH(G$1&amp;"-"&amp;$F131,YEAR($B$2:$B$4001)&amp;"-"&amp;$A$2:$A$4001,0,-1)),9)</f>
        <v>9</v>
      </c>
      <c r="H131" cm="1">
        <f t="array" ref="H131">IF(OR(AND(G131=9,H$1&gt;YEAR($N131))),9,_xlfn.IFNA(INDEX($D$2:$D$4001,_xlfn.XMATCH(H$1&amp;"-"&amp;$F131,YEAR($B$2:$B$4001)&amp;"-"&amp;$A$2:$A$4001,0,-1)),G131))</f>
        <v>9</v>
      </c>
      <c r="I131" cm="1">
        <f t="array" ref="I131">IF(OR(AND(H131=9,I$1&gt;YEAR($N131))),9,_xlfn.IFNA(INDEX($D$2:$D$4001,_xlfn.XMATCH(I$1&amp;"-"&amp;$F131,YEAR($B$2:$B$4001)&amp;"-"&amp;$A$2:$A$4001,0,-1)),H131))</f>
        <v>9</v>
      </c>
      <c r="J131" cm="1">
        <f t="array" ref="J131">IF(OR(AND(I131=9,J$1&gt;YEAR($N131))),9,_xlfn.IFNA(INDEX($D$2:$D$4001,_xlfn.XMATCH(J$1&amp;"-"&amp;$F131,YEAR($B$2:$B$4001)&amp;"-"&amp;$A$2:$A$4001,0,-1)),I131))</f>
        <v>0</v>
      </c>
      <c r="K131" cm="1">
        <f t="array" ref="K131">IF(OR(AND(J131=9,K$1&gt;YEAR($N131))),9,_xlfn.IFNA(INDEX($D$2:$D$4001,_xlfn.XMATCH(K$1&amp;"-"&amp;$F131,YEAR($B$2:$B$4001)&amp;"-"&amp;$A$2:$A$4001,0,-1)),J131))</f>
        <v>0</v>
      </c>
      <c r="L131" cm="1">
        <f t="array" ref="L131">IF(OR(AND(K131=9,L$1&gt;YEAR($N131))),9,_xlfn.IFNA(INDEX($D$2:$D$4001,_xlfn.XMATCH(L$1&amp;"-"&amp;$F131,YEAR($B$2:$B$4001)&amp;"-"&amp;$A$2:$A$4001,0,-1)),K131))</f>
        <v>0</v>
      </c>
      <c r="M131" cm="1">
        <f t="array" ref="M131">IF(OR(AND(L131=9,M$1&gt;YEAR($N131))),9,_xlfn.IFNA(INDEX($D$2:$D$4001,_xlfn.XMATCH(M$1&amp;"-"&amp;$F131,YEAR($B$2:$B$4001)&amp;"-"&amp;$A$2:$A$4001,0,-1)),L131))</f>
        <v>0</v>
      </c>
      <c r="N131" s="1">
        <f t="shared" ref="N131:N194" si="2">_xlfn.MINIFS($B$2:$B$4001,$A$2:$A$4001,F131)</f>
        <v>37529</v>
      </c>
    </row>
    <row r="132" spans="1:14" x14ac:dyDescent="0.35">
      <c r="A132">
        <v>67</v>
      </c>
      <c r="B132" s="2">
        <v>36676</v>
      </c>
      <c r="C132">
        <v>3</v>
      </c>
      <c r="D132">
        <v>3</v>
      </c>
      <c r="F132">
        <v>131</v>
      </c>
      <c r="G132" cm="1">
        <f t="array" ref="G132">_xlfn.IFNA(INDEX($D$2:$D$4001,_xlfn.XMATCH(G$1&amp;"-"&amp;$F132,YEAR($B$2:$B$4001)&amp;"-"&amp;$A$2:$A$4001,0,-1)),9)</f>
        <v>9</v>
      </c>
      <c r="H132" cm="1">
        <f t="array" ref="H132">IF(OR(AND(G132=9,H$1&gt;YEAR($N132))),9,_xlfn.IFNA(INDEX($D$2:$D$4001,_xlfn.XMATCH(H$1&amp;"-"&amp;$F132,YEAR($B$2:$B$4001)&amp;"-"&amp;$A$2:$A$4001,0,-1)),G132))</f>
        <v>9</v>
      </c>
      <c r="I132" cm="1">
        <f t="array" ref="I132">IF(OR(AND(H132=9,I$1&gt;YEAR($N132))),9,_xlfn.IFNA(INDEX($D$2:$D$4001,_xlfn.XMATCH(I$1&amp;"-"&amp;$F132,YEAR($B$2:$B$4001)&amp;"-"&amp;$A$2:$A$4001,0,-1)),H132))</f>
        <v>9</v>
      </c>
      <c r="J132" cm="1">
        <f t="array" ref="J132">IF(OR(AND(I132=9,J$1&gt;YEAR($N132))),9,_xlfn.IFNA(INDEX($D$2:$D$4001,_xlfn.XMATCH(J$1&amp;"-"&amp;$F132,YEAR($B$2:$B$4001)&amp;"-"&amp;$A$2:$A$4001,0,-1)),I132))</f>
        <v>9</v>
      </c>
      <c r="K132" cm="1">
        <f t="array" ref="K132">IF(OR(AND(J132=9,K$1&gt;YEAR($N132))),9,_xlfn.IFNA(INDEX($D$2:$D$4001,_xlfn.XMATCH(K$1&amp;"-"&amp;$F132,YEAR($B$2:$B$4001)&amp;"-"&amp;$A$2:$A$4001,0,-1)),J132))</f>
        <v>9</v>
      </c>
      <c r="L132" cm="1">
        <f t="array" ref="L132">IF(OR(AND(K132=9,L$1&gt;YEAR($N132))),9,_xlfn.IFNA(INDEX($D$2:$D$4001,_xlfn.XMATCH(L$1&amp;"-"&amp;$F132,YEAR($B$2:$B$4001)&amp;"-"&amp;$A$2:$A$4001,0,-1)),K132))</f>
        <v>0</v>
      </c>
      <c r="M132" cm="1">
        <f t="array" ref="M132">IF(OR(AND(L132=9,M$1&gt;YEAR($N132))),9,_xlfn.IFNA(INDEX($D$2:$D$4001,_xlfn.XMATCH(M$1&amp;"-"&amp;$F132,YEAR($B$2:$B$4001)&amp;"-"&amp;$A$2:$A$4001,0,-1)),L132))</f>
        <v>0</v>
      </c>
      <c r="N132" s="1">
        <f t="shared" si="2"/>
        <v>38223</v>
      </c>
    </row>
    <row r="133" spans="1:14" x14ac:dyDescent="0.35">
      <c r="A133">
        <v>67</v>
      </c>
      <c r="B133" s="2">
        <v>37771</v>
      </c>
      <c r="C133">
        <v>3</v>
      </c>
      <c r="D133">
        <v>3</v>
      </c>
      <c r="F133">
        <v>132</v>
      </c>
      <c r="G133" cm="1">
        <f t="array" ref="G133">_xlfn.IFNA(INDEX($D$2:$D$4001,_xlfn.XMATCH(G$1&amp;"-"&amp;$F133,YEAR($B$2:$B$4001)&amp;"-"&amp;$A$2:$A$4001,0,-1)),9)</f>
        <v>9</v>
      </c>
      <c r="H133" cm="1">
        <f t="array" ref="H133">IF(OR(AND(G133=9,H$1&gt;YEAR($N133))),9,_xlfn.IFNA(INDEX($D$2:$D$4001,_xlfn.XMATCH(H$1&amp;"-"&amp;$F133,YEAR($B$2:$B$4001)&amp;"-"&amp;$A$2:$A$4001,0,-1)),G133))</f>
        <v>3</v>
      </c>
      <c r="I133" cm="1">
        <f t="array" ref="I133">IF(OR(AND(H133=9,I$1&gt;YEAR($N133))),9,_xlfn.IFNA(INDEX($D$2:$D$4001,_xlfn.XMATCH(I$1&amp;"-"&amp;$F133,YEAR($B$2:$B$4001)&amp;"-"&amp;$A$2:$A$4001,0,-1)),H133))</f>
        <v>3</v>
      </c>
      <c r="J133" cm="1">
        <f t="array" ref="J133">IF(OR(AND(I133=9,J$1&gt;YEAR($N133))),9,_xlfn.IFNA(INDEX($D$2:$D$4001,_xlfn.XMATCH(J$1&amp;"-"&amp;$F133,YEAR($B$2:$B$4001)&amp;"-"&amp;$A$2:$A$4001,0,-1)),I133))</f>
        <v>3</v>
      </c>
      <c r="K133" cm="1">
        <f t="array" ref="K133">IF(OR(AND(J133=9,K$1&gt;YEAR($N133))),9,_xlfn.IFNA(INDEX($D$2:$D$4001,_xlfn.XMATCH(K$1&amp;"-"&amp;$F133,YEAR($B$2:$B$4001)&amp;"-"&amp;$A$2:$A$4001,0,-1)),J133))</f>
        <v>3</v>
      </c>
      <c r="L133" cm="1">
        <f t="array" ref="L133">IF(OR(AND(K133=9,L$1&gt;YEAR($N133))),9,_xlfn.IFNA(INDEX($D$2:$D$4001,_xlfn.XMATCH(L$1&amp;"-"&amp;$F133,YEAR($B$2:$B$4001)&amp;"-"&amp;$A$2:$A$4001,0,-1)),K133))</f>
        <v>3</v>
      </c>
      <c r="M133" cm="1">
        <f t="array" ref="M133">IF(OR(AND(L133=9,M$1&gt;YEAR($N133))),9,_xlfn.IFNA(INDEX($D$2:$D$4001,_xlfn.XMATCH(M$1&amp;"-"&amp;$F133,YEAR($B$2:$B$4001)&amp;"-"&amp;$A$2:$A$4001,0,-1)),L133))</f>
        <v>3</v>
      </c>
      <c r="N133" s="1">
        <f t="shared" si="2"/>
        <v>36890</v>
      </c>
    </row>
    <row r="134" spans="1:14" x14ac:dyDescent="0.35">
      <c r="A134">
        <v>67</v>
      </c>
      <c r="B134" s="2">
        <v>38168</v>
      </c>
      <c r="C134">
        <v>4</v>
      </c>
      <c r="D134">
        <v>4</v>
      </c>
      <c r="F134">
        <v>133</v>
      </c>
      <c r="G134" cm="1">
        <f t="array" ref="G134">_xlfn.IFNA(INDEX($D$2:$D$4001,_xlfn.XMATCH(G$1&amp;"-"&amp;$F134,YEAR($B$2:$B$4001)&amp;"-"&amp;$A$2:$A$4001,0,-1)),9)</f>
        <v>9</v>
      </c>
      <c r="H134" cm="1">
        <f t="array" ref="H134">IF(OR(AND(G134=9,H$1&gt;YEAR($N134))),9,_xlfn.IFNA(INDEX($D$2:$D$4001,_xlfn.XMATCH(H$1&amp;"-"&amp;$F134,YEAR($B$2:$B$4001)&amp;"-"&amp;$A$2:$A$4001,0,-1)),G134))</f>
        <v>9</v>
      </c>
      <c r="I134" cm="1">
        <f t="array" ref="I134">IF(OR(AND(H134=9,I$1&gt;YEAR($N134))),9,_xlfn.IFNA(INDEX($D$2:$D$4001,_xlfn.XMATCH(I$1&amp;"-"&amp;$F134,YEAR($B$2:$B$4001)&amp;"-"&amp;$A$2:$A$4001,0,-1)),H134))</f>
        <v>9</v>
      </c>
      <c r="J134" cm="1">
        <f t="array" ref="J134">IF(OR(AND(I134=9,J$1&gt;YEAR($N134))),9,_xlfn.IFNA(INDEX($D$2:$D$4001,_xlfn.XMATCH(J$1&amp;"-"&amp;$F134,YEAR($B$2:$B$4001)&amp;"-"&amp;$A$2:$A$4001,0,-1)),I134))</f>
        <v>9</v>
      </c>
      <c r="K134" cm="1">
        <f t="array" ref="K134">IF(OR(AND(J134=9,K$1&gt;YEAR($N134))),9,_xlfn.IFNA(INDEX($D$2:$D$4001,_xlfn.XMATCH(K$1&amp;"-"&amp;$F134,YEAR($B$2:$B$4001)&amp;"-"&amp;$A$2:$A$4001,0,-1)),J134))</f>
        <v>0</v>
      </c>
      <c r="L134" cm="1">
        <f t="array" ref="L134">IF(OR(AND(K134=9,L$1&gt;YEAR($N134))),9,_xlfn.IFNA(INDEX($D$2:$D$4001,_xlfn.XMATCH(L$1&amp;"-"&amp;$F134,YEAR($B$2:$B$4001)&amp;"-"&amp;$A$2:$A$4001,0,-1)),K134))</f>
        <v>0</v>
      </c>
      <c r="M134" cm="1">
        <f t="array" ref="M134">IF(OR(AND(L134=9,M$1&gt;YEAR($N134))),9,_xlfn.IFNA(INDEX($D$2:$D$4001,_xlfn.XMATCH(M$1&amp;"-"&amp;$F134,YEAR($B$2:$B$4001)&amp;"-"&amp;$A$2:$A$4001,0,-1)),L134))</f>
        <v>0</v>
      </c>
      <c r="N134" s="1">
        <f t="shared" si="2"/>
        <v>37924</v>
      </c>
    </row>
    <row r="135" spans="1:14" x14ac:dyDescent="0.35">
      <c r="A135">
        <v>67</v>
      </c>
      <c r="B135" s="2">
        <v>38290</v>
      </c>
      <c r="C135">
        <v>4</v>
      </c>
      <c r="D135">
        <v>4</v>
      </c>
      <c r="F135">
        <v>134</v>
      </c>
      <c r="G135" cm="1">
        <f t="array" ref="G135">_xlfn.IFNA(INDEX($D$2:$D$4001,_xlfn.XMATCH(G$1&amp;"-"&amp;$F135,YEAR($B$2:$B$4001)&amp;"-"&amp;$A$2:$A$4001,0,-1)),9)</f>
        <v>2</v>
      </c>
      <c r="H135" cm="1">
        <f t="array" ref="H135">IF(OR(AND(G135=9,H$1&gt;YEAR($N135))),9,_xlfn.IFNA(INDEX($D$2:$D$4001,_xlfn.XMATCH(H$1&amp;"-"&amp;$F135,YEAR($B$2:$B$4001)&amp;"-"&amp;$A$2:$A$4001,0,-1)),G135))</f>
        <v>2</v>
      </c>
      <c r="I135" cm="1">
        <f t="array" ref="I135">IF(OR(AND(H135=9,I$1&gt;YEAR($N135))),9,_xlfn.IFNA(INDEX($D$2:$D$4001,_xlfn.XMATCH(I$1&amp;"-"&amp;$F135,YEAR($B$2:$B$4001)&amp;"-"&amp;$A$2:$A$4001,0,-1)),H135))</f>
        <v>2</v>
      </c>
      <c r="J135" cm="1">
        <f t="array" ref="J135">IF(OR(AND(I135=9,J$1&gt;YEAR($N135))),9,_xlfn.IFNA(INDEX($D$2:$D$4001,_xlfn.XMATCH(J$1&amp;"-"&amp;$F135,YEAR($B$2:$B$4001)&amp;"-"&amp;$A$2:$A$4001,0,-1)),I135))</f>
        <v>2</v>
      </c>
      <c r="K135" cm="1">
        <f t="array" ref="K135">IF(OR(AND(J135=9,K$1&gt;YEAR($N135))),9,_xlfn.IFNA(INDEX($D$2:$D$4001,_xlfn.XMATCH(K$1&amp;"-"&amp;$F135,YEAR($B$2:$B$4001)&amp;"-"&amp;$A$2:$A$4001,0,-1)),J135))</f>
        <v>2</v>
      </c>
      <c r="L135" cm="1">
        <f t="array" ref="L135">IF(OR(AND(K135=9,L$1&gt;YEAR($N135))),9,_xlfn.IFNA(INDEX($D$2:$D$4001,_xlfn.XMATCH(L$1&amp;"-"&amp;$F135,YEAR($B$2:$B$4001)&amp;"-"&amp;$A$2:$A$4001,0,-1)),K135))</f>
        <v>2</v>
      </c>
      <c r="M135" cm="1">
        <f t="array" ref="M135">IF(OR(AND(L135=9,M$1&gt;YEAR($N135))),9,_xlfn.IFNA(INDEX($D$2:$D$4001,_xlfn.XMATCH(M$1&amp;"-"&amp;$F135,YEAR($B$2:$B$4001)&amp;"-"&amp;$A$2:$A$4001,0,-1)),L135))</f>
        <v>2</v>
      </c>
      <c r="N135" s="1">
        <f t="shared" si="2"/>
        <v>36308</v>
      </c>
    </row>
    <row r="136" spans="1:14" x14ac:dyDescent="0.35">
      <c r="A136">
        <v>67</v>
      </c>
      <c r="B136" s="2">
        <v>38351</v>
      </c>
      <c r="C136">
        <v>4</v>
      </c>
      <c r="D136">
        <v>4</v>
      </c>
      <c r="F136">
        <v>135</v>
      </c>
      <c r="G136" cm="1">
        <f t="array" ref="G136">_xlfn.IFNA(INDEX($D$2:$D$4001,_xlfn.XMATCH(G$1&amp;"-"&amp;$F136,YEAR($B$2:$B$4001)&amp;"-"&amp;$A$2:$A$4001,0,-1)),9)</f>
        <v>9</v>
      </c>
      <c r="H136" cm="1">
        <f t="array" ref="H136">IF(OR(AND(G136=9,H$1&gt;YEAR($N136))),9,_xlfn.IFNA(INDEX($D$2:$D$4001,_xlfn.XMATCH(H$1&amp;"-"&amp;$F136,YEAR($B$2:$B$4001)&amp;"-"&amp;$A$2:$A$4001,0,-1)),G136))</f>
        <v>3</v>
      </c>
      <c r="I136" cm="1">
        <f t="array" ref="I136">IF(OR(AND(H136=9,I$1&gt;YEAR($N136))),9,_xlfn.IFNA(INDEX($D$2:$D$4001,_xlfn.XMATCH(I$1&amp;"-"&amp;$F136,YEAR($B$2:$B$4001)&amp;"-"&amp;$A$2:$A$4001,0,-1)),H136))</f>
        <v>3</v>
      </c>
      <c r="J136" cm="1">
        <f t="array" ref="J136">IF(OR(AND(I136=9,J$1&gt;YEAR($N136))),9,_xlfn.IFNA(INDEX($D$2:$D$4001,_xlfn.XMATCH(J$1&amp;"-"&amp;$F136,YEAR($B$2:$B$4001)&amp;"-"&amp;$A$2:$A$4001,0,-1)),I136))</f>
        <v>3</v>
      </c>
      <c r="K136" cm="1">
        <f t="array" ref="K136">IF(OR(AND(J136=9,K$1&gt;YEAR($N136))),9,_xlfn.IFNA(INDEX($D$2:$D$4001,_xlfn.XMATCH(K$1&amp;"-"&amp;$F136,YEAR($B$2:$B$4001)&amp;"-"&amp;$A$2:$A$4001,0,-1)),J136))</f>
        <v>3</v>
      </c>
      <c r="L136" cm="1">
        <f t="array" ref="L136">IF(OR(AND(K136=9,L$1&gt;YEAR($N136))),9,_xlfn.IFNA(INDEX($D$2:$D$4001,_xlfn.XMATCH(L$1&amp;"-"&amp;$F136,YEAR($B$2:$B$4001)&amp;"-"&amp;$A$2:$A$4001,0,-1)),K136))</f>
        <v>3</v>
      </c>
      <c r="M136" cm="1">
        <f t="array" ref="M136">IF(OR(AND(L136=9,M$1&gt;YEAR($N136))),9,_xlfn.IFNA(INDEX($D$2:$D$4001,_xlfn.XMATCH(M$1&amp;"-"&amp;$F136,YEAR($B$2:$B$4001)&amp;"-"&amp;$A$2:$A$4001,0,-1)),L136))</f>
        <v>3</v>
      </c>
      <c r="N136" s="1">
        <f t="shared" si="2"/>
        <v>36676</v>
      </c>
    </row>
    <row r="137" spans="1:14" x14ac:dyDescent="0.35">
      <c r="A137">
        <v>68</v>
      </c>
      <c r="B137" s="2">
        <v>38225</v>
      </c>
      <c r="C137">
        <v>4</v>
      </c>
      <c r="D137">
        <v>4</v>
      </c>
      <c r="F137">
        <v>136</v>
      </c>
      <c r="G137" cm="1">
        <f t="array" ref="G137">_xlfn.IFNA(INDEX($D$2:$D$4001,_xlfn.XMATCH(G$1&amp;"-"&amp;$F137,YEAR($B$2:$B$4001)&amp;"-"&amp;$A$2:$A$4001,0,-1)),9)</f>
        <v>9</v>
      </c>
      <c r="H137" cm="1">
        <f t="array" ref="H137">IF(OR(AND(G137=9,H$1&gt;YEAR($N137))),9,_xlfn.IFNA(INDEX($D$2:$D$4001,_xlfn.XMATCH(H$1&amp;"-"&amp;$F137,YEAR($B$2:$B$4001)&amp;"-"&amp;$A$2:$A$4001,0,-1)),G137))</f>
        <v>9</v>
      </c>
      <c r="I137" cm="1">
        <f t="array" ref="I137">IF(OR(AND(H137=9,I$1&gt;YEAR($N137))),9,_xlfn.IFNA(INDEX($D$2:$D$4001,_xlfn.XMATCH(I$1&amp;"-"&amp;$F137,YEAR($B$2:$B$4001)&amp;"-"&amp;$A$2:$A$4001,0,-1)),H137))</f>
        <v>9</v>
      </c>
      <c r="J137" cm="1">
        <f t="array" ref="J137">IF(OR(AND(I137=9,J$1&gt;YEAR($N137))),9,_xlfn.IFNA(INDEX($D$2:$D$4001,_xlfn.XMATCH(J$1&amp;"-"&amp;$F137,YEAR($B$2:$B$4001)&amp;"-"&amp;$A$2:$A$4001,0,-1)),I137))</f>
        <v>9</v>
      </c>
      <c r="K137" cm="1">
        <f t="array" ref="K137">IF(OR(AND(J137=9,K$1&gt;YEAR($N137))),9,_xlfn.IFNA(INDEX($D$2:$D$4001,_xlfn.XMATCH(K$1&amp;"-"&amp;$F137,YEAR($B$2:$B$4001)&amp;"-"&amp;$A$2:$A$4001,0,-1)),J137))</f>
        <v>3</v>
      </c>
      <c r="L137" cm="1">
        <f t="array" ref="L137">IF(OR(AND(K137=9,L$1&gt;YEAR($N137))),9,_xlfn.IFNA(INDEX($D$2:$D$4001,_xlfn.XMATCH(L$1&amp;"-"&amp;$F137,YEAR($B$2:$B$4001)&amp;"-"&amp;$A$2:$A$4001,0,-1)),K137))</f>
        <v>0</v>
      </c>
      <c r="M137" cm="1">
        <f t="array" ref="M137">IF(OR(AND(L137=9,M$1&gt;YEAR($N137))),9,_xlfn.IFNA(INDEX($D$2:$D$4001,_xlfn.XMATCH(M$1&amp;"-"&amp;$F137,YEAR($B$2:$B$4001)&amp;"-"&amp;$A$2:$A$4001,0,-1)),L137))</f>
        <v>0</v>
      </c>
      <c r="N137" s="1">
        <f t="shared" si="2"/>
        <v>37955</v>
      </c>
    </row>
    <row r="138" spans="1:14" x14ac:dyDescent="0.35">
      <c r="A138">
        <v>69</v>
      </c>
      <c r="B138" s="2">
        <v>36829</v>
      </c>
      <c r="C138">
        <v>3</v>
      </c>
      <c r="D138">
        <v>3</v>
      </c>
      <c r="F138">
        <v>137</v>
      </c>
      <c r="G138" cm="1">
        <f t="array" ref="G138">_xlfn.IFNA(INDEX($D$2:$D$4001,_xlfn.XMATCH(G$1&amp;"-"&amp;$F138,YEAR($B$2:$B$4001)&amp;"-"&amp;$A$2:$A$4001,0,-1)),9)</f>
        <v>9</v>
      </c>
      <c r="H138" cm="1">
        <f t="array" ref="H138">IF(OR(AND(G138=9,H$1&gt;YEAR($N138))),9,_xlfn.IFNA(INDEX($D$2:$D$4001,_xlfn.XMATCH(H$1&amp;"-"&amp;$F138,YEAR($B$2:$B$4001)&amp;"-"&amp;$A$2:$A$4001,0,-1)),G138))</f>
        <v>9</v>
      </c>
      <c r="I138" cm="1">
        <f t="array" ref="I138">IF(OR(AND(H138=9,I$1&gt;YEAR($N138))),9,_xlfn.IFNA(INDEX($D$2:$D$4001,_xlfn.XMATCH(I$1&amp;"-"&amp;$F138,YEAR($B$2:$B$4001)&amp;"-"&amp;$A$2:$A$4001,0,-1)),H138))</f>
        <v>4</v>
      </c>
      <c r="J138" cm="1">
        <f t="array" ref="J138">IF(OR(AND(I138=9,J$1&gt;YEAR($N138))),9,_xlfn.IFNA(INDEX($D$2:$D$4001,_xlfn.XMATCH(J$1&amp;"-"&amp;$F138,YEAR($B$2:$B$4001)&amp;"-"&amp;$A$2:$A$4001,0,-1)),I138))</f>
        <v>4</v>
      </c>
      <c r="K138" cm="1">
        <f t="array" ref="K138">IF(OR(AND(J138=9,K$1&gt;YEAR($N138))),9,_xlfn.IFNA(INDEX($D$2:$D$4001,_xlfn.XMATCH(K$1&amp;"-"&amp;$F138,YEAR($B$2:$B$4001)&amp;"-"&amp;$A$2:$A$4001,0,-1)),J138))</f>
        <v>4</v>
      </c>
      <c r="L138" cm="1">
        <f t="array" ref="L138">IF(OR(AND(K138=9,L$1&gt;YEAR($N138))),9,_xlfn.IFNA(INDEX($D$2:$D$4001,_xlfn.XMATCH(L$1&amp;"-"&amp;$F138,YEAR($B$2:$B$4001)&amp;"-"&amp;$A$2:$A$4001,0,-1)),K138))</f>
        <v>4</v>
      </c>
      <c r="M138" cm="1">
        <f t="array" ref="M138">IF(OR(AND(L138=9,M$1&gt;YEAR($N138))),9,_xlfn.IFNA(INDEX($D$2:$D$4001,_xlfn.XMATCH(M$1&amp;"-"&amp;$F138,YEAR($B$2:$B$4001)&amp;"-"&amp;$A$2:$A$4001,0,-1)),L138))</f>
        <v>4</v>
      </c>
      <c r="N138" s="1">
        <f t="shared" si="2"/>
        <v>37035</v>
      </c>
    </row>
    <row r="139" spans="1:14" x14ac:dyDescent="0.35">
      <c r="A139">
        <v>70</v>
      </c>
      <c r="B139" s="2">
        <v>36707</v>
      </c>
      <c r="C139">
        <v>3</v>
      </c>
      <c r="D139">
        <v>3</v>
      </c>
      <c r="F139">
        <v>138</v>
      </c>
      <c r="G139" cm="1">
        <f t="array" ref="G139">_xlfn.IFNA(INDEX($D$2:$D$4001,_xlfn.XMATCH(G$1&amp;"-"&amp;$F139,YEAR($B$2:$B$4001)&amp;"-"&amp;$A$2:$A$4001,0,-1)),9)</f>
        <v>9</v>
      </c>
      <c r="H139" cm="1">
        <f t="array" ref="H139">IF(OR(AND(G139=9,H$1&gt;YEAR($N139))),9,_xlfn.IFNA(INDEX($D$2:$D$4001,_xlfn.XMATCH(H$1&amp;"-"&amp;$F139,YEAR($B$2:$B$4001)&amp;"-"&amp;$A$2:$A$4001,0,-1)),G139))</f>
        <v>0</v>
      </c>
      <c r="I139" cm="1">
        <f t="array" ref="I139">IF(OR(AND(H139=9,I$1&gt;YEAR($N139))),9,_xlfn.IFNA(INDEX($D$2:$D$4001,_xlfn.XMATCH(I$1&amp;"-"&amp;$F139,YEAR($B$2:$B$4001)&amp;"-"&amp;$A$2:$A$4001,0,-1)),H139))</f>
        <v>0</v>
      </c>
      <c r="J139" cm="1">
        <f t="array" ref="J139">IF(OR(AND(I139=9,J$1&gt;YEAR($N139))),9,_xlfn.IFNA(INDEX($D$2:$D$4001,_xlfn.XMATCH(J$1&amp;"-"&amp;$F139,YEAR($B$2:$B$4001)&amp;"-"&amp;$A$2:$A$4001,0,-1)),I139))</f>
        <v>0</v>
      </c>
      <c r="K139" cm="1">
        <f t="array" ref="K139">IF(OR(AND(J139=9,K$1&gt;YEAR($N139))),9,_xlfn.IFNA(INDEX($D$2:$D$4001,_xlfn.XMATCH(K$1&amp;"-"&amp;$F139,YEAR($B$2:$B$4001)&amp;"-"&amp;$A$2:$A$4001,0,-1)),J139))</f>
        <v>0</v>
      </c>
      <c r="L139" cm="1">
        <f t="array" ref="L139">IF(OR(AND(K139=9,L$1&gt;YEAR($N139))),9,_xlfn.IFNA(INDEX($D$2:$D$4001,_xlfn.XMATCH(L$1&amp;"-"&amp;$F139,YEAR($B$2:$B$4001)&amp;"-"&amp;$A$2:$A$4001,0,-1)),K139))</f>
        <v>0</v>
      </c>
      <c r="M139" cm="1">
        <f t="array" ref="M139">IF(OR(AND(L139=9,M$1&gt;YEAR($N139))),9,_xlfn.IFNA(INDEX($D$2:$D$4001,_xlfn.XMATCH(M$1&amp;"-"&amp;$F139,YEAR($B$2:$B$4001)&amp;"-"&amp;$A$2:$A$4001,0,-1)),L139))</f>
        <v>0</v>
      </c>
      <c r="N139" s="1">
        <f t="shared" si="2"/>
        <v>36667</v>
      </c>
    </row>
    <row r="140" spans="1:14" x14ac:dyDescent="0.35">
      <c r="A140">
        <v>70</v>
      </c>
      <c r="B140" s="2">
        <v>37559</v>
      </c>
      <c r="C140">
        <v>4</v>
      </c>
      <c r="D140">
        <v>4</v>
      </c>
      <c r="F140">
        <v>139</v>
      </c>
      <c r="G140" cm="1">
        <f t="array" ref="G140">_xlfn.IFNA(INDEX($D$2:$D$4001,_xlfn.XMATCH(G$1&amp;"-"&amp;$F140,YEAR($B$2:$B$4001)&amp;"-"&amp;$A$2:$A$4001,0,-1)),9)</f>
        <v>3</v>
      </c>
      <c r="H140" cm="1">
        <f t="array" ref="H140">IF(OR(AND(G140=9,H$1&gt;YEAR($N140))),9,_xlfn.IFNA(INDEX($D$2:$D$4001,_xlfn.XMATCH(H$1&amp;"-"&amp;$F140,YEAR($B$2:$B$4001)&amp;"-"&amp;$A$2:$A$4001,0,-1)),G140))</f>
        <v>3</v>
      </c>
      <c r="I140" cm="1">
        <f t="array" ref="I140">IF(OR(AND(H140=9,I$1&gt;YEAR($N140))),9,_xlfn.IFNA(INDEX($D$2:$D$4001,_xlfn.XMATCH(I$1&amp;"-"&amp;$F140,YEAR($B$2:$B$4001)&amp;"-"&amp;$A$2:$A$4001,0,-1)),H140))</f>
        <v>4</v>
      </c>
      <c r="J140" cm="1">
        <f t="array" ref="J140">IF(OR(AND(I140=9,J$1&gt;YEAR($N140))),9,_xlfn.IFNA(INDEX($D$2:$D$4001,_xlfn.XMATCH(J$1&amp;"-"&amp;$F140,YEAR($B$2:$B$4001)&amp;"-"&amp;$A$2:$A$4001,0,-1)),I140))</f>
        <v>4</v>
      </c>
      <c r="K140" cm="1">
        <f t="array" ref="K140">IF(OR(AND(J140=9,K$1&gt;YEAR($N140))),9,_xlfn.IFNA(INDEX($D$2:$D$4001,_xlfn.XMATCH(K$1&amp;"-"&amp;$F140,YEAR($B$2:$B$4001)&amp;"-"&amp;$A$2:$A$4001,0,-1)),J140))</f>
        <v>4</v>
      </c>
      <c r="L140" cm="1">
        <f t="array" ref="L140">IF(OR(AND(K140=9,L$1&gt;YEAR($N140))),9,_xlfn.IFNA(INDEX($D$2:$D$4001,_xlfn.XMATCH(L$1&amp;"-"&amp;$F140,YEAR($B$2:$B$4001)&amp;"-"&amp;$A$2:$A$4001,0,-1)),K140))</f>
        <v>4</v>
      </c>
      <c r="M140" cm="1">
        <f t="array" ref="M140">IF(OR(AND(L140=9,M$1&gt;YEAR($N140))),9,_xlfn.IFNA(INDEX($D$2:$D$4001,_xlfn.XMATCH(M$1&amp;"-"&amp;$F140,YEAR($B$2:$B$4001)&amp;"-"&amp;$A$2:$A$4001,0,-1)),L140))</f>
        <v>4</v>
      </c>
      <c r="N140" s="1">
        <f t="shared" si="2"/>
        <v>36524</v>
      </c>
    </row>
    <row r="141" spans="1:14" x14ac:dyDescent="0.35">
      <c r="A141">
        <v>71</v>
      </c>
      <c r="B141" s="2">
        <v>38351</v>
      </c>
      <c r="C141">
        <v>4</v>
      </c>
      <c r="D141">
        <v>4</v>
      </c>
      <c r="F141">
        <v>140</v>
      </c>
      <c r="G141" cm="1">
        <f t="array" ref="G141">_xlfn.IFNA(INDEX($D$2:$D$4001,_xlfn.XMATCH(G$1&amp;"-"&amp;$F141,YEAR($B$2:$B$4001)&amp;"-"&amp;$A$2:$A$4001,0,-1)),9)</f>
        <v>9</v>
      </c>
      <c r="H141" cm="1">
        <f t="array" ref="H141">IF(OR(AND(G141=9,H$1&gt;YEAR($N141))),9,_xlfn.IFNA(INDEX($D$2:$D$4001,_xlfn.XMATCH(H$1&amp;"-"&amp;$F141,YEAR($B$2:$B$4001)&amp;"-"&amp;$A$2:$A$4001,0,-1)),G141))</f>
        <v>9</v>
      </c>
      <c r="I141" cm="1">
        <f t="array" ref="I141">IF(OR(AND(H141=9,I$1&gt;YEAR($N141))),9,_xlfn.IFNA(INDEX($D$2:$D$4001,_xlfn.XMATCH(I$1&amp;"-"&amp;$F141,YEAR($B$2:$B$4001)&amp;"-"&amp;$A$2:$A$4001,0,-1)),H141))</f>
        <v>9</v>
      </c>
      <c r="J141" cm="1">
        <f t="array" ref="J141">IF(OR(AND(I141=9,J$1&gt;YEAR($N141))),9,_xlfn.IFNA(INDEX($D$2:$D$4001,_xlfn.XMATCH(J$1&amp;"-"&amp;$F141,YEAR($B$2:$B$4001)&amp;"-"&amp;$A$2:$A$4001,0,-1)),I141))</f>
        <v>9</v>
      </c>
      <c r="K141" cm="1">
        <f t="array" ref="K141">IF(OR(AND(J141=9,K$1&gt;YEAR($N141))),9,_xlfn.IFNA(INDEX($D$2:$D$4001,_xlfn.XMATCH(K$1&amp;"-"&amp;$F141,YEAR($B$2:$B$4001)&amp;"-"&amp;$A$2:$A$4001,0,-1)),J141))</f>
        <v>9</v>
      </c>
      <c r="L141" cm="1">
        <f t="array" ref="L141">IF(OR(AND(K141=9,L$1&gt;YEAR($N141))),9,_xlfn.IFNA(INDEX($D$2:$D$4001,_xlfn.XMATCH(L$1&amp;"-"&amp;$F141,YEAR($B$2:$B$4001)&amp;"-"&amp;$A$2:$A$4001,0,-1)),K141))</f>
        <v>9</v>
      </c>
      <c r="M141" cm="1">
        <f t="array" ref="M141">IF(OR(AND(L141=9,M$1&gt;YEAR($N141))),9,_xlfn.IFNA(INDEX($D$2:$D$4001,_xlfn.XMATCH(M$1&amp;"-"&amp;$F141,YEAR($B$2:$B$4001)&amp;"-"&amp;$A$2:$A$4001,0,-1)),L141))</f>
        <v>3</v>
      </c>
      <c r="N141" s="1">
        <f t="shared" si="2"/>
        <v>38502</v>
      </c>
    </row>
    <row r="142" spans="1:14" x14ac:dyDescent="0.35">
      <c r="A142">
        <v>72</v>
      </c>
      <c r="B142" s="2">
        <v>36304</v>
      </c>
      <c r="C142">
        <v>4</v>
      </c>
      <c r="D142">
        <v>4</v>
      </c>
      <c r="F142">
        <v>141</v>
      </c>
      <c r="G142" cm="1">
        <f t="array" ref="G142">_xlfn.IFNA(INDEX($D$2:$D$4001,_xlfn.XMATCH(G$1&amp;"-"&amp;$F142,YEAR($B$2:$B$4001)&amp;"-"&amp;$A$2:$A$4001,0,-1)),9)</f>
        <v>9</v>
      </c>
      <c r="H142" cm="1">
        <f t="array" ref="H142">IF(OR(AND(G142=9,H$1&gt;YEAR($N142))),9,_xlfn.IFNA(INDEX($D$2:$D$4001,_xlfn.XMATCH(H$1&amp;"-"&amp;$F142,YEAR($B$2:$B$4001)&amp;"-"&amp;$A$2:$A$4001,0,-1)),G142))</f>
        <v>9</v>
      </c>
      <c r="I142" cm="1">
        <f t="array" ref="I142">IF(OR(AND(H142=9,I$1&gt;YEAR($N142))),9,_xlfn.IFNA(INDEX($D$2:$D$4001,_xlfn.XMATCH(I$1&amp;"-"&amp;$F142,YEAR($B$2:$B$4001)&amp;"-"&amp;$A$2:$A$4001,0,-1)),H142))</f>
        <v>9</v>
      </c>
      <c r="J142" cm="1">
        <f t="array" ref="J142">IF(OR(AND(I142=9,J$1&gt;YEAR($N142))),9,_xlfn.IFNA(INDEX($D$2:$D$4001,_xlfn.XMATCH(J$1&amp;"-"&amp;$F142,YEAR($B$2:$B$4001)&amp;"-"&amp;$A$2:$A$4001,0,-1)),I142))</f>
        <v>9</v>
      </c>
      <c r="K142" cm="1">
        <f t="array" ref="K142">IF(OR(AND(J142=9,K$1&gt;YEAR($N142))),9,_xlfn.IFNA(INDEX($D$2:$D$4001,_xlfn.XMATCH(K$1&amp;"-"&amp;$F142,YEAR($B$2:$B$4001)&amp;"-"&amp;$A$2:$A$4001,0,-1)),J142))</f>
        <v>0</v>
      </c>
      <c r="L142" cm="1">
        <f t="array" ref="L142">IF(OR(AND(K142=9,L$1&gt;YEAR($N142))),9,_xlfn.IFNA(INDEX($D$2:$D$4001,_xlfn.XMATCH(L$1&amp;"-"&amp;$F142,YEAR($B$2:$B$4001)&amp;"-"&amp;$A$2:$A$4001,0,-1)),K142))</f>
        <v>0</v>
      </c>
      <c r="M142" cm="1">
        <f t="array" ref="M142">IF(OR(AND(L142=9,M$1&gt;YEAR($N142))),9,_xlfn.IFNA(INDEX($D$2:$D$4001,_xlfn.XMATCH(M$1&amp;"-"&amp;$F142,YEAR($B$2:$B$4001)&amp;"-"&amp;$A$2:$A$4001,0,-1)),L142))</f>
        <v>0</v>
      </c>
      <c r="N142" s="1">
        <f t="shared" si="2"/>
        <v>37985</v>
      </c>
    </row>
    <row r="143" spans="1:14" x14ac:dyDescent="0.35">
      <c r="A143">
        <v>72</v>
      </c>
      <c r="B143" s="2">
        <v>37397</v>
      </c>
      <c r="C143">
        <v>4</v>
      </c>
      <c r="D143">
        <v>4</v>
      </c>
      <c r="F143">
        <v>142</v>
      </c>
      <c r="G143" cm="1">
        <f t="array" ref="G143">_xlfn.IFNA(INDEX($D$2:$D$4001,_xlfn.XMATCH(G$1&amp;"-"&amp;$F143,YEAR($B$2:$B$4001)&amp;"-"&amp;$A$2:$A$4001,0,-1)),9)</f>
        <v>9</v>
      </c>
      <c r="H143" cm="1">
        <f t="array" ref="H143">IF(OR(AND(G143=9,H$1&gt;YEAR($N143))),9,_xlfn.IFNA(INDEX($D$2:$D$4001,_xlfn.XMATCH(H$1&amp;"-"&amp;$F143,YEAR($B$2:$B$4001)&amp;"-"&amp;$A$2:$A$4001,0,-1)),G143))</f>
        <v>9</v>
      </c>
      <c r="I143" cm="1">
        <f t="array" ref="I143">IF(OR(AND(H143=9,I$1&gt;YEAR($N143))),9,_xlfn.IFNA(INDEX($D$2:$D$4001,_xlfn.XMATCH(I$1&amp;"-"&amp;$F143,YEAR($B$2:$B$4001)&amp;"-"&amp;$A$2:$A$4001,0,-1)),H143))</f>
        <v>5</v>
      </c>
      <c r="J143" cm="1">
        <f t="array" ref="J143">IF(OR(AND(I143=9,J$1&gt;YEAR($N143))),9,_xlfn.IFNA(INDEX($D$2:$D$4001,_xlfn.XMATCH(J$1&amp;"-"&amp;$F143,YEAR($B$2:$B$4001)&amp;"-"&amp;$A$2:$A$4001,0,-1)),I143))</f>
        <v>5</v>
      </c>
      <c r="K143" cm="1">
        <f t="array" ref="K143">IF(OR(AND(J143=9,K$1&gt;YEAR($N143))),9,_xlfn.IFNA(INDEX($D$2:$D$4001,_xlfn.XMATCH(K$1&amp;"-"&amp;$F143,YEAR($B$2:$B$4001)&amp;"-"&amp;$A$2:$A$4001,0,-1)),J143))</f>
        <v>5</v>
      </c>
      <c r="L143" cm="1">
        <f t="array" ref="L143">IF(OR(AND(K143=9,L$1&gt;YEAR($N143))),9,_xlfn.IFNA(INDEX($D$2:$D$4001,_xlfn.XMATCH(L$1&amp;"-"&amp;$F143,YEAR($B$2:$B$4001)&amp;"-"&amp;$A$2:$A$4001,0,-1)),K143))</f>
        <v>4</v>
      </c>
      <c r="M143" cm="1">
        <f t="array" ref="M143">IF(OR(AND(L143=9,M$1&gt;YEAR($N143))),9,_xlfn.IFNA(INDEX($D$2:$D$4001,_xlfn.XMATCH(M$1&amp;"-"&amp;$F143,YEAR($B$2:$B$4001)&amp;"-"&amp;$A$2:$A$4001,0,-1)),L143))</f>
        <v>4</v>
      </c>
      <c r="N143" s="1">
        <f t="shared" si="2"/>
        <v>37255</v>
      </c>
    </row>
    <row r="144" spans="1:14" x14ac:dyDescent="0.35">
      <c r="A144">
        <v>73</v>
      </c>
      <c r="B144" s="2">
        <v>36310</v>
      </c>
      <c r="C144">
        <v>5</v>
      </c>
      <c r="D144">
        <v>5</v>
      </c>
      <c r="F144">
        <v>143</v>
      </c>
      <c r="G144" cm="1">
        <f t="array" ref="G144">_xlfn.IFNA(INDEX($D$2:$D$4001,_xlfn.XMATCH(G$1&amp;"-"&amp;$F144,YEAR($B$2:$B$4001)&amp;"-"&amp;$A$2:$A$4001,0,-1)),9)</f>
        <v>4</v>
      </c>
      <c r="H144" cm="1">
        <f t="array" ref="H144">IF(OR(AND(G144=9,H$1&gt;YEAR($N144))),9,_xlfn.IFNA(INDEX($D$2:$D$4001,_xlfn.XMATCH(H$1&amp;"-"&amp;$F144,YEAR($B$2:$B$4001)&amp;"-"&amp;$A$2:$A$4001,0,-1)),G144))</f>
        <v>3</v>
      </c>
      <c r="I144" cm="1">
        <f t="array" ref="I144">IF(OR(AND(H144=9,I$1&gt;YEAR($N144))),9,_xlfn.IFNA(INDEX($D$2:$D$4001,_xlfn.XMATCH(I$1&amp;"-"&amp;$F144,YEAR($B$2:$B$4001)&amp;"-"&amp;$A$2:$A$4001,0,-1)),H144))</f>
        <v>3</v>
      </c>
      <c r="J144" cm="1">
        <f t="array" ref="J144">IF(OR(AND(I144=9,J$1&gt;YEAR($N144))),9,_xlfn.IFNA(INDEX($D$2:$D$4001,_xlfn.XMATCH(J$1&amp;"-"&amp;$F144,YEAR($B$2:$B$4001)&amp;"-"&amp;$A$2:$A$4001,0,-1)),I144))</f>
        <v>3</v>
      </c>
      <c r="K144" cm="1">
        <f t="array" ref="K144">IF(OR(AND(J144=9,K$1&gt;YEAR($N144))),9,_xlfn.IFNA(INDEX($D$2:$D$4001,_xlfn.XMATCH(K$1&amp;"-"&amp;$F144,YEAR($B$2:$B$4001)&amp;"-"&amp;$A$2:$A$4001,0,-1)),J144))</f>
        <v>3</v>
      </c>
      <c r="L144" cm="1">
        <f t="array" ref="L144">IF(OR(AND(K144=9,L$1&gt;YEAR($N144))),9,_xlfn.IFNA(INDEX($D$2:$D$4001,_xlfn.XMATCH(L$1&amp;"-"&amp;$F144,YEAR($B$2:$B$4001)&amp;"-"&amp;$A$2:$A$4001,0,-1)),K144))</f>
        <v>3</v>
      </c>
      <c r="M144" cm="1">
        <f t="array" ref="M144">IF(OR(AND(L144=9,M$1&gt;YEAR($N144))),9,_xlfn.IFNA(INDEX($D$2:$D$4001,_xlfn.XMATCH(M$1&amp;"-"&amp;$F144,YEAR($B$2:$B$4001)&amp;"-"&amp;$A$2:$A$4001,0,-1)),L144))</f>
        <v>3</v>
      </c>
      <c r="N144" s="1">
        <f t="shared" si="2"/>
        <v>36524</v>
      </c>
    </row>
    <row r="145" spans="1:14" x14ac:dyDescent="0.35">
      <c r="A145">
        <v>73</v>
      </c>
      <c r="B145" s="2">
        <v>36890</v>
      </c>
      <c r="C145">
        <v>5</v>
      </c>
      <c r="D145">
        <v>5</v>
      </c>
      <c r="F145">
        <v>144</v>
      </c>
      <c r="G145" cm="1">
        <f t="array" ref="G145">_xlfn.IFNA(INDEX($D$2:$D$4001,_xlfn.XMATCH(G$1&amp;"-"&amp;$F145,YEAR($B$2:$B$4001)&amp;"-"&amp;$A$2:$A$4001,0,-1)),9)</f>
        <v>9</v>
      </c>
      <c r="H145" cm="1">
        <f t="array" ref="H145">IF(OR(AND(G145=9,H$1&gt;YEAR($N145))),9,_xlfn.IFNA(INDEX($D$2:$D$4001,_xlfn.XMATCH(H$1&amp;"-"&amp;$F145,YEAR($B$2:$B$4001)&amp;"-"&amp;$A$2:$A$4001,0,-1)),G145))</f>
        <v>9</v>
      </c>
      <c r="I145" cm="1">
        <f t="array" ref="I145">IF(OR(AND(H145=9,I$1&gt;YEAR($N145))),9,_xlfn.IFNA(INDEX($D$2:$D$4001,_xlfn.XMATCH(I$1&amp;"-"&amp;$F145,YEAR($B$2:$B$4001)&amp;"-"&amp;$A$2:$A$4001,0,-1)),H145))</f>
        <v>9</v>
      </c>
      <c r="J145" cm="1">
        <f t="array" ref="J145">IF(OR(AND(I145=9,J$1&gt;YEAR($N145))),9,_xlfn.IFNA(INDEX($D$2:$D$4001,_xlfn.XMATCH(J$1&amp;"-"&amp;$F145,YEAR($B$2:$B$4001)&amp;"-"&amp;$A$2:$A$4001,0,-1)),I145))</f>
        <v>9</v>
      </c>
      <c r="K145" cm="1">
        <f t="array" ref="K145">IF(OR(AND(J145=9,K$1&gt;YEAR($N145))),9,_xlfn.IFNA(INDEX($D$2:$D$4001,_xlfn.XMATCH(K$1&amp;"-"&amp;$F145,YEAR($B$2:$B$4001)&amp;"-"&amp;$A$2:$A$4001,0,-1)),J145))</f>
        <v>4</v>
      </c>
      <c r="L145" cm="1">
        <f t="array" ref="L145">IF(OR(AND(K145=9,L$1&gt;YEAR($N145))),9,_xlfn.IFNA(INDEX($D$2:$D$4001,_xlfn.XMATCH(L$1&amp;"-"&amp;$F145,YEAR($B$2:$B$4001)&amp;"-"&amp;$A$2:$A$4001,0,-1)),K145))</f>
        <v>4</v>
      </c>
      <c r="M145" cm="1">
        <f t="array" ref="M145">IF(OR(AND(L145=9,M$1&gt;YEAR($N145))),9,_xlfn.IFNA(INDEX($D$2:$D$4001,_xlfn.XMATCH(M$1&amp;"-"&amp;$F145,YEAR($B$2:$B$4001)&amp;"-"&amp;$A$2:$A$4001,0,-1)),L145))</f>
        <v>4</v>
      </c>
      <c r="N145" s="1">
        <f t="shared" si="2"/>
        <v>37762</v>
      </c>
    </row>
    <row r="146" spans="1:14" x14ac:dyDescent="0.35">
      <c r="A146">
        <v>73</v>
      </c>
      <c r="B146" s="2">
        <v>37620</v>
      </c>
      <c r="C146">
        <v>4</v>
      </c>
      <c r="D146">
        <v>4</v>
      </c>
      <c r="F146">
        <v>145</v>
      </c>
      <c r="G146" cm="1">
        <f t="array" ref="G146">_xlfn.IFNA(INDEX($D$2:$D$4001,_xlfn.XMATCH(G$1&amp;"-"&amp;$F146,YEAR($B$2:$B$4001)&amp;"-"&amp;$A$2:$A$4001,0,-1)),9)</f>
        <v>9</v>
      </c>
      <c r="H146" cm="1">
        <f t="array" ref="H146">IF(OR(AND(G146=9,H$1&gt;YEAR($N146))),9,_xlfn.IFNA(INDEX($D$2:$D$4001,_xlfn.XMATCH(H$1&amp;"-"&amp;$F146,YEAR($B$2:$B$4001)&amp;"-"&amp;$A$2:$A$4001,0,-1)),G146))</f>
        <v>3</v>
      </c>
      <c r="I146" cm="1">
        <f t="array" ref="I146">IF(OR(AND(H146=9,I$1&gt;YEAR($N146))),9,_xlfn.IFNA(INDEX($D$2:$D$4001,_xlfn.XMATCH(I$1&amp;"-"&amp;$F146,YEAR($B$2:$B$4001)&amp;"-"&amp;$A$2:$A$4001,0,-1)),H146))</f>
        <v>3</v>
      </c>
      <c r="J146" cm="1">
        <f t="array" ref="J146">IF(OR(AND(I146=9,J$1&gt;YEAR($N146))),9,_xlfn.IFNA(INDEX($D$2:$D$4001,_xlfn.XMATCH(J$1&amp;"-"&amp;$F146,YEAR($B$2:$B$4001)&amp;"-"&amp;$A$2:$A$4001,0,-1)),I146))</f>
        <v>3</v>
      </c>
      <c r="K146" cm="1">
        <f t="array" ref="K146">IF(OR(AND(J146=9,K$1&gt;YEAR($N146))),9,_xlfn.IFNA(INDEX($D$2:$D$4001,_xlfn.XMATCH(K$1&amp;"-"&amp;$F146,YEAR($B$2:$B$4001)&amp;"-"&amp;$A$2:$A$4001,0,-1)),J146))</f>
        <v>3</v>
      </c>
      <c r="L146" cm="1">
        <f t="array" ref="L146">IF(OR(AND(K146=9,L$1&gt;YEAR($N146))),9,_xlfn.IFNA(INDEX($D$2:$D$4001,_xlfn.XMATCH(L$1&amp;"-"&amp;$F146,YEAR($B$2:$B$4001)&amp;"-"&amp;$A$2:$A$4001,0,-1)),K146))</f>
        <v>3</v>
      </c>
      <c r="M146" cm="1">
        <f t="array" ref="M146">IF(OR(AND(L146=9,M$1&gt;YEAR($N146))),9,_xlfn.IFNA(INDEX($D$2:$D$4001,_xlfn.XMATCH(M$1&amp;"-"&amp;$F146,YEAR($B$2:$B$4001)&amp;"-"&amp;$A$2:$A$4001,0,-1)),L146))</f>
        <v>3</v>
      </c>
      <c r="N146" s="1">
        <f t="shared" si="2"/>
        <v>36676</v>
      </c>
    </row>
    <row r="147" spans="1:14" x14ac:dyDescent="0.35">
      <c r="A147">
        <v>74</v>
      </c>
      <c r="B147" s="2">
        <v>36369</v>
      </c>
      <c r="C147">
        <v>5</v>
      </c>
      <c r="D147">
        <v>5</v>
      </c>
      <c r="F147">
        <v>146</v>
      </c>
      <c r="G147" cm="1">
        <f t="array" ref="G147">_xlfn.IFNA(INDEX($D$2:$D$4001,_xlfn.XMATCH(G$1&amp;"-"&amp;$F147,YEAR($B$2:$B$4001)&amp;"-"&amp;$A$2:$A$4001,0,-1)),9)</f>
        <v>9</v>
      </c>
      <c r="H147" cm="1">
        <f t="array" ref="H147">IF(OR(AND(G147=9,H$1&gt;YEAR($N147))),9,_xlfn.IFNA(INDEX($D$2:$D$4001,_xlfn.XMATCH(H$1&amp;"-"&amp;$F147,YEAR($B$2:$B$4001)&amp;"-"&amp;$A$2:$A$4001,0,-1)),G147))</f>
        <v>9</v>
      </c>
      <c r="I147" cm="1">
        <f t="array" ref="I147">IF(OR(AND(H147=9,I$1&gt;YEAR($N147))),9,_xlfn.IFNA(INDEX($D$2:$D$4001,_xlfn.XMATCH(I$1&amp;"-"&amp;$F147,YEAR($B$2:$B$4001)&amp;"-"&amp;$A$2:$A$4001,0,-1)),H147))</f>
        <v>1</v>
      </c>
      <c r="J147" cm="1">
        <f t="array" ref="J147">IF(OR(AND(I147=9,J$1&gt;YEAR($N147))),9,_xlfn.IFNA(INDEX($D$2:$D$4001,_xlfn.XMATCH(J$1&amp;"-"&amp;$F147,YEAR($B$2:$B$4001)&amp;"-"&amp;$A$2:$A$4001,0,-1)),I147))</f>
        <v>1</v>
      </c>
      <c r="K147" cm="1">
        <f t="array" ref="K147">IF(OR(AND(J147=9,K$1&gt;YEAR($N147))),9,_xlfn.IFNA(INDEX($D$2:$D$4001,_xlfn.XMATCH(K$1&amp;"-"&amp;$F147,YEAR($B$2:$B$4001)&amp;"-"&amp;$A$2:$A$4001,0,-1)),J147))</f>
        <v>1</v>
      </c>
      <c r="L147" cm="1">
        <f t="array" ref="L147">IF(OR(AND(K147=9,L$1&gt;YEAR($N147))),9,_xlfn.IFNA(INDEX($D$2:$D$4001,_xlfn.XMATCH(L$1&amp;"-"&amp;$F147,YEAR($B$2:$B$4001)&amp;"-"&amp;$A$2:$A$4001,0,-1)),K147))</f>
        <v>1</v>
      </c>
      <c r="M147" cm="1">
        <f t="array" ref="M147">IF(OR(AND(L147=9,M$1&gt;YEAR($N147))),9,_xlfn.IFNA(INDEX($D$2:$D$4001,_xlfn.XMATCH(M$1&amp;"-"&amp;$F147,YEAR($B$2:$B$4001)&amp;"-"&amp;$A$2:$A$4001,0,-1)),L147))</f>
        <v>1</v>
      </c>
      <c r="N147" s="1">
        <f t="shared" si="2"/>
        <v>37072</v>
      </c>
    </row>
    <row r="148" spans="1:14" x14ac:dyDescent="0.35">
      <c r="A148">
        <v>74</v>
      </c>
      <c r="B148" s="2">
        <v>36676</v>
      </c>
      <c r="C148">
        <v>5</v>
      </c>
      <c r="D148">
        <v>5</v>
      </c>
      <c r="F148">
        <v>147</v>
      </c>
      <c r="G148" cm="1">
        <f t="array" ref="G148">_xlfn.IFNA(INDEX($D$2:$D$4001,_xlfn.XMATCH(G$1&amp;"-"&amp;$F148,YEAR($B$2:$B$4001)&amp;"-"&amp;$A$2:$A$4001,0,-1)),9)</f>
        <v>9</v>
      </c>
      <c r="H148" cm="1">
        <f t="array" ref="H148">IF(OR(AND(G148=9,H$1&gt;YEAR($N148))),9,_xlfn.IFNA(INDEX($D$2:$D$4001,_xlfn.XMATCH(H$1&amp;"-"&amp;$F148,YEAR($B$2:$B$4001)&amp;"-"&amp;$A$2:$A$4001,0,-1)),G148))</f>
        <v>2</v>
      </c>
      <c r="I148" cm="1">
        <f t="array" ref="I148">IF(OR(AND(H148=9,I$1&gt;YEAR($N148))),9,_xlfn.IFNA(INDEX($D$2:$D$4001,_xlfn.XMATCH(I$1&amp;"-"&amp;$F148,YEAR($B$2:$B$4001)&amp;"-"&amp;$A$2:$A$4001,0,-1)),H148))</f>
        <v>2</v>
      </c>
      <c r="J148" cm="1">
        <f t="array" ref="J148">IF(OR(AND(I148=9,J$1&gt;YEAR($N148))),9,_xlfn.IFNA(INDEX($D$2:$D$4001,_xlfn.XMATCH(J$1&amp;"-"&amp;$F148,YEAR($B$2:$B$4001)&amp;"-"&amp;$A$2:$A$4001,0,-1)),I148))</f>
        <v>0</v>
      </c>
      <c r="K148" cm="1">
        <f t="array" ref="K148">IF(OR(AND(J148=9,K$1&gt;YEAR($N148))),9,_xlfn.IFNA(INDEX($D$2:$D$4001,_xlfn.XMATCH(K$1&amp;"-"&amp;$F148,YEAR($B$2:$B$4001)&amp;"-"&amp;$A$2:$A$4001,0,-1)),J148))</f>
        <v>0</v>
      </c>
      <c r="L148" cm="1">
        <f t="array" ref="L148">IF(OR(AND(K148=9,L$1&gt;YEAR($N148))),9,_xlfn.IFNA(INDEX($D$2:$D$4001,_xlfn.XMATCH(L$1&amp;"-"&amp;$F148,YEAR($B$2:$B$4001)&amp;"-"&amp;$A$2:$A$4001,0,-1)),K148))</f>
        <v>0</v>
      </c>
      <c r="M148" cm="1">
        <f t="array" ref="M148">IF(OR(AND(L148=9,M$1&gt;YEAR($N148))),9,_xlfn.IFNA(INDEX($D$2:$D$4001,_xlfn.XMATCH(M$1&amp;"-"&amp;$F148,YEAR($B$2:$B$4001)&amp;"-"&amp;$A$2:$A$4001,0,-1)),L148))</f>
        <v>0</v>
      </c>
      <c r="N148" s="1">
        <f t="shared" si="2"/>
        <v>36759</v>
      </c>
    </row>
    <row r="149" spans="1:14" x14ac:dyDescent="0.35">
      <c r="A149">
        <v>74</v>
      </c>
      <c r="B149" s="2">
        <v>37406</v>
      </c>
      <c r="C149">
        <v>4</v>
      </c>
      <c r="D149">
        <v>4</v>
      </c>
      <c r="F149">
        <v>148</v>
      </c>
      <c r="G149" cm="1">
        <f t="array" ref="G149">_xlfn.IFNA(INDEX($D$2:$D$4001,_xlfn.XMATCH(G$1&amp;"-"&amp;$F149,YEAR($B$2:$B$4001)&amp;"-"&amp;$A$2:$A$4001,0,-1)),9)</f>
        <v>9</v>
      </c>
      <c r="H149" cm="1">
        <f t="array" ref="H149">IF(OR(AND(G149=9,H$1&gt;YEAR($N149))),9,_xlfn.IFNA(INDEX($D$2:$D$4001,_xlfn.XMATCH(H$1&amp;"-"&amp;$F149,YEAR($B$2:$B$4001)&amp;"-"&amp;$A$2:$A$4001,0,-1)),G149))</f>
        <v>3</v>
      </c>
      <c r="I149" cm="1">
        <f t="array" ref="I149">IF(OR(AND(H149=9,I$1&gt;YEAR($N149))),9,_xlfn.IFNA(INDEX($D$2:$D$4001,_xlfn.XMATCH(I$1&amp;"-"&amp;$F149,YEAR($B$2:$B$4001)&amp;"-"&amp;$A$2:$A$4001,0,-1)),H149))</f>
        <v>3</v>
      </c>
      <c r="J149" cm="1">
        <f t="array" ref="J149">IF(OR(AND(I149=9,J$1&gt;YEAR($N149))),9,_xlfn.IFNA(INDEX($D$2:$D$4001,_xlfn.XMATCH(J$1&amp;"-"&amp;$F149,YEAR($B$2:$B$4001)&amp;"-"&amp;$A$2:$A$4001,0,-1)),I149))</f>
        <v>3</v>
      </c>
      <c r="K149" cm="1">
        <f t="array" ref="K149">IF(OR(AND(J149=9,K$1&gt;YEAR($N149))),9,_xlfn.IFNA(INDEX($D$2:$D$4001,_xlfn.XMATCH(K$1&amp;"-"&amp;$F149,YEAR($B$2:$B$4001)&amp;"-"&amp;$A$2:$A$4001,0,-1)),J149))</f>
        <v>3</v>
      </c>
      <c r="L149" cm="1">
        <f t="array" ref="L149">IF(OR(AND(K149=9,L$1&gt;YEAR($N149))),9,_xlfn.IFNA(INDEX($D$2:$D$4001,_xlfn.XMATCH(L$1&amp;"-"&amp;$F149,YEAR($B$2:$B$4001)&amp;"-"&amp;$A$2:$A$4001,0,-1)),K149))</f>
        <v>3</v>
      </c>
      <c r="M149" cm="1">
        <f t="array" ref="M149">IF(OR(AND(L149=9,M$1&gt;YEAR($N149))),9,_xlfn.IFNA(INDEX($D$2:$D$4001,_xlfn.XMATCH(M$1&amp;"-"&amp;$F149,YEAR($B$2:$B$4001)&amp;"-"&amp;$A$2:$A$4001,0,-1)),L149))</f>
        <v>3</v>
      </c>
      <c r="N149" s="1">
        <f t="shared" si="2"/>
        <v>36667</v>
      </c>
    </row>
    <row r="150" spans="1:14" x14ac:dyDescent="0.35">
      <c r="A150">
        <v>75</v>
      </c>
      <c r="B150" s="2">
        <v>36463</v>
      </c>
      <c r="C150">
        <v>3</v>
      </c>
      <c r="D150">
        <v>3</v>
      </c>
      <c r="F150">
        <v>149</v>
      </c>
      <c r="G150" cm="1">
        <f t="array" ref="G150">_xlfn.IFNA(INDEX($D$2:$D$4001,_xlfn.XMATCH(G$1&amp;"-"&amp;$F150,YEAR($B$2:$B$4001)&amp;"-"&amp;$A$2:$A$4001,0,-1)),9)</f>
        <v>9</v>
      </c>
      <c r="H150" cm="1">
        <f t="array" ref="H150">IF(OR(AND(G150=9,H$1&gt;YEAR($N150))),9,_xlfn.IFNA(INDEX($D$2:$D$4001,_xlfn.XMATCH(H$1&amp;"-"&amp;$F150,YEAR($B$2:$B$4001)&amp;"-"&amp;$A$2:$A$4001,0,-1)),G150))</f>
        <v>9</v>
      </c>
      <c r="I150" cm="1">
        <f t="array" ref="I150">IF(OR(AND(H150=9,I$1&gt;YEAR($N150))),9,_xlfn.IFNA(INDEX($D$2:$D$4001,_xlfn.XMATCH(I$1&amp;"-"&amp;$F150,YEAR($B$2:$B$4001)&amp;"-"&amp;$A$2:$A$4001,0,-1)),H150))</f>
        <v>9</v>
      </c>
      <c r="J150" cm="1">
        <f t="array" ref="J150">IF(OR(AND(I150=9,J$1&gt;YEAR($N150))),9,_xlfn.IFNA(INDEX($D$2:$D$4001,_xlfn.XMATCH(J$1&amp;"-"&amp;$F150,YEAR($B$2:$B$4001)&amp;"-"&amp;$A$2:$A$4001,0,-1)),I150))</f>
        <v>4</v>
      </c>
      <c r="K150" cm="1">
        <f t="array" ref="K150">IF(OR(AND(J150=9,K$1&gt;YEAR($N150))),9,_xlfn.IFNA(INDEX($D$2:$D$4001,_xlfn.XMATCH(K$1&amp;"-"&amp;$F150,YEAR($B$2:$B$4001)&amp;"-"&amp;$A$2:$A$4001,0,-1)),J150))</f>
        <v>3</v>
      </c>
      <c r="L150" cm="1">
        <f t="array" ref="L150">IF(OR(AND(K150=9,L$1&gt;YEAR($N150))),9,_xlfn.IFNA(INDEX($D$2:$D$4001,_xlfn.XMATCH(L$1&amp;"-"&amp;$F150,YEAR($B$2:$B$4001)&amp;"-"&amp;$A$2:$A$4001,0,-1)),K150))</f>
        <v>3</v>
      </c>
      <c r="M150" cm="1">
        <f t="array" ref="M150">IF(OR(AND(L150=9,M$1&gt;YEAR($N150))),9,_xlfn.IFNA(INDEX($D$2:$D$4001,_xlfn.XMATCH(M$1&amp;"-"&amp;$F150,YEAR($B$2:$B$4001)&amp;"-"&amp;$A$2:$A$4001,0,-1)),L150))</f>
        <v>3</v>
      </c>
      <c r="N150" s="1">
        <f t="shared" si="2"/>
        <v>37559</v>
      </c>
    </row>
    <row r="151" spans="1:14" x14ac:dyDescent="0.35">
      <c r="A151">
        <v>75</v>
      </c>
      <c r="B151" s="2">
        <v>37771</v>
      </c>
      <c r="C151">
        <v>3</v>
      </c>
      <c r="D151">
        <v>3</v>
      </c>
      <c r="F151">
        <v>150</v>
      </c>
      <c r="G151" cm="1">
        <f t="array" ref="G151">_xlfn.IFNA(INDEX($D$2:$D$4001,_xlfn.XMATCH(G$1&amp;"-"&amp;$F151,YEAR($B$2:$B$4001)&amp;"-"&amp;$A$2:$A$4001,0,-1)),9)</f>
        <v>9</v>
      </c>
      <c r="H151" cm="1">
        <f t="array" ref="H151">IF(OR(AND(G151=9,H$1&gt;YEAR($N151))),9,_xlfn.IFNA(INDEX($D$2:$D$4001,_xlfn.XMATCH(H$1&amp;"-"&amp;$F151,YEAR($B$2:$B$4001)&amp;"-"&amp;$A$2:$A$4001,0,-1)),G151))</f>
        <v>9</v>
      </c>
      <c r="I151" cm="1">
        <f t="array" ref="I151">IF(OR(AND(H151=9,I$1&gt;YEAR($N151))),9,_xlfn.IFNA(INDEX($D$2:$D$4001,_xlfn.XMATCH(I$1&amp;"-"&amp;$F151,YEAR($B$2:$B$4001)&amp;"-"&amp;$A$2:$A$4001,0,-1)),H151))</f>
        <v>2</v>
      </c>
      <c r="J151" cm="1">
        <f t="array" ref="J151">IF(OR(AND(I151=9,J$1&gt;YEAR($N151))),9,_xlfn.IFNA(INDEX($D$2:$D$4001,_xlfn.XMATCH(J$1&amp;"-"&amp;$F151,YEAR($B$2:$B$4001)&amp;"-"&amp;$A$2:$A$4001,0,-1)),I151))</f>
        <v>2</v>
      </c>
      <c r="K151" cm="1">
        <f t="array" ref="K151">IF(OR(AND(J151=9,K$1&gt;YEAR($N151))),9,_xlfn.IFNA(INDEX($D$2:$D$4001,_xlfn.XMATCH(K$1&amp;"-"&amp;$F151,YEAR($B$2:$B$4001)&amp;"-"&amp;$A$2:$A$4001,0,-1)),J151))</f>
        <v>2</v>
      </c>
      <c r="L151" cm="1">
        <f t="array" ref="L151">IF(OR(AND(K151=9,L$1&gt;YEAR($N151))),9,_xlfn.IFNA(INDEX($D$2:$D$4001,_xlfn.XMATCH(L$1&amp;"-"&amp;$F151,YEAR($B$2:$B$4001)&amp;"-"&amp;$A$2:$A$4001,0,-1)),K151))</f>
        <v>2</v>
      </c>
      <c r="M151" cm="1">
        <f t="array" ref="M151">IF(OR(AND(L151=9,M$1&gt;YEAR($N151))),9,_xlfn.IFNA(INDEX($D$2:$D$4001,_xlfn.XMATCH(M$1&amp;"-"&amp;$F151,YEAR($B$2:$B$4001)&amp;"-"&amp;$A$2:$A$4001,0,-1)),L151))</f>
        <v>2</v>
      </c>
      <c r="N151" s="1">
        <f t="shared" si="2"/>
        <v>37037</v>
      </c>
    </row>
    <row r="152" spans="1:14" x14ac:dyDescent="0.35">
      <c r="A152">
        <v>76</v>
      </c>
      <c r="B152" s="2">
        <v>37406</v>
      </c>
      <c r="C152">
        <v>3</v>
      </c>
      <c r="D152">
        <v>3</v>
      </c>
      <c r="F152">
        <v>151</v>
      </c>
      <c r="G152" cm="1">
        <f t="array" ref="G152">_xlfn.IFNA(INDEX($D$2:$D$4001,_xlfn.XMATCH(G$1&amp;"-"&amp;$F152,YEAR($B$2:$B$4001)&amp;"-"&amp;$A$2:$A$4001,0,-1)),9)</f>
        <v>9</v>
      </c>
      <c r="H152" cm="1">
        <f t="array" ref="H152">IF(OR(AND(G152=9,H$1&gt;YEAR($N152))),9,_xlfn.IFNA(INDEX($D$2:$D$4001,_xlfn.XMATCH(H$1&amp;"-"&amp;$F152,YEAR($B$2:$B$4001)&amp;"-"&amp;$A$2:$A$4001,0,-1)),G152))</f>
        <v>0</v>
      </c>
      <c r="I152" cm="1">
        <f t="array" ref="I152">IF(OR(AND(H152=9,I$1&gt;YEAR($N152))),9,_xlfn.IFNA(INDEX($D$2:$D$4001,_xlfn.XMATCH(I$1&amp;"-"&amp;$F152,YEAR($B$2:$B$4001)&amp;"-"&amp;$A$2:$A$4001,0,-1)),H152))</f>
        <v>0</v>
      </c>
      <c r="J152" cm="1">
        <f t="array" ref="J152">IF(OR(AND(I152=9,J$1&gt;YEAR($N152))),9,_xlfn.IFNA(INDEX($D$2:$D$4001,_xlfn.XMATCH(J$1&amp;"-"&amp;$F152,YEAR($B$2:$B$4001)&amp;"-"&amp;$A$2:$A$4001,0,-1)),I152))</f>
        <v>0</v>
      </c>
      <c r="K152" cm="1">
        <f t="array" ref="K152">IF(OR(AND(J152=9,K$1&gt;YEAR($N152))),9,_xlfn.IFNA(INDEX($D$2:$D$4001,_xlfn.XMATCH(K$1&amp;"-"&amp;$F152,YEAR($B$2:$B$4001)&amp;"-"&amp;$A$2:$A$4001,0,-1)),J152))</f>
        <v>0</v>
      </c>
      <c r="L152" cm="1">
        <f t="array" ref="L152">IF(OR(AND(K152=9,L$1&gt;YEAR($N152))),9,_xlfn.IFNA(INDEX($D$2:$D$4001,_xlfn.XMATCH(L$1&amp;"-"&amp;$F152,YEAR($B$2:$B$4001)&amp;"-"&amp;$A$2:$A$4001,0,-1)),K152))</f>
        <v>0</v>
      </c>
      <c r="M152" cm="1">
        <f t="array" ref="M152">IF(OR(AND(L152=9,M$1&gt;YEAR($N152))),9,_xlfn.IFNA(INDEX($D$2:$D$4001,_xlfn.XMATCH(M$1&amp;"-"&amp;$F152,YEAR($B$2:$B$4001)&amp;"-"&amp;$A$2:$A$4001,0,-1)),L152))</f>
        <v>0</v>
      </c>
      <c r="N152" s="1">
        <f t="shared" si="2"/>
        <v>36676</v>
      </c>
    </row>
    <row r="153" spans="1:14" x14ac:dyDescent="0.35">
      <c r="A153">
        <v>76</v>
      </c>
      <c r="B153" s="2">
        <v>37823</v>
      </c>
      <c r="C153">
        <v>3</v>
      </c>
      <c r="D153">
        <v>3</v>
      </c>
      <c r="F153">
        <v>152</v>
      </c>
      <c r="G153" cm="1">
        <f t="array" ref="G153">_xlfn.IFNA(INDEX($D$2:$D$4001,_xlfn.XMATCH(G$1&amp;"-"&amp;$F153,YEAR($B$2:$B$4001)&amp;"-"&amp;$A$2:$A$4001,0,-1)),9)</f>
        <v>9</v>
      </c>
      <c r="H153" cm="1">
        <f t="array" ref="H153">IF(OR(AND(G153=9,H$1&gt;YEAR($N153))),9,_xlfn.IFNA(INDEX($D$2:$D$4001,_xlfn.XMATCH(H$1&amp;"-"&amp;$F153,YEAR($B$2:$B$4001)&amp;"-"&amp;$A$2:$A$4001,0,-1)),G153))</f>
        <v>9</v>
      </c>
      <c r="I153" cm="1">
        <f t="array" ref="I153">IF(OR(AND(H153=9,I$1&gt;YEAR($N153))),9,_xlfn.IFNA(INDEX($D$2:$D$4001,_xlfn.XMATCH(I$1&amp;"-"&amp;$F153,YEAR($B$2:$B$4001)&amp;"-"&amp;$A$2:$A$4001,0,-1)),H153))</f>
        <v>9</v>
      </c>
      <c r="J153" cm="1">
        <f t="array" ref="J153">IF(OR(AND(I153=9,J$1&gt;YEAR($N153))),9,_xlfn.IFNA(INDEX($D$2:$D$4001,_xlfn.XMATCH(J$1&amp;"-"&amp;$F153,YEAR($B$2:$B$4001)&amp;"-"&amp;$A$2:$A$4001,0,-1)),I153))</f>
        <v>9</v>
      </c>
      <c r="K153" cm="1">
        <f t="array" ref="K153">IF(OR(AND(J153=9,K$1&gt;YEAR($N153))),9,_xlfn.IFNA(INDEX($D$2:$D$4001,_xlfn.XMATCH(K$1&amp;"-"&amp;$F153,YEAR($B$2:$B$4001)&amp;"-"&amp;$A$2:$A$4001,0,-1)),J153))</f>
        <v>2</v>
      </c>
      <c r="L153" cm="1">
        <f t="array" ref="L153">IF(OR(AND(K153=9,L$1&gt;YEAR($N153))),9,_xlfn.IFNA(INDEX($D$2:$D$4001,_xlfn.XMATCH(L$1&amp;"-"&amp;$F153,YEAR($B$2:$B$4001)&amp;"-"&amp;$A$2:$A$4001,0,-1)),K153))</f>
        <v>2</v>
      </c>
      <c r="M153" cm="1">
        <f t="array" ref="M153">IF(OR(AND(L153=9,M$1&gt;YEAR($N153))),9,_xlfn.IFNA(INDEX($D$2:$D$4001,_xlfn.XMATCH(M$1&amp;"-"&amp;$F153,YEAR($B$2:$B$4001)&amp;"-"&amp;$A$2:$A$4001,0,-1)),L153))</f>
        <v>2</v>
      </c>
      <c r="N153" s="1">
        <f t="shared" si="2"/>
        <v>37771</v>
      </c>
    </row>
    <row r="154" spans="1:14" x14ac:dyDescent="0.35">
      <c r="A154">
        <v>76</v>
      </c>
      <c r="B154" s="2">
        <v>38168</v>
      </c>
      <c r="C154">
        <v>0</v>
      </c>
      <c r="D154">
        <v>0</v>
      </c>
      <c r="F154">
        <v>153</v>
      </c>
      <c r="G154" cm="1">
        <f t="array" ref="G154">_xlfn.IFNA(INDEX($D$2:$D$4001,_xlfn.XMATCH(G$1&amp;"-"&amp;$F154,YEAR($B$2:$B$4001)&amp;"-"&amp;$A$2:$A$4001,0,-1)),9)</f>
        <v>9</v>
      </c>
      <c r="H154" cm="1">
        <f t="array" ref="H154">IF(OR(AND(G154=9,H$1&gt;YEAR($N154))),9,_xlfn.IFNA(INDEX($D$2:$D$4001,_xlfn.XMATCH(H$1&amp;"-"&amp;$F154,YEAR($B$2:$B$4001)&amp;"-"&amp;$A$2:$A$4001,0,-1)),G154))</f>
        <v>4</v>
      </c>
      <c r="I154" cm="1">
        <f t="array" ref="I154">IF(OR(AND(H154=9,I$1&gt;YEAR($N154))),9,_xlfn.IFNA(INDEX($D$2:$D$4001,_xlfn.XMATCH(I$1&amp;"-"&amp;$F154,YEAR($B$2:$B$4001)&amp;"-"&amp;$A$2:$A$4001,0,-1)),H154))</f>
        <v>4</v>
      </c>
      <c r="J154" cm="1">
        <f t="array" ref="J154">IF(OR(AND(I154=9,J$1&gt;YEAR($N154))),9,_xlfn.IFNA(INDEX($D$2:$D$4001,_xlfn.XMATCH(J$1&amp;"-"&amp;$F154,YEAR($B$2:$B$4001)&amp;"-"&amp;$A$2:$A$4001,0,-1)),I154))</f>
        <v>4</v>
      </c>
      <c r="K154" cm="1">
        <f t="array" ref="K154">IF(OR(AND(J154=9,K$1&gt;YEAR($N154))),9,_xlfn.IFNA(INDEX($D$2:$D$4001,_xlfn.XMATCH(K$1&amp;"-"&amp;$F154,YEAR($B$2:$B$4001)&amp;"-"&amp;$A$2:$A$4001,0,-1)),J154))</f>
        <v>4</v>
      </c>
      <c r="L154" cm="1">
        <f t="array" ref="L154">IF(OR(AND(K154=9,L$1&gt;YEAR($N154))),9,_xlfn.IFNA(INDEX($D$2:$D$4001,_xlfn.XMATCH(L$1&amp;"-"&amp;$F154,YEAR($B$2:$B$4001)&amp;"-"&amp;$A$2:$A$4001,0,-1)),K154))</f>
        <v>4</v>
      </c>
      <c r="M154" cm="1">
        <f t="array" ref="M154">IF(OR(AND(L154=9,M$1&gt;YEAR($N154))),9,_xlfn.IFNA(INDEX($D$2:$D$4001,_xlfn.XMATCH(M$1&amp;"-"&amp;$F154,YEAR($B$2:$B$4001)&amp;"-"&amp;$A$2:$A$4001,0,-1)),L154))</f>
        <v>4</v>
      </c>
      <c r="N154" s="1">
        <f t="shared" si="2"/>
        <v>36860</v>
      </c>
    </row>
    <row r="155" spans="1:14" x14ac:dyDescent="0.35">
      <c r="A155">
        <v>77</v>
      </c>
      <c r="B155" s="2">
        <v>37102</v>
      </c>
      <c r="C155">
        <v>4</v>
      </c>
      <c r="D155">
        <v>4</v>
      </c>
      <c r="F155">
        <v>154</v>
      </c>
      <c r="G155" cm="1">
        <f t="array" ref="G155">_xlfn.IFNA(INDEX($D$2:$D$4001,_xlfn.XMATCH(G$1&amp;"-"&amp;$F155,YEAR($B$2:$B$4001)&amp;"-"&amp;$A$2:$A$4001,0,-1)),9)</f>
        <v>9</v>
      </c>
      <c r="H155" cm="1">
        <f t="array" ref="H155">IF(OR(AND(G155=9,H$1&gt;YEAR($N155))),9,_xlfn.IFNA(INDEX($D$2:$D$4001,_xlfn.XMATCH(H$1&amp;"-"&amp;$F155,YEAR($B$2:$B$4001)&amp;"-"&amp;$A$2:$A$4001,0,-1)),G155))</f>
        <v>9</v>
      </c>
      <c r="I155" cm="1">
        <f t="array" ref="I155">IF(OR(AND(H155=9,I$1&gt;YEAR($N155))),9,_xlfn.IFNA(INDEX($D$2:$D$4001,_xlfn.XMATCH(I$1&amp;"-"&amp;$F155,YEAR($B$2:$B$4001)&amp;"-"&amp;$A$2:$A$4001,0,-1)),H155))</f>
        <v>9</v>
      </c>
      <c r="J155" cm="1">
        <f t="array" ref="J155">IF(OR(AND(I155=9,J$1&gt;YEAR($N155))),9,_xlfn.IFNA(INDEX($D$2:$D$4001,_xlfn.XMATCH(J$1&amp;"-"&amp;$F155,YEAR($B$2:$B$4001)&amp;"-"&amp;$A$2:$A$4001,0,-1)),I155))</f>
        <v>1</v>
      </c>
      <c r="K155" cm="1">
        <f t="array" ref="K155">IF(OR(AND(J155=9,K$1&gt;YEAR($N155))),9,_xlfn.IFNA(INDEX($D$2:$D$4001,_xlfn.XMATCH(K$1&amp;"-"&amp;$F155,YEAR($B$2:$B$4001)&amp;"-"&amp;$A$2:$A$4001,0,-1)),J155))</f>
        <v>1</v>
      </c>
      <c r="L155" cm="1">
        <f t="array" ref="L155">IF(OR(AND(K155=9,L$1&gt;YEAR($N155))),9,_xlfn.IFNA(INDEX($D$2:$D$4001,_xlfn.XMATCH(L$1&amp;"-"&amp;$F155,YEAR($B$2:$B$4001)&amp;"-"&amp;$A$2:$A$4001,0,-1)),K155))</f>
        <v>1</v>
      </c>
      <c r="M155" cm="1">
        <f t="array" ref="M155">IF(OR(AND(L155=9,M$1&gt;YEAR($N155))),9,_xlfn.IFNA(INDEX($D$2:$D$4001,_xlfn.XMATCH(M$1&amp;"-"&amp;$F155,YEAR($B$2:$B$4001)&amp;"-"&amp;$A$2:$A$4001,0,-1)),L155))</f>
        <v>1</v>
      </c>
      <c r="N155" s="1">
        <f t="shared" si="2"/>
        <v>37406</v>
      </c>
    </row>
    <row r="156" spans="1:14" x14ac:dyDescent="0.35">
      <c r="A156">
        <v>77</v>
      </c>
      <c r="B156" s="2">
        <v>37894</v>
      </c>
      <c r="C156">
        <v>6</v>
      </c>
      <c r="D156">
        <v>6</v>
      </c>
      <c r="F156">
        <v>155</v>
      </c>
      <c r="G156" cm="1">
        <f t="array" ref="G156">_xlfn.IFNA(INDEX($D$2:$D$4001,_xlfn.XMATCH(G$1&amp;"-"&amp;$F156,YEAR($B$2:$B$4001)&amp;"-"&amp;$A$2:$A$4001,0,-1)),9)</f>
        <v>9</v>
      </c>
      <c r="H156" cm="1">
        <f t="array" ref="H156">IF(OR(AND(G156=9,H$1&gt;YEAR($N156))),9,_xlfn.IFNA(INDEX($D$2:$D$4001,_xlfn.XMATCH(H$1&amp;"-"&amp;$F156,YEAR($B$2:$B$4001)&amp;"-"&amp;$A$2:$A$4001,0,-1)),G156))</f>
        <v>9</v>
      </c>
      <c r="I156" cm="1">
        <f t="array" ref="I156">IF(OR(AND(H156=9,I$1&gt;YEAR($N156))),9,_xlfn.IFNA(INDEX($D$2:$D$4001,_xlfn.XMATCH(I$1&amp;"-"&amp;$F156,YEAR($B$2:$B$4001)&amp;"-"&amp;$A$2:$A$4001,0,-1)),H156))</f>
        <v>9</v>
      </c>
      <c r="J156" cm="1">
        <f t="array" ref="J156">IF(OR(AND(I156=9,J$1&gt;YEAR($N156))),9,_xlfn.IFNA(INDEX($D$2:$D$4001,_xlfn.XMATCH(J$1&amp;"-"&amp;$F156,YEAR($B$2:$B$4001)&amp;"-"&amp;$A$2:$A$4001,0,-1)),I156))</f>
        <v>9</v>
      </c>
      <c r="K156" cm="1">
        <f t="array" ref="K156">IF(OR(AND(J156=9,K$1&gt;YEAR($N156))),9,_xlfn.IFNA(INDEX($D$2:$D$4001,_xlfn.XMATCH(K$1&amp;"-"&amp;$F156,YEAR($B$2:$B$4001)&amp;"-"&amp;$A$2:$A$4001,0,-1)),J156))</f>
        <v>4</v>
      </c>
      <c r="L156" cm="1">
        <f t="array" ref="L156">IF(OR(AND(K156=9,L$1&gt;YEAR($N156))),9,_xlfn.IFNA(INDEX($D$2:$D$4001,_xlfn.XMATCH(L$1&amp;"-"&amp;$F156,YEAR($B$2:$B$4001)&amp;"-"&amp;$A$2:$A$4001,0,-1)),K156))</f>
        <v>4</v>
      </c>
      <c r="M156" cm="1">
        <f t="array" ref="M156">IF(OR(AND(L156=9,M$1&gt;YEAR($N156))),9,_xlfn.IFNA(INDEX($D$2:$D$4001,_xlfn.XMATCH(M$1&amp;"-"&amp;$F156,YEAR($B$2:$B$4001)&amp;"-"&amp;$A$2:$A$4001,0,-1)),L156))</f>
        <v>4</v>
      </c>
      <c r="N156" s="1">
        <f t="shared" si="2"/>
        <v>37863</v>
      </c>
    </row>
    <row r="157" spans="1:14" x14ac:dyDescent="0.35">
      <c r="A157">
        <v>77</v>
      </c>
      <c r="B157" s="2">
        <v>37985</v>
      </c>
      <c r="C157">
        <v>6</v>
      </c>
      <c r="D157">
        <v>6</v>
      </c>
      <c r="F157">
        <v>156</v>
      </c>
      <c r="G157" cm="1">
        <f t="array" ref="G157">_xlfn.IFNA(INDEX($D$2:$D$4001,_xlfn.XMATCH(G$1&amp;"-"&amp;$F157,YEAR($B$2:$B$4001)&amp;"-"&amp;$A$2:$A$4001,0,-1)),9)</f>
        <v>6</v>
      </c>
      <c r="H157" cm="1">
        <f t="array" ref="H157">IF(OR(AND(G157=9,H$1&gt;YEAR($N157))),9,_xlfn.IFNA(INDEX($D$2:$D$4001,_xlfn.XMATCH(H$1&amp;"-"&amp;$F157,YEAR($B$2:$B$4001)&amp;"-"&amp;$A$2:$A$4001,0,-1)),G157))</f>
        <v>6</v>
      </c>
      <c r="I157" cm="1">
        <f t="array" ref="I157">IF(OR(AND(H157=9,I$1&gt;YEAR($N157))),9,_xlfn.IFNA(INDEX($D$2:$D$4001,_xlfn.XMATCH(I$1&amp;"-"&amp;$F157,YEAR($B$2:$B$4001)&amp;"-"&amp;$A$2:$A$4001,0,-1)),H157))</f>
        <v>6</v>
      </c>
      <c r="J157" cm="1">
        <f t="array" ref="J157">IF(OR(AND(I157=9,J$1&gt;YEAR($N157))),9,_xlfn.IFNA(INDEX($D$2:$D$4001,_xlfn.XMATCH(J$1&amp;"-"&amp;$F157,YEAR($B$2:$B$4001)&amp;"-"&amp;$A$2:$A$4001,0,-1)),I157))</f>
        <v>6</v>
      </c>
      <c r="K157" cm="1">
        <f t="array" ref="K157">IF(OR(AND(J157=9,K$1&gt;YEAR($N157))),9,_xlfn.IFNA(INDEX($D$2:$D$4001,_xlfn.XMATCH(K$1&amp;"-"&amp;$F157,YEAR($B$2:$B$4001)&amp;"-"&amp;$A$2:$A$4001,0,-1)),J157))</f>
        <v>7</v>
      </c>
      <c r="L157" cm="1">
        <f t="array" ref="L157">IF(OR(AND(K157=9,L$1&gt;YEAR($N157))),9,_xlfn.IFNA(INDEX($D$2:$D$4001,_xlfn.XMATCH(L$1&amp;"-"&amp;$F157,YEAR($B$2:$B$4001)&amp;"-"&amp;$A$2:$A$4001,0,-1)),K157))</f>
        <v>6</v>
      </c>
      <c r="M157" cm="1">
        <f t="array" ref="M157">IF(OR(AND(L157=9,M$1&gt;YEAR($N157))),9,_xlfn.IFNA(INDEX($D$2:$D$4001,_xlfn.XMATCH(M$1&amp;"-"&amp;$F157,YEAR($B$2:$B$4001)&amp;"-"&amp;$A$2:$A$4001,0,-1)),L157))</f>
        <v>6</v>
      </c>
      <c r="N157" s="1">
        <f t="shared" si="2"/>
        <v>36524</v>
      </c>
    </row>
    <row r="158" spans="1:14" x14ac:dyDescent="0.35">
      <c r="A158">
        <v>78</v>
      </c>
      <c r="B158" s="2">
        <v>37620</v>
      </c>
      <c r="C158">
        <v>1</v>
      </c>
      <c r="D158">
        <v>1</v>
      </c>
      <c r="F158">
        <v>157</v>
      </c>
      <c r="G158" cm="1">
        <f t="array" ref="G158">_xlfn.IFNA(INDEX($D$2:$D$4001,_xlfn.XMATCH(G$1&amp;"-"&amp;$F158,YEAR($B$2:$B$4001)&amp;"-"&amp;$A$2:$A$4001,0,-1)),9)</f>
        <v>9</v>
      </c>
      <c r="H158" cm="1">
        <f t="array" ref="H158">IF(OR(AND(G158=9,H$1&gt;YEAR($N158))),9,_xlfn.IFNA(INDEX($D$2:$D$4001,_xlfn.XMATCH(H$1&amp;"-"&amp;$F158,YEAR($B$2:$B$4001)&amp;"-"&amp;$A$2:$A$4001,0,-1)),G158))</f>
        <v>9</v>
      </c>
      <c r="I158" cm="1">
        <f t="array" ref="I158">IF(OR(AND(H158=9,I$1&gt;YEAR($N158))),9,_xlfn.IFNA(INDEX($D$2:$D$4001,_xlfn.XMATCH(I$1&amp;"-"&amp;$F158,YEAR($B$2:$B$4001)&amp;"-"&amp;$A$2:$A$4001,0,-1)),H158))</f>
        <v>9</v>
      </c>
      <c r="J158" cm="1">
        <f t="array" ref="J158">IF(OR(AND(I158=9,J$1&gt;YEAR($N158))),9,_xlfn.IFNA(INDEX($D$2:$D$4001,_xlfn.XMATCH(J$1&amp;"-"&amp;$F158,YEAR($B$2:$B$4001)&amp;"-"&amp;$A$2:$A$4001,0,-1)),I158))</f>
        <v>3</v>
      </c>
      <c r="K158" cm="1">
        <f t="array" ref="K158">IF(OR(AND(J158=9,K$1&gt;YEAR($N158))),9,_xlfn.IFNA(INDEX($D$2:$D$4001,_xlfn.XMATCH(K$1&amp;"-"&amp;$F158,YEAR($B$2:$B$4001)&amp;"-"&amp;$A$2:$A$4001,0,-1)),J158))</f>
        <v>3</v>
      </c>
      <c r="L158" cm="1">
        <f t="array" ref="L158">IF(OR(AND(K158=9,L$1&gt;YEAR($N158))),9,_xlfn.IFNA(INDEX($D$2:$D$4001,_xlfn.XMATCH(L$1&amp;"-"&amp;$F158,YEAR($B$2:$B$4001)&amp;"-"&amp;$A$2:$A$4001,0,-1)),K158))</f>
        <v>0</v>
      </c>
      <c r="M158" cm="1">
        <f t="array" ref="M158">IF(OR(AND(L158=9,M$1&gt;YEAR($N158))),9,_xlfn.IFNA(INDEX($D$2:$D$4001,_xlfn.XMATCH(M$1&amp;"-"&amp;$F158,YEAR($B$2:$B$4001)&amp;"-"&amp;$A$2:$A$4001,0,-1)),L158))</f>
        <v>0</v>
      </c>
      <c r="N158" s="1">
        <f t="shared" si="2"/>
        <v>37489</v>
      </c>
    </row>
    <row r="159" spans="1:14" x14ac:dyDescent="0.35">
      <c r="A159">
        <v>79</v>
      </c>
      <c r="B159" s="2">
        <v>38137</v>
      </c>
      <c r="C159">
        <v>2</v>
      </c>
      <c r="D159">
        <v>2</v>
      </c>
      <c r="F159">
        <v>158</v>
      </c>
      <c r="G159" cm="1">
        <f t="array" ref="G159">_xlfn.IFNA(INDEX($D$2:$D$4001,_xlfn.XMATCH(G$1&amp;"-"&amp;$F159,YEAR($B$2:$B$4001)&amp;"-"&amp;$A$2:$A$4001,0,-1)),9)</f>
        <v>0</v>
      </c>
      <c r="H159" cm="1">
        <f t="array" ref="H159">IF(OR(AND(G159=9,H$1&gt;YEAR($N159))),9,_xlfn.IFNA(INDEX($D$2:$D$4001,_xlfn.XMATCH(H$1&amp;"-"&amp;$F159,YEAR($B$2:$B$4001)&amp;"-"&amp;$A$2:$A$4001,0,-1)),G159))</f>
        <v>0</v>
      </c>
      <c r="I159" cm="1">
        <f t="array" ref="I159">IF(OR(AND(H159=9,I$1&gt;YEAR($N159))),9,_xlfn.IFNA(INDEX($D$2:$D$4001,_xlfn.XMATCH(I$1&amp;"-"&amp;$F159,YEAR($B$2:$B$4001)&amp;"-"&amp;$A$2:$A$4001,0,-1)),H159))</f>
        <v>0</v>
      </c>
      <c r="J159" cm="1">
        <f t="array" ref="J159">IF(OR(AND(I159=9,J$1&gt;YEAR($N159))),9,_xlfn.IFNA(INDEX($D$2:$D$4001,_xlfn.XMATCH(J$1&amp;"-"&amp;$F159,YEAR($B$2:$B$4001)&amp;"-"&amp;$A$2:$A$4001,0,-1)),I159))</f>
        <v>0</v>
      </c>
      <c r="K159" cm="1">
        <f t="array" ref="K159">IF(OR(AND(J159=9,K$1&gt;YEAR($N159))),9,_xlfn.IFNA(INDEX($D$2:$D$4001,_xlfn.XMATCH(K$1&amp;"-"&amp;$F159,YEAR($B$2:$B$4001)&amp;"-"&amp;$A$2:$A$4001,0,-1)),J159))</f>
        <v>0</v>
      </c>
      <c r="L159" cm="1">
        <f t="array" ref="L159">IF(OR(AND(K159=9,L$1&gt;YEAR($N159))),9,_xlfn.IFNA(INDEX($D$2:$D$4001,_xlfn.XMATCH(L$1&amp;"-"&amp;$F159,YEAR($B$2:$B$4001)&amp;"-"&amp;$A$2:$A$4001,0,-1)),K159))</f>
        <v>0</v>
      </c>
      <c r="M159" cm="1">
        <f t="array" ref="M159">IF(OR(AND(L159=9,M$1&gt;YEAR($N159))),9,_xlfn.IFNA(INDEX($D$2:$D$4001,_xlfn.XMATCH(M$1&amp;"-"&amp;$F159,YEAR($B$2:$B$4001)&amp;"-"&amp;$A$2:$A$4001,0,-1)),L159))</f>
        <v>0</v>
      </c>
      <c r="N159" s="1">
        <f t="shared" si="2"/>
        <v>36332</v>
      </c>
    </row>
    <row r="160" spans="1:14" x14ac:dyDescent="0.35">
      <c r="A160">
        <v>80</v>
      </c>
      <c r="B160" s="2">
        <v>37133</v>
      </c>
      <c r="C160">
        <v>3</v>
      </c>
      <c r="D160">
        <v>3</v>
      </c>
      <c r="F160">
        <v>159</v>
      </c>
      <c r="G160" cm="1">
        <f t="array" ref="G160">_xlfn.IFNA(INDEX($D$2:$D$4001,_xlfn.XMATCH(G$1&amp;"-"&amp;$F160,YEAR($B$2:$B$4001)&amp;"-"&amp;$A$2:$A$4001,0,-1)),9)</f>
        <v>5</v>
      </c>
      <c r="H160" cm="1">
        <f t="array" ref="H160">IF(OR(AND(G160=9,H$1&gt;YEAR($N160))),9,_xlfn.IFNA(INDEX($D$2:$D$4001,_xlfn.XMATCH(H$1&amp;"-"&amp;$F160,YEAR($B$2:$B$4001)&amp;"-"&amp;$A$2:$A$4001,0,-1)),G160))</f>
        <v>5</v>
      </c>
      <c r="I160" cm="1">
        <f t="array" ref="I160">IF(OR(AND(H160=9,I$1&gt;YEAR($N160))),9,_xlfn.IFNA(INDEX($D$2:$D$4001,_xlfn.XMATCH(I$1&amp;"-"&amp;$F160,YEAR($B$2:$B$4001)&amp;"-"&amp;$A$2:$A$4001,0,-1)),H160))</f>
        <v>5</v>
      </c>
      <c r="J160" cm="1">
        <f t="array" ref="J160">IF(OR(AND(I160=9,J$1&gt;YEAR($N160))),9,_xlfn.IFNA(INDEX($D$2:$D$4001,_xlfn.XMATCH(J$1&amp;"-"&amp;$F160,YEAR($B$2:$B$4001)&amp;"-"&amp;$A$2:$A$4001,0,-1)),I160))</f>
        <v>5</v>
      </c>
      <c r="K160" cm="1">
        <f t="array" ref="K160">IF(OR(AND(J160=9,K$1&gt;YEAR($N160))),9,_xlfn.IFNA(INDEX($D$2:$D$4001,_xlfn.XMATCH(K$1&amp;"-"&amp;$F160,YEAR($B$2:$B$4001)&amp;"-"&amp;$A$2:$A$4001,0,-1)),J160))</f>
        <v>0</v>
      </c>
      <c r="L160" cm="1">
        <f t="array" ref="L160">IF(OR(AND(K160=9,L$1&gt;YEAR($N160))),9,_xlfn.IFNA(INDEX($D$2:$D$4001,_xlfn.XMATCH(L$1&amp;"-"&amp;$F160,YEAR($B$2:$B$4001)&amp;"-"&amp;$A$2:$A$4001,0,-1)),K160))</f>
        <v>0</v>
      </c>
      <c r="M160" cm="1">
        <f t="array" ref="M160">IF(OR(AND(L160=9,M$1&gt;YEAR($N160))),9,_xlfn.IFNA(INDEX($D$2:$D$4001,_xlfn.XMATCH(M$1&amp;"-"&amp;$F160,YEAR($B$2:$B$4001)&amp;"-"&amp;$A$2:$A$4001,0,-1)),L160))</f>
        <v>0</v>
      </c>
      <c r="N160" s="1">
        <f t="shared" si="2"/>
        <v>36310</v>
      </c>
    </row>
    <row r="161" spans="1:14" x14ac:dyDescent="0.35">
      <c r="A161">
        <v>80</v>
      </c>
      <c r="B161" s="2">
        <v>37590</v>
      </c>
      <c r="C161">
        <v>0</v>
      </c>
      <c r="D161">
        <v>0</v>
      </c>
      <c r="F161">
        <v>160</v>
      </c>
      <c r="G161" cm="1">
        <f t="array" ref="G161">_xlfn.IFNA(INDEX($D$2:$D$4001,_xlfn.XMATCH(G$1&amp;"-"&amp;$F161,YEAR($B$2:$B$4001)&amp;"-"&amp;$A$2:$A$4001,0,-1)),9)</f>
        <v>9</v>
      </c>
      <c r="H161" cm="1">
        <f t="array" ref="H161">IF(OR(AND(G161=9,H$1&gt;YEAR($N161))),9,_xlfn.IFNA(INDEX($D$2:$D$4001,_xlfn.XMATCH(H$1&amp;"-"&amp;$F161,YEAR($B$2:$B$4001)&amp;"-"&amp;$A$2:$A$4001,0,-1)),G161))</f>
        <v>9</v>
      </c>
      <c r="I161" cm="1">
        <f t="array" ref="I161">IF(OR(AND(H161=9,I$1&gt;YEAR($N161))),9,_xlfn.IFNA(INDEX($D$2:$D$4001,_xlfn.XMATCH(I$1&amp;"-"&amp;$F161,YEAR($B$2:$B$4001)&amp;"-"&amp;$A$2:$A$4001,0,-1)),H161))</f>
        <v>2</v>
      </c>
      <c r="J161" cm="1">
        <f t="array" ref="J161">IF(OR(AND(I161=9,J$1&gt;YEAR($N161))),9,_xlfn.IFNA(INDEX($D$2:$D$4001,_xlfn.XMATCH(J$1&amp;"-"&amp;$F161,YEAR($B$2:$B$4001)&amp;"-"&amp;$A$2:$A$4001,0,-1)),I161))</f>
        <v>2</v>
      </c>
      <c r="K161" cm="1">
        <f t="array" ref="K161">IF(OR(AND(J161=9,K$1&gt;YEAR($N161))),9,_xlfn.IFNA(INDEX($D$2:$D$4001,_xlfn.XMATCH(K$1&amp;"-"&amp;$F161,YEAR($B$2:$B$4001)&amp;"-"&amp;$A$2:$A$4001,0,-1)),J161))</f>
        <v>3</v>
      </c>
      <c r="L161" cm="1">
        <f t="array" ref="L161">IF(OR(AND(K161=9,L$1&gt;YEAR($N161))),9,_xlfn.IFNA(INDEX($D$2:$D$4001,_xlfn.XMATCH(L$1&amp;"-"&amp;$F161,YEAR($B$2:$B$4001)&amp;"-"&amp;$A$2:$A$4001,0,-1)),K161))</f>
        <v>3</v>
      </c>
      <c r="M161" cm="1">
        <f t="array" ref="M161">IF(OR(AND(L161=9,M$1&gt;YEAR($N161))),9,_xlfn.IFNA(INDEX($D$2:$D$4001,_xlfn.XMATCH(M$1&amp;"-"&amp;$F161,YEAR($B$2:$B$4001)&amp;"-"&amp;$A$2:$A$4001,0,-1)),L161))</f>
        <v>3</v>
      </c>
      <c r="N161" s="1">
        <f t="shared" si="2"/>
        <v>37032</v>
      </c>
    </row>
    <row r="162" spans="1:14" x14ac:dyDescent="0.35">
      <c r="A162">
        <v>81</v>
      </c>
      <c r="B162" s="2">
        <v>37255</v>
      </c>
      <c r="C162">
        <v>3</v>
      </c>
      <c r="D162">
        <v>3</v>
      </c>
      <c r="F162">
        <v>161</v>
      </c>
      <c r="G162" cm="1">
        <f t="array" ref="G162">_xlfn.IFNA(INDEX($D$2:$D$4001,_xlfn.XMATCH(G$1&amp;"-"&amp;$F162,YEAR($B$2:$B$4001)&amp;"-"&amp;$A$2:$A$4001,0,-1)),9)</f>
        <v>6</v>
      </c>
      <c r="H162" cm="1">
        <f t="array" ref="H162">IF(OR(AND(G162=9,H$1&gt;YEAR($N162))),9,_xlfn.IFNA(INDEX($D$2:$D$4001,_xlfn.XMATCH(H$1&amp;"-"&amp;$F162,YEAR($B$2:$B$4001)&amp;"-"&amp;$A$2:$A$4001,0,-1)),G162))</f>
        <v>6</v>
      </c>
      <c r="I162" cm="1">
        <f t="array" ref="I162">IF(OR(AND(H162=9,I$1&gt;YEAR($N162))),9,_xlfn.IFNA(INDEX($D$2:$D$4001,_xlfn.XMATCH(I$1&amp;"-"&amp;$F162,YEAR($B$2:$B$4001)&amp;"-"&amp;$A$2:$A$4001,0,-1)),H162))</f>
        <v>6</v>
      </c>
      <c r="J162" cm="1">
        <f t="array" ref="J162">IF(OR(AND(I162=9,J$1&gt;YEAR($N162))),9,_xlfn.IFNA(INDEX($D$2:$D$4001,_xlfn.XMATCH(J$1&amp;"-"&amp;$F162,YEAR($B$2:$B$4001)&amp;"-"&amp;$A$2:$A$4001,0,-1)),I162))</f>
        <v>7</v>
      </c>
      <c r="K162" cm="1">
        <f t="array" ref="K162">IF(OR(AND(J162=9,K$1&gt;YEAR($N162))),9,_xlfn.IFNA(INDEX($D$2:$D$4001,_xlfn.XMATCH(K$1&amp;"-"&amp;$F162,YEAR($B$2:$B$4001)&amp;"-"&amp;$A$2:$A$4001,0,-1)),J162))</f>
        <v>7</v>
      </c>
      <c r="L162" cm="1">
        <f t="array" ref="L162">IF(OR(AND(K162=9,L$1&gt;YEAR($N162))),9,_xlfn.IFNA(INDEX($D$2:$D$4001,_xlfn.XMATCH(L$1&amp;"-"&amp;$F162,YEAR($B$2:$B$4001)&amp;"-"&amp;$A$2:$A$4001,0,-1)),K162))</f>
        <v>7</v>
      </c>
      <c r="M162" cm="1">
        <f t="array" ref="M162">IF(OR(AND(L162=9,M$1&gt;YEAR($N162))),9,_xlfn.IFNA(INDEX($D$2:$D$4001,_xlfn.XMATCH(M$1&amp;"-"&amp;$F162,YEAR($B$2:$B$4001)&amp;"-"&amp;$A$2:$A$4001,0,-1)),L162))</f>
        <v>7</v>
      </c>
      <c r="N162" s="1">
        <f t="shared" si="2"/>
        <v>36308</v>
      </c>
    </row>
    <row r="163" spans="1:14" x14ac:dyDescent="0.35">
      <c r="A163">
        <v>81</v>
      </c>
      <c r="B163" s="2">
        <v>37437</v>
      </c>
      <c r="C163">
        <v>4</v>
      </c>
      <c r="D163">
        <v>4</v>
      </c>
      <c r="F163">
        <v>162</v>
      </c>
      <c r="G163" cm="1">
        <f t="array" ref="G163">_xlfn.IFNA(INDEX($D$2:$D$4001,_xlfn.XMATCH(G$1&amp;"-"&amp;$F163,YEAR($B$2:$B$4001)&amp;"-"&amp;$A$2:$A$4001,0,-1)),9)</f>
        <v>6</v>
      </c>
      <c r="H163" cm="1">
        <f t="array" ref="H163">IF(OR(AND(G163=9,H$1&gt;YEAR($N163))),9,_xlfn.IFNA(INDEX($D$2:$D$4001,_xlfn.XMATCH(H$1&amp;"-"&amp;$F163,YEAR($B$2:$B$4001)&amp;"-"&amp;$A$2:$A$4001,0,-1)),G163))</f>
        <v>6</v>
      </c>
      <c r="I163" cm="1">
        <f t="array" ref="I163">IF(OR(AND(H163=9,I$1&gt;YEAR($N163))),9,_xlfn.IFNA(INDEX($D$2:$D$4001,_xlfn.XMATCH(I$1&amp;"-"&amp;$F163,YEAR($B$2:$B$4001)&amp;"-"&amp;$A$2:$A$4001,0,-1)),H163))</f>
        <v>6</v>
      </c>
      <c r="J163" cm="1">
        <f t="array" ref="J163">IF(OR(AND(I163=9,J$1&gt;YEAR($N163))),9,_xlfn.IFNA(INDEX($D$2:$D$4001,_xlfn.XMATCH(J$1&amp;"-"&amp;$F163,YEAR($B$2:$B$4001)&amp;"-"&amp;$A$2:$A$4001,0,-1)),I163))</f>
        <v>6</v>
      </c>
      <c r="K163" cm="1">
        <f t="array" ref="K163">IF(OR(AND(J163=9,K$1&gt;YEAR($N163))),9,_xlfn.IFNA(INDEX($D$2:$D$4001,_xlfn.XMATCH(K$1&amp;"-"&amp;$F163,YEAR($B$2:$B$4001)&amp;"-"&amp;$A$2:$A$4001,0,-1)),J163))</f>
        <v>6</v>
      </c>
      <c r="L163" cm="1">
        <f t="array" ref="L163">IF(OR(AND(K163=9,L$1&gt;YEAR($N163))),9,_xlfn.IFNA(INDEX($D$2:$D$4001,_xlfn.XMATCH(L$1&amp;"-"&amp;$F163,YEAR($B$2:$B$4001)&amp;"-"&amp;$A$2:$A$4001,0,-1)),K163))</f>
        <v>6</v>
      </c>
      <c r="M163" cm="1">
        <f t="array" ref="M163">IF(OR(AND(L163=9,M$1&gt;YEAR($N163))),9,_xlfn.IFNA(INDEX($D$2:$D$4001,_xlfn.XMATCH(M$1&amp;"-"&amp;$F163,YEAR($B$2:$B$4001)&amp;"-"&amp;$A$2:$A$4001,0,-1)),L163))</f>
        <v>6</v>
      </c>
      <c r="N163" s="1">
        <f t="shared" si="2"/>
        <v>36310</v>
      </c>
    </row>
    <row r="164" spans="1:14" x14ac:dyDescent="0.35">
      <c r="A164">
        <v>82</v>
      </c>
      <c r="B164" s="2">
        <v>37072</v>
      </c>
      <c r="C164">
        <v>4</v>
      </c>
      <c r="D164">
        <v>4</v>
      </c>
      <c r="F164">
        <v>163</v>
      </c>
      <c r="G164" cm="1">
        <f t="array" ref="G164">_xlfn.IFNA(INDEX($D$2:$D$4001,_xlfn.XMATCH(G$1&amp;"-"&amp;$F164,YEAR($B$2:$B$4001)&amp;"-"&amp;$A$2:$A$4001,0,-1)),9)</f>
        <v>9</v>
      </c>
      <c r="H164" cm="1">
        <f t="array" ref="H164">IF(OR(AND(G164=9,H$1&gt;YEAR($N164))),9,_xlfn.IFNA(INDEX($D$2:$D$4001,_xlfn.XMATCH(H$1&amp;"-"&amp;$F164,YEAR($B$2:$B$4001)&amp;"-"&amp;$A$2:$A$4001,0,-1)),G164))</f>
        <v>9</v>
      </c>
      <c r="I164" cm="1">
        <f t="array" ref="I164">IF(OR(AND(H164=9,I$1&gt;YEAR($N164))),9,_xlfn.IFNA(INDEX($D$2:$D$4001,_xlfn.XMATCH(I$1&amp;"-"&amp;$F164,YEAR($B$2:$B$4001)&amp;"-"&amp;$A$2:$A$4001,0,-1)),H164))</f>
        <v>9</v>
      </c>
      <c r="J164" cm="1">
        <f t="array" ref="J164">IF(OR(AND(I164=9,J$1&gt;YEAR($N164))),9,_xlfn.IFNA(INDEX($D$2:$D$4001,_xlfn.XMATCH(J$1&amp;"-"&amp;$F164,YEAR($B$2:$B$4001)&amp;"-"&amp;$A$2:$A$4001,0,-1)),I164))</f>
        <v>3</v>
      </c>
      <c r="K164" cm="1">
        <f t="array" ref="K164">IF(OR(AND(J164=9,K$1&gt;YEAR($N164))),9,_xlfn.IFNA(INDEX($D$2:$D$4001,_xlfn.XMATCH(K$1&amp;"-"&amp;$F164,YEAR($B$2:$B$4001)&amp;"-"&amp;$A$2:$A$4001,0,-1)),J164))</f>
        <v>3</v>
      </c>
      <c r="L164" cm="1">
        <f t="array" ref="L164">IF(OR(AND(K164=9,L$1&gt;YEAR($N164))),9,_xlfn.IFNA(INDEX($D$2:$D$4001,_xlfn.XMATCH(L$1&amp;"-"&amp;$F164,YEAR($B$2:$B$4001)&amp;"-"&amp;$A$2:$A$4001,0,-1)),K164))</f>
        <v>3</v>
      </c>
      <c r="M164" cm="1">
        <f t="array" ref="M164">IF(OR(AND(L164=9,M$1&gt;YEAR($N164))),9,_xlfn.IFNA(INDEX($D$2:$D$4001,_xlfn.XMATCH(M$1&amp;"-"&amp;$F164,YEAR($B$2:$B$4001)&amp;"-"&amp;$A$2:$A$4001,0,-1)),L164))</f>
        <v>3</v>
      </c>
      <c r="N164" s="1">
        <f t="shared" si="2"/>
        <v>37620</v>
      </c>
    </row>
    <row r="165" spans="1:14" x14ac:dyDescent="0.35">
      <c r="A165">
        <v>82</v>
      </c>
      <c r="B165" s="2">
        <v>37762</v>
      </c>
      <c r="C165">
        <v>4</v>
      </c>
      <c r="D165">
        <v>4</v>
      </c>
      <c r="F165">
        <v>164</v>
      </c>
      <c r="G165" cm="1">
        <f t="array" ref="G165">_xlfn.IFNA(INDEX($D$2:$D$4001,_xlfn.XMATCH(G$1&amp;"-"&amp;$F165,YEAR($B$2:$B$4001)&amp;"-"&amp;$A$2:$A$4001,0,-1)),9)</f>
        <v>0</v>
      </c>
      <c r="H165" cm="1">
        <f t="array" ref="H165">IF(OR(AND(G165=9,H$1&gt;YEAR($N165))),9,_xlfn.IFNA(INDEX($D$2:$D$4001,_xlfn.XMATCH(H$1&amp;"-"&amp;$F165,YEAR($B$2:$B$4001)&amp;"-"&amp;$A$2:$A$4001,0,-1)),G165))</f>
        <v>0</v>
      </c>
      <c r="I165" cm="1">
        <f t="array" ref="I165">IF(OR(AND(H165=9,I$1&gt;YEAR($N165))),9,_xlfn.IFNA(INDEX($D$2:$D$4001,_xlfn.XMATCH(I$1&amp;"-"&amp;$F165,YEAR($B$2:$B$4001)&amp;"-"&amp;$A$2:$A$4001,0,-1)),H165))</f>
        <v>0</v>
      </c>
      <c r="J165" cm="1">
        <f t="array" ref="J165">IF(OR(AND(I165=9,J$1&gt;YEAR($N165))),9,_xlfn.IFNA(INDEX($D$2:$D$4001,_xlfn.XMATCH(J$1&amp;"-"&amp;$F165,YEAR($B$2:$B$4001)&amp;"-"&amp;$A$2:$A$4001,0,-1)),I165))</f>
        <v>0</v>
      </c>
      <c r="K165" cm="1">
        <f t="array" ref="K165">IF(OR(AND(J165=9,K$1&gt;YEAR($N165))),9,_xlfn.IFNA(INDEX($D$2:$D$4001,_xlfn.XMATCH(K$1&amp;"-"&amp;$F165,YEAR($B$2:$B$4001)&amp;"-"&amp;$A$2:$A$4001,0,-1)),J165))</f>
        <v>0</v>
      </c>
      <c r="L165" cm="1">
        <f t="array" ref="L165">IF(OR(AND(K165=9,L$1&gt;YEAR($N165))),9,_xlfn.IFNA(INDEX($D$2:$D$4001,_xlfn.XMATCH(L$1&amp;"-"&amp;$F165,YEAR($B$2:$B$4001)&amp;"-"&amp;$A$2:$A$4001,0,-1)),K165))</f>
        <v>0</v>
      </c>
      <c r="M165" cm="1">
        <f t="array" ref="M165">IF(OR(AND(L165=9,M$1&gt;YEAR($N165))),9,_xlfn.IFNA(INDEX($D$2:$D$4001,_xlfn.XMATCH(M$1&amp;"-"&amp;$F165,YEAR($B$2:$B$4001)&amp;"-"&amp;$A$2:$A$4001,0,-1)),L165))</f>
        <v>0</v>
      </c>
      <c r="N165" s="1">
        <f t="shared" si="2"/>
        <v>36524</v>
      </c>
    </row>
    <row r="166" spans="1:14" x14ac:dyDescent="0.35">
      <c r="A166">
        <v>83</v>
      </c>
      <c r="B166" s="2">
        <v>36301</v>
      </c>
      <c r="C166">
        <v>5</v>
      </c>
      <c r="D166">
        <v>5</v>
      </c>
      <c r="F166">
        <v>165</v>
      </c>
      <c r="G166" cm="1">
        <f t="array" ref="G166">_xlfn.IFNA(INDEX($D$2:$D$4001,_xlfn.XMATCH(G$1&amp;"-"&amp;$F166,YEAR($B$2:$B$4001)&amp;"-"&amp;$A$2:$A$4001,0,-1)),9)</f>
        <v>9</v>
      </c>
      <c r="H166" cm="1">
        <f t="array" ref="H166">IF(OR(AND(G166=9,H$1&gt;YEAR($N166))),9,_xlfn.IFNA(INDEX($D$2:$D$4001,_xlfn.XMATCH(H$1&amp;"-"&amp;$F166,YEAR($B$2:$B$4001)&amp;"-"&amp;$A$2:$A$4001,0,-1)),G166))</f>
        <v>9</v>
      </c>
      <c r="I166" cm="1">
        <f t="array" ref="I166">IF(OR(AND(H166=9,I$1&gt;YEAR($N166))),9,_xlfn.IFNA(INDEX($D$2:$D$4001,_xlfn.XMATCH(I$1&amp;"-"&amp;$F166,YEAR($B$2:$B$4001)&amp;"-"&amp;$A$2:$A$4001,0,-1)),H166))</f>
        <v>9</v>
      </c>
      <c r="J166" cm="1">
        <f t="array" ref="J166">IF(OR(AND(I166=9,J$1&gt;YEAR($N166))),9,_xlfn.IFNA(INDEX($D$2:$D$4001,_xlfn.XMATCH(J$1&amp;"-"&amp;$F166,YEAR($B$2:$B$4001)&amp;"-"&amp;$A$2:$A$4001,0,-1)),I166))</f>
        <v>6</v>
      </c>
      <c r="K166" cm="1">
        <f t="array" ref="K166">IF(OR(AND(J166=9,K$1&gt;YEAR($N166))),9,_xlfn.IFNA(INDEX($D$2:$D$4001,_xlfn.XMATCH(K$1&amp;"-"&amp;$F166,YEAR($B$2:$B$4001)&amp;"-"&amp;$A$2:$A$4001,0,-1)),J166))</f>
        <v>7</v>
      </c>
      <c r="L166" cm="1">
        <f t="array" ref="L166">IF(OR(AND(K166=9,L$1&gt;YEAR($N166))),9,_xlfn.IFNA(INDEX($D$2:$D$4001,_xlfn.XMATCH(L$1&amp;"-"&amp;$F166,YEAR($B$2:$B$4001)&amp;"-"&amp;$A$2:$A$4001,0,-1)),K166))</f>
        <v>6</v>
      </c>
      <c r="M166" cm="1">
        <f t="array" ref="M166">IF(OR(AND(L166=9,M$1&gt;YEAR($N166))),9,_xlfn.IFNA(INDEX($D$2:$D$4001,_xlfn.XMATCH(M$1&amp;"-"&amp;$F166,YEAR($B$2:$B$4001)&amp;"-"&amp;$A$2:$A$4001,0,-1)),L166))</f>
        <v>6</v>
      </c>
      <c r="N166" s="1">
        <f t="shared" si="2"/>
        <v>37406</v>
      </c>
    </row>
    <row r="167" spans="1:14" x14ac:dyDescent="0.35">
      <c r="A167">
        <v>83</v>
      </c>
      <c r="B167" s="2">
        <v>36524</v>
      </c>
      <c r="C167">
        <v>5</v>
      </c>
      <c r="D167">
        <v>5</v>
      </c>
      <c r="F167">
        <v>166</v>
      </c>
      <c r="G167" cm="1">
        <f t="array" ref="G167">_xlfn.IFNA(INDEX($D$2:$D$4001,_xlfn.XMATCH(G$1&amp;"-"&amp;$F167,YEAR($B$2:$B$4001)&amp;"-"&amp;$A$2:$A$4001,0,-1)),9)</f>
        <v>9</v>
      </c>
      <c r="H167" cm="1">
        <f t="array" ref="H167">IF(OR(AND(G167=9,H$1&gt;YEAR($N167))),9,_xlfn.IFNA(INDEX($D$2:$D$4001,_xlfn.XMATCH(H$1&amp;"-"&amp;$F167,YEAR($B$2:$B$4001)&amp;"-"&amp;$A$2:$A$4001,0,-1)),G167))</f>
        <v>3</v>
      </c>
      <c r="I167" cm="1">
        <f t="array" ref="I167">IF(OR(AND(H167=9,I$1&gt;YEAR($N167))),9,_xlfn.IFNA(INDEX($D$2:$D$4001,_xlfn.XMATCH(I$1&amp;"-"&amp;$F167,YEAR($B$2:$B$4001)&amp;"-"&amp;$A$2:$A$4001,0,-1)),H167))</f>
        <v>3</v>
      </c>
      <c r="J167" cm="1">
        <f t="array" ref="J167">IF(OR(AND(I167=9,J$1&gt;YEAR($N167))),9,_xlfn.IFNA(INDEX($D$2:$D$4001,_xlfn.XMATCH(J$1&amp;"-"&amp;$F167,YEAR($B$2:$B$4001)&amp;"-"&amp;$A$2:$A$4001,0,-1)),I167))</f>
        <v>5</v>
      </c>
      <c r="K167" cm="1">
        <f t="array" ref="K167">IF(OR(AND(J167=9,K$1&gt;YEAR($N167))),9,_xlfn.IFNA(INDEX($D$2:$D$4001,_xlfn.XMATCH(K$1&amp;"-"&amp;$F167,YEAR($B$2:$B$4001)&amp;"-"&amp;$A$2:$A$4001,0,-1)),J167))</f>
        <v>5</v>
      </c>
      <c r="L167" cm="1">
        <f t="array" ref="L167">IF(OR(AND(K167=9,L$1&gt;YEAR($N167))),9,_xlfn.IFNA(INDEX($D$2:$D$4001,_xlfn.XMATCH(L$1&amp;"-"&amp;$F167,YEAR($B$2:$B$4001)&amp;"-"&amp;$A$2:$A$4001,0,-1)),K167))</f>
        <v>5</v>
      </c>
      <c r="M167" cm="1">
        <f t="array" ref="M167">IF(OR(AND(L167=9,M$1&gt;YEAR($N167))),9,_xlfn.IFNA(INDEX($D$2:$D$4001,_xlfn.XMATCH(M$1&amp;"-"&amp;$F167,YEAR($B$2:$B$4001)&amp;"-"&amp;$A$2:$A$4001,0,-1)),L167))</f>
        <v>5</v>
      </c>
      <c r="N167" s="1">
        <f t="shared" si="2"/>
        <v>36799</v>
      </c>
    </row>
    <row r="168" spans="1:14" x14ac:dyDescent="0.35">
      <c r="A168">
        <v>83</v>
      </c>
      <c r="B168" s="2">
        <v>37216</v>
      </c>
      <c r="C168">
        <v>6</v>
      </c>
      <c r="D168">
        <v>6</v>
      </c>
      <c r="F168">
        <v>167</v>
      </c>
      <c r="G168" cm="1">
        <f t="array" ref="G168">_xlfn.IFNA(INDEX($D$2:$D$4001,_xlfn.XMATCH(G$1&amp;"-"&amp;$F168,YEAR($B$2:$B$4001)&amp;"-"&amp;$A$2:$A$4001,0,-1)),9)</f>
        <v>4</v>
      </c>
      <c r="H168" cm="1">
        <f t="array" ref="H168">IF(OR(AND(G168=9,H$1&gt;YEAR($N168))),9,_xlfn.IFNA(INDEX($D$2:$D$4001,_xlfn.XMATCH(H$1&amp;"-"&amp;$F168,YEAR($B$2:$B$4001)&amp;"-"&amp;$A$2:$A$4001,0,-1)),G168))</f>
        <v>4</v>
      </c>
      <c r="I168" cm="1">
        <f t="array" ref="I168">IF(OR(AND(H168=9,I$1&gt;YEAR($N168))),9,_xlfn.IFNA(INDEX($D$2:$D$4001,_xlfn.XMATCH(I$1&amp;"-"&amp;$F168,YEAR($B$2:$B$4001)&amp;"-"&amp;$A$2:$A$4001,0,-1)),H168))</f>
        <v>4</v>
      </c>
      <c r="J168" cm="1">
        <f t="array" ref="J168">IF(OR(AND(I168=9,J$1&gt;YEAR($N168))),9,_xlfn.IFNA(INDEX($D$2:$D$4001,_xlfn.XMATCH(J$1&amp;"-"&amp;$F168,YEAR($B$2:$B$4001)&amp;"-"&amp;$A$2:$A$4001,0,-1)),I168))</f>
        <v>4</v>
      </c>
      <c r="K168" cm="1">
        <f t="array" ref="K168">IF(OR(AND(J168=9,K$1&gt;YEAR($N168))),9,_xlfn.IFNA(INDEX($D$2:$D$4001,_xlfn.XMATCH(K$1&amp;"-"&amp;$F168,YEAR($B$2:$B$4001)&amp;"-"&amp;$A$2:$A$4001,0,-1)),J168))</f>
        <v>4</v>
      </c>
      <c r="L168" cm="1">
        <f t="array" ref="L168">IF(OR(AND(K168=9,L$1&gt;YEAR($N168))),9,_xlfn.IFNA(INDEX($D$2:$D$4001,_xlfn.XMATCH(L$1&amp;"-"&amp;$F168,YEAR($B$2:$B$4001)&amp;"-"&amp;$A$2:$A$4001,0,-1)),K168))</f>
        <v>3</v>
      </c>
      <c r="M168" cm="1">
        <f t="array" ref="M168">IF(OR(AND(L168=9,M$1&gt;YEAR($N168))),9,_xlfn.IFNA(INDEX($D$2:$D$4001,_xlfn.XMATCH(M$1&amp;"-"&amp;$F168,YEAR($B$2:$B$4001)&amp;"-"&amp;$A$2:$A$4001,0,-1)),L168))</f>
        <v>3</v>
      </c>
      <c r="N168" s="1">
        <f t="shared" si="2"/>
        <v>36301</v>
      </c>
    </row>
    <row r="169" spans="1:14" x14ac:dyDescent="0.35">
      <c r="A169">
        <v>83</v>
      </c>
      <c r="B169" s="2">
        <v>37397</v>
      </c>
      <c r="C169">
        <v>6</v>
      </c>
      <c r="D169">
        <v>6</v>
      </c>
      <c r="F169">
        <v>168</v>
      </c>
      <c r="G169" cm="1">
        <f t="array" ref="G169">_xlfn.IFNA(INDEX($D$2:$D$4001,_xlfn.XMATCH(G$1&amp;"-"&amp;$F169,YEAR($B$2:$B$4001)&amp;"-"&amp;$A$2:$A$4001,0,-1)),9)</f>
        <v>9</v>
      </c>
      <c r="H169" cm="1">
        <f t="array" ref="H169">IF(OR(AND(G169=9,H$1&gt;YEAR($N169))),9,_xlfn.IFNA(INDEX($D$2:$D$4001,_xlfn.XMATCH(H$1&amp;"-"&amp;$F169,YEAR($B$2:$B$4001)&amp;"-"&amp;$A$2:$A$4001,0,-1)),G169))</f>
        <v>9</v>
      </c>
      <c r="I169" cm="1">
        <f t="array" ref="I169">IF(OR(AND(H169=9,I$1&gt;YEAR($N169))),9,_xlfn.IFNA(INDEX($D$2:$D$4001,_xlfn.XMATCH(I$1&amp;"-"&amp;$F169,YEAR($B$2:$B$4001)&amp;"-"&amp;$A$2:$A$4001,0,-1)),H169))</f>
        <v>9</v>
      </c>
      <c r="J169" cm="1">
        <f t="array" ref="J169">IF(OR(AND(I169=9,J$1&gt;YEAR($N169))),9,_xlfn.IFNA(INDEX($D$2:$D$4001,_xlfn.XMATCH(J$1&amp;"-"&amp;$F169,YEAR($B$2:$B$4001)&amp;"-"&amp;$A$2:$A$4001,0,-1)),I169))</f>
        <v>9</v>
      </c>
      <c r="K169" cm="1">
        <f t="array" ref="K169">IF(OR(AND(J169=9,K$1&gt;YEAR($N169))),9,_xlfn.IFNA(INDEX($D$2:$D$4001,_xlfn.XMATCH(K$1&amp;"-"&amp;$F169,YEAR($B$2:$B$4001)&amp;"-"&amp;$A$2:$A$4001,0,-1)),J169))</f>
        <v>9</v>
      </c>
      <c r="L169" cm="1">
        <f t="array" ref="L169">IF(OR(AND(K169=9,L$1&gt;YEAR($N169))),9,_xlfn.IFNA(INDEX($D$2:$D$4001,_xlfn.XMATCH(L$1&amp;"-"&amp;$F169,YEAR($B$2:$B$4001)&amp;"-"&amp;$A$2:$A$4001,0,-1)),K169))</f>
        <v>4</v>
      </c>
      <c r="M169" cm="1">
        <f t="array" ref="M169">IF(OR(AND(L169=9,M$1&gt;YEAR($N169))),9,_xlfn.IFNA(INDEX($D$2:$D$4001,_xlfn.XMATCH(M$1&amp;"-"&amp;$F169,YEAR($B$2:$B$4001)&amp;"-"&amp;$A$2:$A$4001,0,-1)),L169))</f>
        <v>4</v>
      </c>
      <c r="N169" s="1">
        <f t="shared" si="2"/>
        <v>38220</v>
      </c>
    </row>
    <row r="170" spans="1:14" x14ac:dyDescent="0.35">
      <c r="A170">
        <v>84</v>
      </c>
      <c r="B170" s="2">
        <v>36524</v>
      </c>
      <c r="C170">
        <v>6</v>
      </c>
      <c r="D170">
        <v>6</v>
      </c>
      <c r="F170">
        <v>169</v>
      </c>
      <c r="G170" cm="1">
        <f t="array" ref="G170">_xlfn.IFNA(INDEX($D$2:$D$4001,_xlfn.XMATCH(G$1&amp;"-"&amp;$F170,YEAR($B$2:$B$4001)&amp;"-"&amp;$A$2:$A$4001,0,-1)),9)</f>
        <v>9</v>
      </c>
      <c r="H170" cm="1">
        <f t="array" ref="H170">IF(OR(AND(G170=9,H$1&gt;YEAR($N170))),9,_xlfn.IFNA(INDEX($D$2:$D$4001,_xlfn.XMATCH(H$1&amp;"-"&amp;$F170,YEAR($B$2:$B$4001)&amp;"-"&amp;$A$2:$A$4001,0,-1)),G170))</f>
        <v>2</v>
      </c>
      <c r="I170" cm="1">
        <f t="array" ref="I170">IF(OR(AND(H170=9,I$1&gt;YEAR($N170))),9,_xlfn.IFNA(INDEX($D$2:$D$4001,_xlfn.XMATCH(I$1&amp;"-"&amp;$F170,YEAR($B$2:$B$4001)&amp;"-"&amp;$A$2:$A$4001,0,-1)),H170))</f>
        <v>2</v>
      </c>
      <c r="J170" cm="1">
        <f t="array" ref="J170">IF(OR(AND(I170=9,J$1&gt;YEAR($N170))),9,_xlfn.IFNA(INDEX($D$2:$D$4001,_xlfn.XMATCH(J$1&amp;"-"&amp;$F170,YEAR($B$2:$B$4001)&amp;"-"&amp;$A$2:$A$4001,0,-1)),I170))</f>
        <v>2</v>
      </c>
      <c r="K170" cm="1">
        <f t="array" ref="K170">IF(OR(AND(J170=9,K$1&gt;YEAR($N170))),9,_xlfn.IFNA(INDEX($D$2:$D$4001,_xlfn.XMATCH(K$1&amp;"-"&amp;$F170,YEAR($B$2:$B$4001)&amp;"-"&amp;$A$2:$A$4001,0,-1)),J170))</f>
        <v>2</v>
      </c>
      <c r="L170" cm="1">
        <f t="array" ref="L170">IF(OR(AND(K170=9,L$1&gt;YEAR($N170))),9,_xlfn.IFNA(INDEX($D$2:$D$4001,_xlfn.XMATCH(L$1&amp;"-"&amp;$F170,YEAR($B$2:$B$4001)&amp;"-"&amp;$A$2:$A$4001,0,-1)),K170))</f>
        <v>2</v>
      </c>
      <c r="M170" cm="1">
        <f t="array" ref="M170">IF(OR(AND(L170=9,M$1&gt;YEAR($N170))),9,_xlfn.IFNA(INDEX($D$2:$D$4001,_xlfn.XMATCH(M$1&amp;"-"&amp;$F170,YEAR($B$2:$B$4001)&amp;"-"&amp;$A$2:$A$4001,0,-1)),L170))</f>
        <v>2</v>
      </c>
      <c r="N170" s="1">
        <f t="shared" si="2"/>
        <v>36676</v>
      </c>
    </row>
    <row r="171" spans="1:14" x14ac:dyDescent="0.35">
      <c r="A171">
        <v>84</v>
      </c>
      <c r="B171" s="2">
        <v>37985</v>
      </c>
      <c r="C171">
        <v>0</v>
      </c>
      <c r="D171">
        <v>0</v>
      </c>
      <c r="F171">
        <v>170</v>
      </c>
      <c r="G171" cm="1">
        <f t="array" ref="G171">_xlfn.IFNA(INDEX($D$2:$D$4001,_xlfn.XMATCH(G$1&amp;"-"&amp;$F171,YEAR($B$2:$B$4001)&amp;"-"&amp;$A$2:$A$4001,0,-1)),9)</f>
        <v>9</v>
      </c>
      <c r="H171" cm="1">
        <f t="array" ref="H171">IF(OR(AND(G171=9,H$1&gt;YEAR($N171))),9,_xlfn.IFNA(INDEX($D$2:$D$4001,_xlfn.XMATCH(H$1&amp;"-"&amp;$F171,YEAR($B$2:$B$4001)&amp;"-"&amp;$A$2:$A$4001,0,-1)),G171))</f>
        <v>9</v>
      </c>
      <c r="I171" cm="1">
        <f t="array" ref="I171">IF(OR(AND(H171=9,I$1&gt;YEAR($N171))),9,_xlfn.IFNA(INDEX($D$2:$D$4001,_xlfn.XMATCH(I$1&amp;"-"&amp;$F171,YEAR($B$2:$B$4001)&amp;"-"&amp;$A$2:$A$4001,0,-1)),H171))</f>
        <v>3</v>
      </c>
      <c r="J171" cm="1">
        <f t="array" ref="J171">IF(OR(AND(I171=9,J$1&gt;YEAR($N171))),9,_xlfn.IFNA(INDEX($D$2:$D$4001,_xlfn.XMATCH(J$1&amp;"-"&amp;$F171,YEAR($B$2:$B$4001)&amp;"-"&amp;$A$2:$A$4001,0,-1)),I171))</f>
        <v>3</v>
      </c>
      <c r="K171" cm="1">
        <f t="array" ref="K171">IF(OR(AND(J171=9,K$1&gt;YEAR($N171))),9,_xlfn.IFNA(INDEX($D$2:$D$4001,_xlfn.XMATCH(K$1&amp;"-"&amp;$F171,YEAR($B$2:$B$4001)&amp;"-"&amp;$A$2:$A$4001,0,-1)),J171))</f>
        <v>4</v>
      </c>
      <c r="L171" cm="1">
        <f t="array" ref="L171">IF(OR(AND(K171=9,L$1&gt;YEAR($N171))),9,_xlfn.IFNA(INDEX($D$2:$D$4001,_xlfn.XMATCH(L$1&amp;"-"&amp;$F171,YEAR($B$2:$B$4001)&amp;"-"&amp;$A$2:$A$4001,0,-1)),K171))</f>
        <v>0</v>
      </c>
      <c r="M171" cm="1">
        <f t="array" ref="M171">IF(OR(AND(L171=9,M$1&gt;YEAR($N171))),9,_xlfn.IFNA(INDEX($D$2:$D$4001,_xlfn.XMATCH(M$1&amp;"-"&amp;$F171,YEAR($B$2:$B$4001)&amp;"-"&amp;$A$2:$A$4001,0,-1)),L171))</f>
        <v>0</v>
      </c>
      <c r="N171" s="1">
        <f t="shared" si="2"/>
        <v>37041</v>
      </c>
    </row>
    <row r="172" spans="1:14" x14ac:dyDescent="0.35">
      <c r="A172">
        <v>85</v>
      </c>
      <c r="B172" s="2">
        <v>38351</v>
      </c>
      <c r="C172">
        <v>4</v>
      </c>
      <c r="D172">
        <v>4</v>
      </c>
      <c r="F172">
        <v>171</v>
      </c>
      <c r="G172" cm="1">
        <f t="array" ref="G172">_xlfn.IFNA(INDEX($D$2:$D$4001,_xlfn.XMATCH(G$1&amp;"-"&amp;$F172,YEAR($B$2:$B$4001)&amp;"-"&amp;$A$2:$A$4001,0,-1)),9)</f>
        <v>9</v>
      </c>
      <c r="H172" cm="1">
        <f t="array" ref="H172">IF(OR(AND(G172=9,H$1&gt;YEAR($N172))),9,_xlfn.IFNA(INDEX($D$2:$D$4001,_xlfn.XMATCH(H$1&amp;"-"&amp;$F172,YEAR($B$2:$B$4001)&amp;"-"&amp;$A$2:$A$4001,0,-1)),G172))</f>
        <v>3</v>
      </c>
      <c r="I172" cm="1">
        <f t="array" ref="I172">IF(OR(AND(H172=9,I$1&gt;YEAR($N172))),9,_xlfn.IFNA(INDEX($D$2:$D$4001,_xlfn.XMATCH(I$1&amp;"-"&amp;$F172,YEAR($B$2:$B$4001)&amp;"-"&amp;$A$2:$A$4001,0,-1)),H172))</f>
        <v>3</v>
      </c>
      <c r="J172" cm="1">
        <f t="array" ref="J172">IF(OR(AND(I172=9,J$1&gt;YEAR($N172))),9,_xlfn.IFNA(INDEX($D$2:$D$4001,_xlfn.XMATCH(J$1&amp;"-"&amp;$F172,YEAR($B$2:$B$4001)&amp;"-"&amp;$A$2:$A$4001,0,-1)),I172))</f>
        <v>3</v>
      </c>
      <c r="K172" cm="1">
        <f t="array" ref="K172">IF(OR(AND(J172=9,K$1&gt;YEAR($N172))),9,_xlfn.IFNA(INDEX($D$2:$D$4001,_xlfn.XMATCH(K$1&amp;"-"&amp;$F172,YEAR($B$2:$B$4001)&amp;"-"&amp;$A$2:$A$4001,0,-1)),J172))</f>
        <v>3</v>
      </c>
      <c r="L172" cm="1">
        <f t="array" ref="L172">IF(OR(AND(K172=9,L$1&gt;YEAR($N172))),9,_xlfn.IFNA(INDEX($D$2:$D$4001,_xlfn.XMATCH(L$1&amp;"-"&amp;$F172,YEAR($B$2:$B$4001)&amp;"-"&amp;$A$2:$A$4001,0,-1)),K172))</f>
        <v>3</v>
      </c>
      <c r="M172" cm="1">
        <f t="array" ref="M172">IF(OR(AND(L172=9,M$1&gt;YEAR($N172))),9,_xlfn.IFNA(INDEX($D$2:$D$4001,_xlfn.XMATCH(M$1&amp;"-"&amp;$F172,YEAR($B$2:$B$4001)&amp;"-"&amp;$A$2:$A$4001,0,-1)),L172))</f>
        <v>3</v>
      </c>
      <c r="N172" s="1">
        <f t="shared" si="2"/>
        <v>36676</v>
      </c>
    </row>
    <row r="173" spans="1:14" x14ac:dyDescent="0.35">
      <c r="A173">
        <v>86</v>
      </c>
      <c r="B173" s="2">
        <v>36881</v>
      </c>
      <c r="C173">
        <v>5</v>
      </c>
      <c r="D173">
        <v>5</v>
      </c>
      <c r="F173">
        <v>172</v>
      </c>
      <c r="G173" cm="1">
        <f t="array" ref="G173">_xlfn.IFNA(INDEX($D$2:$D$4001,_xlfn.XMATCH(G$1&amp;"-"&amp;$F173,YEAR($B$2:$B$4001)&amp;"-"&amp;$A$2:$A$4001,0,-1)),9)</f>
        <v>9</v>
      </c>
      <c r="H173" cm="1">
        <f t="array" ref="H173">IF(OR(AND(G173=9,H$1&gt;YEAR($N173))),9,_xlfn.IFNA(INDEX($D$2:$D$4001,_xlfn.XMATCH(H$1&amp;"-"&amp;$F173,YEAR($B$2:$B$4001)&amp;"-"&amp;$A$2:$A$4001,0,-1)),G173))</f>
        <v>9</v>
      </c>
      <c r="I173" cm="1">
        <f t="array" ref="I173">IF(OR(AND(H173=9,I$1&gt;YEAR($N173))),9,_xlfn.IFNA(INDEX($D$2:$D$4001,_xlfn.XMATCH(I$1&amp;"-"&amp;$F173,YEAR($B$2:$B$4001)&amp;"-"&amp;$A$2:$A$4001,0,-1)),H173))</f>
        <v>9</v>
      </c>
      <c r="J173" cm="1">
        <f t="array" ref="J173">IF(OR(AND(I173=9,J$1&gt;YEAR($N173))),9,_xlfn.IFNA(INDEX($D$2:$D$4001,_xlfn.XMATCH(J$1&amp;"-"&amp;$F173,YEAR($B$2:$B$4001)&amp;"-"&amp;$A$2:$A$4001,0,-1)),I173))</f>
        <v>9</v>
      </c>
      <c r="K173" cm="1">
        <f t="array" ref="K173">IF(OR(AND(J173=9,K$1&gt;YEAR($N173))),9,_xlfn.IFNA(INDEX($D$2:$D$4001,_xlfn.XMATCH(K$1&amp;"-"&amp;$F173,YEAR($B$2:$B$4001)&amp;"-"&amp;$A$2:$A$4001,0,-1)),J173))</f>
        <v>3</v>
      </c>
      <c r="L173" cm="1">
        <f t="array" ref="L173">IF(OR(AND(K173=9,L$1&gt;YEAR($N173))),9,_xlfn.IFNA(INDEX($D$2:$D$4001,_xlfn.XMATCH(L$1&amp;"-"&amp;$F173,YEAR($B$2:$B$4001)&amp;"-"&amp;$A$2:$A$4001,0,-1)),K173))</f>
        <v>3</v>
      </c>
      <c r="M173" cm="1">
        <f t="array" ref="M173">IF(OR(AND(L173=9,M$1&gt;YEAR($N173))),9,_xlfn.IFNA(INDEX($D$2:$D$4001,_xlfn.XMATCH(M$1&amp;"-"&amp;$F173,YEAR($B$2:$B$4001)&amp;"-"&amp;$A$2:$A$4001,0,-1)),L173))</f>
        <v>3</v>
      </c>
      <c r="N173" s="1">
        <f t="shared" si="2"/>
        <v>37915</v>
      </c>
    </row>
    <row r="174" spans="1:14" x14ac:dyDescent="0.35">
      <c r="A174">
        <v>86</v>
      </c>
      <c r="B174" s="2">
        <v>37985</v>
      </c>
      <c r="C174">
        <v>5</v>
      </c>
      <c r="D174">
        <v>5</v>
      </c>
      <c r="F174">
        <v>173</v>
      </c>
      <c r="G174" cm="1">
        <f t="array" ref="G174">_xlfn.IFNA(INDEX($D$2:$D$4001,_xlfn.XMATCH(G$1&amp;"-"&amp;$F174,YEAR($B$2:$B$4001)&amp;"-"&amp;$A$2:$A$4001,0,-1)),9)</f>
        <v>9</v>
      </c>
      <c r="H174" cm="1">
        <f t="array" ref="H174">IF(OR(AND(G174=9,H$1&gt;YEAR($N174))),9,_xlfn.IFNA(INDEX($D$2:$D$4001,_xlfn.XMATCH(H$1&amp;"-"&amp;$F174,YEAR($B$2:$B$4001)&amp;"-"&amp;$A$2:$A$4001,0,-1)),G174))</f>
        <v>9</v>
      </c>
      <c r="I174" cm="1">
        <f t="array" ref="I174">IF(OR(AND(H174=9,I$1&gt;YEAR($N174))),9,_xlfn.IFNA(INDEX($D$2:$D$4001,_xlfn.XMATCH(I$1&amp;"-"&amp;$F174,YEAR($B$2:$B$4001)&amp;"-"&amp;$A$2:$A$4001,0,-1)),H174))</f>
        <v>2</v>
      </c>
      <c r="J174" cm="1">
        <f t="array" ref="J174">IF(OR(AND(I174=9,J$1&gt;YEAR($N174))),9,_xlfn.IFNA(INDEX($D$2:$D$4001,_xlfn.XMATCH(J$1&amp;"-"&amp;$F174,YEAR($B$2:$B$4001)&amp;"-"&amp;$A$2:$A$4001,0,-1)),I174))</f>
        <v>3</v>
      </c>
      <c r="K174" cm="1">
        <f t="array" ref="K174">IF(OR(AND(J174=9,K$1&gt;YEAR($N174))),9,_xlfn.IFNA(INDEX($D$2:$D$4001,_xlfn.XMATCH(K$1&amp;"-"&amp;$F174,YEAR($B$2:$B$4001)&amp;"-"&amp;$A$2:$A$4001,0,-1)),J174))</f>
        <v>0</v>
      </c>
      <c r="L174" cm="1">
        <f t="array" ref="L174">IF(OR(AND(K174=9,L$1&gt;YEAR($N174))),9,_xlfn.IFNA(INDEX($D$2:$D$4001,_xlfn.XMATCH(L$1&amp;"-"&amp;$F174,YEAR($B$2:$B$4001)&amp;"-"&amp;$A$2:$A$4001,0,-1)),K174))</f>
        <v>2</v>
      </c>
      <c r="M174" cm="1">
        <f t="array" ref="M174">IF(OR(AND(L174=9,M$1&gt;YEAR($N174))),9,_xlfn.IFNA(INDEX($D$2:$D$4001,_xlfn.XMATCH(M$1&amp;"-"&amp;$F174,YEAR($B$2:$B$4001)&amp;"-"&amp;$A$2:$A$4001,0,-1)),L174))</f>
        <v>2</v>
      </c>
      <c r="N174" s="1">
        <f t="shared" si="2"/>
        <v>37255</v>
      </c>
    </row>
    <row r="175" spans="1:14" x14ac:dyDescent="0.35">
      <c r="A175">
        <v>86</v>
      </c>
      <c r="B175" s="2">
        <v>38137</v>
      </c>
      <c r="C175">
        <v>6</v>
      </c>
      <c r="D175">
        <v>6</v>
      </c>
      <c r="F175">
        <v>174</v>
      </c>
      <c r="G175" cm="1">
        <f t="array" ref="G175">_xlfn.IFNA(INDEX($D$2:$D$4001,_xlfn.XMATCH(G$1&amp;"-"&amp;$F175,YEAR($B$2:$B$4001)&amp;"-"&amp;$A$2:$A$4001,0,-1)),9)</f>
        <v>0</v>
      </c>
      <c r="H175" cm="1">
        <f t="array" ref="H175">IF(OR(AND(G175=9,H$1&gt;YEAR($N175))),9,_xlfn.IFNA(INDEX($D$2:$D$4001,_xlfn.XMATCH(H$1&amp;"-"&amp;$F175,YEAR($B$2:$B$4001)&amp;"-"&amp;$A$2:$A$4001,0,-1)),G175))</f>
        <v>0</v>
      </c>
      <c r="I175" cm="1">
        <f t="array" ref="I175">IF(OR(AND(H175=9,I$1&gt;YEAR($N175))),9,_xlfn.IFNA(INDEX($D$2:$D$4001,_xlfn.XMATCH(I$1&amp;"-"&amp;$F175,YEAR($B$2:$B$4001)&amp;"-"&amp;$A$2:$A$4001,0,-1)),H175))</f>
        <v>0</v>
      </c>
      <c r="J175" cm="1">
        <f t="array" ref="J175">IF(OR(AND(I175=9,J$1&gt;YEAR($N175))),9,_xlfn.IFNA(INDEX($D$2:$D$4001,_xlfn.XMATCH(J$1&amp;"-"&amp;$F175,YEAR($B$2:$B$4001)&amp;"-"&amp;$A$2:$A$4001,0,-1)),I175))</f>
        <v>0</v>
      </c>
      <c r="K175" cm="1">
        <f t="array" ref="K175">IF(OR(AND(J175=9,K$1&gt;YEAR($N175))),9,_xlfn.IFNA(INDEX($D$2:$D$4001,_xlfn.XMATCH(K$1&amp;"-"&amp;$F175,YEAR($B$2:$B$4001)&amp;"-"&amp;$A$2:$A$4001,0,-1)),J175))</f>
        <v>0</v>
      </c>
      <c r="L175" cm="1">
        <f t="array" ref="L175">IF(OR(AND(K175=9,L$1&gt;YEAR($N175))),9,_xlfn.IFNA(INDEX($D$2:$D$4001,_xlfn.XMATCH(L$1&amp;"-"&amp;$F175,YEAR($B$2:$B$4001)&amp;"-"&amp;$A$2:$A$4001,0,-1)),K175))</f>
        <v>0</v>
      </c>
      <c r="M175" cm="1">
        <f t="array" ref="M175">IF(OR(AND(L175=9,M$1&gt;YEAR($N175))),9,_xlfn.IFNA(INDEX($D$2:$D$4001,_xlfn.XMATCH(M$1&amp;"-"&amp;$F175,YEAR($B$2:$B$4001)&amp;"-"&amp;$A$2:$A$4001,0,-1)),L175))</f>
        <v>0</v>
      </c>
      <c r="N175" s="1">
        <f t="shared" si="2"/>
        <v>36524</v>
      </c>
    </row>
    <row r="176" spans="1:14" x14ac:dyDescent="0.35">
      <c r="A176">
        <v>87</v>
      </c>
      <c r="B176" s="2">
        <v>37520</v>
      </c>
      <c r="C176">
        <v>3</v>
      </c>
      <c r="D176">
        <v>3</v>
      </c>
      <c r="F176">
        <v>175</v>
      </c>
      <c r="G176" cm="1">
        <f t="array" ref="G176">_xlfn.IFNA(INDEX($D$2:$D$4001,_xlfn.XMATCH(G$1&amp;"-"&amp;$F176,YEAR($B$2:$B$4001)&amp;"-"&amp;$A$2:$A$4001,0,-1)),9)</f>
        <v>9</v>
      </c>
      <c r="H176" cm="1">
        <f t="array" ref="H176">IF(OR(AND(G176=9,H$1&gt;YEAR($N176))),9,_xlfn.IFNA(INDEX($D$2:$D$4001,_xlfn.XMATCH(H$1&amp;"-"&amp;$F176,YEAR($B$2:$B$4001)&amp;"-"&amp;$A$2:$A$4001,0,-1)),G176))</f>
        <v>9</v>
      </c>
      <c r="I176" cm="1">
        <f t="array" ref="I176">IF(OR(AND(H176=9,I$1&gt;YEAR($N176))),9,_xlfn.IFNA(INDEX($D$2:$D$4001,_xlfn.XMATCH(I$1&amp;"-"&amp;$F176,YEAR($B$2:$B$4001)&amp;"-"&amp;$A$2:$A$4001,0,-1)),H176))</f>
        <v>9</v>
      </c>
      <c r="J176" cm="1">
        <f t="array" ref="J176">IF(OR(AND(I176=9,J$1&gt;YEAR($N176))),9,_xlfn.IFNA(INDEX($D$2:$D$4001,_xlfn.XMATCH(J$1&amp;"-"&amp;$F176,YEAR($B$2:$B$4001)&amp;"-"&amp;$A$2:$A$4001,0,-1)),I176))</f>
        <v>9</v>
      </c>
      <c r="K176" cm="1">
        <f t="array" ref="K176">IF(OR(AND(J176=9,K$1&gt;YEAR($N176))),9,_xlfn.IFNA(INDEX($D$2:$D$4001,_xlfn.XMATCH(K$1&amp;"-"&amp;$F176,YEAR($B$2:$B$4001)&amp;"-"&amp;$A$2:$A$4001,0,-1)),J176))</f>
        <v>9</v>
      </c>
      <c r="L176" cm="1">
        <f t="array" ref="L176">IF(OR(AND(K176=9,L$1&gt;YEAR($N176))),9,_xlfn.IFNA(INDEX($D$2:$D$4001,_xlfn.XMATCH(L$1&amp;"-"&amp;$F176,YEAR($B$2:$B$4001)&amp;"-"&amp;$A$2:$A$4001,0,-1)),K176))</f>
        <v>4</v>
      </c>
      <c r="M176" cm="1">
        <f t="array" ref="M176">IF(OR(AND(L176=9,M$1&gt;YEAR($N176))),9,_xlfn.IFNA(INDEX($D$2:$D$4001,_xlfn.XMATCH(M$1&amp;"-"&amp;$F176,YEAR($B$2:$B$4001)&amp;"-"&amp;$A$2:$A$4001,0,-1)),L176))</f>
        <v>4</v>
      </c>
      <c r="N176" s="1">
        <f t="shared" si="2"/>
        <v>38351</v>
      </c>
    </row>
    <row r="177" spans="1:14" x14ac:dyDescent="0.35">
      <c r="A177">
        <v>88</v>
      </c>
      <c r="B177" s="2">
        <v>36301</v>
      </c>
      <c r="C177">
        <v>5</v>
      </c>
      <c r="D177">
        <v>5</v>
      </c>
      <c r="F177">
        <v>176</v>
      </c>
      <c r="G177" cm="1">
        <f t="array" ref="G177">_xlfn.IFNA(INDEX($D$2:$D$4001,_xlfn.XMATCH(G$1&amp;"-"&amp;$F177,YEAR($B$2:$B$4001)&amp;"-"&amp;$A$2:$A$4001,0,-1)),9)</f>
        <v>5</v>
      </c>
      <c r="H177" cm="1">
        <f t="array" ref="H177">IF(OR(AND(G177=9,H$1&gt;YEAR($N177))),9,_xlfn.IFNA(INDEX($D$2:$D$4001,_xlfn.XMATCH(H$1&amp;"-"&amp;$F177,YEAR($B$2:$B$4001)&amp;"-"&amp;$A$2:$A$4001,0,-1)),G177))</f>
        <v>5</v>
      </c>
      <c r="I177" cm="1">
        <f t="array" ref="I177">IF(OR(AND(H177=9,I$1&gt;YEAR($N177))),9,_xlfn.IFNA(INDEX($D$2:$D$4001,_xlfn.XMATCH(I$1&amp;"-"&amp;$F177,YEAR($B$2:$B$4001)&amp;"-"&amp;$A$2:$A$4001,0,-1)),H177))</f>
        <v>5</v>
      </c>
      <c r="J177" cm="1">
        <f t="array" ref="J177">IF(OR(AND(I177=9,J$1&gt;YEAR($N177))),9,_xlfn.IFNA(INDEX($D$2:$D$4001,_xlfn.XMATCH(J$1&amp;"-"&amp;$F177,YEAR($B$2:$B$4001)&amp;"-"&amp;$A$2:$A$4001,0,-1)),I177))</f>
        <v>0</v>
      </c>
      <c r="K177" cm="1">
        <f t="array" ref="K177">IF(OR(AND(J177=9,K$1&gt;YEAR($N177))),9,_xlfn.IFNA(INDEX($D$2:$D$4001,_xlfn.XMATCH(K$1&amp;"-"&amp;$F177,YEAR($B$2:$B$4001)&amp;"-"&amp;$A$2:$A$4001,0,-1)),J177))</f>
        <v>0</v>
      </c>
      <c r="L177" cm="1">
        <f t="array" ref="L177">IF(OR(AND(K177=9,L$1&gt;YEAR($N177))),9,_xlfn.IFNA(INDEX($D$2:$D$4001,_xlfn.XMATCH(L$1&amp;"-"&amp;$F177,YEAR($B$2:$B$4001)&amp;"-"&amp;$A$2:$A$4001,0,-1)),K177))</f>
        <v>0</v>
      </c>
      <c r="M177" cm="1">
        <f t="array" ref="M177">IF(OR(AND(L177=9,M$1&gt;YEAR($N177))),9,_xlfn.IFNA(INDEX($D$2:$D$4001,_xlfn.XMATCH(M$1&amp;"-"&amp;$F177,YEAR($B$2:$B$4001)&amp;"-"&amp;$A$2:$A$4001,0,-1)),L177))</f>
        <v>0</v>
      </c>
      <c r="N177" s="1">
        <f t="shared" si="2"/>
        <v>36341</v>
      </c>
    </row>
    <row r="178" spans="1:14" x14ac:dyDescent="0.35">
      <c r="A178">
        <v>88</v>
      </c>
      <c r="B178" s="2">
        <v>37032</v>
      </c>
      <c r="C178">
        <v>5</v>
      </c>
      <c r="D178">
        <v>5</v>
      </c>
      <c r="F178">
        <v>177</v>
      </c>
      <c r="G178" cm="1">
        <f t="array" ref="G178">_xlfn.IFNA(INDEX($D$2:$D$4001,_xlfn.XMATCH(G$1&amp;"-"&amp;$F178,YEAR($B$2:$B$4001)&amp;"-"&amp;$A$2:$A$4001,0,-1)),9)</f>
        <v>9</v>
      </c>
      <c r="H178" cm="1">
        <f t="array" ref="H178">IF(OR(AND(G178=9,H$1&gt;YEAR($N178))),9,_xlfn.IFNA(INDEX($D$2:$D$4001,_xlfn.XMATCH(H$1&amp;"-"&amp;$F178,YEAR($B$2:$B$4001)&amp;"-"&amp;$A$2:$A$4001,0,-1)),G178))</f>
        <v>9</v>
      </c>
      <c r="I178" cm="1">
        <f t="array" ref="I178">IF(OR(AND(H178=9,I$1&gt;YEAR($N178))),9,_xlfn.IFNA(INDEX($D$2:$D$4001,_xlfn.XMATCH(I$1&amp;"-"&amp;$F178,YEAR($B$2:$B$4001)&amp;"-"&amp;$A$2:$A$4001,0,-1)),H178))</f>
        <v>9</v>
      </c>
      <c r="J178" cm="1">
        <f t="array" ref="J178">IF(OR(AND(I178=9,J$1&gt;YEAR($N178))),9,_xlfn.IFNA(INDEX($D$2:$D$4001,_xlfn.XMATCH(J$1&amp;"-"&amp;$F178,YEAR($B$2:$B$4001)&amp;"-"&amp;$A$2:$A$4001,0,-1)),I178))</f>
        <v>9</v>
      </c>
      <c r="K178" cm="1">
        <f t="array" ref="K178">IF(OR(AND(J178=9,K$1&gt;YEAR($N178))),9,_xlfn.IFNA(INDEX($D$2:$D$4001,_xlfn.XMATCH(K$1&amp;"-"&amp;$F178,YEAR($B$2:$B$4001)&amp;"-"&amp;$A$2:$A$4001,0,-1)),J178))</f>
        <v>9</v>
      </c>
      <c r="L178" cm="1">
        <f t="array" ref="L178">IF(OR(AND(K178=9,L$1&gt;YEAR($N178))),9,_xlfn.IFNA(INDEX($D$2:$D$4001,_xlfn.XMATCH(L$1&amp;"-"&amp;$F178,YEAR($B$2:$B$4001)&amp;"-"&amp;$A$2:$A$4001,0,-1)),K178))</f>
        <v>9</v>
      </c>
      <c r="M178" cm="1">
        <f t="array" ref="M178">IF(OR(AND(L178=9,M$1&gt;YEAR($N178))),9,_xlfn.IFNA(INDEX($D$2:$D$4001,_xlfn.XMATCH(M$1&amp;"-"&amp;$F178,YEAR($B$2:$B$4001)&amp;"-"&amp;$A$2:$A$4001,0,-1)),L178))</f>
        <v>2</v>
      </c>
      <c r="N178" s="1">
        <f t="shared" si="2"/>
        <v>38493</v>
      </c>
    </row>
    <row r="179" spans="1:14" x14ac:dyDescent="0.35">
      <c r="A179">
        <v>89</v>
      </c>
      <c r="B179" s="2">
        <v>37133</v>
      </c>
      <c r="C179">
        <v>4</v>
      </c>
      <c r="D179">
        <v>4</v>
      </c>
      <c r="F179">
        <v>178</v>
      </c>
      <c r="G179" cm="1">
        <f t="array" ref="G179">_xlfn.IFNA(INDEX($D$2:$D$4001,_xlfn.XMATCH(G$1&amp;"-"&amp;$F179,YEAR($B$2:$B$4001)&amp;"-"&amp;$A$2:$A$4001,0,-1)),9)</f>
        <v>9</v>
      </c>
      <c r="H179" cm="1">
        <f t="array" ref="H179">IF(OR(AND(G179=9,H$1&gt;YEAR($N179))),9,_xlfn.IFNA(INDEX($D$2:$D$4001,_xlfn.XMATCH(H$1&amp;"-"&amp;$F179,YEAR($B$2:$B$4001)&amp;"-"&amp;$A$2:$A$4001,0,-1)),G179))</f>
        <v>9</v>
      </c>
      <c r="I179" cm="1">
        <f t="array" ref="I179">IF(OR(AND(H179=9,I$1&gt;YEAR($N179))),9,_xlfn.IFNA(INDEX($D$2:$D$4001,_xlfn.XMATCH(I$1&amp;"-"&amp;$F179,YEAR($B$2:$B$4001)&amp;"-"&amp;$A$2:$A$4001,0,-1)),H179))</f>
        <v>0</v>
      </c>
      <c r="J179" cm="1">
        <f t="array" ref="J179">IF(OR(AND(I179=9,J$1&gt;YEAR($N179))),9,_xlfn.IFNA(INDEX($D$2:$D$4001,_xlfn.XMATCH(J$1&amp;"-"&amp;$F179,YEAR($B$2:$B$4001)&amp;"-"&amp;$A$2:$A$4001,0,-1)),I179))</f>
        <v>0</v>
      </c>
      <c r="K179" cm="1">
        <f t="array" ref="K179">IF(OR(AND(J179=9,K$1&gt;YEAR($N179))),9,_xlfn.IFNA(INDEX($D$2:$D$4001,_xlfn.XMATCH(K$1&amp;"-"&amp;$F179,YEAR($B$2:$B$4001)&amp;"-"&amp;$A$2:$A$4001,0,-1)),J179))</f>
        <v>0</v>
      </c>
      <c r="L179" cm="1">
        <f t="array" ref="L179">IF(OR(AND(K179=9,L$1&gt;YEAR($N179))),9,_xlfn.IFNA(INDEX($D$2:$D$4001,_xlfn.XMATCH(L$1&amp;"-"&amp;$F179,YEAR($B$2:$B$4001)&amp;"-"&amp;$A$2:$A$4001,0,-1)),K179))</f>
        <v>0</v>
      </c>
      <c r="M179" cm="1">
        <f t="array" ref="M179">IF(OR(AND(L179=9,M$1&gt;YEAR($N179))),9,_xlfn.IFNA(INDEX($D$2:$D$4001,_xlfn.XMATCH(M$1&amp;"-"&amp;$F179,YEAR($B$2:$B$4001)&amp;"-"&amp;$A$2:$A$4001,0,-1)),L179))</f>
        <v>0</v>
      </c>
      <c r="N179" s="1">
        <f t="shared" si="2"/>
        <v>37255</v>
      </c>
    </row>
    <row r="180" spans="1:14" x14ac:dyDescent="0.35">
      <c r="A180">
        <v>90</v>
      </c>
      <c r="B180" s="2">
        <v>36703</v>
      </c>
      <c r="C180">
        <v>0</v>
      </c>
      <c r="D180">
        <v>0</v>
      </c>
      <c r="F180">
        <v>179</v>
      </c>
      <c r="G180" cm="1">
        <f t="array" ref="G180">_xlfn.IFNA(INDEX($D$2:$D$4001,_xlfn.XMATCH(G$1&amp;"-"&amp;$F180,YEAR($B$2:$B$4001)&amp;"-"&amp;$A$2:$A$4001,0,-1)),9)</f>
        <v>9</v>
      </c>
      <c r="H180" cm="1">
        <f t="array" ref="H180">IF(OR(AND(G180=9,H$1&gt;YEAR($N180))),9,_xlfn.IFNA(INDEX($D$2:$D$4001,_xlfn.XMATCH(H$1&amp;"-"&amp;$F180,YEAR($B$2:$B$4001)&amp;"-"&amp;$A$2:$A$4001,0,-1)),G180))</f>
        <v>9</v>
      </c>
      <c r="I180" cm="1">
        <f t="array" ref="I180">IF(OR(AND(H180=9,I$1&gt;YEAR($N180))),9,_xlfn.IFNA(INDEX($D$2:$D$4001,_xlfn.XMATCH(I$1&amp;"-"&amp;$F180,YEAR($B$2:$B$4001)&amp;"-"&amp;$A$2:$A$4001,0,-1)),H180))</f>
        <v>0</v>
      </c>
      <c r="J180" cm="1">
        <f t="array" ref="J180">IF(OR(AND(I180=9,J$1&gt;YEAR($N180))),9,_xlfn.IFNA(INDEX($D$2:$D$4001,_xlfn.XMATCH(J$1&amp;"-"&amp;$F180,YEAR($B$2:$B$4001)&amp;"-"&amp;$A$2:$A$4001,0,-1)),I180))</f>
        <v>0</v>
      </c>
      <c r="K180" cm="1">
        <f t="array" ref="K180">IF(OR(AND(J180=9,K$1&gt;YEAR($N180))),9,_xlfn.IFNA(INDEX($D$2:$D$4001,_xlfn.XMATCH(K$1&amp;"-"&amp;$F180,YEAR($B$2:$B$4001)&amp;"-"&amp;$A$2:$A$4001,0,-1)),J180))</f>
        <v>0</v>
      </c>
      <c r="L180" cm="1">
        <f t="array" ref="L180">IF(OR(AND(K180=9,L$1&gt;YEAR($N180))),9,_xlfn.IFNA(INDEX($D$2:$D$4001,_xlfn.XMATCH(L$1&amp;"-"&amp;$F180,YEAR($B$2:$B$4001)&amp;"-"&amp;$A$2:$A$4001,0,-1)),K180))</f>
        <v>0</v>
      </c>
      <c r="M180" cm="1">
        <f t="array" ref="M180">IF(OR(AND(L180=9,M$1&gt;YEAR($N180))),9,_xlfn.IFNA(INDEX($D$2:$D$4001,_xlfn.XMATCH(M$1&amp;"-"&amp;$F180,YEAR($B$2:$B$4001)&amp;"-"&amp;$A$2:$A$4001,0,-1)),L180))</f>
        <v>0</v>
      </c>
      <c r="N180" s="1">
        <f t="shared" si="2"/>
        <v>37255</v>
      </c>
    </row>
    <row r="181" spans="1:14" x14ac:dyDescent="0.35">
      <c r="A181">
        <v>91</v>
      </c>
      <c r="B181" s="2">
        <v>36524</v>
      </c>
      <c r="C181">
        <v>2</v>
      </c>
      <c r="D181">
        <v>2</v>
      </c>
      <c r="F181">
        <v>180</v>
      </c>
      <c r="G181" cm="1">
        <f t="array" ref="G181">_xlfn.IFNA(INDEX($D$2:$D$4001,_xlfn.XMATCH(G$1&amp;"-"&amp;$F181,YEAR($B$2:$B$4001)&amp;"-"&amp;$A$2:$A$4001,0,-1)),9)</f>
        <v>9</v>
      </c>
      <c r="H181" cm="1">
        <f t="array" ref="H181">IF(OR(AND(G181=9,H$1&gt;YEAR($N181))),9,_xlfn.IFNA(INDEX($D$2:$D$4001,_xlfn.XMATCH(H$1&amp;"-"&amp;$F181,YEAR($B$2:$B$4001)&amp;"-"&amp;$A$2:$A$4001,0,-1)),G181))</f>
        <v>9</v>
      </c>
      <c r="I181" cm="1">
        <f t="array" ref="I181">IF(OR(AND(H181=9,I$1&gt;YEAR($N181))),9,_xlfn.IFNA(INDEX($D$2:$D$4001,_xlfn.XMATCH(I$1&amp;"-"&amp;$F181,YEAR($B$2:$B$4001)&amp;"-"&amp;$A$2:$A$4001,0,-1)),H181))</f>
        <v>9</v>
      </c>
      <c r="J181" cm="1">
        <f t="array" ref="J181">IF(OR(AND(I181=9,J$1&gt;YEAR($N181))),9,_xlfn.IFNA(INDEX($D$2:$D$4001,_xlfn.XMATCH(J$1&amp;"-"&amp;$F181,YEAR($B$2:$B$4001)&amp;"-"&amp;$A$2:$A$4001,0,-1)),I181))</f>
        <v>9</v>
      </c>
      <c r="K181" cm="1">
        <f t="array" ref="K181">IF(OR(AND(J181=9,K$1&gt;YEAR($N181))),9,_xlfn.IFNA(INDEX($D$2:$D$4001,_xlfn.XMATCH(K$1&amp;"-"&amp;$F181,YEAR($B$2:$B$4001)&amp;"-"&amp;$A$2:$A$4001,0,-1)),J181))</f>
        <v>9</v>
      </c>
      <c r="L181" cm="1">
        <f t="array" ref="L181">IF(OR(AND(K181=9,L$1&gt;YEAR($N181))),9,_xlfn.IFNA(INDEX($D$2:$D$4001,_xlfn.XMATCH(L$1&amp;"-"&amp;$F181,YEAR($B$2:$B$4001)&amp;"-"&amp;$A$2:$A$4001,0,-1)),K181))</f>
        <v>9</v>
      </c>
      <c r="M181" cm="1">
        <f t="array" ref="M181">IF(OR(AND(L181=9,M$1&gt;YEAR($N181))),9,_xlfn.IFNA(INDEX($D$2:$D$4001,_xlfn.XMATCH(M$1&amp;"-"&amp;$F181,YEAR($B$2:$B$4001)&amp;"-"&amp;$A$2:$A$4001,0,-1)),L181))</f>
        <v>2</v>
      </c>
      <c r="N181" s="1">
        <f t="shared" si="2"/>
        <v>38497</v>
      </c>
    </row>
    <row r="182" spans="1:14" x14ac:dyDescent="0.35">
      <c r="A182">
        <v>91</v>
      </c>
      <c r="B182" s="2">
        <v>37771</v>
      </c>
      <c r="C182">
        <v>3</v>
      </c>
      <c r="D182">
        <v>3</v>
      </c>
      <c r="F182">
        <v>181</v>
      </c>
      <c r="G182" cm="1">
        <f t="array" ref="G182">_xlfn.IFNA(INDEX($D$2:$D$4001,_xlfn.XMATCH(G$1&amp;"-"&amp;$F182,YEAR($B$2:$B$4001)&amp;"-"&amp;$A$2:$A$4001,0,-1)),9)</f>
        <v>9</v>
      </c>
      <c r="H182" cm="1">
        <f t="array" ref="H182">IF(OR(AND(G182=9,H$1&gt;YEAR($N182))),9,_xlfn.IFNA(INDEX($D$2:$D$4001,_xlfn.XMATCH(H$1&amp;"-"&amp;$F182,YEAR($B$2:$B$4001)&amp;"-"&amp;$A$2:$A$4001,0,-1)),G182))</f>
        <v>9</v>
      </c>
      <c r="I182" cm="1">
        <f t="array" ref="I182">IF(OR(AND(H182=9,I$1&gt;YEAR($N182))),9,_xlfn.IFNA(INDEX($D$2:$D$4001,_xlfn.XMATCH(I$1&amp;"-"&amp;$F182,YEAR($B$2:$B$4001)&amp;"-"&amp;$A$2:$A$4001,0,-1)),H182))</f>
        <v>9</v>
      </c>
      <c r="J182" cm="1">
        <f t="array" ref="J182">IF(OR(AND(I182=9,J$1&gt;YEAR($N182))),9,_xlfn.IFNA(INDEX($D$2:$D$4001,_xlfn.XMATCH(J$1&amp;"-"&amp;$F182,YEAR($B$2:$B$4001)&amp;"-"&amp;$A$2:$A$4001,0,-1)),I182))</f>
        <v>9</v>
      </c>
      <c r="K182" cm="1">
        <f t="array" ref="K182">IF(OR(AND(J182=9,K$1&gt;YEAR($N182))),9,_xlfn.IFNA(INDEX($D$2:$D$4001,_xlfn.XMATCH(K$1&amp;"-"&amp;$F182,YEAR($B$2:$B$4001)&amp;"-"&amp;$A$2:$A$4001,0,-1)),J182))</f>
        <v>9</v>
      </c>
      <c r="L182" cm="1">
        <f t="array" ref="L182">IF(OR(AND(K182=9,L$1&gt;YEAR($N182))),9,_xlfn.IFNA(INDEX($D$2:$D$4001,_xlfn.XMATCH(L$1&amp;"-"&amp;$F182,YEAR($B$2:$B$4001)&amp;"-"&amp;$A$2:$A$4001,0,-1)),K182))</f>
        <v>4</v>
      </c>
      <c r="M182" cm="1">
        <f t="array" ref="M182">IF(OR(AND(L182=9,M$1&gt;YEAR($N182))),9,_xlfn.IFNA(INDEX($D$2:$D$4001,_xlfn.XMATCH(M$1&amp;"-"&amp;$F182,YEAR($B$2:$B$4001)&amp;"-"&amp;$A$2:$A$4001,0,-1)),L182))</f>
        <v>3</v>
      </c>
      <c r="N182" s="1">
        <f t="shared" si="2"/>
        <v>38198</v>
      </c>
    </row>
    <row r="183" spans="1:14" x14ac:dyDescent="0.35">
      <c r="A183">
        <v>91</v>
      </c>
      <c r="B183" s="2">
        <v>38351</v>
      </c>
      <c r="C183">
        <v>0</v>
      </c>
      <c r="D183">
        <v>0</v>
      </c>
      <c r="F183">
        <v>182</v>
      </c>
      <c r="G183" cm="1">
        <f t="array" ref="G183">_xlfn.IFNA(INDEX($D$2:$D$4001,_xlfn.XMATCH(G$1&amp;"-"&amp;$F183,YEAR($B$2:$B$4001)&amp;"-"&amp;$A$2:$A$4001,0,-1)),9)</f>
        <v>9</v>
      </c>
      <c r="H183" cm="1">
        <f t="array" ref="H183">IF(OR(AND(G183=9,H$1&gt;YEAR($N183))),9,_xlfn.IFNA(INDEX($D$2:$D$4001,_xlfn.XMATCH(H$1&amp;"-"&amp;$F183,YEAR($B$2:$B$4001)&amp;"-"&amp;$A$2:$A$4001,0,-1)),G183))</f>
        <v>9</v>
      </c>
      <c r="I183" cm="1">
        <f t="array" ref="I183">IF(OR(AND(H183=9,I$1&gt;YEAR($N183))),9,_xlfn.IFNA(INDEX($D$2:$D$4001,_xlfn.XMATCH(I$1&amp;"-"&amp;$F183,YEAR($B$2:$B$4001)&amp;"-"&amp;$A$2:$A$4001,0,-1)),H183))</f>
        <v>3</v>
      </c>
      <c r="J183" cm="1">
        <f t="array" ref="J183">IF(OR(AND(I183=9,J$1&gt;YEAR($N183))),9,_xlfn.IFNA(INDEX($D$2:$D$4001,_xlfn.XMATCH(J$1&amp;"-"&amp;$F183,YEAR($B$2:$B$4001)&amp;"-"&amp;$A$2:$A$4001,0,-1)),I183))</f>
        <v>3</v>
      </c>
      <c r="K183" cm="1">
        <f t="array" ref="K183">IF(OR(AND(J183=9,K$1&gt;YEAR($N183))),9,_xlfn.IFNA(INDEX($D$2:$D$4001,_xlfn.XMATCH(K$1&amp;"-"&amp;$F183,YEAR($B$2:$B$4001)&amp;"-"&amp;$A$2:$A$4001,0,-1)),J183))</f>
        <v>3</v>
      </c>
      <c r="L183" cm="1">
        <f t="array" ref="L183">IF(OR(AND(K183=9,L$1&gt;YEAR($N183))),9,_xlfn.IFNA(INDEX($D$2:$D$4001,_xlfn.XMATCH(L$1&amp;"-"&amp;$F183,YEAR($B$2:$B$4001)&amp;"-"&amp;$A$2:$A$4001,0,-1)),K183))</f>
        <v>3</v>
      </c>
      <c r="M183" cm="1">
        <f t="array" ref="M183">IF(OR(AND(L183=9,M$1&gt;YEAR($N183))),9,_xlfn.IFNA(INDEX($D$2:$D$4001,_xlfn.XMATCH(M$1&amp;"-"&amp;$F183,YEAR($B$2:$B$4001)&amp;"-"&amp;$A$2:$A$4001,0,-1)),L183))</f>
        <v>3</v>
      </c>
      <c r="N183" s="1">
        <f t="shared" si="2"/>
        <v>37032</v>
      </c>
    </row>
    <row r="184" spans="1:14" x14ac:dyDescent="0.35">
      <c r="A184">
        <v>92</v>
      </c>
      <c r="B184" s="2">
        <v>36301</v>
      </c>
      <c r="C184">
        <v>5</v>
      </c>
      <c r="D184">
        <v>5</v>
      </c>
      <c r="F184">
        <v>183</v>
      </c>
      <c r="G184" cm="1">
        <f t="array" ref="G184">_xlfn.IFNA(INDEX($D$2:$D$4001,_xlfn.XMATCH(G$1&amp;"-"&amp;$F184,YEAR($B$2:$B$4001)&amp;"-"&amp;$A$2:$A$4001,0,-1)),9)</f>
        <v>9</v>
      </c>
      <c r="H184" cm="1">
        <f t="array" ref="H184">IF(OR(AND(G184=9,H$1&gt;YEAR($N184))),9,_xlfn.IFNA(INDEX($D$2:$D$4001,_xlfn.XMATCH(H$1&amp;"-"&amp;$F184,YEAR($B$2:$B$4001)&amp;"-"&amp;$A$2:$A$4001,0,-1)),G184))</f>
        <v>9</v>
      </c>
      <c r="I184" cm="1">
        <f t="array" ref="I184">IF(OR(AND(H184=9,I$1&gt;YEAR($N184))),9,_xlfn.IFNA(INDEX($D$2:$D$4001,_xlfn.XMATCH(I$1&amp;"-"&amp;$F184,YEAR($B$2:$B$4001)&amp;"-"&amp;$A$2:$A$4001,0,-1)),H184))</f>
        <v>9</v>
      </c>
      <c r="J184" cm="1">
        <f t="array" ref="J184">IF(OR(AND(I184=9,J$1&gt;YEAR($N184))),9,_xlfn.IFNA(INDEX($D$2:$D$4001,_xlfn.XMATCH(J$1&amp;"-"&amp;$F184,YEAR($B$2:$B$4001)&amp;"-"&amp;$A$2:$A$4001,0,-1)),I184))</f>
        <v>9</v>
      </c>
      <c r="K184" cm="1">
        <f t="array" ref="K184">IF(OR(AND(J184=9,K$1&gt;YEAR($N184))),9,_xlfn.IFNA(INDEX($D$2:$D$4001,_xlfn.XMATCH(K$1&amp;"-"&amp;$F184,YEAR($B$2:$B$4001)&amp;"-"&amp;$A$2:$A$4001,0,-1)),J184))</f>
        <v>9</v>
      </c>
      <c r="L184" cm="1">
        <f t="array" ref="L184">IF(OR(AND(K184=9,L$1&gt;YEAR($N184))),9,_xlfn.IFNA(INDEX($D$2:$D$4001,_xlfn.XMATCH(L$1&amp;"-"&amp;$F184,YEAR($B$2:$B$4001)&amp;"-"&amp;$A$2:$A$4001,0,-1)),K184))</f>
        <v>0</v>
      </c>
      <c r="M184" cm="1">
        <f t="array" ref="M184">IF(OR(AND(L184=9,M$1&gt;YEAR($N184))),9,_xlfn.IFNA(INDEX($D$2:$D$4001,_xlfn.XMATCH(M$1&amp;"-"&amp;$F184,YEAR($B$2:$B$4001)&amp;"-"&amp;$A$2:$A$4001,0,-1)),L184))</f>
        <v>0</v>
      </c>
      <c r="N184" s="1">
        <f t="shared" si="2"/>
        <v>38137</v>
      </c>
    </row>
    <row r="185" spans="1:14" x14ac:dyDescent="0.35">
      <c r="A185">
        <v>92</v>
      </c>
      <c r="B185" s="2">
        <v>37915</v>
      </c>
      <c r="C185">
        <v>5</v>
      </c>
      <c r="D185">
        <v>5</v>
      </c>
      <c r="F185">
        <v>184</v>
      </c>
      <c r="G185" cm="1">
        <f t="array" ref="G185">_xlfn.IFNA(INDEX($D$2:$D$4001,_xlfn.XMATCH(G$1&amp;"-"&amp;$F185,YEAR($B$2:$B$4001)&amp;"-"&amp;$A$2:$A$4001,0,-1)),9)</f>
        <v>9</v>
      </c>
      <c r="H185" cm="1">
        <f t="array" ref="H185">IF(OR(AND(G185=9,H$1&gt;YEAR($N185))),9,_xlfn.IFNA(INDEX($D$2:$D$4001,_xlfn.XMATCH(H$1&amp;"-"&amp;$F185,YEAR($B$2:$B$4001)&amp;"-"&amp;$A$2:$A$4001,0,-1)),G185))</f>
        <v>9</v>
      </c>
      <c r="I185" cm="1">
        <f t="array" ref="I185">IF(OR(AND(H185=9,I$1&gt;YEAR($N185))),9,_xlfn.IFNA(INDEX($D$2:$D$4001,_xlfn.XMATCH(I$1&amp;"-"&amp;$F185,YEAR($B$2:$B$4001)&amp;"-"&amp;$A$2:$A$4001,0,-1)),H185))</f>
        <v>9</v>
      </c>
      <c r="J185" cm="1">
        <f t="array" ref="J185">IF(OR(AND(I185=9,J$1&gt;YEAR($N185))),9,_xlfn.IFNA(INDEX($D$2:$D$4001,_xlfn.XMATCH(J$1&amp;"-"&amp;$F185,YEAR($B$2:$B$4001)&amp;"-"&amp;$A$2:$A$4001,0,-1)),I185))</f>
        <v>9</v>
      </c>
      <c r="K185" cm="1">
        <f t="array" ref="K185">IF(OR(AND(J185=9,K$1&gt;YEAR($N185))),9,_xlfn.IFNA(INDEX($D$2:$D$4001,_xlfn.XMATCH(K$1&amp;"-"&amp;$F185,YEAR($B$2:$B$4001)&amp;"-"&amp;$A$2:$A$4001,0,-1)),J185))</f>
        <v>3</v>
      </c>
      <c r="L185" cm="1">
        <f t="array" ref="L185">IF(OR(AND(K185=9,L$1&gt;YEAR($N185))),9,_xlfn.IFNA(INDEX($D$2:$D$4001,_xlfn.XMATCH(L$1&amp;"-"&amp;$F185,YEAR($B$2:$B$4001)&amp;"-"&amp;$A$2:$A$4001,0,-1)),K185))</f>
        <v>3</v>
      </c>
      <c r="M185" cm="1">
        <f t="array" ref="M185">IF(OR(AND(L185=9,M$1&gt;YEAR($N185))),9,_xlfn.IFNA(INDEX($D$2:$D$4001,_xlfn.XMATCH(M$1&amp;"-"&amp;$F185,YEAR($B$2:$B$4001)&amp;"-"&amp;$A$2:$A$4001,0,-1)),L185))</f>
        <v>3</v>
      </c>
      <c r="N185" s="1">
        <f t="shared" si="2"/>
        <v>37771</v>
      </c>
    </row>
    <row r="186" spans="1:14" x14ac:dyDescent="0.35">
      <c r="A186">
        <v>92</v>
      </c>
      <c r="B186" s="2">
        <v>38351</v>
      </c>
      <c r="C186">
        <v>4</v>
      </c>
      <c r="D186">
        <v>4</v>
      </c>
      <c r="F186">
        <v>185</v>
      </c>
      <c r="G186" cm="1">
        <f t="array" ref="G186">_xlfn.IFNA(INDEX($D$2:$D$4001,_xlfn.XMATCH(G$1&amp;"-"&amp;$F186,YEAR($B$2:$B$4001)&amp;"-"&amp;$A$2:$A$4001,0,-1)),9)</f>
        <v>9</v>
      </c>
      <c r="H186" cm="1">
        <f t="array" ref="H186">IF(OR(AND(G186=9,H$1&gt;YEAR($N186))),9,_xlfn.IFNA(INDEX($D$2:$D$4001,_xlfn.XMATCH(H$1&amp;"-"&amp;$F186,YEAR($B$2:$B$4001)&amp;"-"&amp;$A$2:$A$4001,0,-1)),G186))</f>
        <v>9</v>
      </c>
      <c r="I186" cm="1">
        <f t="array" ref="I186">IF(OR(AND(H186=9,I$1&gt;YEAR($N186))),9,_xlfn.IFNA(INDEX($D$2:$D$4001,_xlfn.XMATCH(I$1&amp;"-"&amp;$F186,YEAR($B$2:$B$4001)&amp;"-"&amp;$A$2:$A$4001,0,-1)),H186))</f>
        <v>9</v>
      </c>
      <c r="J186" cm="1">
        <f t="array" ref="J186">IF(OR(AND(I186=9,J$1&gt;YEAR($N186))),9,_xlfn.IFNA(INDEX($D$2:$D$4001,_xlfn.XMATCH(J$1&amp;"-"&amp;$F186,YEAR($B$2:$B$4001)&amp;"-"&amp;$A$2:$A$4001,0,-1)),I186))</f>
        <v>9</v>
      </c>
      <c r="K186" cm="1">
        <f t="array" ref="K186">IF(OR(AND(J186=9,K$1&gt;YEAR($N186))),9,_xlfn.IFNA(INDEX($D$2:$D$4001,_xlfn.XMATCH(K$1&amp;"-"&amp;$F186,YEAR($B$2:$B$4001)&amp;"-"&amp;$A$2:$A$4001,0,-1)),J186))</f>
        <v>9</v>
      </c>
      <c r="L186" cm="1">
        <f t="array" ref="L186">IF(OR(AND(K186=9,L$1&gt;YEAR($N186))),9,_xlfn.IFNA(INDEX($D$2:$D$4001,_xlfn.XMATCH(L$1&amp;"-"&amp;$F186,YEAR($B$2:$B$4001)&amp;"-"&amp;$A$2:$A$4001,0,-1)),K186))</f>
        <v>3</v>
      </c>
      <c r="M186" cm="1">
        <f t="array" ref="M186">IF(OR(AND(L186=9,M$1&gt;YEAR($N186))),9,_xlfn.IFNA(INDEX($D$2:$D$4001,_xlfn.XMATCH(M$1&amp;"-"&amp;$F186,YEAR($B$2:$B$4001)&amp;"-"&amp;$A$2:$A$4001,0,-1)),L186))</f>
        <v>3</v>
      </c>
      <c r="N186" s="1">
        <f t="shared" si="2"/>
        <v>38189</v>
      </c>
    </row>
    <row r="187" spans="1:14" x14ac:dyDescent="0.35">
      <c r="A187">
        <v>93</v>
      </c>
      <c r="B187" s="2">
        <v>37428</v>
      </c>
      <c r="C187">
        <v>4</v>
      </c>
      <c r="D187">
        <v>4</v>
      </c>
      <c r="F187">
        <v>186</v>
      </c>
      <c r="G187" cm="1">
        <f t="array" ref="G187">_xlfn.IFNA(INDEX($D$2:$D$4001,_xlfn.XMATCH(G$1&amp;"-"&amp;$F187,YEAR($B$2:$B$4001)&amp;"-"&amp;$A$2:$A$4001,0,-1)),9)</f>
        <v>1</v>
      </c>
      <c r="H187" cm="1">
        <f t="array" ref="H187">IF(OR(AND(G187=9,H$1&gt;YEAR($N187))),9,_xlfn.IFNA(INDEX($D$2:$D$4001,_xlfn.XMATCH(H$1&amp;"-"&amp;$F187,YEAR($B$2:$B$4001)&amp;"-"&amp;$A$2:$A$4001,0,-1)),G187))</f>
        <v>1</v>
      </c>
      <c r="I187" cm="1">
        <f t="array" ref="I187">IF(OR(AND(H187=9,I$1&gt;YEAR($N187))),9,_xlfn.IFNA(INDEX($D$2:$D$4001,_xlfn.XMATCH(I$1&amp;"-"&amp;$F187,YEAR($B$2:$B$4001)&amp;"-"&amp;$A$2:$A$4001,0,-1)),H187))</f>
        <v>0</v>
      </c>
      <c r="J187" cm="1">
        <f t="array" ref="J187">IF(OR(AND(I187=9,J$1&gt;YEAR($N187))),9,_xlfn.IFNA(INDEX($D$2:$D$4001,_xlfn.XMATCH(J$1&amp;"-"&amp;$F187,YEAR($B$2:$B$4001)&amp;"-"&amp;$A$2:$A$4001,0,-1)),I187))</f>
        <v>0</v>
      </c>
      <c r="K187" cm="1">
        <f t="array" ref="K187">IF(OR(AND(J187=9,K$1&gt;YEAR($N187))),9,_xlfn.IFNA(INDEX($D$2:$D$4001,_xlfn.XMATCH(K$1&amp;"-"&amp;$F187,YEAR($B$2:$B$4001)&amp;"-"&amp;$A$2:$A$4001,0,-1)),J187))</f>
        <v>0</v>
      </c>
      <c r="L187" cm="1">
        <f t="array" ref="L187">IF(OR(AND(K187=9,L$1&gt;YEAR($N187))),9,_xlfn.IFNA(INDEX($D$2:$D$4001,_xlfn.XMATCH(L$1&amp;"-"&amp;$F187,YEAR($B$2:$B$4001)&amp;"-"&amp;$A$2:$A$4001,0,-1)),K187))</f>
        <v>0</v>
      </c>
      <c r="M187" cm="1">
        <f t="array" ref="M187">IF(OR(AND(L187=9,M$1&gt;YEAR($N187))),9,_xlfn.IFNA(INDEX($D$2:$D$4001,_xlfn.XMATCH(M$1&amp;"-"&amp;$F187,YEAR($B$2:$B$4001)&amp;"-"&amp;$A$2:$A$4001,0,-1)),L187))</f>
        <v>0</v>
      </c>
      <c r="N187" s="1">
        <f t="shared" si="2"/>
        <v>36371</v>
      </c>
    </row>
    <row r="188" spans="1:14" x14ac:dyDescent="0.35">
      <c r="A188">
        <v>93</v>
      </c>
      <c r="B188" s="2">
        <v>38351</v>
      </c>
      <c r="C188">
        <v>4</v>
      </c>
      <c r="D188">
        <v>4</v>
      </c>
      <c r="F188">
        <v>187</v>
      </c>
      <c r="G188" cm="1">
        <f t="array" ref="G188">_xlfn.IFNA(INDEX($D$2:$D$4001,_xlfn.XMATCH(G$1&amp;"-"&amp;$F188,YEAR($B$2:$B$4001)&amp;"-"&amp;$A$2:$A$4001,0,-1)),9)</f>
        <v>9</v>
      </c>
      <c r="H188" cm="1">
        <f t="array" ref="H188">IF(OR(AND(G188=9,H$1&gt;YEAR($N188))),9,_xlfn.IFNA(INDEX($D$2:$D$4001,_xlfn.XMATCH(H$1&amp;"-"&amp;$F188,YEAR($B$2:$B$4001)&amp;"-"&amp;$A$2:$A$4001,0,-1)),G188))</f>
        <v>2</v>
      </c>
      <c r="I188" cm="1">
        <f t="array" ref="I188">IF(OR(AND(H188=9,I$1&gt;YEAR($N188))),9,_xlfn.IFNA(INDEX($D$2:$D$4001,_xlfn.XMATCH(I$1&amp;"-"&amp;$F188,YEAR($B$2:$B$4001)&amp;"-"&amp;$A$2:$A$4001,0,-1)),H188))</f>
        <v>2</v>
      </c>
      <c r="J188" cm="1">
        <f t="array" ref="J188">IF(OR(AND(I188=9,J$1&gt;YEAR($N188))),9,_xlfn.IFNA(INDEX($D$2:$D$4001,_xlfn.XMATCH(J$1&amp;"-"&amp;$F188,YEAR($B$2:$B$4001)&amp;"-"&amp;$A$2:$A$4001,0,-1)),I188))</f>
        <v>2</v>
      </c>
      <c r="K188" cm="1">
        <f t="array" ref="K188">IF(OR(AND(J188=9,K$1&gt;YEAR($N188))),9,_xlfn.IFNA(INDEX($D$2:$D$4001,_xlfn.XMATCH(K$1&amp;"-"&amp;$F188,YEAR($B$2:$B$4001)&amp;"-"&amp;$A$2:$A$4001,0,-1)),J188))</f>
        <v>2</v>
      </c>
      <c r="L188" cm="1">
        <f t="array" ref="L188">IF(OR(AND(K188=9,L$1&gt;YEAR($N188))),9,_xlfn.IFNA(INDEX($D$2:$D$4001,_xlfn.XMATCH(L$1&amp;"-"&amp;$F188,YEAR($B$2:$B$4001)&amp;"-"&amp;$A$2:$A$4001,0,-1)),K188))</f>
        <v>2</v>
      </c>
      <c r="M188" cm="1">
        <f t="array" ref="M188">IF(OR(AND(L188=9,M$1&gt;YEAR($N188))),9,_xlfn.IFNA(INDEX($D$2:$D$4001,_xlfn.XMATCH(M$1&amp;"-"&amp;$F188,YEAR($B$2:$B$4001)&amp;"-"&amp;$A$2:$A$4001,0,-1)),L188))</f>
        <v>2</v>
      </c>
      <c r="N188" s="1">
        <f t="shared" si="2"/>
        <v>36762</v>
      </c>
    </row>
    <row r="189" spans="1:14" x14ac:dyDescent="0.35">
      <c r="A189">
        <v>94</v>
      </c>
      <c r="B189" s="2">
        <v>36676</v>
      </c>
      <c r="C189">
        <v>4</v>
      </c>
      <c r="D189">
        <v>4</v>
      </c>
      <c r="F189">
        <v>188</v>
      </c>
      <c r="G189" cm="1">
        <f t="array" ref="G189">_xlfn.IFNA(INDEX($D$2:$D$4001,_xlfn.XMATCH(G$1&amp;"-"&amp;$F189,YEAR($B$2:$B$4001)&amp;"-"&amp;$A$2:$A$4001,0,-1)),9)</f>
        <v>9</v>
      </c>
      <c r="H189" cm="1">
        <f t="array" ref="H189">IF(OR(AND(G189=9,H$1&gt;YEAR($N189))),9,_xlfn.IFNA(INDEX($D$2:$D$4001,_xlfn.XMATCH(H$1&amp;"-"&amp;$F189,YEAR($B$2:$B$4001)&amp;"-"&amp;$A$2:$A$4001,0,-1)),G189))</f>
        <v>3</v>
      </c>
      <c r="I189" cm="1">
        <f t="array" ref="I189">IF(OR(AND(H189=9,I$1&gt;YEAR($N189))),9,_xlfn.IFNA(INDEX($D$2:$D$4001,_xlfn.XMATCH(I$1&amp;"-"&amp;$F189,YEAR($B$2:$B$4001)&amp;"-"&amp;$A$2:$A$4001,0,-1)),H189))</f>
        <v>3</v>
      </c>
      <c r="J189" cm="1">
        <f t="array" ref="J189">IF(OR(AND(I189=9,J$1&gt;YEAR($N189))),9,_xlfn.IFNA(INDEX($D$2:$D$4001,_xlfn.XMATCH(J$1&amp;"-"&amp;$F189,YEAR($B$2:$B$4001)&amp;"-"&amp;$A$2:$A$4001,0,-1)),I189))</f>
        <v>3</v>
      </c>
      <c r="K189" cm="1">
        <f t="array" ref="K189">IF(OR(AND(J189=9,K$1&gt;YEAR($N189))),9,_xlfn.IFNA(INDEX($D$2:$D$4001,_xlfn.XMATCH(K$1&amp;"-"&amp;$F189,YEAR($B$2:$B$4001)&amp;"-"&amp;$A$2:$A$4001,0,-1)),J189))</f>
        <v>3</v>
      </c>
      <c r="L189" cm="1">
        <f t="array" ref="L189">IF(OR(AND(K189=9,L$1&gt;YEAR($N189))),9,_xlfn.IFNA(INDEX($D$2:$D$4001,_xlfn.XMATCH(L$1&amp;"-"&amp;$F189,YEAR($B$2:$B$4001)&amp;"-"&amp;$A$2:$A$4001,0,-1)),K189))</f>
        <v>3</v>
      </c>
      <c r="M189" cm="1">
        <f t="array" ref="M189">IF(OR(AND(L189=9,M$1&gt;YEAR($N189))),9,_xlfn.IFNA(INDEX($D$2:$D$4001,_xlfn.XMATCH(M$1&amp;"-"&amp;$F189,YEAR($B$2:$B$4001)&amp;"-"&amp;$A$2:$A$4001,0,-1)),L189))</f>
        <v>3</v>
      </c>
      <c r="N189" s="1">
        <f t="shared" si="2"/>
        <v>36890</v>
      </c>
    </row>
    <row r="190" spans="1:14" x14ac:dyDescent="0.35">
      <c r="A190">
        <v>95</v>
      </c>
      <c r="B190" s="2">
        <v>38502</v>
      </c>
      <c r="C190">
        <v>4</v>
      </c>
      <c r="D190">
        <v>4</v>
      </c>
      <c r="F190">
        <v>189</v>
      </c>
      <c r="G190" cm="1">
        <f t="array" ref="G190">_xlfn.IFNA(INDEX($D$2:$D$4001,_xlfn.XMATCH(G$1&amp;"-"&amp;$F190,YEAR($B$2:$B$4001)&amp;"-"&amp;$A$2:$A$4001,0,-1)),9)</f>
        <v>9</v>
      </c>
      <c r="H190" cm="1">
        <f t="array" ref="H190">IF(OR(AND(G190=9,H$1&gt;YEAR($N190))),9,_xlfn.IFNA(INDEX($D$2:$D$4001,_xlfn.XMATCH(H$1&amp;"-"&amp;$F190,YEAR($B$2:$B$4001)&amp;"-"&amp;$A$2:$A$4001,0,-1)),G190))</f>
        <v>9</v>
      </c>
      <c r="I190" cm="1">
        <f t="array" ref="I190">IF(OR(AND(H190=9,I$1&gt;YEAR($N190))),9,_xlfn.IFNA(INDEX($D$2:$D$4001,_xlfn.XMATCH(I$1&amp;"-"&amp;$F190,YEAR($B$2:$B$4001)&amp;"-"&amp;$A$2:$A$4001,0,-1)),H190))</f>
        <v>9</v>
      </c>
      <c r="J190" cm="1">
        <f t="array" ref="J190">IF(OR(AND(I190=9,J$1&gt;YEAR($N190))),9,_xlfn.IFNA(INDEX($D$2:$D$4001,_xlfn.XMATCH(J$1&amp;"-"&amp;$F190,YEAR($B$2:$B$4001)&amp;"-"&amp;$A$2:$A$4001,0,-1)),I190))</f>
        <v>4</v>
      </c>
      <c r="K190" cm="1">
        <f t="array" ref="K190">IF(OR(AND(J190=9,K$1&gt;YEAR($N190))),9,_xlfn.IFNA(INDEX($D$2:$D$4001,_xlfn.XMATCH(K$1&amp;"-"&amp;$F190,YEAR($B$2:$B$4001)&amp;"-"&amp;$A$2:$A$4001,0,-1)),J190))</f>
        <v>4</v>
      </c>
      <c r="L190" cm="1">
        <f t="array" ref="L190">IF(OR(AND(K190=9,L$1&gt;YEAR($N190))),9,_xlfn.IFNA(INDEX($D$2:$D$4001,_xlfn.XMATCH(L$1&amp;"-"&amp;$F190,YEAR($B$2:$B$4001)&amp;"-"&amp;$A$2:$A$4001,0,-1)),K190))</f>
        <v>4</v>
      </c>
      <c r="M190" cm="1">
        <f t="array" ref="M190">IF(OR(AND(L190=9,M$1&gt;YEAR($N190))),9,_xlfn.IFNA(INDEX($D$2:$D$4001,_xlfn.XMATCH(M$1&amp;"-"&amp;$F190,YEAR($B$2:$B$4001)&amp;"-"&amp;$A$2:$A$4001,0,-1)),L190))</f>
        <v>4</v>
      </c>
      <c r="N190" s="1">
        <f t="shared" si="2"/>
        <v>37467</v>
      </c>
    </row>
    <row r="191" spans="1:14" x14ac:dyDescent="0.35">
      <c r="A191">
        <v>96</v>
      </c>
      <c r="B191" s="2">
        <v>36890</v>
      </c>
      <c r="C191">
        <v>3</v>
      </c>
      <c r="D191">
        <v>3</v>
      </c>
      <c r="F191">
        <v>190</v>
      </c>
      <c r="G191" cm="1">
        <f t="array" ref="G191">_xlfn.IFNA(INDEX($D$2:$D$4001,_xlfn.XMATCH(G$1&amp;"-"&amp;$F191,YEAR($B$2:$B$4001)&amp;"-"&amp;$A$2:$A$4001,0,-1)),9)</f>
        <v>9</v>
      </c>
      <c r="H191" cm="1">
        <f t="array" ref="H191">IF(OR(AND(G191=9,H$1&gt;YEAR($N191))),9,_xlfn.IFNA(INDEX($D$2:$D$4001,_xlfn.XMATCH(H$1&amp;"-"&amp;$F191,YEAR($B$2:$B$4001)&amp;"-"&amp;$A$2:$A$4001,0,-1)),G191))</f>
        <v>9</v>
      </c>
      <c r="I191" cm="1">
        <f t="array" ref="I191">IF(OR(AND(H191=9,I$1&gt;YEAR($N191))),9,_xlfn.IFNA(INDEX($D$2:$D$4001,_xlfn.XMATCH(I$1&amp;"-"&amp;$F191,YEAR($B$2:$B$4001)&amp;"-"&amp;$A$2:$A$4001,0,-1)),H191))</f>
        <v>9</v>
      </c>
      <c r="J191" cm="1">
        <f t="array" ref="J191">IF(OR(AND(I191=9,J$1&gt;YEAR($N191))),9,_xlfn.IFNA(INDEX($D$2:$D$4001,_xlfn.XMATCH(J$1&amp;"-"&amp;$F191,YEAR($B$2:$B$4001)&amp;"-"&amp;$A$2:$A$4001,0,-1)),I191))</f>
        <v>9</v>
      </c>
      <c r="K191" cm="1">
        <f t="array" ref="K191">IF(OR(AND(J191=9,K$1&gt;YEAR($N191))),9,_xlfn.IFNA(INDEX($D$2:$D$4001,_xlfn.XMATCH(K$1&amp;"-"&amp;$F191,YEAR($B$2:$B$4001)&amp;"-"&amp;$A$2:$A$4001,0,-1)),J191))</f>
        <v>3</v>
      </c>
      <c r="L191" cm="1">
        <f t="array" ref="L191">IF(OR(AND(K191=9,L$1&gt;YEAR($N191))),9,_xlfn.IFNA(INDEX($D$2:$D$4001,_xlfn.XMATCH(L$1&amp;"-"&amp;$F191,YEAR($B$2:$B$4001)&amp;"-"&amp;$A$2:$A$4001,0,-1)),K191))</f>
        <v>0</v>
      </c>
      <c r="M191" cm="1">
        <f t="array" ref="M191">IF(OR(AND(L191=9,M$1&gt;YEAR($N191))),9,_xlfn.IFNA(INDEX($D$2:$D$4001,_xlfn.XMATCH(M$1&amp;"-"&amp;$F191,YEAR($B$2:$B$4001)&amp;"-"&amp;$A$2:$A$4001,0,-1)),L191))</f>
        <v>0</v>
      </c>
      <c r="N191" s="1">
        <f t="shared" si="2"/>
        <v>37924</v>
      </c>
    </row>
    <row r="192" spans="1:14" x14ac:dyDescent="0.35">
      <c r="A192">
        <v>97</v>
      </c>
      <c r="B192" s="2">
        <v>37063</v>
      </c>
      <c r="C192">
        <v>5</v>
      </c>
      <c r="D192">
        <v>5</v>
      </c>
      <c r="F192">
        <v>191</v>
      </c>
      <c r="G192" cm="1">
        <f t="array" ref="G192">_xlfn.IFNA(INDEX($D$2:$D$4001,_xlfn.XMATCH(G$1&amp;"-"&amp;$F192,YEAR($B$2:$B$4001)&amp;"-"&amp;$A$2:$A$4001,0,-1)),9)</f>
        <v>9</v>
      </c>
      <c r="H192" cm="1">
        <f t="array" ref="H192">IF(OR(AND(G192=9,H$1&gt;YEAR($N192))),9,_xlfn.IFNA(INDEX($D$2:$D$4001,_xlfn.XMATCH(H$1&amp;"-"&amp;$F192,YEAR($B$2:$B$4001)&amp;"-"&amp;$A$2:$A$4001,0,-1)),G192))</f>
        <v>9</v>
      </c>
      <c r="I192" cm="1">
        <f t="array" ref="I192">IF(OR(AND(H192=9,I$1&gt;YEAR($N192))),9,_xlfn.IFNA(INDEX($D$2:$D$4001,_xlfn.XMATCH(I$1&amp;"-"&amp;$F192,YEAR($B$2:$B$4001)&amp;"-"&amp;$A$2:$A$4001,0,-1)),H192))</f>
        <v>9</v>
      </c>
      <c r="J192" cm="1">
        <f t="array" ref="J192">IF(OR(AND(I192=9,J$1&gt;YEAR($N192))),9,_xlfn.IFNA(INDEX($D$2:$D$4001,_xlfn.XMATCH(J$1&amp;"-"&amp;$F192,YEAR($B$2:$B$4001)&amp;"-"&amp;$A$2:$A$4001,0,-1)),I192))</f>
        <v>5</v>
      </c>
      <c r="K192" cm="1">
        <f t="array" ref="K192">IF(OR(AND(J192=9,K$1&gt;YEAR($N192))),9,_xlfn.IFNA(INDEX($D$2:$D$4001,_xlfn.XMATCH(K$1&amp;"-"&amp;$F192,YEAR($B$2:$B$4001)&amp;"-"&amp;$A$2:$A$4001,0,-1)),J192))</f>
        <v>5</v>
      </c>
      <c r="L192" cm="1">
        <f t="array" ref="L192">IF(OR(AND(K192=9,L$1&gt;YEAR($N192))),9,_xlfn.IFNA(INDEX($D$2:$D$4001,_xlfn.XMATCH(L$1&amp;"-"&amp;$F192,YEAR($B$2:$B$4001)&amp;"-"&amp;$A$2:$A$4001,0,-1)),K192))</f>
        <v>5</v>
      </c>
      <c r="M192" cm="1">
        <f t="array" ref="M192">IF(OR(AND(L192=9,M$1&gt;YEAR($N192))),9,_xlfn.IFNA(INDEX($D$2:$D$4001,_xlfn.XMATCH(M$1&amp;"-"&amp;$F192,YEAR($B$2:$B$4001)&amp;"-"&amp;$A$2:$A$4001,0,-1)),L192))</f>
        <v>5</v>
      </c>
      <c r="N192" s="1">
        <f t="shared" si="2"/>
        <v>37406</v>
      </c>
    </row>
    <row r="193" spans="1:14" x14ac:dyDescent="0.35">
      <c r="A193">
        <v>97</v>
      </c>
      <c r="B193" s="2">
        <v>37164</v>
      </c>
      <c r="C193">
        <v>4</v>
      </c>
      <c r="D193">
        <v>4</v>
      </c>
      <c r="F193">
        <v>192</v>
      </c>
      <c r="G193" cm="1">
        <f t="array" ref="G193">_xlfn.IFNA(INDEX($D$2:$D$4001,_xlfn.XMATCH(G$1&amp;"-"&amp;$F193,YEAR($B$2:$B$4001)&amp;"-"&amp;$A$2:$A$4001,0,-1)),9)</f>
        <v>9</v>
      </c>
      <c r="H193" cm="1">
        <f t="array" ref="H193">IF(OR(AND(G193=9,H$1&gt;YEAR($N193))),9,_xlfn.IFNA(INDEX($D$2:$D$4001,_xlfn.XMATCH(H$1&amp;"-"&amp;$F193,YEAR($B$2:$B$4001)&amp;"-"&amp;$A$2:$A$4001,0,-1)),G193))</f>
        <v>3</v>
      </c>
      <c r="I193" cm="1">
        <f t="array" ref="I193">IF(OR(AND(H193=9,I$1&gt;YEAR($N193))),9,_xlfn.IFNA(INDEX($D$2:$D$4001,_xlfn.XMATCH(I$1&amp;"-"&amp;$F193,YEAR($B$2:$B$4001)&amp;"-"&amp;$A$2:$A$4001,0,-1)),H193))</f>
        <v>3</v>
      </c>
      <c r="J193" cm="1">
        <f t="array" ref="J193">IF(OR(AND(I193=9,J$1&gt;YEAR($N193))),9,_xlfn.IFNA(INDEX($D$2:$D$4001,_xlfn.XMATCH(J$1&amp;"-"&amp;$F193,YEAR($B$2:$B$4001)&amp;"-"&amp;$A$2:$A$4001,0,-1)),I193))</f>
        <v>3</v>
      </c>
      <c r="K193" cm="1">
        <f t="array" ref="K193">IF(OR(AND(J193=9,K$1&gt;YEAR($N193))),9,_xlfn.IFNA(INDEX($D$2:$D$4001,_xlfn.XMATCH(K$1&amp;"-"&amp;$F193,YEAR($B$2:$B$4001)&amp;"-"&amp;$A$2:$A$4001,0,-1)),J193))</f>
        <v>3</v>
      </c>
      <c r="L193" cm="1">
        <f t="array" ref="L193">IF(OR(AND(K193=9,L$1&gt;YEAR($N193))),9,_xlfn.IFNA(INDEX($D$2:$D$4001,_xlfn.XMATCH(L$1&amp;"-"&amp;$F193,YEAR($B$2:$B$4001)&amp;"-"&amp;$A$2:$A$4001,0,-1)),K193))</f>
        <v>3</v>
      </c>
      <c r="M193" cm="1">
        <f t="array" ref="M193">IF(OR(AND(L193=9,M$1&gt;YEAR($N193))),9,_xlfn.IFNA(INDEX($D$2:$D$4001,_xlfn.XMATCH(M$1&amp;"-"&amp;$F193,YEAR($B$2:$B$4001)&amp;"-"&amp;$A$2:$A$4001,0,-1)),L193))</f>
        <v>3</v>
      </c>
      <c r="N193" s="1">
        <f t="shared" si="2"/>
        <v>36707</v>
      </c>
    </row>
    <row r="194" spans="1:14" x14ac:dyDescent="0.35">
      <c r="A194">
        <v>97</v>
      </c>
      <c r="B194" s="2">
        <v>38351</v>
      </c>
      <c r="C194">
        <v>5</v>
      </c>
      <c r="D194">
        <v>5</v>
      </c>
      <c r="F194">
        <v>193</v>
      </c>
      <c r="G194" cm="1">
        <f t="array" ref="G194">_xlfn.IFNA(INDEX($D$2:$D$4001,_xlfn.XMATCH(G$1&amp;"-"&amp;$F194,YEAR($B$2:$B$4001)&amp;"-"&amp;$A$2:$A$4001,0,-1)),9)</f>
        <v>2</v>
      </c>
      <c r="H194" cm="1">
        <f t="array" ref="H194">IF(OR(AND(G194=9,H$1&gt;YEAR($N194))),9,_xlfn.IFNA(INDEX($D$2:$D$4001,_xlfn.XMATCH(H$1&amp;"-"&amp;$F194,YEAR($B$2:$B$4001)&amp;"-"&amp;$A$2:$A$4001,0,-1)),G194))</f>
        <v>2</v>
      </c>
      <c r="I194" cm="1">
        <f t="array" ref="I194">IF(OR(AND(H194=9,I$1&gt;YEAR($N194))),9,_xlfn.IFNA(INDEX($D$2:$D$4001,_xlfn.XMATCH(I$1&amp;"-"&amp;$F194,YEAR($B$2:$B$4001)&amp;"-"&amp;$A$2:$A$4001,0,-1)),H194))</f>
        <v>2</v>
      </c>
      <c r="J194" cm="1">
        <f t="array" ref="J194">IF(OR(AND(I194=9,J$1&gt;YEAR($N194))),9,_xlfn.IFNA(INDEX($D$2:$D$4001,_xlfn.XMATCH(J$1&amp;"-"&amp;$F194,YEAR($B$2:$B$4001)&amp;"-"&amp;$A$2:$A$4001,0,-1)),I194))</f>
        <v>2</v>
      </c>
      <c r="K194" cm="1">
        <f t="array" ref="K194">IF(OR(AND(J194=9,K$1&gt;YEAR($N194))),9,_xlfn.IFNA(INDEX($D$2:$D$4001,_xlfn.XMATCH(K$1&amp;"-"&amp;$F194,YEAR($B$2:$B$4001)&amp;"-"&amp;$A$2:$A$4001,0,-1)),J194))</f>
        <v>0</v>
      </c>
      <c r="L194" cm="1">
        <f t="array" ref="L194">IF(OR(AND(K194=9,L$1&gt;YEAR($N194))),9,_xlfn.IFNA(INDEX($D$2:$D$4001,_xlfn.XMATCH(L$1&amp;"-"&amp;$F194,YEAR($B$2:$B$4001)&amp;"-"&amp;$A$2:$A$4001,0,-1)),K194))</f>
        <v>0</v>
      </c>
      <c r="M194" cm="1">
        <f t="array" ref="M194">IF(OR(AND(L194=9,M$1&gt;YEAR($N194))),9,_xlfn.IFNA(INDEX($D$2:$D$4001,_xlfn.XMATCH(M$1&amp;"-"&amp;$F194,YEAR($B$2:$B$4001)&amp;"-"&amp;$A$2:$A$4001,0,-1)),L194))</f>
        <v>0</v>
      </c>
      <c r="N194" s="1">
        <f t="shared" si="2"/>
        <v>36524</v>
      </c>
    </row>
    <row r="195" spans="1:14" x14ac:dyDescent="0.35">
      <c r="A195">
        <v>98</v>
      </c>
      <c r="B195" s="2">
        <v>37400</v>
      </c>
      <c r="C195">
        <v>3</v>
      </c>
      <c r="D195">
        <v>3</v>
      </c>
      <c r="F195">
        <v>194</v>
      </c>
      <c r="G195" cm="1">
        <f t="array" ref="G195">_xlfn.IFNA(INDEX($D$2:$D$4001,_xlfn.XMATCH(G$1&amp;"-"&amp;$F195,YEAR($B$2:$B$4001)&amp;"-"&amp;$A$2:$A$4001,0,-1)),9)</f>
        <v>9</v>
      </c>
      <c r="H195" cm="1">
        <f t="array" ref="H195">IF(OR(AND(G195=9,H$1&gt;YEAR($N195))),9,_xlfn.IFNA(INDEX($D$2:$D$4001,_xlfn.XMATCH(H$1&amp;"-"&amp;$F195,YEAR($B$2:$B$4001)&amp;"-"&amp;$A$2:$A$4001,0,-1)),G195))</f>
        <v>9</v>
      </c>
      <c r="I195" cm="1">
        <f t="array" ref="I195">IF(OR(AND(H195=9,I$1&gt;YEAR($N195))),9,_xlfn.IFNA(INDEX($D$2:$D$4001,_xlfn.XMATCH(I$1&amp;"-"&amp;$F195,YEAR($B$2:$B$4001)&amp;"-"&amp;$A$2:$A$4001,0,-1)),H195))</f>
        <v>9</v>
      </c>
      <c r="J195" cm="1">
        <f t="array" ref="J195">IF(OR(AND(I195=9,J$1&gt;YEAR($N195))),9,_xlfn.IFNA(INDEX($D$2:$D$4001,_xlfn.XMATCH(J$1&amp;"-"&amp;$F195,YEAR($B$2:$B$4001)&amp;"-"&amp;$A$2:$A$4001,0,-1)),I195))</f>
        <v>3</v>
      </c>
      <c r="K195" cm="1">
        <f t="array" ref="K195">IF(OR(AND(J195=9,K$1&gt;YEAR($N195))),9,_xlfn.IFNA(INDEX($D$2:$D$4001,_xlfn.XMATCH(K$1&amp;"-"&amp;$F195,YEAR($B$2:$B$4001)&amp;"-"&amp;$A$2:$A$4001,0,-1)),J195))</f>
        <v>3</v>
      </c>
      <c r="L195" cm="1">
        <f t="array" ref="L195">IF(OR(AND(K195=9,L$1&gt;YEAR($N195))),9,_xlfn.IFNA(INDEX($D$2:$D$4001,_xlfn.XMATCH(L$1&amp;"-"&amp;$F195,YEAR($B$2:$B$4001)&amp;"-"&amp;$A$2:$A$4001,0,-1)),K195))</f>
        <v>3</v>
      </c>
      <c r="M195" cm="1">
        <f t="array" ref="M195">IF(OR(AND(L195=9,M$1&gt;YEAR($N195))),9,_xlfn.IFNA(INDEX($D$2:$D$4001,_xlfn.XMATCH(M$1&amp;"-"&amp;$F195,YEAR($B$2:$B$4001)&amp;"-"&amp;$A$2:$A$4001,0,-1)),L195))</f>
        <v>3</v>
      </c>
      <c r="N195" s="1">
        <f t="shared" ref="N195:N258" si="3">_xlfn.MINIFS($B$2:$B$4001,$A$2:$A$4001,F195)</f>
        <v>37559</v>
      </c>
    </row>
    <row r="196" spans="1:14" x14ac:dyDescent="0.35">
      <c r="A196">
        <v>99</v>
      </c>
      <c r="B196" s="2">
        <v>37559</v>
      </c>
      <c r="C196">
        <v>0</v>
      </c>
      <c r="D196">
        <v>0</v>
      </c>
      <c r="F196">
        <v>195</v>
      </c>
      <c r="G196" cm="1">
        <f t="array" ref="G196">_xlfn.IFNA(INDEX($D$2:$D$4001,_xlfn.XMATCH(G$1&amp;"-"&amp;$F196,YEAR($B$2:$B$4001)&amp;"-"&amp;$A$2:$A$4001,0,-1)),9)</f>
        <v>9</v>
      </c>
      <c r="H196" cm="1">
        <f t="array" ref="H196">IF(OR(AND(G196=9,H$1&gt;YEAR($N196))),9,_xlfn.IFNA(INDEX($D$2:$D$4001,_xlfn.XMATCH(H$1&amp;"-"&amp;$F196,YEAR($B$2:$B$4001)&amp;"-"&amp;$A$2:$A$4001,0,-1)),G196))</f>
        <v>4</v>
      </c>
      <c r="I196" cm="1">
        <f t="array" ref="I196">IF(OR(AND(H196=9,I$1&gt;YEAR($N196))),9,_xlfn.IFNA(INDEX($D$2:$D$4001,_xlfn.XMATCH(I$1&amp;"-"&amp;$F196,YEAR($B$2:$B$4001)&amp;"-"&amp;$A$2:$A$4001,0,-1)),H196))</f>
        <v>4</v>
      </c>
      <c r="J196" cm="1">
        <f t="array" ref="J196">IF(OR(AND(I196=9,J$1&gt;YEAR($N196))),9,_xlfn.IFNA(INDEX($D$2:$D$4001,_xlfn.XMATCH(J$1&amp;"-"&amp;$F196,YEAR($B$2:$B$4001)&amp;"-"&amp;$A$2:$A$4001,0,-1)),I196))</f>
        <v>4</v>
      </c>
      <c r="K196" cm="1">
        <f t="array" ref="K196">IF(OR(AND(J196=9,K$1&gt;YEAR($N196))),9,_xlfn.IFNA(INDEX($D$2:$D$4001,_xlfn.XMATCH(K$1&amp;"-"&amp;$F196,YEAR($B$2:$B$4001)&amp;"-"&amp;$A$2:$A$4001,0,-1)),J196))</f>
        <v>4</v>
      </c>
      <c r="L196" cm="1">
        <f t="array" ref="L196">IF(OR(AND(K196=9,L$1&gt;YEAR($N196))),9,_xlfn.IFNA(INDEX($D$2:$D$4001,_xlfn.XMATCH(L$1&amp;"-"&amp;$F196,YEAR($B$2:$B$4001)&amp;"-"&amp;$A$2:$A$4001,0,-1)),K196))</f>
        <v>4</v>
      </c>
      <c r="M196" cm="1">
        <f t="array" ref="M196">IF(OR(AND(L196=9,M$1&gt;YEAR($N196))),9,_xlfn.IFNA(INDEX($D$2:$D$4001,_xlfn.XMATCH(M$1&amp;"-"&amp;$F196,YEAR($B$2:$B$4001)&amp;"-"&amp;$A$2:$A$4001,0,-1)),L196))</f>
        <v>4</v>
      </c>
      <c r="N196" s="1">
        <f t="shared" si="3"/>
        <v>36890</v>
      </c>
    </row>
    <row r="197" spans="1:14" x14ac:dyDescent="0.35">
      <c r="A197">
        <v>100</v>
      </c>
      <c r="B197" s="2">
        <v>36301</v>
      </c>
      <c r="C197">
        <v>4</v>
      </c>
      <c r="D197">
        <v>4</v>
      </c>
      <c r="F197">
        <v>196</v>
      </c>
      <c r="G197" cm="1">
        <f t="array" ref="G197">_xlfn.IFNA(INDEX($D$2:$D$4001,_xlfn.XMATCH(G$1&amp;"-"&amp;$F197,YEAR($B$2:$B$4001)&amp;"-"&amp;$A$2:$A$4001,0,-1)),9)</f>
        <v>5</v>
      </c>
      <c r="H197" cm="1">
        <f t="array" ref="H197">IF(OR(AND(G197=9,H$1&gt;YEAR($N197))),9,_xlfn.IFNA(INDEX($D$2:$D$4001,_xlfn.XMATCH(H$1&amp;"-"&amp;$F197,YEAR($B$2:$B$4001)&amp;"-"&amp;$A$2:$A$4001,0,-1)),G197))</f>
        <v>5</v>
      </c>
      <c r="I197" cm="1">
        <f t="array" ref="I197">IF(OR(AND(H197=9,I$1&gt;YEAR($N197))),9,_xlfn.IFNA(INDEX($D$2:$D$4001,_xlfn.XMATCH(I$1&amp;"-"&amp;$F197,YEAR($B$2:$B$4001)&amp;"-"&amp;$A$2:$A$4001,0,-1)),H197))</f>
        <v>0</v>
      </c>
      <c r="J197" cm="1">
        <f t="array" ref="J197">IF(OR(AND(I197=9,J$1&gt;YEAR($N197))),9,_xlfn.IFNA(INDEX($D$2:$D$4001,_xlfn.XMATCH(J$1&amp;"-"&amp;$F197,YEAR($B$2:$B$4001)&amp;"-"&amp;$A$2:$A$4001,0,-1)),I197))</f>
        <v>0</v>
      </c>
      <c r="K197" cm="1">
        <f t="array" ref="K197">IF(OR(AND(J197=9,K$1&gt;YEAR($N197))),9,_xlfn.IFNA(INDEX($D$2:$D$4001,_xlfn.XMATCH(K$1&amp;"-"&amp;$F197,YEAR($B$2:$B$4001)&amp;"-"&amp;$A$2:$A$4001,0,-1)),J197))</f>
        <v>0</v>
      </c>
      <c r="L197" cm="1">
        <f t="array" ref="L197">IF(OR(AND(K197=9,L$1&gt;YEAR($N197))),9,_xlfn.IFNA(INDEX($D$2:$D$4001,_xlfn.XMATCH(L$1&amp;"-"&amp;$F197,YEAR($B$2:$B$4001)&amp;"-"&amp;$A$2:$A$4001,0,-1)),K197))</f>
        <v>0</v>
      </c>
      <c r="M197" cm="1">
        <f t="array" ref="M197">IF(OR(AND(L197=9,M$1&gt;YEAR($N197))),9,_xlfn.IFNA(INDEX($D$2:$D$4001,_xlfn.XMATCH(M$1&amp;"-"&amp;$F197,YEAR($B$2:$B$4001)&amp;"-"&amp;$A$2:$A$4001,0,-1)),L197))</f>
        <v>0</v>
      </c>
      <c r="N197" s="1">
        <f t="shared" si="3"/>
        <v>36306</v>
      </c>
    </row>
    <row r="198" spans="1:14" x14ac:dyDescent="0.35">
      <c r="A198">
        <v>100</v>
      </c>
      <c r="B198" s="2">
        <v>36860</v>
      </c>
      <c r="C198">
        <v>4</v>
      </c>
      <c r="D198">
        <v>4</v>
      </c>
      <c r="F198">
        <v>197</v>
      </c>
      <c r="G198" cm="1">
        <f t="array" ref="G198">_xlfn.IFNA(INDEX($D$2:$D$4001,_xlfn.XMATCH(G$1&amp;"-"&amp;$F198,YEAR($B$2:$B$4001)&amp;"-"&amp;$A$2:$A$4001,0,-1)),9)</f>
        <v>9</v>
      </c>
      <c r="H198" cm="1">
        <f t="array" ref="H198">IF(OR(AND(G198=9,H$1&gt;YEAR($N198))),9,_xlfn.IFNA(INDEX($D$2:$D$4001,_xlfn.XMATCH(H$1&amp;"-"&amp;$F198,YEAR($B$2:$B$4001)&amp;"-"&amp;$A$2:$A$4001,0,-1)),G198))</f>
        <v>9</v>
      </c>
      <c r="I198" cm="1">
        <f t="array" ref="I198">IF(OR(AND(H198=9,I$1&gt;YEAR($N198))),9,_xlfn.IFNA(INDEX($D$2:$D$4001,_xlfn.XMATCH(I$1&amp;"-"&amp;$F198,YEAR($B$2:$B$4001)&amp;"-"&amp;$A$2:$A$4001,0,-1)),H198))</f>
        <v>9</v>
      </c>
      <c r="J198" cm="1">
        <f t="array" ref="J198">IF(OR(AND(I198=9,J$1&gt;YEAR($N198))),9,_xlfn.IFNA(INDEX($D$2:$D$4001,_xlfn.XMATCH(J$1&amp;"-"&amp;$F198,YEAR($B$2:$B$4001)&amp;"-"&amp;$A$2:$A$4001,0,-1)),I198))</f>
        <v>9</v>
      </c>
      <c r="K198" cm="1">
        <f t="array" ref="K198">IF(OR(AND(J198=9,K$1&gt;YEAR($N198))),9,_xlfn.IFNA(INDEX($D$2:$D$4001,_xlfn.XMATCH(K$1&amp;"-"&amp;$F198,YEAR($B$2:$B$4001)&amp;"-"&amp;$A$2:$A$4001,0,-1)),J198))</f>
        <v>2</v>
      </c>
      <c r="L198" cm="1">
        <f t="array" ref="L198">IF(OR(AND(K198=9,L$1&gt;YEAR($N198))),9,_xlfn.IFNA(INDEX($D$2:$D$4001,_xlfn.XMATCH(L$1&amp;"-"&amp;$F198,YEAR($B$2:$B$4001)&amp;"-"&amp;$A$2:$A$4001,0,-1)),K198))</f>
        <v>2</v>
      </c>
      <c r="M198" cm="1">
        <f t="array" ref="M198">IF(OR(AND(L198=9,M$1&gt;YEAR($N198))),9,_xlfn.IFNA(INDEX($D$2:$D$4001,_xlfn.XMATCH(M$1&amp;"-"&amp;$F198,YEAR($B$2:$B$4001)&amp;"-"&amp;$A$2:$A$4001,0,-1)),L198))</f>
        <v>2</v>
      </c>
      <c r="N198" s="1">
        <f t="shared" si="3"/>
        <v>37985</v>
      </c>
    </row>
    <row r="199" spans="1:14" x14ac:dyDescent="0.35">
      <c r="A199">
        <v>100</v>
      </c>
      <c r="B199" s="2">
        <v>37985</v>
      </c>
      <c r="C199">
        <v>3</v>
      </c>
      <c r="D199">
        <v>3</v>
      </c>
      <c r="F199">
        <v>198</v>
      </c>
      <c r="G199" cm="1">
        <f t="array" ref="G199">_xlfn.IFNA(INDEX($D$2:$D$4001,_xlfn.XMATCH(G$1&amp;"-"&amp;$F199,YEAR($B$2:$B$4001)&amp;"-"&amp;$A$2:$A$4001,0,-1)),9)</f>
        <v>4</v>
      </c>
      <c r="H199" cm="1">
        <f t="array" ref="H199">IF(OR(AND(G199=9,H$1&gt;YEAR($N199))),9,_xlfn.IFNA(INDEX($D$2:$D$4001,_xlfn.XMATCH(H$1&amp;"-"&amp;$F199,YEAR($B$2:$B$4001)&amp;"-"&amp;$A$2:$A$4001,0,-1)),G199))</f>
        <v>4</v>
      </c>
      <c r="I199" cm="1">
        <f t="array" ref="I199">IF(OR(AND(H199=9,I$1&gt;YEAR($N199))),9,_xlfn.IFNA(INDEX($D$2:$D$4001,_xlfn.XMATCH(I$1&amp;"-"&amp;$F199,YEAR($B$2:$B$4001)&amp;"-"&amp;$A$2:$A$4001,0,-1)),H199))</f>
        <v>4</v>
      </c>
      <c r="J199" cm="1">
        <f t="array" ref="J199">IF(OR(AND(I199=9,J$1&gt;YEAR($N199))),9,_xlfn.IFNA(INDEX($D$2:$D$4001,_xlfn.XMATCH(J$1&amp;"-"&amp;$F199,YEAR($B$2:$B$4001)&amp;"-"&amp;$A$2:$A$4001,0,-1)),I199))</f>
        <v>4</v>
      </c>
      <c r="K199" cm="1">
        <f t="array" ref="K199">IF(OR(AND(J199=9,K$1&gt;YEAR($N199))),9,_xlfn.IFNA(INDEX($D$2:$D$4001,_xlfn.XMATCH(K$1&amp;"-"&amp;$F199,YEAR($B$2:$B$4001)&amp;"-"&amp;$A$2:$A$4001,0,-1)),J199))</f>
        <v>5</v>
      </c>
      <c r="L199" cm="1">
        <f t="array" ref="L199">IF(OR(AND(K199=9,L$1&gt;YEAR($N199))),9,_xlfn.IFNA(INDEX($D$2:$D$4001,_xlfn.XMATCH(L$1&amp;"-"&amp;$F199,YEAR($B$2:$B$4001)&amp;"-"&amp;$A$2:$A$4001,0,-1)),K199))</f>
        <v>5</v>
      </c>
      <c r="M199" cm="1">
        <f t="array" ref="M199">IF(OR(AND(L199=9,M$1&gt;YEAR($N199))),9,_xlfn.IFNA(INDEX($D$2:$D$4001,_xlfn.XMATCH(M$1&amp;"-"&amp;$F199,YEAR($B$2:$B$4001)&amp;"-"&amp;$A$2:$A$4001,0,-1)),L199))</f>
        <v>5</v>
      </c>
      <c r="N199" s="1">
        <f t="shared" si="3"/>
        <v>36523</v>
      </c>
    </row>
    <row r="200" spans="1:14" x14ac:dyDescent="0.35">
      <c r="A200">
        <v>101</v>
      </c>
      <c r="B200" s="2">
        <v>37620</v>
      </c>
      <c r="C200">
        <v>3</v>
      </c>
      <c r="D200">
        <v>3</v>
      </c>
      <c r="F200">
        <v>199</v>
      </c>
      <c r="G200" cm="1">
        <f t="array" ref="G200">_xlfn.IFNA(INDEX($D$2:$D$4001,_xlfn.XMATCH(G$1&amp;"-"&amp;$F200,YEAR($B$2:$B$4001)&amp;"-"&amp;$A$2:$A$4001,0,-1)),9)</f>
        <v>9</v>
      </c>
      <c r="H200" cm="1">
        <f t="array" ref="H200">IF(OR(AND(G200=9,H$1&gt;YEAR($N200))),9,_xlfn.IFNA(INDEX($D$2:$D$4001,_xlfn.XMATCH(H$1&amp;"-"&amp;$F200,YEAR($B$2:$B$4001)&amp;"-"&amp;$A$2:$A$4001,0,-1)),G200))</f>
        <v>9</v>
      </c>
      <c r="I200" cm="1">
        <f t="array" ref="I200">IF(OR(AND(H200=9,I$1&gt;YEAR($N200))),9,_xlfn.IFNA(INDEX($D$2:$D$4001,_xlfn.XMATCH(I$1&amp;"-"&amp;$F200,YEAR($B$2:$B$4001)&amp;"-"&amp;$A$2:$A$4001,0,-1)),H200))</f>
        <v>9</v>
      </c>
      <c r="J200" cm="1">
        <f t="array" ref="J200">IF(OR(AND(I200=9,J$1&gt;YEAR($N200))),9,_xlfn.IFNA(INDEX($D$2:$D$4001,_xlfn.XMATCH(J$1&amp;"-"&amp;$F200,YEAR($B$2:$B$4001)&amp;"-"&amp;$A$2:$A$4001,0,-1)),I200))</f>
        <v>0</v>
      </c>
      <c r="K200" cm="1">
        <f t="array" ref="K200">IF(OR(AND(J200=9,K$1&gt;YEAR($N200))),9,_xlfn.IFNA(INDEX($D$2:$D$4001,_xlfn.XMATCH(K$1&amp;"-"&amp;$F200,YEAR($B$2:$B$4001)&amp;"-"&amp;$A$2:$A$4001,0,-1)),J200))</f>
        <v>0</v>
      </c>
      <c r="L200" cm="1">
        <f t="array" ref="L200">IF(OR(AND(K200=9,L$1&gt;YEAR($N200))),9,_xlfn.IFNA(INDEX($D$2:$D$4001,_xlfn.XMATCH(L$1&amp;"-"&amp;$F200,YEAR($B$2:$B$4001)&amp;"-"&amp;$A$2:$A$4001,0,-1)),K200))</f>
        <v>0</v>
      </c>
      <c r="M200" cm="1">
        <f t="array" ref="M200">IF(OR(AND(L200=9,M$1&gt;YEAR($N200))),9,_xlfn.IFNA(INDEX($D$2:$D$4001,_xlfn.XMATCH(M$1&amp;"-"&amp;$F200,YEAR($B$2:$B$4001)&amp;"-"&amp;$A$2:$A$4001,0,-1)),L200))</f>
        <v>0</v>
      </c>
      <c r="N200" s="1">
        <f t="shared" si="3"/>
        <v>37559</v>
      </c>
    </row>
    <row r="201" spans="1:14" x14ac:dyDescent="0.35">
      <c r="A201">
        <v>102</v>
      </c>
      <c r="B201" s="2">
        <v>37832</v>
      </c>
      <c r="C201">
        <v>0</v>
      </c>
      <c r="D201">
        <v>0</v>
      </c>
      <c r="F201">
        <v>200</v>
      </c>
      <c r="G201" cm="1">
        <f t="array" ref="G201">_xlfn.IFNA(INDEX($D$2:$D$4001,_xlfn.XMATCH(G$1&amp;"-"&amp;$F201,YEAR($B$2:$B$4001)&amp;"-"&amp;$A$2:$A$4001,0,-1)),9)</f>
        <v>4</v>
      </c>
      <c r="H201" cm="1">
        <f t="array" ref="H201">IF(OR(AND(G201=9,H$1&gt;YEAR($N201))),9,_xlfn.IFNA(INDEX($D$2:$D$4001,_xlfn.XMATCH(H$1&amp;"-"&amp;$F201,YEAR($B$2:$B$4001)&amp;"-"&amp;$A$2:$A$4001,0,-1)),G201))</f>
        <v>4</v>
      </c>
      <c r="I201" cm="1">
        <f t="array" ref="I201">IF(OR(AND(H201=9,I$1&gt;YEAR($N201))),9,_xlfn.IFNA(INDEX($D$2:$D$4001,_xlfn.XMATCH(I$1&amp;"-"&amp;$F201,YEAR($B$2:$B$4001)&amp;"-"&amp;$A$2:$A$4001,0,-1)),H201))</f>
        <v>4</v>
      </c>
      <c r="J201" cm="1">
        <f t="array" ref="J201">IF(OR(AND(I201=9,J$1&gt;YEAR($N201))),9,_xlfn.IFNA(INDEX($D$2:$D$4001,_xlfn.XMATCH(J$1&amp;"-"&amp;$F201,YEAR($B$2:$B$4001)&amp;"-"&amp;$A$2:$A$4001,0,-1)),I201))</f>
        <v>4</v>
      </c>
      <c r="K201" cm="1">
        <f t="array" ref="K201">IF(OR(AND(J201=9,K$1&gt;YEAR($N201))),9,_xlfn.IFNA(INDEX($D$2:$D$4001,_xlfn.XMATCH(K$1&amp;"-"&amp;$F201,YEAR($B$2:$B$4001)&amp;"-"&amp;$A$2:$A$4001,0,-1)),J201))</f>
        <v>4</v>
      </c>
      <c r="L201" cm="1">
        <f t="array" ref="L201">IF(OR(AND(K201=9,L$1&gt;YEAR($N201))),9,_xlfn.IFNA(INDEX($D$2:$D$4001,_xlfn.XMATCH(L$1&amp;"-"&amp;$F201,YEAR($B$2:$B$4001)&amp;"-"&amp;$A$2:$A$4001,0,-1)),K201))</f>
        <v>4</v>
      </c>
      <c r="M201" cm="1">
        <f t="array" ref="M201">IF(OR(AND(L201=9,M$1&gt;YEAR($N201))),9,_xlfn.IFNA(INDEX($D$2:$D$4001,_xlfn.XMATCH(M$1&amp;"-"&amp;$F201,YEAR($B$2:$B$4001)&amp;"-"&amp;$A$2:$A$4001,0,-1)),L201))</f>
        <v>4</v>
      </c>
      <c r="N201" s="1">
        <f t="shared" si="3"/>
        <v>36310</v>
      </c>
    </row>
    <row r="202" spans="1:14" x14ac:dyDescent="0.35">
      <c r="A202">
        <v>103</v>
      </c>
      <c r="B202" s="2">
        <v>36310</v>
      </c>
      <c r="C202">
        <v>3</v>
      </c>
      <c r="D202">
        <v>3</v>
      </c>
      <c r="F202">
        <v>201</v>
      </c>
      <c r="G202" cm="1">
        <f t="array" ref="G202">_xlfn.IFNA(INDEX($D$2:$D$4001,_xlfn.XMATCH(G$1&amp;"-"&amp;$F202,YEAR($B$2:$B$4001)&amp;"-"&amp;$A$2:$A$4001,0,-1)),9)</f>
        <v>9</v>
      </c>
      <c r="H202" cm="1">
        <f t="array" ref="H202">IF(OR(AND(G202=9,H$1&gt;YEAR($N202))),9,_xlfn.IFNA(INDEX($D$2:$D$4001,_xlfn.XMATCH(H$1&amp;"-"&amp;$F202,YEAR($B$2:$B$4001)&amp;"-"&amp;$A$2:$A$4001,0,-1)),G202))</f>
        <v>9</v>
      </c>
      <c r="I202" cm="1">
        <f t="array" ref="I202">IF(OR(AND(H202=9,I$1&gt;YEAR($N202))),9,_xlfn.IFNA(INDEX($D$2:$D$4001,_xlfn.XMATCH(I$1&amp;"-"&amp;$F202,YEAR($B$2:$B$4001)&amp;"-"&amp;$A$2:$A$4001,0,-1)),H202))</f>
        <v>9</v>
      </c>
      <c r="J202" cm="1">
        <f t="array" ref="J202">IF(OR(AND(I202=9,J$1&gt;YEAR($N202))),9,_xlfn.IFNA(INDEX($D$2:$D$4001,_xlfn.XMATCH(J$1&amp;"-"&amp;$F202,YEAR($B$2:$B$4001)&amp;"-"&amp;$A$2:$A$4001,0,-1)),I202))</f>
        <v>9</v>
      </c>
      <c r="K202" cm="1">
        <f t="array" ref="K202">IF(OR(AND(J202=9,K$1&gt;YEAR($N202))),9,_xlfn.IFNA(INDEX($D$2:$D$4001,_xlfn.XMATCH(K$1&amp;"-"&amp;$F202,YEAR($B$2:$B$4001)&amp;"-"&amp;$A$2:$A$4001,0,-1)),J202))</f>
        <v>9</v>
      </c>
      <c r="L202" cm="1">
        <f t="array" ref="L202">IF(OR(AND(K202=9,L$1&gt;YEAR($N202))),9,_xlfn.IFNA(INDEX($D$2:$D$4001,_xlfn.XMATCH(L$1&amp;"-"&amp;$F202,YEAR($B$2:$B$4001)&amp;"-"&amp;$A$2:$A$4001,0,-1)),K202))</f>
        <v>4</v>
      </c>
      <c r="M202" cm="1">
        <f t="array" ref="M202">IF(OR(AND(L202=9,M$1&gt;YEAR($N202))),9,_xlfn.IFNA(INDEX($D$2:$D$4001,_xlfn.XMATCH(M$1&amp;"-"&amp;$F202,YEAR($B$2:$B$4001)&amp;"-"&amp;$A$2:$A$4001,0,-1)),L202))</f>
        <v>4</v>
      </c>
      <c r="N202" s="1">
        <f t="shared" si="3"/>
        <v>38351</v>
      </c>
    </row>
    <row r="203" spans="1:14" x14ac:dyDescent="0.35">
      <c r="A203">
        <v>103</v>
      </c>
      <c r="B203" s="2">
        <v>36494</v>
      </c>
      <c r="C203">
        <v>0</v>
      </c>
      <c r="D203">
        <v>0</v>
      </c>
      <c r="F203">
        <v>202</v>
      </c>
      <c r="G203" cm="1">
        <f t="array" ref="G203">_xlfn.IFNA(INDEX($D$2:$D$4001,_xlfn.XMATCH(G$1&amp;"-"&amp;$F203,YEAR($B$2:$B$4001)&amp;"-"&amp;$A$2:$A$4001,0,-1)),9)</f>
        <v>5</v>
      </c>
      <c r="H203" cm="1">
        <f t="array" ref="H203">IF(OR(AND(G203=9,H$1&gt;YEAR($N203))),9,_xlfn.IFNA(INDEX($D$2:$D$4001,_xlfn.XMATCH(H$1&amp;"-"&amp;$F203,YEAR($B$2:$B$4001)&amp;"-"&amp;$A$2:$A$4001,0,-1)),G203))</f>
        <v>5</v>
      </c>
      <c r="I203" cm="1">
        <f t="array" ref="I203">IF(OR(AND(H203=9,I$1&gt;YEAR($N203))),9,_xlfn.IFNA(INDEX($D$2:$D$4001,_xlfn.XMATCH(I$1&amp;"-"&amp;$F203,YEAR($B$2:$B$4001)&amp;"-"&amp;$A$2:$A$4001,0,-1)),H203))</f>
        <v>5</v>
      </c>
      <c r="J203" cm="1">
        <f t="array" ref="J203">IF(OR(AND(I203=9,J$1&gt;YEAR($N203))),9,_xlfn.IFNA(INDEX($D$2:$D$4001,_xlfn.XMATCH(J$1&amp;"-"&amp;$F203,YEAR($B$2:$B$4001)&amp;"-"&amp;$A$2:$A$4001,0,-1)),I203))</f>
        <v>5</v>
      </c>
      <c r="K203" cm="1">
        <f t="array" ref="K203">IF(OR(AND(J203=9,K$1&gt;YEAR($N203))),9,_xlfn.IFNA(INDEX($D$2:$D$4001,_xlfn.XMATCH(K$1&amp;"-"&amp;$F203,YEAR($B$2:$B$4001)&amp;"-"&amp;$A$2:$A$4001,0,-1)),J203))</f>
        <v>5</v>
      </c>
      <c r="L203" cm="1">
        <f t="array" ref="L203">IF(OR(AND(K203=9,L$1&gt;YEAR($N203))),9,_xlfn.IFNA(INDEX($D$2:$D$4001,_xlfn.XMATCH(L$1&amp;"-"&amp;$F203,YEAR($B$2:$B$4001)&amp;"-"&amp;$A$2:$A$4001,0,-1)),K203))</f>
        <v>5</v>
      </c>
      <c r="M203" cm="1">
        <f t="array" ref="M203">IF(OR(AND(L203=9,M$1&gt;YEAR($N203))),9,_xlfn.IFNA(INDEX($D$2:$D$4001,_xlfn.XMATCH(M$1&amp;"-"&amp;$F203,YEAR($B$2:$B$4001)&amp;"-"&amp;$A$2:$A$4001,0,-1)),L203))</f>
        <v>5</v>
      </c>
      <c r="N203" s="1">
        <f t="shared" si="3"/>
        <v>36332</v>
      </c>
    </row>
    <row r="204" spans="1:14" x14ac:dyDescent="0.35">
      <c r="A204">
        <v>104</v>
      </c>
      <c r="B204" s="2">
        <v>36524</v>
      </c>
      <c r="C204">
        <v>3</v>
      </c>
      <c r="D204">
        <v>3</v>
      </c>
      <c r="F204">
        <v>203</v>
      </c>
      <c r="G204" cm="1">
        <f t="array" ref="G204">_xlfn.IFNA(INDEX($D$2:$D$4001,_xlfn.XMATCH(G$1&amp;"-"&amp;$F204,YEAR($B$2:$B$4001)&amp;"-"&amp;$A$2:$A$4001,0,-1)),9)</f>
        <v>9</v>
      </c>
      <c r="H204" cm="1">
        <f t="array" ref="H204">IF(OR(AND(G204=9,H$1&gt;YEAR($N204))),9,_xlfn.IFNA(INDEX($D$2:$D$4001,_xlfn.XMATCH(H$1&amp;"-"&amp;$F204,YEAR($B$2:$B$4001)&amp;"-"&amp;$A$2:$A$4001,0,-1)),G204))</f>
        <v>9</v>
      </c>
      <c r="I204" cm="1">
        <f t="array" ref="I204">IF(OR(AND(H204=9,I$1&gt;YEAR($N204))),9,_xlfn.IFNA(INDEX($D$2:$D$4001,_xlfn.XMATCH(I$1&amp;"-"&amp;$F204,YEAR($B$2:$B$4001)&amp;"-"&amp;$A$2:$A$4001,0,-1)),H204))</f>
        <v>9</v>
      </c>
      <c r="J204" cm="1">
        <f t="array" ref="J204">IF(OR(AND(I204=9,J$1&gt;YEAR($N204))),9,_xlfn.IFNA(INDEX($D$2:$D$4001,_xlfn.XMATCH(J$1&amp;"-"&amp;$F204,YEAR($B$2:$B$4001)&amp;"-"&amp;$A$2:$A$4001,0,-1)),I204))</f>
        <v>9</v>
      </c>
      <c r="K204" cm="1">
        <f t="array" ref="K204">IF(OR(AND(J204=9,K$1&gt;YEAR($N204))),9,_xlfn.IFNA(INDEX($D$2:$D$4001,_xlfn.XMATCH(K$1&amp;"-"&amp;$F204,YEAR($B$2:$B$4001)&amp;"-"&amp;$A$2:$A$4001,0,-1)),J204))</f>
        <v>6</v>
      </c>
      <c r="L204" cm="1">
        <f t="array" ref="L204">IF(OR(AND(K204=9,L$1&gt;YEAR($N204))),9,_xlfn.IFNA(INDEX($D$2:$D$4001,_xlfn.XMATCH(L$1&amp;"-"&amp;$F204,YEAR($B$2:$B$4001)&amp;"-"&amp;$A$2:$A$4001,0,-1)),K204))</f>
        <v>6</v>
      </c>
      <c r="M204" cm="1">
        <f t="array" ref="M204">IF(OR(AND(L204=9,M$1&gt;YEAR($N204))),9,_xlfn.IFNA(INDEX($D$2:$D$4001,_xlfn.XMATCH(M$1&amp;"-"&amp;$F204,YEAR($B$2:$B$4001)&amp;"-"&amp;$A$2:$A$4001,0,-1)),L204))</f>
        <v>6</v>
      </c>
      <c r="N204" s="1">
        <f t="shared" si="3"/>
        <v>37771</v>
      </c>
    </row>
    <row r="205" spans="1:14" x14ac:dyDescent="0.35">
      <c r="A205">
        <v>104</v>
      </c>
      <c r="B205" s="2">
        <v>37620</v>
      </c>
      <c r="C205">
        <v>0</v>
      </c>
      <c r="D205">
        <v>0</v>
      </c>
      <c r="F205">
        <v>204</v>
      </c>
      <c r="G205" cm="1">
        <f t="array" ref="G205">_xlfn.IFNA(INDEX($D$2:$D$4001,_xlfn.XMATCH(G$1&amp;"-"&amp;$F205,YEAR($B$2:$B$4001)&amp;"-"&amp;$A$2:$A$4001,0,-1)),9)</f>
        <v>9</v>
      </c>
      <c r="H205" cm="1">
        <f t="array" ref="H205">IF(OR(AND(G205=9,H$1&gt;YEAR($N205))),9,_xlfn.IFNA(INDEX($D$2:$D$4001,_xlfn.XMATCH(H$1&amp;"-"&amp;$F205,YEAR($B$2:$B$4001)&amp;"-"&amp;$A$2:$A$4001,0,-1)),G205))</f>
        <v>9</v>
      </c>
      <c r="I205" cm="1">
        <f t="array" ref="I205">IF(OR(AND(H205=9,I$1&gt;YEAR($N205))),9,_xlfn.IFNA(INDEX($D$2:$D$4001,_xlfn.XMATCH(I$1&amp;"-"&amp;$F205,YEAR($B$2:$B$4001)&amp;"-"&amp;$A$2:$A$4001,0,-1)),H205))</f>
        <v>3</v>
      </c>
      <c r="J205" cm="1">
        <f t="array" ref="J205">IF(OR(AND(I205=9,J$1&gt;YEAR($N205))),9,_xlfn.IFNA(INDEX($D$2:$D$4001,_xlfn.XMATCH(J$1&amp;"-"&amp;$F205,YEAR($B$2:$B$4001)&amp;"-"&amp;$A$2:$A$4001,0,-1)),I205))</f>
        <v>4</v>
      </c>
      <c r="K205" cm="1">
        <f t="array" ref="K205">IF(OR(AND(J205=9,K$1&gt;YEAR($N205))),9,_xlfn.IFNA(INDEX($D$2:$D$4001,_xlfn.XMATCH(K$1&amp;"-"&amp;$F205,YEAR($B$2:$B$4001)&amp;"-"&amp;$A$2:$A$4001,0,-1)),J205))</f>
        <v>4</v>
      </c>
      <c r="L205" cm="1">
        <f t="array" ref="L205">IF(OR(AND(K205=9,L$1&gt;YEAR($N205))),9,_xlfn.IFNA(INDEX($D$2:$D$4001,_xlfn.XMATCH(L$1&amp;"-"&amp;$F205,YEAR($B$2:$B$4001)&amp;"-"&amp;$A$2:$A$4001,0,-1)),K205))</f>
        <v>0</v>
      </c>
      <c r="M205" cm="1">
        <f t="array" ref="M205">IF(OR(AND(L205=9,M$1&gt;YEAR($N205))),9,_xlfn.IFNA(INDEX($D$2:$D$4001,_xlfn.XMATCH(M$1&amp;"-"&amp;$F205,YEAR($B$2:$B$4001)&amp;"-"&amp;$A$2:$A$4001,0,-1)),L205))</f>
        <v>0</v>
      </c>
      <c r="N205" s="1">
        <f t="shared" si="3"/>
        <v>37124</v>
      </c>
    </row>
    <row r="206" spans="1:14" x14ac:dyDescent="0.35">
      <c r="A206">
        <v>105</v>
      </c>
      <c r="B206" s="2">
        <v>36524</v>
      </c>
      <c r="C206">
        <v>3</v>
      </c>
      <c r="D206">
        <v>3</v>
      </c>
      <c r="F206">
        <v>205</v>
      </c>
      <c r="G206" cm="1">
        <f t="array" ref="G206">_xlfn.IFNA(INDEX($D$2:$D$4001,_xlfn.XMATCH(G$1&amp;"-"&amp;$F206,YEAR($B$2:$B$4001)&amp;"-"&amp;$A$2:$A$4001,0,-1)),9)</f>
        <v>9</v>
      </c>
      <c r="H206" cm="1">
        <f t="array" ref="H206">IF(OR(AND(G206=9,H$1&gt;YEAR($N206))),9,_xlfn.IFNA(INDEX($D$2:$D$4001,_xlfn.XMATCH(H$1&amp;"-"&amp;$F206,YEAR($B$2:$B$4001)&amp;"-"&amp;$A$2:$A$4001,0,-1)),G206))</f>
        <v>9</v>
      </c>
      <c r="I206" cm="1">
        <f t="array" ref="I206">IF(OR(AND(H206=9,I$1&gt;YEAR($N206))),9,_xlfn.IFNA(INDEX($D$2:$D$4001,_xlfn.XMATCH(I$1&amp;"-"&amp;$F206,YEAR($B$2:$B$4001)&amp;"-"&amp;$A$2:$A$4001,0,-1)),H206))</f>
        <v>9</v>
      </c>
      <c r="J206" cm="1">
        <f t="array" ref="J206">IF(OR(AND(I206=9,J$1&gt;YEAR($N206))),9,_xlfn.IFNA(INDEX($D$2:$D$4001,_xlfn.XMATCH(J$1&amp;"-"&amp;$F206,YEAR($B$2:$B$4001)&amp;"-"&amp;$A$2:$A$4001,0,-1)),I206))</f>
        <v>0</v>
      </c>
      <c r="K206" cm="1">
        <f t="array" ref="K206">IF(OR(AND(J206=9,K$1&gt;YEAR($N206))),9,_xlfn.IFNA(INDEX($D$2:$D$4001,_xlfn.XMATCH(K$1&amp;"-"&amp;$F206,YEAR($B$2:$B$4001)&amp;"-"&amp;$A$2:$A$4001,0,-1)),J206))</f>
        <v>0</v>
      </c>
      <c r="L206" cm="1">
        <f t="array" ref="L206">IF(OR(AND(K206=9,L$1&gt;YEAR($N206))),9,_xlfn.IFNA(INDEX($D$2:$D$4001,_xlfn.XMATCH(L$1&amp;"-"&amp;$F206,YEAR($B$2:$B$4001)&amp;"-"&amp;$A$2:$A$4001,0,-1)),K206))</f>
        <v>0</v>
      </c>
      <c r="M206" cm="1">
        <f t="array" ref="M206">IF(OR(AND(L206=9,M$1&gt;YEAR($N206))),9,_xlfn.IFNA(INDEX($D$2:$D$4001,_xlfn.XMATCH(M$1&amp;"-"&amp;$F206,YEAR($B$2:$B$4001)&amp;"-"&amp;$A$2:$A$4001,0,-1)),L206))</f>
        <v>0</v>
      </c>
      <c r="N206" s="1">
        <f t="shared" si="3"/>
        <v>37437</v>
      </c>
    </row>
    <row r="207" spans="1:14" x14ac:dyDescent="0.35">
      <c r="A207">
        <v>106</v>
      </c>
      <c r="B207" s="2">
        <v>37529</v>
      </c>
      <c r="C207">
        <v>4</v>
      </c>
      <c r="D207">
        <v>4</v>
      </c>
      <c r="F207">
        <v>206</v>
      </c>
      <c r="G207" cm="1">
        <f t="array" ref="G207">_xlfn.IFNA(INDEX($D$2:$D$4001,_xlfn.XMATCH(G$1&amp;"-"&amp;$F207,YEAR($B$2:$B$4001)&amp;"-"&amp;$A$2:$A$4001,0,-1)),9)</f>
        <v>9</v>
      </c>
      <c r="H207" cm="1">
        <f t="array" ref="H207">IF(OR(AND(G207=9,H$1&gt;YEAR($N207))),9,_xlfn.IFNA(INDEX($D$2:$D$4001,_xlfn.XMATCH(H$1&amp;"-"&amp;$F207,YEAR($B$2:$B$4001)&amp;"-"&amp;$A$2:$A$4001,0,-1)),G207))</f>
        <v>4</v>
      </c>
      <c r="I207" cm="1">
        <f t="array" ref="I207">IF(OR(AND(H207=9,I$1&gt;YEAR($N207))),9,_xlfn.IFNA(INDEX($D$2:$D$4001,_xlfn.XMATCH(I$1&amp;"-"&amp;$F207,YEAR($B$2:$B$4001)&amp;"-"&amp;$A$2:$A$4001,0,-1)),H207))</f>
        <v>4</v>
      </c>
      <c r="J207" cm="1">
        <f t="array" ref="J207">IF(OR(AND(I207=9,J$1&gt;YEAR($N207))),9,_xlfn.IFNA(INDEX($D$2:$D$4001,_xlfn.XMATCH(J$1&amp;"-"&amp;$F207,YEAR($B$2:$B$4001)&amp;"-"&amp;$A$2:$A$4001,0,-1)),I207))</f>
        <v>4</v>
      </c>
      <c r="K207" cm="1">
        <f t="array" ref="K207">IF(OR(AND(J207=9,K$1&gt;YEAR($N207))),9,_xlfn.IFNA(INDEX($D$2:$D$4001,_xlfn.XMATCH(K$1&amp;"-"&amp;$F207,YEAR($B$2:$B$4001)&amp;"-"&amp;$A$2:$A$4001,0,-1)),J207))</f>
        <v>4</v>
      </c>
      <c r="L207" cm="1">
        <f t="array" ref="L207">IF(OR(AND(K207=9,L$1&gt;YEAR($N207))),9,_xlfn.IFNA(INDEX($D$2:$D$4001,_xlfn.XMATCH(L$1&amp;"-"&amp;$F207,YEAR($B$2:$B$4001)&amp;"-"&amp;$A$2:$A$4001,0,-1)),K207))</f>
        <v>5</v>
      </c>
      <c r="M207" cm="1">
        <f t="array" ref="M207">IF(OR(AND(L207=9,M$1&gt;YEAR($N207))),9,_xlfn.IFNA(INDEX($D$2:$D$4001,_xlfn.XMATCH(M$1&amp;"-"&amp;$F207,YEAR($B$2:$B$4001)&amp;"-"&amp;$A$2:$A$4001,0,-1)),L207))</f>
        <v>5</v>
      </c>
      <c r="N207" s="1">
        <f t="shared" si="3"/>
        <v>36698</v>
      </c>
    </row>
    <row r="208" spans="1:14" x14ac:dyDescent="0.35">
      <c r="A208">
        <v>106</v>
      </c>
      <c r="B208" s="2">
        <v>37771</v>
      </c>
      <c r="C208">
        <v>6</v>
      </c>
      <c r="D208">
        <v>6</v>
      </c>
      <c r="F208">
        <v>207</v>
      </c>
      <c r="G208" cm="1">
        <f t="array" ref="G208">_xlfn.IFNA(INDEX($D$2:$D$4001,_xlfn.XMATCH(G$1&amp;"-"&amp;$F208,YEAR($B$2:$B$4001)&amp;"-"&amp;$A$2:$A$4001,0,-1)),9)</f>
        <v>9</v>
      </c>
      <c r="H208" cm="1">
        <f t="array" ref="H208">IF(OR(AND(G208=9,H$1&gt;YEAR($N208))),9,_xlfn.IFNA(INDEX($D$2:$D$4001,_xlfn.XMATCH(H$1&amp;"-"&amp;$F208,YEAR($B$2:$B$4001)&amp;"-"&amp;$A$2:$A$4001,0,-1)),G208))</f>
        <v>9</v>
      </c>
      <c r="I208" cm="1">
        <f t="array" ref="I208">IF(OR(AND(H208=9,I$1&gt;YEAR($N208))),9,_xlfn.IFNA(INDEX($D$2:$D$4001,_xlfn.XMATCH(I$1&amp;"-"&amp;$F208,YEAR($B$2:$B$4001)&amp;"-"&amp;$A$2:$A$4001,0,-1)),H208))</f>
        <v>1</v>
      </c>
      <c r="J208" cm="1">
        <f t="array" ref="J208">IF(OR(AND(I208=9,J$1&gt;YEAR($N208))),9,_xlfn.IFNA(INDEX($D$2:$D$4001,_xlfn.XMATCH(J$1&amp;"-"&amp;$F208,YEAR($B$2:$B$4001)&amp;"-"&amp;$A$2:$A$4001,0,-1)),I208))</f>
        <v>0</v>
      </c>
      <c r="K208" cm="1">
        <f t="array" ref="K208">IF(OR(AND(J208=9,K$1&gt;YEAR($N208))),9,_xlfn.IFNA(INDEX($D$2:$D$4001,_xlfn.XMATCH(K$1&amp;"-"&amp;$F208,YEAR($B$2:$B$4001)&amp;"-"&amp;$A$2:$A$4001,0,-1)),J208))</f>
        <v>0</v>
      </c>
      <c r="L208" cm="1">
        <f t="array" ref="L208">IF(OR(AND(K208=9,L$1&gt;YEAR($N208))),9,_xlfn.IFNA(INDEX($D$2:$D$4001,_xlfn.XMATCH(L$1&amp;"-"&amp;$F208,YEAR($B$2:$B$4001)&amp;"-"&amp;$A$2:$A$4001,0,-1)),K208))</f>
        <v>0</v>
      </c>
      <c r="M208" cm="1">
        <f t="array" ref="M208">IF(OR(AND(L208=9,M$1&gt;YEAR($N208))),9,_xlfn.IFNA(INDEX($D$2:$D$4001,_xlfn.XMATCH(M$1&amp;"-"&amp;$F208,YEAR($B$2:$B$4001)&amp;"-"&amp;$A$2:$A$4001,0,-1)),L208))</f>
        <v>0</v>
      </c>
      <c r="N208" s="1">
        <f t="shared" si="3"/>
        <v>37246</v>
      </c>
    </row>
    <row r="209" spans="1:14" x14ac:dyDescent="0.35">
      <c r="A209">
        <v>106</v>
      </c>
      <c r="B209" s="2">
        <v>37955</v>
      </c>
      <c r="C209">
        <v>5</v>
      </c>
      <c r="D209">
        <v>5</v>
      </c>
      <c r="F209">
        <v>208</v>
      </c>
      <c r="G209" cm="1">
        <f t="array" ref="G209">_xlfn.IFNA(INDEX($D$2:$D$4001,_xlfn.XMATCH(G$1&amp;"-"&amp;$F209,YEAR($B$2:$B$4001)&amp;"-"&amp;$A$2:$A$4001,0,-1)),9)</f>
        <v>9</v>
      </c>
      <c r="H209" cm="1">
        <f t="array" ref="H209">IF(OR(AND(G209=9,H$1&gt;YEAR($N209))),9,_xlfn.IFNA(INDEX($D$2:$D$4001,_xlfn.XMATCH(H$1&amp;"-"&amp;$F209,YEAR($B$2:$B$4001)&amp;"-"&amp;$A$2:$A$4001,0,-1)),G209))</f>
        <v>9</v>
      </c>
      <c r="I209" cm="1">
        <f t="array" ref="I209">IF(OR(AND(H209=9,I$1&gt;YEAR($N209))),9,_xlfn.IFNA(INDEX($D$2:$D$4001,_xlfn.XMATCH(I$1&amp;"-"&amp;$F209,YEAR($B$2:$B$4001)&amp;"-"&amp;$A$2:$A$4001,0,-1)),H209))</f>
        <v>9</v>
      </c>
      <c r="J209" cm="1">
        <f t="array" ref="J209">IF(OR(AND(I209=9,J$1&gt;YEAR($N209))),9,_xlfn.IFNA(INDEX($D$2:$D$4001,_xlfn.XMATCH(J$1&amp;"-"&amp;$F209,YEAR($B$2:$B$4001)&amp;"-"&amp;$A$2:$A$4001,0,-1)),I209))</f>
        <v>5</v>
      </c>
      <c r="K209" cm="1">
        <f t="array" ref="K209">IF(OR(AND(J209=9,K$1&gt;YEAR($N209))),9,_xlfn.IFNA(INDEX($D$2:$D$4001,_xlfn.XMATCH(K$1&amp;"-"&amp;$F209,YEAR($B$2:$B$4001)&amp;"-"&amp;$A$2:$A$4001,0,-1)),J209))</f>
        <v>5</v>
      </c>
      <c r="L209" cm="1">
        <f t="array" ref="L209">IF(OR(AND(K209=9,L$1&gt;YEAR($N209))),9,_xlfn.IFNA(INDEX($D$2:$D$4001,_xlfn.XMATCH(L$1&amp;"-"&amp;$F209,YEAR($B$2:$B$4001)&amp;"-"&amp;$A$2:$A$4001,0,-1)),K209))</f>
        <v>5</v>
      </c>
      <c r="M209" cm="1">
        <f t="array" ref="M209">IF(OR(AND(L209=9,M$1&gt;YEAR($N209))),9,_xlfn.IFNA(INDEX($D$2:$D$4001,_xlfn.XMATCH(M$1&amp;"-"&amp;$F209,YEAR($B$2:$B$4001)&amp;"-"&amp;$A$2:$A$4001,0,-1)),L209))</f>
        <v>5</v>
      </c>
      <c r="N209" s="1">
        <f t="shared" si="3"/>
        <v>37428</v>
      </c>
    </row>
    <row r="210" spans="1:14" x14ac:dyDescent="0.35">
      <c r="A210">
        <v>107</v>
      </c>
      <c r="B210" s="2">
        <v>36301</v>
      </c>
      <c r="C210">
        <v>4</v>
      </c>
      <c r="D210">
        <v>4</v>
      </c>
      <c r="F210">
        <v>209</v>
      </c>
      <c r="G210" cm="1">
        <f t="array" ref="G210">_xlfn.IFNA(INDEX($D$2:$D$4001,_xlfn.XMATCH(G$1&amp;"-"&amp;$F210,YEAR($B$2:$B$4001)&amp;"-"&amp;$A$2:$A$4001,0,-1)),9)</f>
        <v>9</v>
      </c>
      <c r="H210" cm="1">
        <f t="array" ref="H210">IF(OR(AND(G210=9,H$1&gt;YEAR($N210))),9,_xlfn.IFNA(INDEX($D$2:$D$4001,_xlfn.XMATCH(H$1&amp;"-"&amp;$F210,YEAR($B$2:$B$4001)&amp;"-"&amp;$A$2:$A$4001,0,-1)),G210))</f>
        <v>9</v>
      </c>
      <c r="I210" cm="1">
        <f t="array" ref="I210">IF(OR(AND(H210=9,I$1&gt;YEAR($N210))),9,_xlfn.IFNA(INDEX($D$2:$D$4001,_xlfn.XMATCH(I$1&amp;"-"&amp;$F210,YEAR($B$2:$B$4001)&amp;"-"&amp;$A$2:$A$4001,0,-1)),H210))</f>
        <v>0</v>
      </c>
      <c r="J210" cm="1">
        <f t="array" ref="J210">IF(OR(AND(I210=9,J$1&gt;YEAR($N210))),9,_xlfn.IFNA(INDEX($D$2:$D$4001,_xlfn.XMATCH(J$1&amp;"-"&amp;$F210,YEAR($B$2:$B$4001)&amp;"-"&amp;$A$2:$A$4001,0,-1)),I210))</f>
        <v>0</v>
      </c>
      <c r="K210" cm="1">
        <f t="array" ref="K210">IF(OR(AND(J210=9,K$1&gt;YEAR($N210))),9,_xlfn.IFNA(INDEX($D$2:$D$4001,_xlfn.XMATCH(K$1&amp;"-"&amp;$F210,YEAR($B$2:$B$4001)&amp;"-"&amp;$A$2:$A$4001,0,-1)),J210))</f>
        <v>0</v>
      </c>
      <c r="L210" cm="1">
        <f t="array" ref="L210">IF(OR(AND(K210=9,L$1&gt;YEAR($N210))),9,_xlfn.IFNA(INDEX($D$2:$D$4001,_xlfn.XMATCH(L$1&amp;"-"&amp;$F210,YEAR($B$2:$B$4001)&amp;"-"&amp;$A$2:$A$4001,0,-1)),K210))</f>
        <v>0</v>
      </c>
      <c r="M210" cm="1">
        <f t="array" ref="M210">IF(OR(AND(L210=9,M$1&gt;YEAR($N210))),9,_xlfn.IFNA(INDEX($D$2:$D$4001,_xlfn.XMATCH(M$1&amp;"-"&amp;$F210,YEAR($B$2:$B$4001)&amp;"-"&amp;$A$2:$A$4001,0,-1)),L210))</f>
        <v>0</v>
      </c>
      <c r="N210" s="1">
        <f t="shared" si="3"/>
        <v>37032</v>
      </c>
    </row>
    <row r="211" spans="1:14" x14ac:dyDescent="0.35">
      <c r="A211">
        <v>107</v>
      </c>
      <c r="B211" s="2">
        <v>37032</v>
      </c>
      <c r="C211">
        <v>4</v>
      </c>
      <c r="D211">
        <v>4</v>
      </c>
      <c r="F211">
        <v>210</v>
      </c>
      <c r="G211" cm="1">
        <f t="array" ref="G211">_xlfn.IFNA(INDEX($D$2:$D$4001,_xlfn.XMATCH(G$1&amp;"-"&amp;$F211,YEAR($B$2:$B$4001)&amp;"-"&amp;$A$2:$A$4001,0,-1)),9)</f>
        <v>9</v>
      </c>
      <c r="H211" cm="1">
        <f t="array" ref="H211">IF(OR(AND(G211=9,H$1&gt;YEAR($N211))),9,_xlfn.IFNA(INDEX($D$2:$D$4001,_xlfn.XMATCH(H$1&amp;"-"&amp;$F211,YEAR($B$2:$B$4001)&amp;"-"&amp;$A$2:$A$4001,0,-1)),G211))</f>
        <v>9</v>
      </c>
      <c r="I211" cm="1">
        <f t="array" ref="I211">IF(OR(AND(H211=9,I$1&gt;YEAR($N211))),9,_xlfn.IFNA(INDEX($D$2:$D$4001,_xlfn.XMATCH(I$1&amp;"-"&amp;$F211,YEAR($B$2:$B$4001)&amp;"-"&amp;$A$2:$A$4001,0,-1)),H211))</f>
        <v>9</v>
      </c>
      <c r="J211" cm="1">
        <f t="array" ref="J211">IF(OR(AND(I211=9,J$1&gt;YEAR($N211))),9,_xlfn.IFNA(INDEX($D$2:$D$4001,_xlfn.XMATCH(J$1&amp;"-"&amp;$F211,YEAR($B$2:$B$4001)&amp;"-"&amp;$A$2:$A$4001,0,-1)),I211))</f>
        <v>9</v>
      </c>
      <c r="K211" cm="1">
        <f t="array" ref="K211">IF(OR(AND(J211=9,K$1&gt;YEAR($N211))),9,_xlfn.IFNA(INDEX($D$2:$D$4001,_xlfn.XMATCH(K$1&amp;"-"&amp;$F211,YEAR($B$2:$B$4001)&amp;"-"&amp;$A$2:$A$4001,0,-1)),J211))</f>
        <v>9</v>
      </c>
      <c r="L211" cm="1">
        <f t="array" ref="L211">IF(OR(AND(K211=9,L$1&gt;YEAR($N211))),9,_xlfn.IFNA(INDEX($D$2:$D$4001,_xlfn.XMATCH(L$1&amp;"-"&amp;$F211,YEAR($B$2:$B$4001)&amp;"-"&amp;$A$2:$A$4001,0,-1)),K211))</f>
        <v>0</v>
      </c>
      <c r="M211" cm="1">
        <f t="array" ref="M211">IF(OR(AND(L211=9,M$1&gt;YEAR($N211))),9,_xlfn.IFNA(INDEX($D$2:$D$4001,_xlfn.XMATCH(M$1&amp;"-"&amp;$F211,YEAR($B$2:$B$4001)&amp;"-"&amp;$A$2:$A$4001,0,-1)),L211))</f>
        <v>0</v>
      </c>
      <c r="N211" s="1">
        <f t="shared" si="3"/>
        <v>38164</v>
      </c>
    </row>
    <row r="212" spans="1:14" x14ac:dyDescent="0.35">
      <c r="A212">
        <v>108</v>
      </c>
      <c r="B212" s="2">
        <v>36524</v>
      </c>
      <c r="C212">
        <v>3</v>
      </c>
      <c r="D212">
        <v>3</v>
      </c>
      <c r="F212">
        <v>211</v>
      </c>
      <c r="G212" cm="1">
        <f t="array" ref="G212">_xlfn.IFNA(INDEX($D$2:$D$4001,_xlfn.XMATCH(G$1&amp;"-"&amp;$F212,YEAR($B$2:$B$4001)&amp;"-"&amp;$A$2:$A$4001,0,-1)),9)</f>
        <v>2</v>
      </c>
      <c r="H212" cm="1">
        <f t="array" ref="H212">IF(OR(AND(G212=9,H$1&gt;YEAR($N212))),9,_xlfn.IFNA(INDEX($D$2:$D$4001,_xlfn.XMATCH(H$1&amp;"-"&amp;$F212,YEAR($B$2:$B$4001)&amp;"-"&amp;$A$2:$A$4001,0,-1)),G212))</f>
        <v>2</v>
      </c>
      <c r="I212" cm="1">
        <f t="array" ref="I212">IF(OR(AND(H212=9,I$1&gt;YEAR($N212))),9,_xlfn.IFNA(INDEX($D$2:$D$4001,_xlfn.XMATCH(I$1&amp;"-"&amp;$F212,YEAR($B$2:$B$4001)&amp;"-"&amp;$A$2:$A$4001,0,-1)),H212))</f>
        <v>2</v>
      </c>
      <c r="J212" cm="1">
        <f t="array" ref="J212">IF(OR(AND(I212=9,J$1&gt;YEAR($N212))),9,_xlfn.IFNA(INDEX($D$2:$D$4001,_xlfn.XMATCH(J$1&amp;"-"&amp;$F212,YEAR($B$2:$B$4001)&amp;"-"&amp;$A$2:$A$4001,0,-1)),I212))</f>
        <v>2</v>
      </c>
      <c r="K212" cm="1">
        <f t="array" ref="K212">IF(OR(AND(J212=9,K$1&gt;YEAR($N212))),9,_xlfn.IFNA(INDEX($D$2:$D$4001,_xlfn.XMATCH(K$1&amp;"-"&amp;$F212,YEAR($B$2:$B$4001)&amp;"-"&amp;$A$2:$A$4001,0,-1)),J212))</f>
        <v>2</v>
      </c>
      <c r="L212" cm="1">
        <f t="array" ref="L212">IF(OR(AND(K212=9,L$1&gt;YEAR($N212))),9,_xlfn.IFNA(INDEX($D$2:$D$4001,_xlfn.XMATCH(L$1&amp;"-"&amp;$F212,YEAR($B$2:$B$4001)&amp;"-"&amp;$A$2:$A$4001,0,-1)),K212))</f>
        <v>2</v>
      </c>
      <c r="M212" cm="1">
        <f t="array" ref="M212">IF(OR(AND(L212=9,M$1&gt;YEAR($N212))),9,_xlfn.IFNA(INDEX($D$2:$D$4001,_xlfn.XMATCH(M$1&amp;"-"&amp;$F212,YEAR($B$2:$B$4001)&amp;"-"&amp;$A$2:$A$4001,0,-1)),L212))</f>
        <v>2</v>
      </c>
      <c r="N212" s="1">
        <f t="shared" si="3"/>
        <v>36368</v>
      </c>
    </row>
    <row r="213" spans="1:14" x14ac:dyDescent="0.35">
      <c r="A213">
        <v>108</v>
      </c>
      <c r="B213" s="2">
        <v>37985</v>
      </c>
      <c r="C213">
        <v>3</v>
      </c>
      <c r="D213">
        <v>3</v>
      </c>
      <c r="F213">
        <v>212</v>
      </c>
      <c r="G213" cm="1">
        <f t="array" ref="G213">_xlfn.IFNA(INDEX($D$2:$D$4001,_xlfn.XMATCH(G$1&amp;"-"&amp;$F213,YEAR($B$2:$B$4001)&amp;"-"&amp;$A$2:$A$4001,0,-1)),9)</f>
        <v>9</v>
      </c>
      <c r="H213" cm="1">
        <f t="array" ref="H213">IF(OR(AND(G213=9,H$1&gt;YEAR($N213))),9,_xlfn.IFNA(INDEX($D$2:$D$4001,_xlfn.XMATCH(H$1&amp;"-"&amp;$F213,YEAR($B$2:$B$4001)&amp;"-"&amp;$A$2:$A$4001,0,-1)),G213))</f>
        <v>9</v>
      </c>
      <c r="I213" cm="1">
        <f t="array" ref="I213">IF(OR(AND(H213=9,I$1&gt;YEAR($N213))),9,_xlfn.IFNA(INDEX($D$2:$D$4001,_xlfn.XMATCH(I$1&amp;"-"&amp;$F213,YEAR($B$2:$B$4001)&amp;"-"&amp;$A$2:$A$4001,0,-1)),H213))</f>
        <v>9</v>
      </c>
      <c r="J213" cm="1">
        <f t="array" ref="J213">IF(OR(AND(I213=9,J$1&gt;YEAR($N213))),9,_xlfn.IFNA(INDEX($D$2:$D$4001,_xlfn.XMATCH(J$1&amp;"-"&amp;$F213,YEAR($B$2:$B$4001)&amp;"-"&amp;$A$2:$A$4001,0,-1)),I213))</f>
        <v>9</v>
      </c>
      <c r="K213" cm="1">
        <f t="array" ref="K213">IF(OR(AND(J213=9,K$1&gt;YEAR($N213))),9,_xlfn.IFNA(INDEX($D$2:$D$4001,_xlfn.XMATCH(K$1&amp;"-"&amp;$F213,YEAR($B$2:$B$4001)&amp;"-"&amp;$A$2:$A$4001,0,-1)),J213))</f>
        <v>9</v>
      </c>
      <c r="L213" cm="1">
        <f t="array" ref="L213">IF(OR(AND(K213=9,L$1&gt;YEAR($N213))),9,_xlfn.IFNA(INDEX($D$2:$D$4001,_xlfn.XMATCH(L$1&amp;"-"&amp;$F213,YEAR($B$2:$B$4001)&amp;"-"&amp;$A$2:$A$4001,0,-1)),K213))</f>
        <v>4</v>
      </c>
      <c r="M213" cm="1">
        <f t="array" ref="M213">IF(OR(AND(L213=9,M$1&gt;YEAR($N213))),9,_xlfn.IFNA(INDEX($D$2:$D$4001,_xlfn.XMATCH(M$1&amp;"-"&amp;$F213,YEAR($B$2:$B$4001)&amp;"-"&amp;$A$2:$A$4001,0,-1)),L213))</f>
        <v>4</v>
      </c>
      <c r="N213" s="1">
        <f t="shared" si="3"/>
        <v>38351</v>
      </c>
    </row>
    <row r="214" spans="1:14" x14ac:dyDescent="0.35">
      <c r="A214">
        <v>109</v>
      </c>
      <c r="B214" s="2">
        <v>37771</v>
      </c>
      <c r="C214">
        <v>0</v>
      </c>
      <c r="D214">
        <v>0</v>
      </c>
      <c r="F214">
        <v>213</v>
      </c>
      <c r="G214" cm="1">
        <f t="array" ref="G214">_xlfn.IFNA(INDEX($D$2:$D$4001,_xlfn.XMATCH(G$1&amp;"-"&amp;$F214,YEAR($B$2:$B$4001)&amp;"-"&amp;$A$2:$A$4001,0,-1)),9)</f>
        <v>9</v>
      </c>
      <c r="H214" cm="1">
        <f t="array" ref="H214">IF(OR(AND(G214=9,H$1&gt;YEAR($N214))),9,_xlfn.IFNA(INDEX($D$2:$D$4001,_xlfn.XMATCH(H$1&amp;"-"&amp;$F214,YEAR($B$2:$B$4001)&amp;"-"&amp;$A$2:$A$4001,0,-1)),G214))</f>
        <v>9</v>
      </c>
      <c r="I214" cm="1">
        <f t="array" ref="I214">IF(OR(AND(H214=9,I$1&gt;YEAR($N214))),9,_xlfn.IFNA(INDEX($D$2:$D$4001,_xlfn.XMATCH(I$1&amp;"-"&amp;$F214,YEAR($B$2:$B$4001)&amp;"-"&amp;$A$2:$A$4001,0,-1)),H214))</f>
        <v>9</v>
      </c>
      <c r="J214" cm="1">
        <f t="array" ref="J214">IF(OR(AND(I214=9,J$1&gt;YEAR($N214))),9,_xlfn.IFNA(INDEX($D$2:$D$4001,_xlfn.XMATCH(J$1&amp;"-"&amp;$F214,YEAR($B$2:$B$4001)&amp;"-"&amp;$A$2:$A$4001,0,-1)),I214))</f>
        <v>4</v>
      </c>
      <c r="K214" cm="1">
        <f t="array" ref="K214">IF(OR(AND(J214=9,K$1&gt;YEAR($N214))),9,_xlfn.IFNA(INDEX($D$2:$D$4001,_xlfn.XMATCH(K$1&amp;"-"&amp;$F214,YEAR($B$2:$B$4001)&amp;"-"&amp;$A$2:$A$4001,0,-1)),J214))</f>
        <v>4</v>
      </c>
      <c r="L214" cm="1">
        <f t="array" ref="L214">IF(OR(AND(K214=9,L$1&gt;YEAR($N214))),9,_xlfn.IFNA(INDEX($D$2:$D$4001,_xlfn.XMATCH(L$1&amp;"-"&amp;$F214,YEAR($B$2:$B$4001)&amp;"-"&amp;$A$2:$A$4001,0,-1)),K214))</f>
        <v>4</v>
      </c>
      <c r="M214" cm="1">
        <f t="array" ref="M214">IF(OR(AND(L214=9,M$1&gt;YEAR($N214))),9,_xlfn.IFNA(INDEX($D$2:$D$4001,_xlfn.XMATCH(M$1&amp;"-"&amp;$F214,YEAR($B$2:$B$4001)&amp;"-"&amp;$A$2:$A$4001,0,-1)),L214))</f>
        <v>4</v>
      </c>
      <c r="N214" s="1">
        <f t="shared" si="3"/>
        <v>37406</v>
      </c>
    </row>
    <row r="215" spans="1:14" x14ac:dyDescent="0.35">
      <c r="A215">
        <v>110</v>
      </c>
      <c r="B215" s="2">
        <v>36676</v>
      </c>
      <c r="C215">
        <v>3</v>
      </c>
      <c r="D215">
        <v>3</v>
      </c>
      <c r="F215">
        <v>214</v>
      </c>
      <c r="G215" cm="1">
        <f t="array" ref="G215">_xlfn.IFNA(INDEX($D$2:$D$4001,_xlfn.XMATCH(G$1&amp;"-"&amp;$F215,YEAR($B$2:$B$4001)&amp;"-"&amp;$A$2:$A$4001,0,-1)),9)</f>
        <v>4</v>
      </c>
      <c r="H215" cm="1">
        <f t="array" ref="H215">IF(OR(AND(G215=9,H$1&gt;YEAR($N215))),9,_xlfn.IFNA(INDEX($D$2:$D$4001,_xlfn.XMATCH(H$1&amp;"-"&amp;$F215,YEAR($B$2:$B$4001)&amp;"-"&amp;$A$2:$A$4001,0,-1)),G215))</f>
        <v>4</v>
      </c>
      <c r="I215" cm="1">
        <f t="array" ref="I215">IF(OR(AND(H215=9,I$1&gt;YEAR($N215))),9,_xlfn.IFNA(INDEX($D$2:$D$4001,_xlfn.XMATCH(I$1&amp;"-"&amp;$F215,YEAR($B$2:$B$4001)&amp;"-"&amp;$A$2:$A$4001,0,-1)),H215))</f>
        <v>4</v>
      </c>
      <c r="J215" cm="1">
        <f t="array" ref="J215">IF(OR(AND(I215=9,J$1&gt;YEAR($N215))),9,_xlfn.IFNA(INDEX($D$2:$D$4001,_xlfn.XMATCH(J$1&amp;"-"&amp;$F215,YEAR($B$2:$B$4001)&amp;"-"&amp;$A$2:$A$4001,0,-1)),I215))</f>
        <v>4</v>
      </c>
      <c r="K215" cm="1">
        <f t="array" ref="K215">IF(OR(AND(J215=9,K$1&gt;YEAR($N215))),9,_xlfn.IFNA(INDEX($D$2:$D$4001,_xlfn.XMATCH(K$1&amp;"-"&amp;$F215,YEAR($B$2:$B$4001)&amp;"-"&amp;$A$2:$A$4001,0,-1)),J215))</f>
        <v>4</v>
      </c>
      <c r="L215" cm="1">
        <f t="array" ref="L215">IF(OR(AND(K215=9,L$1&gt;YEAR($N215))),9,_xlfn.IFNA(INDEX($D$2:$D$4001,_xlfn.XMATCH(L$1&amp;"-"&amp;$F215,YEAR($B$2:$B$4001)&amp;"-"&amp;$A$2:$A$4001,0,-1)),K215))</f>
        <v>4</v>
      </c>
      <c r="M215" cm="1">
        <f t="array" ref="M215">IF(OR(AND(L215=9,M$1&gt;YEAR($N215))),9,_xlfn.IFNA(INDEX($D$2:$D$4001,_xlfn.XMATCH(M$1&amp;"-"&amp;$F215,YEAR($B$2:$B$4001)&amp;"-"&amp;$A$2:$A$4001,0,-1)),L215))</f>
        <v>4</v>
      </c>
      <c r="N215" s="1">
        <f t="shared" si="3"/>
        <v>36310</v>
      </c>
    </row>
    <row r="216" spans="1:14" x14ac:dyDescent="0.35">
      <c r="A216">
        <v>111</v>
      </c>
      <c r="B216" s="2">
        <v>37255</v>
      </c>
      <c r="C216">
        <v>2</v>
      </c>
      <c r="D216">
        <v>2</v>
      </c>
      <c r="F216">
        <v>215</v>
      </c>
      <c r="G216" cm="1">
        <f t="array" ref="G216">_xlfn.IFNA(INDEX($D$2:$D$4001,_xlfn.XMATCH(G$1&amp;"-"&amp;$F216,YEAR($B$2:$B$4001)&amp;"-"&amp;$A$2:$A$4001,0,-1)),9)</f>
        <v>9</v>
      </c>
      <c r="H216" cm="1">
        <f t="array" ref="H216">IF(OR(AND(G216=9,H$1&gt;YEAR($N216))),9,_xlfn.IFNA(INDEX($D$2:$D$4001,_xlfn.XMATCH(H$1&amp;"-"&amp;$F216,YEAR($B$2:$B$4001)&amp;"-"&amp;$A$2:$A$4001,0,-1)),G216))</f>
        <v>9</v>
      </c>
      <c r="I216" cm="1">
        <f t="array" ref="I216">IF(OR(AND(H216=9,I$1&gt;YEAR($N216))),9,_xlfn.IFNA(INDEX($D$2:$D$4001,_xlfn.XMATCH(I$1&amp;"-"&amp;$F216,YEAR($B$2:$B$4001)&amp;"-"&amp;$A$2:$A$4001,0,-1)),H216))</f>
        <v>9</v>
      </c>
      <c r="J216" cm="1">
        <f t="array" ref="J216">IF(OR(AND(I216=9,J$1&gt;YEAR($N216))),9,_xlfn.IFNA(INDEX($D$2:$D$4001,_xlfn.XMATCH(J$1&amp;"-"&amp;$F216,YEAR($B$2:$B$4001)&amp;"-"&amp;$A$2:$A$4001,0,-1)),I216))</f>
        <v>3</v>
      </c>
      <c r="K216" cm="1">
        <f t="array" ref="K216">IF(OR(AND(J216=9,K$1&gt;YEAR($N216))),9,_xlfn.IFNA(INDEX($D$2:$D$4001,_xlfn.XMATCH(K$1&amp;"-"&amp;$F216,YEAR($B$2:$B$4001)&amp;"-"&amp;$A$2:$A$4001,0,-1)),J216))</f>
        <v>3</v>
      </c>
      <c r="L216" cm="1">
        <f t="array" ref="L216">IF(OR(AND(K216=9,L$1&gt;YEAR($N216))),9,_xlfn.IFNA(INDEX($D$2:$D$4001,_xlfn.XMATCH(L$1&amp;"-"&amp;$F216,YEAR($B$2:$B$4001)&amp;"-"&amp;$A$2:$A$4001,0,-1)),K216))</f>
        <v>3</v>
      </c>
      <c r="M216" cm="1">
        <f t="array" ref="M216">IF(OR(AND(L216=9,M$1&gt;YEAR($N216))),9,_xlfn.IFNA(INDEX($D$2:$D$4001,_xlfn.XMATCH(M$1&amp;"-"&amp;$F216,YEAR($B$2:$B$4001)&amp;"-"&amp;$A$2:$A$4001,0,-1)),L216))</f>
        <v>3</v>
      </c>
      <c r="N216" s="1">
        <f t="shared" si="3"/>
        <v>37397</v>
      </c>
    </row>
    <row r="217" spans="1:14" x14ac:dyDescent="0.35">
      <c r="A217">
        <v>111</v>
      </c>
      <c r="B217" s="2">
        <v>37255</v>
      </c>
      <c r="C217">
        <v>2</v>
      </c>
      <c r="D217">
        <v>2</v>
      </c>
      <c r="F217">
        <v>216</v>
      </c>
      <c r="G217" cm="1">
        <f t="array" ref="G217">_xlfn.IFNA(INDEX($D$2:$D$4001,_xlfn.XMATCH(G$1&amp;"-"&amp;$F217,YEAR($B$2:$B$4001)&amp;"-"&amp;$A$2:$A$4001,0,-1)),9)</f>
        <v>2</v>
      </c>
      <c r="H217" cm="1">
        <f t="array" ref="H217">IF(OR(AND(G217=9,H$1&gt;YEAR($N217))),9,_xlfn.IFNA(INDEX($D$2:$D$4001,_xlfn.XMATCH(H$1&amp;"-"&amp;$F217,YEAR($B$2:$B$4001)&amp;"-"&amp;$A$2:$A$4001,0,-1)),G217))</f>
        <v>2</v>
      </c>
      <c r="I217" cm="1">
        <f t="array" ref="I217">IF(OR(AND(H217=9,I$1&gt;YEAR($N217))),9,_xlfn.IFNA(INDEX($D$2:$D$4001,_xlfn.XMATCH(I$1&amp;"-"&amp;$F217,YEAR($B$2:$B$4001)&amp;"-"&amp;$A$2:$A$4001,0,-1)),H217))</f>
        <v>2</v>
      </c>
      <c r="J217" cm="1">
        <f t="array" ref="J217">IF(OR(AND(I217=9,J$1&gt;YEAR($N217))),9,_xlfn.IFNA(INDEX($D$2:$D$4001,_xlfn.XMATCH(J$1&amp;"-"&amp;$F217,YEAR($B$2:$B$4001)&amp;"-"&amp;$A$2:$A$4001,0,-1)),I217))</f>
        <v>1</v>
      </c>
      <c r="K217" cm="1">
        <f t="array" ref="K217">IF(OR(AND(J217=9,K$1&gt;YEAR($N217))),9,_xlfn.IFNA(INDEX($D$2:$D$4001,_xlfn.XMATCH(K$1&amp;"-"&amp;$F217,YEAR($B$2:$B$4001)&amp;"-"&amp;$A$2:$A$4001,0,-1)),J217))</f>
        <v>1</v>
      </c>
      <c r="L217" cm="1">
        <f t="array" ref="L217">IF(OR(AND(K217=9,L$1&gt;YEAR($N217))),9,_xlfn.IFNA(INDEX($D$2:$D$4001,_xlfn.XMATCH(L$1&amp;"-"&amp;$F217,YEAR($B$2:$B$4001)&amp;"-"&amp;$A$2:$A$4001,0,-1)),K217))</f>
        <v>1</v>
      </c>
      <c r="M217" cm="1">
        <f t="array" ref="M217">IF(OR(AND(L217=9,M$1&gt;YEAR($N217))),9,_xlfn.IFNA(INDEX($D$2:$D$4001,_xlfn.XMATCH(M$1&amp;"-"&amp;$F217,YEAR($B$2:$B$4001)&amp;"-"&amp;$A$2:$A$4001,0,-1)),L217))</f>
        <v>1</v>
      </c>
      <c r="N217" s="1">
        <f t="shared" si="3"/>
        <v>36301</v>
      </c>
    </row>
    <row r="218" spans="1:14" x14ac:dyDescent="0.35">
      <c r="A218">
        <v>112</v>
      </c>
      <c r="B218" s="2">
        <v>38351</v>
      </c>
      <c r="C218">
        <v>5</v>
      </c>
      <c r="D218">
        <v>5</v>
      </c>
      <c r="F218">
        <v>217</v>
      </c>
      <c r="G218" cm="1">
        <f t="array" ref="G218">_xlfn.IFNA(INDEX($D$2:$D$4001,_xlfn.XMATCH(G$1&amp;"-"&amp;$F218,YEAR($B$2:$B$4001)&amp;"-"&amp;$A$2:$A$4001,0,-1)),9)</f>
        <v>9</v>
      </c>
      <c r="H218" cm="1">
        <f t="array" ref="H218">IF(OR(AND(G218=9,H$1&gt;YEAR($N218))),9,_xlfn.IFNA(INDEX($D$2:$D$4001,_xlfn.XMATCH(H$1&amp;"-"&amp;$F218,YEAR($B$2:$B$4001)&amp;"-"&amp;$A$2:$A$4001,0,-1)),G218))</f>
        <v>9</v>
      </c>
      <c r="I218" cm="1">
        <f t="array" ref="I218">IF(OR(AND(H218=9,I$1&gt;YEAR($N218))),9,_xlfn.IFNA(INDEX($D$2:$D$4001,_xlfn.XMATCH(I$1&amp;"-"&amp;$F218,YEAR($B$2:$B$4001)&amp;"-"&amp;$A$2:$A$4001,0,-1)),H218))</f>
        <v>9</v>
      </c>
      <c r="J218" cm="1">
        <f t="array" ref="J218">IF(OR(AND(I218=9,J$1&gt;YEAR($N218))),9,_xlfn.IFNA(INDEX($D$2:$D$4001,_xlfn.XMATCH(J$1&amp;"-"&amp;$F218,YEAR($B$2:$B$4001)&amp;"-"&amp;$A$2:$A$4001,0,-1)),I218))</f>
        <v>9</v>
      </c>
      <c r="K218" cm="1">
        <f t="array" ref="K218">IF(OR(AND(J218=9,K$1&gt;YEAR($N218))),9,_xlfn.IFNA(INDEX($D$2:$D$4001,_xlfn.XMATCH(K$1&amp;"-"&amp;$F218,YEAR($B$2:$B$4001)&amp;"-"&amp;$A$2:$A$4001,0,-1)),J218))</f>
        <v>9</v>
      </c>
      <c r="L218" cm="1">
        <f t="array" ref="L218">IF(OR(AND(K218=9,L$1&gt;YEAR($N218))),9,_xlfn.IFNA(INDEX($D$2:$D$4001,_xlfn.XMATCH(L$1&amp;"-"&amp;$F218,YEAR($B$2:$B$4001)&amp;"-"&amp;$A$2:$A$4001,0,-1)),K218))</f>
        <v>0</v>
      </c>
      <c r="M218" cm="1">
        <f t="array" ref="M218">IF(OR(AND(L218=9,M$1&gt;YEAR($N218))),9,_xlfn.IFNA(INDEX($D$2:$D$4001,_xlfn.XMATCH(M$1&amp;"-"&amp;$F218,YEAR($B$2:$B$4001)&amp;"-"&amp;$A$2:$A$4001,0,-1)),L218))</f>
        <v>0</v>
      </c>
      <c r="N218" s="1">
        <f t="shared" si="3"/>
        <v>38321</v>
      </c>
    </row>
    <row r="219" spans="1:14" x14ac:dyDescent="0.35">
      <c r="A219">
        <v>113</v>
      </c>
      <c r="B219" s="2">
        <v>36310</v>
      </c>
      <c r="C219">
        <v>4</v>
      </c>
      <c r="D219">
        <v>4</v>
      </c>
      <c r="F219">
        <v>218</v>
      </c>
      <c r="G219" cm="1">
        <f t="array" ref="G219">_xlfn.IFNA(INDEX($D$2:$D$4001,_xlfn.XMATCH(G$1&amp;"-"&amp;$F219,YEAR($B$2:$B$4001)&amp;"-"&amp;$A$2:$A$4001,0,-1)),9)</f>
        <v>9</v>
      </c>
      <c r="H219" cm="1">
        <f t="array" ref="H219">IF(OR(AND(G219=9,H$1&gt;YEAR($N219))),9,_xlfn.IFNA(INDEX($D$2:$D$4001,_xlfn.XMATCH(H$1&amp;"-"&amp;$F219,YEAR($B$2:$B$4001)&amp;"-"&amp;$A$2:$A$4001,0,-1)),G219))</f>
        <v>9</v>
      </c>
      <c r="I219" cm="1">
        <f t="array" ref="I219">IF(OR(AND(H219=9,I$1&gt;YEAR($N219))),9,_xlfn.IFNA(INDEX($D$2:$D$4001,_xlfn.XMATCH(I$1&amp;"-"&amp;$F219,YEAR($B$2:$B$4001)&amp;"-"&amp;$A$2:$A$4001,0,-1)),H219))</f>
        <v>9</v>
      </c>
      <c r="J219" cm="1">
        <f t="array" ref="J219">IF(OR(AND(I219=9,J$1&gt;YEAR($N219))),9,_xlfn.IFNA(INDEX($D$2:$D$4001,_xlfn.XMATCH(J$1&amp;"-"&amp;$F219,YEAR($B$2:$B$4001)&amp;"-"&amp;$A$2:$A$4001,0,-1)),I219))</f>
        <v>5</v>
      </c>
      <c r="K219" cm="1">
        <f t="array" ref="K219">IF(OR(AND(J219=9,K$1&gt;YEAR($N219))),9,_xlfn.IFNA(INDEX($D$2:$D$4001,_xlfn.XMATCH(K$1&amp;"-"&amp;$F219,YEAR($B$2:$B$4001)&amp;"-"&amp;$A$2:$A$4001,0,-1)),J219))</f>
        <v>0</v>
      </c>
      <c r="L219" cm="1">
        <f t="array" ref="L219">IF(OR(AND(K219=9,L$1&gt;YEAR($N219))),9,_xlfn.IFNA(INDEX($D$2:$D$4001,_xlfn.XMATCH(L$1&amp;"-"&amp;$F219,YEAR($B$2:$B$4001)&amp;"-"&amp;$A$2:$A$4001,0,-1)),K219))</f>
        <v>0</v>
      </c>
      <c r="M219" cm="1">
        <f t="array" ref="M219">IF(OR(AND(L219=9,M$1&gt;YEAR($N219))),9,_xlfn.IFNA(INDEX($D$2:$D$4001,_xlfn.XMATCH(M$1&amp;"-"&amp;$F219,YEAR($B$2:$B$4001)&amp;"-"&amp;$A$2:$A$4001,0,-1)),L219))</f>
        <v>0</v>
      </c>
      <c r="N219" s="1">
        <f t="shared" si="3"/>
        <v>37397</v>
      </c>
    </row>
    <row r="220" spans="1:14" x14ac:dyDescent="0.35">
      <c r="A220">
        <v>113</v>
      </c>
      <c r="B220" s="2">
        <v>37032</v>
      </c>
      <c r="C220">
        <v>4</v>
      </c>
      <c r="D220">
        <v>4</v>
      </c>
      <c r="F220">
        <v>219</v>
      </c>
      <c r="G220" cm="1">
        <f t="array" ref="G220">_xlfn.IFNA(INDEX($D$2:$D$4001,_xlfn.XMATCH(G$1&amp;"-"&amp;$F220,YEAR($B$2:$B$4001)&amp;"-"&amp;$A$2:$A$4001,0,-1)),9)</f>
        <v>9</v>
      </c>
      <c r="H220" cm="1">
        <f t="array" ref="H220">IF(OR(AND(G220=9,H$1&gt;YEAR($N220))),9,_xlfn.IFNA(INDEX($D$2:$D$4001,_xlfn.XMATCH(H$1&amp;"-"&amp;$F220,YEAR($B$2:$B$4001)&amp;"-"&amp;$A$2:$A$4001,0,-1)),G220))</f>
        <v>9</v>
      </c>
      <c r="I220" cm="1">
        <f t="array" ref="I220">IF(OR(AND(H220=9,I$1&gt;YEAR($N220))),9,_xlfn.IFNA(INDEX($D$2:$D$4001,_xlfn.XMATCH(I$1&amp;"-"&amp;$F220,YEAR($B$2:$B$4001)&amp;"-"&amp;$A$2:$A$4001,0,-1)),H220))</f>
        <v>9</v>
      </c>
      <c r="J220" cm="1">
        <f t="array" ref="J220">IF(OR(AND(I220=9,J$1&gt;YEAR($N220))),9,_xlfn.IFNA(INDEX($D$2:$D$4001,_xlfn.XMATCH(J$1&amp;"-"&amp;$F220,YEAR($B$2:$B$4001)&amp;"-"&amp;$A$2:$A$4001,0,-1)),I220))</f>
        <v>9</v>
      </c>
      <c r="K220" cm="1">
        <f t="array" ref="K220">IF(OR(AND(J220=9,K$1&gt;YEAR($N220))),9,_xlfn.IFNA(INDEX($D$2:$D$4001,_xlfn.XMATCH(K$1&amp;"-"&amp;$F220,YEAR($B$2:$B$4001)&amp;"-"&amp;$A$2:$A$4001,0,-1)),J220))</f>
        <v>3</v>
      </c>
      <c r="L220" cm="1">
        <f t="array" ref="L220">IF(OR(AND(K220=9,L$1&gt;YEAR($N220))),9,_xlfn.IFNA(INDEX($D$2:$D$4001,_xlfn.XMATCH(L$1&amp;"-"&amp;$F220,YEAR($B$2:$B$4001)&amp;"-"&amp;$A$2:$A$4001,0,-1)),K220))</f>
        <v>3</v>
      </c>
      <c r="M220" cm="1">
        <f t="array" ref="M220">IF(OR(AND(L220=9,M$1&gt;YEAR($N220))),9,_xlfn.IFNA(INDEX($D$2:$D$4001,_xlfn.XMATCH(M$1&amp;"-"&amp;$F220,YEAR($B$2:$B$4001)&amp;"-"&amp;$A$2:$A$4001,0,-1)),L220))</f>
        <v>3</v>
      </c>
      <c r="N220" s="1">
        <f t="shared" si="3"/>
        <v>37955</v>
      </c>
    </row>
    <row r="221" spans="1:14" x14ac:dyDescent="0.35">
      <c r="A221">
        <v>114</v>
      </c>
      <c r="B221" s="2">
        <v>37620</v>
      </c>
      <c r="C221">
        <v>3</v>
      </c>
      <c r="D221">
        <v>3</v>
      </c>
      <c r="F221">
        <v>220</v>
      </c>
      <c r="G221" cm="1">
        <f t="array" ref="G221">_xlfn.IFNA(INDEX($D$2:$D$4001,_xlfn.XMATCH(G$1&amp;"-"&amp;$F221,YEAR($B$2:$B$4001)&amp;"-"&amp;$A$2:$A$4001,0,-1)),9)</f>
        <v>9</v>
      </c>
      <c r="H221" cm="1">
        <f t="array" ref="H221">IF(OR(AND(G221=9,H$1&gt;YEAR($N221))),9,_xlfn.IFNA(INDEX($D$2:$D$4001,_xlfn.XMATCH(H$1&amp;"-"&amp;$F221,YEAR($B$2:$B$4001)&amp;"-"&amp;$A$2:$A$4001,0,-1)),G221))</f>
        <v>4</v>
      </c>
      <c r="I221" cm="1">
        <f t="array" ref="I221">IF(OR(AND(H221=9,I$1&gt;YEAR($N221))),9,_xlfn.IFNA(INDEX($D$2:$D$4001,_xlfn.XMATCH(I$1&amp;"-"&amp;$F221,YEAR($B$2:$B$4001)&amp;"-"&amp;$A$2:$A$4001,0,-1)),H221))</f>
        <v>4</v>
      </c>
      <c r="J221" cm="1">
        <f t="array" ref="J221">IF(OR(AND(I221=9,J$1&gt;YEAR($N221))),9,_xlfn.IFNA(INDEX($D$2:$D$4001,_xlfn.XMATCH(J$1&amp;"-"&amp;$F221,YEAR($B$2:$B$4001)&amp;"-"&amp;$A$2:$A$4001,0,-1)),I221))</f>
        <v>4</v>
      </c>
      <c r="K221" cm="1">
        <f t="array" ref="K221">IF(OR(AND(J221=9,K$1&gt;YEAR($N221))),9,_xlfn.IFNA(INDEX($D$2:$D$4001,_xlfn.XMATCH(K$1&amp;"-"&amp;$F221,YEAR($B$2:$B$4001)&amp;"-"&amp;$A$2:$A$4001,0,-1)),J221))</f>
        <v>4</v>
      </c>
      <c r="L221" cm="1">
        <f t="array" ref="L221">IF(OR(AND(K221=9,L$1&gt;YEAR($N221))),9,_xlfn.IFNA(INDEX($D$2:$D$4001,_xlfn.XMATCH(L$1&amp;"-"&amp;$F221,YEAR($B$2:$B$4001)&amp;"-"&amp;$A$2:$A$4001,0,-1)),K221))</f>
        <v>4</v>
      </c>
      <c r="M221" cm="1">
        <f t="array" ref="M221">IF(OR(AND(L221=9,M$1&gt;YEAR($N221))),9,_xlfn.IFNA(INDEX($D$2:$D$4001,_xlfn.XMATCH(M$1&amp;"-"&amp;$F221,YEAR($B$2:$B$4001)&amp;"-"&amp;$A$2:$A$4001,0,-1)),L221))</f>
        <v>4</v>
      </c>
      <c r="N221" s="1">
        <f t="shared" si="3"/>
        <v>36768</v>
      </c>
    </row>
    <row r="222" spans="1:14" x14ac:dyDescent="0.35">
      <c r="A222">
        <v>115</v>
      </c>
      <c r="B222" s="2">
        <v>36341</v>
      </c>
      <c r="C222">
        <v>3</v>
      </c>
      <c r="D222">
        <v>3</v>
      </c>
      <c r="F222">
        <v>221</v>
      </c>
      <c r="G222" cm="1">
        <f t="array" ref="G222">_xlfn.IFNA(INDEX($D$2:$D$4001,_xlfn.XMATCH(G$1&amp;"-"&amp;$F222,YEAR($B$2:$B$4001)&amp;"-"&amp;$A$2:$A$4001,0,-1)),9)</f>
        <v>4</v>
      </c>
      <c r="H222" cm="1">
        <f t="array" ref="H222">IF(OR(AND(G222=9,H$1&gt;YEAR($N222))),9,_xlfn.IFNA(INDEX($D$2:$D$4001,_xlfn.XMATCH(H$1&amp;"-"&amp;$F222,YEAR($B$2:$B$4001)&amp;"-"&amp;$A$2:$A$4001,0,-1)),G222))</f>
        <v>4</v>
      </c>
      <c r="I222" cm="1">
        <f t="array" ref="I222">IF(OR(AND(H222=9,I$1&gt;YEAR($N222))),9,_xlfn.IFNA(INDEX($D$2:$D$4001,_xlfn.XMATCH(I$1&amp;"-"&amp;$F222,YEAR($B$2:$B$4001)&amp;"-"&amp;$A$2:$A$4001,0,-1)),H222))</f>
        <v>4</v>
      </c>
      <c r="J222" cm="1">
        <f t="array" ref="J222">IF(OR(AND(I222=9,J$1&gt;YEAR($N222))),9,_xlfn.IFNA(INDEX($D$2:$D$4001,_xlfn.XMATCH(J$1&amp;"-"&amp;$F222,YEAR($B$2:$B$4001)&amp;"-"&amp;$A$2:$A$4001,0,-1)),I222))</f>
        <v>4</v>
      </c>
      <c r="K222" cm="1">
        <f t="array" ref="K222">IF(OR(AND(J222=9,K$1&gt;YEAR($N222))),9,_xlfn.IFNA(INDEX($D$2:$D$4001,_xlfn.XMATCH(K$1&amp;"-"&amp;$F222,YEAR($B$2:$B$4001)&amp;"-"&amp;$A$2:$A$4001,0,-1)),J222))</f>
        <v>4</v>
      </c>
      <c r="L222" cm="1">
        <f t="array" ref="L222">IF(OR(AND(K222=9,L$1&gt;YEAR($N222))),9,_xlfn.IFNA(INDEX($D$2:$D$4001,_xlfn.XMATCH(L$1&amp;"-"&amp;$F222,YEAR($B$2:$B$4001)&amp;"-"&amp;$A$2:$A$4001,0,-1)),K222))</f>
        <v>4</v>
      </c>
      <c r="M222" cm="1">
        <f t="array" ref="M222">IF(OR(AND(L222=9,M$1&gt;YEAR($N222))),9,_xlfn.IFNA(INDEX($D$2:$D$4001,_xlfn.XMATCH(M$1&amp;"-"&amp;$F222,YEAR($B$2:$B$4001)&amp;"-"&amp;$A$2:$A$4001,0,-1)),L222))</f>
        <v>4</v>
      </c>
      <c r="N222" s="1">
        <f t="shared" si="3"/>
        <v>36524</v>
      </c>
    </row>
    <row r="223" spans="1:14" x14ac:dyDescent="0.35">
      <c r="A223">
        <v>115</v>
      </c>
      <c r="B223" s="2">
        <v>37985</v>
      </c>
      <c r="C223">
        <v>3</v>
      </c>
      <c r="D223">
        <v>3</v>
      </c>
      <c r="F223">
        <v>222</v>
      </c>
      <c r="G223" cm="1">
        <f t="array" ref="G223">_xlfn.IFNA(INDEX($D$2:$D$4001,_xlfn.XMATCH(G$1&amp;"-"&amp;$F223,YEAR($B$2:$B$4001)&amp;"-"&amp;$A$2:$A$4001,0,-1)),9)</f>
        <v>9</v>
      </c>
      <c r="H223" cm="1">
        <f t="array" ref="H223">IF(OR(AND(G223=9,H$1&gt;YEAR($N223))),9,_xlfn.IFNA(INDEX($D$2:$D$4001,_xlfn.XMATCH(H$1&amp;"-"&amp;$F223,YEAR($B$2:$B$4001)&amp;"-"&amp;$A$2:$A$4001,0,-1)),G223))</f>
        <v>3</v>
      </c>
      <c r="I223" cm="1">
        <f t="array" ref="I223">IF(OR(AND(H223=9,I$1&gt;YEAR($N223))),9,_xlfn.IFNA(INDEX($D$2:$D$4001,_xlfn.XMATCH(I$1&amp;"-"&amp;$F223,YEAR($B$2:$B$4001)&amp;"-"&amp;$A$2:$A$4001,0,-1)),H223))</f>
        <v>3</v>
      </c>
      <c r="J223" cm="1">
        <f t="array" ref="J223">IF(OR(AND(I223=9,J$1&gt;YEAR($N223))),9,_xlfn.IFNA(INDEX($D$2:$D$4001,_xlfn.XMATCH(J$1&amp;"-"&amp;$F223,YEAR($B$2:$B$4001)&amp;"-"&amp;$A$2:$A$4001,0,-1)),I223))</f>
        <v>3</v>
      </c>
      <c r="K223" cm="1">
        <f t="array" ref="K223">IF(OR(AND(J223=9,K$1&gt;YEAR($N223))),9,_xlfn.IFNA(INDEX($D$2:$D$4001,_xlfn.XMATCH(K$1&amp;"-"&amp;$F223,YEAR($B$2:$B$4001)&amp;"-"&amp;$A$2:$A$4001,0,-1)),J223))</f>
        <v>3</v>
      </c>
      <c r="L223" cm="1">
        <f t="array" ref="L223">IF(OR(AND(K223=9,L$1&gt;YEAR($N223))),9,_xlfn.IFNA(INDEX($D$2:$D$4001,_xlfn.XMATCH(L$1&amp;"-"&amp;$F223,YEAR($B$2:$B$4001)&amp;"-"&amp;$A$2:$A$4001,0,-1)),K223))</f>
        <v>3</v>
      </c>
      <c r="M223" cm="1">
        <f t="array" ref="M223">IF(OR(AND(L223=9,M$1&gt;YEAR($N223))),9,_xlfn.IFNA(INDEX($D$2:$D$4001,_xlfn.XMATCH(M$1&amp;"-"&amp;$F223,YEAR($B$2:$B$4001)&amp;"-"&amp;$A$2:$A$4001,0,-1)),L223))</f>
        <v>3</v>
      </c>
      <c r="N223" s="1">
        <f t="shared" si="3"/>
        <v>36790</v>
      </c>
    </row>
    <row r="224" spans="1:14" x14ac:dyDescent="0.35">
      <c r="A224">
        <v>116</v>
      </c>
      <c r="B224" s="2">
        <v>36310</v>
      </c>
      <c r="C224">
        <v>4</v>
      </c>
      <c r="D224">
        <v>4</v>
      </c>
      <c r="F224">
        <v>223</v>
      </c>
      <c r="G224" cm="1">
        <f t="array" ref="G224">_xlfn.IFNA(INDEX($D$2:$D$4001,_xlfn.XMATCH(G$1&amp;"-"&amp;$F224,YEAR($B$2:$B$4001)&amp;"-"&amp;$A$2:$A$4001,0,-1)),9)</f>
        <v>9</v>
      </c>
      <c r="H224" cm="1">
        <f t="array" ref="H224">IF(OR(AND(G224=9,H$1&gt;YEAR($N224))),9,_xlfn.IFNA(INDEX($D$2:$D$4001,_xlfn.XMATCH(H$1&amp;"-"&amp;$F224,YEAR($B$2:$B$4001)&amp;"-"&amp;$A$2:$A$4001,0,-1)),G224))</f>
        <v>9</v>
      </c>
      <c r="I224" cm="1">
        <f t="array" ref="I224">IF(OR(AND(H224=9,I$1&gt;YEAR($N224))),9,_xlfn.IFNA(INDEX($D$2:$D$4001,_xlfn.XMATCH(I$1&amp;"-"&amp;$F224,YEAR($B$2:$B$4001)&amp;"-"&amp;$A$2:$A$4001,0,-1)),H224))</f>
        <v>9</v>
      </c>
      <c r="J224" cm="1">
        <f t="array" ref="J224">IF(OR(AND(I224=9,J$1&gt;YEAR($N224))),9,_xlfn.IFNA(INDEX($D$2:$D$4001,_xlfn.XMATCH(J$1&amp;"-"&amp;$F224,YEAR($B$2:$B$4001)&amp;"-"&amp;$A$2:$A$4001,0,-1)),I224))</f>
        <v>4</v>
      </c>
      <c r="K224" cm="1">
        <f t="array" ref="K224">IF(OR(AND(J224=9,K$1&gt;YEAR($N224))),9,_xlfn.IFNA(INDEX($D$2:$D$4001,_xlfn.XMATCH(K$1&amp;"-"&amp;$F224,YEAR($B$2:$B$4001)&amp;"-"&amp;$A$2:$A$4001,0,-1)),J224))</f>
        <v>4</v>
      </c>
      <c r="L224" cm="1">
        <f t="array" ref="L224">IF(OR(AND(K224=9,L$1&gt;YEAR($N224))),9,_xlfn.IFNA(INDEX($D$2:$D$4001,_xlfn.XMATCH(L$1&amp;"-"&amp;$F224,YEAR($B$2:$B$4001)&amp;"-"&amp;$A$2:$A$4001,0,-1)),K224))</f>
        <v>4</v>
      </c>
      <c r="M224" cm="1">
        <f t="array" ref="M224">IF(OR(AND(L224=9,M$1&gt;YEAR($N224))),9,_xlfn.IFNA(INDEX($D$2:$D$4001,_xlfn.XMATCH(M$1&amp;"-"&amp;$F224,YEAR($B$2:$B$4001)&amp;"-"&amp;$A$2:$A$4001,0,-1)),L224))</f>
        <v>4</v>
      </c>
      <c r="N224" s="1">
        <f t="shared" si="3"/>
        <v>37458</v>
      </c>
    </row>
    <row r="225" spans="1:14" x14ac:dyDescent="0.35">
      <c r="A225">
        <v>116</v>
      </c>
      <c r="B225" s="2">
        <v>36675</v>
      </c>
      <c r="C225">
        <v>3</v>
      </c>
      <c r="D225">
        <v>3</v>
      </c>
      <c r="F225">
        <v>224</v>
      </c>
      <c r="G225" cm="1">
        <f t="array" ref="G225">_xlfn.IFNA(INDEX($D$2:$D$4001,_xlfn.XMATCH(G$1&amp;"-"&amp;$F225,YEAR($B$2:$B$4001)&amp;"-"&amp;$A$2:$A$4001,0,-1)),9)</f>
        <v>9</v>
      </c>
      <c r="H225" cm="1">
        <f t="array" ref="H225">IF(OR(AND(G225=9,H$1&gt;YEAR($N225))),9,_xlfn.IFNA(INDEX($D$2:$D$4001,_xlfn.XMATCH(H$1&amp;"-"&amp;$F225,YEAR($B$2:$B$4001)&amp;"-"&amp;$A$2:$A$4001,0,-1)),G225))</f>
        <v>5</v>
      </c>
      <c r="I225" cm="1">
        <f t="array" ref="I225">IF(OR(AND(H225=9,I$1&gt;YEAR($N225))),9,_xlfn.IFNA(INDEX($D$2:$D$4001,_xlfn.XMATCH(I$1&amp;"-"&amp;$F225,YEAR($B$2:$B$4001)&amp;"-"&amp;$A$2:$A$4001,0,-1)),H225))</f>
        <v>5</v>
      </c>
      <c r="J225" cm="1">
        <f t="array" ref="J225">IF(OR(AND(I225=9,J$1&gt;YEAR($N225))),9,_xlfn.IFNA(INDEX($D$2:$D$4001,_xlfn.XMATCH(J$1&amp;"-"&amp;$F225,YEAR($B$2:$B$4001)&amp;"-"&amp;$A$2:$A$4001,0,-1)),I225))</f>
        <v>5</v>
      </c>
      <c r="K225" cm="1">
        <f t="array" ref="K225">IF(OR(AND(J225=9,K$1&gt;YEAR($N225))),9,_xlfn.IFNA(INDEX($D$2:$D$4001,_xlfn.XMATCH(K$1&amp;"-"&amp;$F225,YEAR($B$2:$B$4001)&amp;"-"&amp;$A$2:$A$4001,0,-1)),J225))</f>
        <v>6</v>
      </c>
      <c r="L225" cm="1">
        <f t="array" ref="L225">IF(OR(AND(K225=9,L$1&gt;YEAR($N225))),9,_xlfn.IFNA(INDEX($D$2:$D$4001,_xlfn.XMATCH(L$1&amp;"-"&amp;$F225,YEAR($B$2:$B$4001)&amp;"-"&amp;$A$2:$A$4001,0,-1)),K225))</f>
        <v>6</v>
      </c>
      <c r="M225" cm="1">
        <f t="array" ref="M225">IF(OR(AND(L225=9,M$1&gt;YEAR($N225))),9,_xlfn.IFNA(INDEX($D$2:$D$4001,_xlfn.XMATCH(M$1&amp;"-"&amp;$F225,YEAR($B$2:$B$4001)&amp;"-"&amp;$A$2:$A$4001,0,-1)),L225))</f>
        <v>6</v>
      </c>
      <c r="N225" s="1">
        <f t="shared" si="3"/>
        <v>36829</v>
      </c>
    </row>
    <row r="226" spans="1:14" x14ac:dyDescent="0.35">
      <c r="A226">
        <v>116</v>
      </c>
      <c r="B226" s="2">
        <v>38137</v>
      </c>
      <c r="C226">
        <v>3</v>
      </c>
      <c r="D226">
        <v>3</v>
      </c>
      <c r="F226">
        <v>225</v>
      </c>
      <c r="G226" cm="1">
        <f t="array" ref="G226">_xlfn.IFNA(INDEX($D$2:$D$4001,_xlfn.XMATCH(G$1&amp;"-"&amp;$F226,YEAR($B$2:$B$4001)&amp;"-"&amp;$A$2:$A$4001,0,-1)),9)</f>
        <v>0</v>
      </c>
      <c r="H226" cm="1">
        <f t="array" ref="H226">IF(OR(AND(G226=9,H$1&gt;YEAR($N226))),9,_xlfn.IFNA(INDEX($D$2:$D$4001,_xlfn.XMATCH(H$1&amp;"-"&amp;$F226,YEAR($B$2:$B$4001)&amp;"-"&amp;$A$2:$A$4001,0,-1)),G226))</f>
        <v>0</v>
      </c>
      <c r="I226" cm="1">
        <f t="array" ref="I226">IF(OR(AND(H226=9,I$1&gt;YEAR($N226))),9,_xlfn.IFNA(INDEX($D$2:$D$4001,_xlfn.XMATCH(I$1&amp;"-"&amp;$F226,YEAR($B$2:$B$4001)&amp;"-"&amp;$A$2:$A$4001,0,-1)),H226))</f>
        <v>0</v>
      </c>
      <c r="J226" cm="1">
        <f t="array" ref="J226">IF(OR(AND(I226=9,J$1&gt;YEAR($N226))),9,_xlfn.IFNA(INDEX($D$2:$D$4001,_xlfn.XMATCH(J$1&amp;"-"&amp;$F226,YEAR($B$2:$B$4001)&amp;"-"&amp;$A$2:$A$4001,0,-1)),I226))</f>
        <v>0</v>
      </c>
      <c r="K226" cm="1">
        <f t="array" ref="K226">IF(OR(AND(J226=9,K$1&gt;YEAR($N226))),9,_xlfn.IFNA(INDEX($D$2:$D$4001,_xlfn.XMATCH(K$1&amp;"-"&amp;$F226,YEAR($B$2:$B$4001)&amp;"-"&amp;$A$2:$A$4001,0,-1)),J226))</f>
        <v>0</v>
      </c>
      <c r="L226" cm="1">
        <f t="array" ref="L226">IF(OR(AND(K226=9,L$1&gt;YEAR($N226))),9,_xlfn.IFNA(INDEX($D$2:$D$4001,_xlfn.XMATCH(L$1&amp;"-"&amp;$F226,YEAR($B$2:$B$4001)&amp;"-"&amp;$A$2:$A$4001,0,-1)),K226))</f>
        <v>0</v>
      </c>
      <c r="M226" cm="1">
        <f t="array" ref="M226">IF(OR(AND(L226=9,M$1&gt;YEAR($N226))),9,_xlfn.IFNA(INDEX($D$2:$D$4001,_xlfn.XMATCH(M$1&amp;"-"&amp;$F226,YEAR($B$2:$B$4001)&amp;"-"&amp;$A$2:$A$4001,0,-1)),L226))</f>
        <v>0</v>
      </c>
      <c r="N226" s="1">
        <f t="shared" si="3"/>
        <v>36301</v>
      </c>
    </row>
    <row r="227" spans="1:14" x14ac:dyDescent="0.35">
      <c r="A227">
        <v>117</v>
      </c>
      <c r="B227" s="2">
        <v>36310</v>
      </c>
      <c r="C227">
        <v>4</v>
      </c>
      <c r="D227">
        <v>4</v>
      </c>
      <c r="F227">
        <v>226</v>
      </c>
      <c r="G227" cm="1">
        <f t="array" ref="G227">_xlfn.IFNA(INDEX($D$2:$D$4001,_xlfn.XMATCH(G$1&amp;"-"&amp;$F227,YEAR($B$2:$B$4001)&amp;"-"&amp;$A$2:$A$4001,0,-1)),9)</f>
        <v>4</v>
      </c>
      <c r="H227" cm="1">
        <f t="array" ref="H227">IF(OR(AND(G227=9,H$1&gt;YEAR($N227))),9,_xlfn.IFNA(INDEX($D$2:$D$4001,_xlfn.XMATCH(H$1&amp;"-"&amp;$F227,YEAR($B$2:$B$4001)&amp;"-"&amp;$A$2:$A$4001,0,-1)),G227))</f>
        <v>4</v>
      </c>
      <c r="I227" cm="1">
        <f t="array" ref="I227">IF(OR(AND(H227=9,I$1&gt;YEAR($N227))),9,_xlfn.IFNA(INDEX($D$2:$D$4001,_xlfn.XMATCH(I$1&amp;"-"&amp;$F227,YEAR($B$2:$B$4001)&amp;"-"&amp;$A$2:$A$4001,0,-1)),H227))</f>
        <v>4</v>
      </c>
      <c r="J227" cm="1">
        <f t="array" ref="J227">IF(OR(AND(I227=9,J$1&gt;YEAR($N227))),9,_xlfn.IFNA(INDEX($D$2:$D$4001,_xlfn.XMATCH(J$1&amp;"-"&amp;$F227,YEAR($B$2:$B$4001)&amp;"-"&amp;$A$2:$A$4001,0,-1)),I227))</f>
        <v>4</v>
      </c>
      <c r="K227" cm="1">
        <f t="array" ref="K227">IF(OR(AND(J227=9,K$1&gt;YEAR($N227))),9,_xlfn.IFNA(INDEX($D$2:$D$4001,_xlfn.XMATCH(K$1&amp;"-"&amp;$F227,YEAR($B$2:$B$4001)&amp;"-"&amp;$A$2:$A$4001,0,-1)),J227))</f>
        <v>4</v>
      </c>
      <c r="L227" cm="1">
        <f t="array" ref="L227">IF(OR(AND(K227=9,L$1&gt;YEAR($N227))),9,_xlfn.IFNA(INDEX($D$2:$D$4001,_xlfn.XMATCH(L$1&amp;"-"&amp;$F227,YEAR($B$2:$B$4001)&amp;"-"&amp;$A$2:$A$4001,0,-1)),K227))</f>
        <v>3</v>
      </c>
      <c r="M227" cm="1">
        <f t="array" ref="M227">IF(OR(AND(L227=9,M$1&gt;YEAR($N227))),9,_xlfn.IFNA(INDEX($D$2:$D$4001,_xlfn.XMATCH(M$1&amp;"-"&amp;$F227,YEAR($B$2:$B$4001)&amp;"-"&amp;$A$2:$A$4001,0,-1)),L227))</f>
        <v>0</v>
      </c>
      <c r="N227" s="1">
        <f t="shared" si="3"/>
        <v>36310</v>
      </c>
    </row>
    <row r="228" spans="1:14" x14ac:dyDescent="0.35">
      <c r="A228">
        <v>117</v>
      </c>
      <c r="B228" s="2">
        <v>36728</v>
      </c>
      <c r="C228">
        <v>3</v>
      </c>
      <c r="D228">
        <v>3</v>
      </c>
      <c r="F228">
        <v>227</v>
      </c>
      <c r="G228" cm="1">
        <f t="array" ref="G228">_xlfn.IFNA(INDEX($D$2:$D$4001,_xlfn.XMATCH(G$1&amp;"-"&amp;$F228,YEAR($B$2:$B$4001)&amp;"-"&amp;$A$2:$A$4001,0,-1)),9)</f>
        <v>9</v>
      </c>
      <c r="H228" cm="1">
        <f t="array" ref="H228">IF(OR(AND(G228=9,H$1&gt;YEAR($N228))),9,_xlfn.IFNA(INDEX($D$2:$D$4001,_xlfn.XMATCH(H$1&amp;"-"&amp;$F228,YEAR($B$2:$B$4001)&amp;"-"&amp;$A$2:$A$4001,0,-1)),G228))</f>
        <v>9</v>
      </c>
      <c r="I228" cm="1">
        <f t="array" ref="I228">IF(OR(AND(H228=9,I$1&gt;YEAR($N228))),9,_xlfn.IFNA(INDEX($D$2:$D$4001,_xlfn.XMATCH(I$1&amp;"-"&amp;$F228,YEAR($B$2:$B$4001)&amp;"-"&amp;$A$2:$A$4001,0,-1)),H228))</f>
        <v>9</v>
      </c>
      <c r="J228" cm="1">
        <f t="array" ref="J228">IF(OR(AND(I228=9,J$1&gt;YEAR($N228))),9,_xlfn.IFNA(INDEX($D$2:$D$4001,_xlfn.XMATCH(J$1&amp;"-"&amp;$F228,YEAR($B$2:$B$4001)&amp;"-"&amp;$A$2:$A$4001,0,-1)),I228))</f>
        <v>9</v>
      </c>
      <c r="K228" cm="1">
        <f t="array" ref="K228">IF(OR(AND(J228=9,K$1&gt;YEAR($N228))),9,_xlfn.IFNA(INDEX($D$2:$D$4001,_xlfn.XMATCH(K$1&amp;"-"&amp;$F228,YEAR($B$2:$B$4001)&amp;"-"&amp;$A$2:$A$4001,0,-1)),J228))</f>
        <v>3</v>
      </c>
      <c r="L228" cm="1">
        <f t="array" ref="L228">IF(OR(AND(K228=9,L$1&gt;YEAR($N228))),9,_xlfn.IFNA(INDEX($D$2:$D$4001,_xlfn.XMATCH(L$1&amp;"-"&amp;$F228,YEAR($B$2:$B$4001)&amp;"-"&amp;$A$2:$A$4001,0,-1)),K228))</f>
        <v>3</v>
      </c>
      <c r="M228" cm="1">
        <f t="array" ref="M228">IF(OR(AND(L228=9,M$1&gt;YEAR($N228))),9,_xlfn.IFNA(INDEX($D$2:$D$4001,_xlfn.XMATCH(M$1&amp;"-"&amp;$F228,YEAR($B$2:$B$4001)&amp;"-"&amp;$A$2:$A$4001,0,-1)),L228))</f>
        <v>3</v>
      </c>
      <c r="N228" s="1">
        <f t="shared" si="3"/>
        <v>37985</v>
      </c>
    </row>
    <row r="229" spans="1:14" x14ac:dyDescent="0.35">
      <c r="A229">
        <v>118</v>
      </c>
      <c r="B229" s="2">
        <v>38493</v>
      </c>
      <c r="C229">
        <v>3</v>
      </c>
      <c r="D229">
        <v>3</v>
      </c>
      <c r="F229">
        <v>228</v>
      </c>
      <c r="G229" cm="1">
        <f t="array" ref="G229">_xlfn.IFNA(INDEX($D$2:$D$4001,_xlfn.XMATCH(G$1&amp;"-"&amp;$F229,YEAR($B$2:$B$4001)&amp;"-"&amp;$A$2:$A$4001,0,-1)),9)</f>
        <v>8</v>
      </c>
      <c r="H229" cm="1">
        <f t="array" ref="H229">IF(OR(AND(G229=9,H$1&gt;YEAR($N229))),9,_xlfn.IFNA(INDEX($D$2:$D$4001,_xlfn.XMATCH(H$1&amp;"-"&amp;$F229,YEAR($B$2:$B$4001)&amp;"-"&amp;$A$2:$A$4001,0,-1)),G229))</f>
        <v>8</v>
      </c>
      <c r="I229" cm="1">
        <f t="array" ref="I229">IF(OR(AND(H229=9,I$1&gt;YEAR($N229))),9,_xlfn.IFNA(INDEX($D$2:$D$4001,_xlfn.XMATCH(I$1&amp;"-"&amp;$F229,YEAR($B$2:$B$4001)&amp;"-"&amp;$A$2:$A$4001,0,-1)),H229))</f>
        <v>8</v>
      </c>
      <c r="J229" cm="1">
        <f t="array" ref="J229">IF(OR(AND(I229=9,J$1&gt;YEAR($N229))),9,_xlfn.IFNA(INDEX($D$2:$D$4001,_xlfn.XMATCH(J$1&amp;"-"&amp;$F229,YEAR($B$2:$B$4001)&amp;"-"&amp;$A$2:$A$4001,0,-1)),I229))</f>
        <v>8</v>
      </c>
      <c r="K229" cm="1">
        <f t="array" ref="K229">IF(OR(AND(J229=9,K$1&gt;YEAR($N229))),9,_xlfn.IFNA(INDEX($D$2:$D$4001,_xlfn.XMATCH(K$1&amp;"-"&amp;$F229,YEAR($B$2:$B$4001)&amp;"-"&amp;$A$2:$A$4001,0,-1)),J229))</f>
        <v>8</v>
      </c>
      <c r="L229" cm="1">
        <f t="array" ref="L229">IF(OR(AND(K229=9,L$1&gt;YEAR($N229))),9,_xlfn.IFNA(INDEX($D$2:$D$4001,_xlfn.XMATCH(L$1&amp;"-"&amp;$F229,YEAR($B$2:$B$4001)&amp;"-"&amp;$A$2:$A$4001,0,-1)),K229))</f>
        <v>8</v>
      </c>
      <c r="M229" cm="1">
        <f t="array" ref="M229">IF(OR(AND(L229=9,M$1&gt;YEAR($N229))),9,_xlfn.IFNA(INDEX($D$2:$D$4001,_xlfn.XMATCH(M$1&amp;"-"&amp;$F229,YEAR($B$2:$B$4001)&amp;"-"&amp;$A$2:$A$4001,0,-1)),L229))</f>
        <v>8</v>
      </c>
      <c r="N229" s="1">
        <f t="shared" si="3"/>
        <v>36494</v>
      </c>
    </row>
    <row r="230" spans="1:14" x14ac:dyDescent="0.35">
      <c r="A230">
        <v>118</v>
      </c>
      <c r="B230" s="2">
        <v>38493</v>
      </c>
      <c r="C230">
        <v>4</v>
      </c>
      <c r="D230">
        <v>4</v>
      </c>
      <c r="F230">
        <v>229</v>
      </c>
      <c r="G230" cm="1">
        <f t="array" ref="G230">_xlfn.IFNA(INDEX($D$2:$D$4001,_xlfn.XMATCH(G$1&amp;"-"&amp;$F230,YEAR($B$2:$B$4001)&amp;"-"&amp;$A$2:$A$4001,0,-1)),9)</f>
        <v>9</v>
      </c>
      <c r="H230" cm="1">
        <f t="array" ref="H230">IF(OR(AND(G230=9,H$1&gt;YEAR($N230))),9,_xlfn.IFNA(INDEX($D$2:$D$4001,_xlfn.XMATCH(H$1&amp;"-"&amp;$F230,YEAR($B$2:$B$4001)&amp;"-"&amp;$A$2:$A$4001,0,-1)),G230))</f>
        <v>3</v>
      </c>
      <c r="I230" cm="1">
        <f t="array" ref="I230">IF(OR(AND(H230=9,I$1&gt;YEAR($N230))),9,_xlfn.IFNA(INDEX($D$2:$D$4001,_xlfn.XMATCH(I$1&amp;"-"&amp;$F230,YEAR($B$2:$B$4001)&amp;"-"&amp;$A$2:$A$4001,0,-1)),H230))</f>
        <v>3</v>
      </c>
      <c r="J230" cm="1">
        <f t="array" ref="J230">IF(OR(AND(I230=9,J$1&gt;YEAR($N230))),9,_xlfn.IFNA(INDEX($D$2:$D$4001,_xlfn.XMATCH(J$1&amp;"-"&amp;$F230,YEAR($B$2:$B$4001)&amp;"-"&amp;$A$2:$A$4001,0,-1)),I230))</f>
        <v>3</v>
      </c>
      <c r="K230" cm="1">
        <f t="array" ref="K230">IF(OR(AND(J230=9,K$1&gt;YEAR($N230))),9,_xlfn.IFNA(INDEX($D$2:$D$4001,_xlfn.XMATCH(K$1&amp;"-"&amp;$F230,YEAR($B$2:$B$4001)&amp;"-"&amp;$A$2:$A$4001,0,-1)),J230))</f>
        <v>3</v>
      </c>
      <c r="L230" cm="1">
        <f t="array" ref="L230">IF(OR(AND(K230=9,L$1&gt;YEAR($N230))),9,_xlfn.IFNA(INDEX($D$2:$D$4001,_xlfn.XMATCH(L$1&amp;"-"&amp;$F230,YEAR($B$2:$B$4001)&amp;"-"&amp;$A$2:$A$4001,0,-1)),K230))</f>
        <v>3</v>
      </c>
      <c r="M230" cm="1">
        <f t="array" ref="M230">IF(OR(AND(L230=9,M$1&gt;YEAR($N230))),9,_xlfn.IFNA(INDEX($D$2:$D$4001,_xlfn.XMATCH(M$1&amp;"-"&amp;$F230,YEAR($B$2:$B$4001)&amp;"-"&amp;$A$2:$A$4001,0,-1)),L230))</f>
        <v>3</v>
      </c>
      <c r="N230" s="1">
        <f t="shared" si="3"/>
        <v>36890</v>
      </c>
    </row>
    <row r="231" spans="1:14" x14ac:dyDescent="0.35">
      <c r="A231">
        <v>119</v>
      </c>
      <c r="B231" s="2">
        <v>37771</v>
      </c>
      <c r="C231">
        <v>0</v>
      </c>
      <c r="D231">
        <v>0</v>
      </c>
      <c r="F231">
        <v>230</v>
      </c>
      <c r="G231" cm="1">
        <f t="array" ref="G231">_xlfn.IFNA(INDEX($D$2:$D$4001,_xlfn.XMATCH(G$1&amp;"-"&amp;$F231,YEAR($B$2:$B$4001)&amp;"-"&amp;$A$2:$A$4001,0,-1)),9)</f>
        <v>9</v>
      </c>
      <c r="H231" cm="1">
        <f t="array" ref="H231">IF(OR(AND(G231=9,H$1&gt;YEAR($N231))),9,_xlfn.IFNA(INDEX($D$2:$D$4001,_xlfn.XMATCH(H$1&amp;"-"&amp;$F231,YEAR($B$2:$B$4001)&amp;"-"&amp;$A$2:$A$4001,0,-1)),G231))</f>
        <v>9</v>
      </c>
      <c r="I231" cm="1">
        <f t="array" ref="I231">IF(OR(AND(H231=9,I$1&gt;YEAR($N231))),9,_xlfn.IFNA(INDEX($D$2:$D$4001,_xlfn.XMATCH(I$1&amp;"-"&amp;$F231,YEAR($B$2:$B$4001)&amp;"-"&amp;$A$2:$A$4001,0,-1)),H231))</f>
        <v>9</v>
      </c>
      <c r="J231" cm="1">
        <f t="array" ref="J231">IF(OR(AND(I231=9,J$1&gt;YEAR($N231))),9,_xlfn.IFNA(INDEX($D$2:$D$4001,_xlfn.XMATCH(J$1&amp;"-"&amp;$F231,YEAR($B$2:$B$4001)&amp;"-"&amp;$A$2:$A$4001,0,-1)),I231))</f>
        <v>4</v>
      </c>
      <c r="K231" cm="1">
        <f t="array" ref="K231">IF(OR(AND(J231=9,K$1&gt;YEAR($N231))),9,_xlfn.IFNA(INDEX($D$2:$D$4001,_xlfn.XMATCH(K$1&amp;"-"&amp;$F231,YEAR($B$2:$B$4001)&amp;"-"&amp;$A$2:$A$4001,0,-1)),J231))</f>
        <v>4</v>
      </c>
      <c r="L231" cm="1">
        <f t="array" ref="L231">IF(OR(AND(K231=9,L$1&gt;YEAR($N231))),9,_xlfn.IFNA(INDEX($D$2:$D$4001,_xlfn.XMATCH(L$1&amp;"-"&amp;$F231,YEAR($B$2:$B$4001)&amp;"-"&amp;$A$2:$A$4001,0,-1)),K231))</f>
        <v>3</v>
      </c>
      <c r="M231" cm="1">
        <f t="array" ref="M231">IF(OR(AND(L231=9,M$1&gt;YEAR($N231))),9,_xlfn.IFNA(INDEX($D$2:$D$4001,_xlfn.XMATCH(M$1&amp;"-"&amp;$F231,YEAR($B$2:$B$4001)&amp;"-"&amp;$A$2:$A$4001,0,-1)),L231))</f>
        <v>3</v>
      </c>
      <c r="N231" s="1">
        <f t="shared" si="3"/>
        <v>37590</v>
      </c>
    </row>
    <row r="232" spans="1:14" x14ac:dyDescent="0.35">
      <c r="A232">
        <v>120</v>
      </c>
      <c r="B232" s="2">
        <v>36301</v>
      </c>
      <c r="C232">
        <v>4</v>
      </c>
      <c r="D232">
        <v>4</v>
      </c>
      <c r="F232">
        <v>231</v>
      </c>
      <c r="G232" cm="1">
        <f t="array" ref="G232">_xlfn.IFNA(INDEX($D$2:$D$4001,_xlfn.XMATCH(G$1&amp;"-"&amp;$F232,YEAR($B$2:$B$4001)&amp;"-"&amp;$A$2:$A$4001,0,-1)),9)</f>
        <v>0</v>
      </c>
      <c r="H232" cm="1">
        <f t="array" ref="H232">IF(OR(AND(G232=9,H$1&gt;YEAR($N232))),9,_xlfn.IFNA(INDEX($D$2:$D$4001,_xlfn.XMATCH(H$1&amp;"-"&amp;$F232,YEAR($B$2:$B$4001)&amp;"-"&amp;$A$2:$A$4001,0,-1)),G232))</f>
        <v>0</v>
      </c>
      <c r="I232" cm="1">
        <f t="array" ref="I232">IF(OR(AND(H232=9,I$1&gt;YEAR($N232))),9,_xlfn.IFNA(INDEX($D$2:$D$4001,_xlfn.XMATCH(I$1&amp;"-"&amp;$F232,YEAR($B$2:$B$4001)&amp;"-"&amp;$A$2:$A$4001,0,-1)),H232))</f>
        <v>3</v>
      </c>
      <c r="J232" cm="1">
        <f t="array" ref="J232">IF(OR(AND(I232=9,J$1&gt;YEAR($N232))),9,_xlfn.IFNA(INDEX($D$2:$D$4001,_xlfn.XMATCH(J$1&amp;"-"&amp;$F232,YEAR($B$2:$B$4001)&amp;"-"&amp;$A$2:$A$4001,0,-1)),I232))</f>
        <v>3</v>
      </c>
      <c r="K232" cm="1">
        <f t="array" ref="K232">IF(OR(AND(J232=9,K$1&gt;YEAR($N232))),9,_xlfn.IFNA(INDEX($D$2:$D$4001,_xlfn.XMATCH(K$1&amp;"-"&amp;$F232,YEAR($B$2:$B$4001)&amp;"-"&amp;$A$2:$A$4001,0,-1)),J232))</f>
        <v>4</v>
      </c>
      <c r="L232" cm="1">
        <f t="array" ref="L232">IF(OR(AND(K232=9,L$1&gt;YEAR($N232))),9,_xlfn.IFNA(INDEX($D$2:$D$4001,_xlfn.XMATCH(L$1&amp;"-"&amp;$F232,YEAR($B$2:$B$4001)&amp;"-"&amp;$A$2:$A$4001,0,-1)),K232))</f>
        <v>4</v>
      </c>
      <c r="M232" cm="1">
        <f t="array" ref="M232">IF(OR(AND(L232=9,M$1&gt;YEAR($N232))),9,_xlfn.IFNA(INDEX($D$2:$D$4001,_xlfn.XMATCH(M$1&amp;"-"&amp;$F232,YEAR($B$2:$B$4001)&amp;"-"&amp;$A$2:$A$4001,0,-1)),L232))</f>
        <v>4</v>
      </c>
      <c r="N232" s="1">
        <f t="shared" si="3"/>
        <v>36310</v>
      </c>
    </row>
    <row r="233" spans="1:14" x14ac:dyDescent="0.35">
      <c r="A233">
        <v>120</v>
      </c>
      <c r="B233" s="2">
        <v>36524</v>
      </c>
      <c r="C233">
        <v>4</v>
      </c>
      <c r="D233">
        <v>4</v>
      </c>
      <c r="F233">
        <v>232</v>
      </c>
      <c r="G233" cm="1">
        <f t="array" ref="G233">_xlfn.IFNA(INDEX($D$2:$D$4001,_xlfn.XMATCH(G$1&amp;"-"&amp;$F233,YEAR($B$2:$B$4001)&amp;"-"&amp;$A$2:$A$4001,0,-1)),9)</f>
        <v>3</v>
      </c>
      <c r="H233" cm="1">
        <f t="array" ref="H233">IF(OR(AND(G233=9,H$1&gt;YEAR($N233))),9,_xlfn.IFNA(INDEX($D$2:$D$4001,_xlfn.XMATCH(H$1&amp;"-"&amp;$F233,YEAR($B$2:$B$4001)&amp;"-"&amp;$A$2:$A$4001,0,-1)),G233))</f>
        <v>3</v>
      </c>
      <c r="I233" cm="1">
        <f t="array" ref="I233">IF(OR(AND(H233=9,I$1&gt;YEAR($N233))),9,_xlfn.IFNA(INDEX($D$2:$D$4001,_xlfn.XMATCH(I$1&amp;"-"&amp;$F233,YEAR($B$2:$B$4001)&amp;"-"&amp;$A$2:$A$4001,0,-1)),H233))</f>
        <v>3</v>
      </c>
      <c r="J233" cm="1">
        <f t="array" ref="J233">IF(OR(AND(I233=9,J$1&gt;YEAR($N233))),9,_xlfn.IFNA(INDEX($D$2:$D$4001,_xlfn.XMATCH(J$1&amp;"-"&amp;$F233,YEAR($B$2:$B$4001)&amp;"-"&amp;$A$2:$A$4001,0,-1)),I233))</f>
        <v>3</v>
      </c>
      <c r="K233" cm="1">
        <f t="array" ref="K233">IF(OR(AND(J233=9,K$1&gt;YEAR($N233))),9,_xlfn.IFNA(INDEX($D$2:$D$4001,_xlfn.XMATCH(K$1&amp;"-"&amp;$F233,YEAR($B$2:$B$4001)&amp;"-"&amp;$A$2:$A$4001,0,-1)),J233))</f>
        <v>3</v>
      </c>
      <c r="L233" cm="1">
        <f t="array" ref="L233">IF(OR(AND(K233=9,L$1&gt;YEAR($N233))),9,_xlfn.IFNA(INDEX($D$2:$D$4001,_xlfn.XMATCH(L$1&amp;"-"&amp;$F233,YEAR($B$2:$B$4001)&amp;"-"&amp;$A$2:$A$4001,0,-1)),K233))</f>
        <v>3</v>
      </c>
      <c r="M233" cm="1">
        <f t="array" ref="M233">IF(OR(AND(L233=9,M$1&gt;YEAR($N233))),9,_xlfn.IFNA(INDEX($D$2:$D$4001,_xlfn.XMATCH(M$1&amp;"-"&amp;$F233,YEAR($B$2:$B$4001)&amp;"-"&amp;$A$2:$A$4001,0,-1)),L233))</f>
        <v>3</v>
      </c>
      <c r="N233" s="1">
        <f t="shared" si="3"/>
        <v>36524</v>
      </c>
    </row>
    <row r="234" spans="1:14" x14ac:dyDescent="0.35">
      <c r="A234">
        <v>121</v>
      </c>
      <c r="B234" s="2">
        <v>38251</v>
      </c>
      <c r="C234">
        <v>4</v>
      </c>
      <c r="D234">
        <v>4</v>
      </c>
      <c r="F234">
        <v>233</v>
      </c>
      <c r="G234" cm="1">
        <f t="array" ref="G234">_xlfn.IFNA(INDEX($D$2:$D$4001,_xlfn.XMATCH(G$1&amp;"-"&amp;$F234,YEAR($B$2:$B$4001)&amp;"-"&amp;$A$2:$A$4001,0,-1)),9)</f>
        <v>9</v>
      </c>
      <c r="H234" cm="1">
        <f t="array" ref="H234">IF(OR(AND(G234=9,H$1&gt;YEAR($N234))),9,_xlfn.IFNA(INDEX($D$2:$D$4001,_xlfn.XMATCH(H$1&amp;"-"&amp;$F234,YEAR($B$2:$B$4001)&amp;"-"&amp;$A$2:$A$4001,0,-1)),G234))</f>
        <v>9</v>
      </c>
      <c r="I234" cm="1">
        <f t="array" ref="I234">IF(OR(AND(H234=9,I$1&gt;YEAR($N234))),9,_xlfn.IFNA(INDEX($D$2:$D$4001,_xlfn.XMATCH(I$1&amp;"-"&amp;$F234,YEAR($B$2:$B$4001)&amp;"-"&amp;$A$2:$A$4001,0,-1)),H234))</f>
        <v>4</v>
      </c>
      <c r="J234" cm="1">
        <f t="array" ref="J234">IF(OR(AND(I234=9,J$1&gt;YEAR($N234))),9,_xlfn.IFNA(INDEX($D$2:$D$4001,_xlfn.XMATCH(J$1&amp;"-"&amp;$F234,YEAR($B$2:$B$4001)&amp;"-"&amp;$A$2:$A$4001,0,-1)),I234))</f>
        <v>4</v>
      </c>
      <c r="K234" cm="1">
        <f t="array" ref="K234">IF(OR(AND(J234=9,K$1&gt;YEAR($N234))),9,_xlfn.IFNA(INDEX($D$2:$D$4001,_xlfn.XMATCH(K$1&amp;"-"&amp;$F234,YEAR($B$2:$B$4001)&amp;"-"&amp;$A$2:$A$4001,0,-1)),J234))</f>
        <v>4</v>
      </c>
      <c r="L234" cm="1">
        <f t="array" ref="L234">IF(OR(AND(K234=9,L$1&gt;YEAR($N234))),9,_xlfn.IFNA(INDEX($D$2:$D$4001,_xlfn.XMATCH(L$1&amp;"-"&amp;$F234,YEAR($B$2:$B$4001)&amp;"-"&amp;$A$2:$A$4001,0,-1)),K234))</f>
        <v>4</v>
      </c>
      <c r="M234" cm="1">
        <f t="array" ref="M234">IF(OR(AND(L234=9,M$1&gt;YEAR($N234))),9,_xlfn.IFNA(INDEX($D$2:$D$4001,_xlfn.XMATCH(M$1&amp;"-"&amp;$F234,YEAR($B$2:$B$4001)&amp;"-"&amp;$A$2:$A$4001,0,-1)),L234))</f>
        <v>4</v>
      </c>
      <c r="N234" s="1">
        <f t="shared" si="3"/>
        <v>37041</v>
      </c>
    </row>
    <row r="235" spans="1:14" x14ac:dyDescent="0.35">
      <c r="A235">
        <v>122</v>
      </c>
      <c r="B235" s="2">
        <v>36705</v>
      </c>
      <c r="C235">
        <v>3</v>
      </c>
      <c r="D235">
        <v>3</v>
      </c>
      <c r="F235">
        <v>234</v>
      </c>
      <c r="G235" cm="1">
        <f t="array" ref="G235">_xlfn.IFNA(INDEX($D$2:$D$4001,_xlfn.XMATCH(G$1&amp;"-"&amp;$F235,YEAR($B$2:$B$4001)&amp;"-"&amp;$A$2:$A$4001,0,-1)),9)</f>
        <v>9</v>
      </c>
      <c r="H235" cm="1">
        <f t="array" ref="H235">IF(OR(AND(G235=9,H$1&gt;YEAR($N235))),9,_xlfn.IFNA(INDEX($D$2:$D$4001,_xlfn.XMATCH(H$1&amp;"-"&amp;$F235,YEAR($B$2:$B$4001)&amp;"-"&amp;$A$2:$A$4001,0,-1)),G235))</f>
        <v>2</v>
      </c>
      <c r="I235" cm="1">
        <f t="array" ref="I235">IF(OR(AND(H235=9,I$1&gt;YEAR($N235))),9,_xlfn.IFNA(INDEX($D$2:$D$4001,_xlfn.XMATCH(I$1&amp;"-"&amp;$F235,YEAR($B$2:$B$4001)&amp;"-"&amp;$A$2:$A$4001,0,-1)),H235))</f>
        <v>2</v>
      </c>
      <c r="J235" cm="1">
        <f t="array" ref="J235">IF(OR(AND(I235=9,J$1&gt;YEAR($N235))),9,_xlfn.IFNA(INDEX($D$2:$D$4001,_xlfn.XMATCH(J$1&amp;"-"&amp;$F235,YEAR($B$2:$B$4001)&amp;"-"&amp;$A$2:$A$4001,0,-1)),I235))</f>
        <v>2</v>
      </c>
      <c r="K235" cm="1">
        <f t="array" ref="K235">IF(OR(AND(J235=9,K$1&gt;YEAR($N235))),9,_xlfn.IFNA(INDEX($D$2:$D$4001,_xlfn.XMATCH(K$1&amp;"-"&amp;$F235,YEAR($B$2:$B$4001)&amp;"-"&amp;$A$2:$A$4001,0,-1)),J235))</f>
        <v>2</v>
      </c>
      <c r="L235" cm="1">
        <f t="array" ref="L235">IF(OR(AND(K235=9,L$1&gt;YEAR($N235))),9,_xlfn.IFNA(INDEX($D$2:$D$4001,_xlfn.XMATCH(L$1&amp;"-"&amp;$F235,YEAR($B$2:$B$4001)&amp;"-"&amp;$A$2:$A$4001,0,-1)),K235))</f>
        <v>2</v>
      </c>
      <c r="M235" cm="1">
        <f t="array" ref="M235">IF(OR(AND(L235=9,M$1&gt;YEAR($N235))),9,_xlfn.IFNA(INDEX($D$2:$D$4001,_xlfn.XMATCH(M$1&amp;"-"&amp;$F235,YEAR($B$2:$B$4001)&amp;"-"&amp;$A$2:$A$4001,0,-1)),L235))</f>
        <v>2</v>
      </c>
      <c r="N235" s="1">
        <f t="shared" si="3"/>
        <v>36791</v>
      </c>
    </row>
    <row r="236" spans="1:14" x14ac:dyDescent="0.35">
      <c r="A236">
        <v>122</v>
      </c>
      <c r="B236" s="2">
        <v>37915</v>
      </c>
      <c r="C236">
        <v>2</v>
      </c>
      <c r="D236">
        <v>2</v>
      </c>
      <c r="F236">
        <v>235</v>
      </c>
      <c r="G236" cm="1">
        <f t="array" ref="G236">_xlfn.IFNA(INDEX($D$2:$D$4001,_xlfn.XMATCH(G$1&amp;"-"&amp;$F236,YEAR($B$2:$B$4001)&amp;"-"&amp;$A$2:$A$4001,0,-1)),9)</f>
        <v>4</v>
      </c>
      <c r="H236" cm="1">
        <f t="array" ref="H236">IF(OR(AND(G236=9,H$1&gt;YEAR($N236))),9,_xlfn.IFNA(INDEX($D$2:$D$4001,_xlfn.XMATCH(H$1&amp;"-"&amp;$F236,YEAR($B$2:$B$4001)&amp;"-"&amp;$A$2:$A$4001,0,-1)),G236))</f>
        <v>4</v>
      </c>
      <c r="I236" cm="1">
        <f t="array" ref="I236">IF(OR(AND(H236=9,I$1&gt;YEAR($N236))),9,_xlfn.IFNA(INDEX($D$2:$D$4001,_xlfn.XMATCH(I$1&amp;"-"&amp;$F236,YEAR($B$2:$B$4001)&amp;"-"&amp;$A$2:$A$4001,0,-1)),H236))</f>
        <v>4</v>
      </c>
      <c r="J236" cm="1">
        <f t="array" ref="J236">IF(OR(AND(I236=9,J$1&gt;YEAR($N236))),9,_xlfn.IFNA(INDEX($D$2:$D$4001,_xlfn.XMATCH(J$1&amp;"-"&amp;$F236,YEAR($B$2:$B$4001)&amp;"-"&amp;$A$2:$A$4001,0,-1)),I236))</f>
        <v>4</v>
      </c>
      <c r="K236" cm="1">
        <f t="array" ref="K236">IF(OR(AND(J236=9,K$1&gt;YEAR($N236))),9,_xlfn.IFNA(INDEX($D$2:$D$4001,_xlfn.XMATCH(K$1&amp;"-"&amp;$F236,YEAR($B$2:$B$4001)&amp;"-"&amp;$A$2:$A$4001,0,-1)),J236))</f>
        <v>4</v>
      </c>
      <c r="L236" cm="1">
        <f t="array" ref="L236">IF(OR(AND(K236=9,L$1&gt;YEAR($N236))),9,_xlfn.IFNA(INDEX($D$2:$D$4001,_xlfn.XMATCH(L$1&amp;"-"&amp;$F236,YEAR($B$2:$B$4001)&amp;"-"&amp;$A$2:$A$4001,0,-1)),K236))</f>
        <v>4</v>
      </c>
      <c r="M236" cm="1">
        <f t="array" ref="M236">IF(OR(AND(L236=9,M$1&gt;YEAR($N236))),9,_xlfn.IFNA(INDEX($D$2:$D$4001,_xlfn.XMATCH(M$1&amp;"-"&amp;$F236,YEAR($B$2:$B$4001)&amp;"-"&amp;$A$2:$A$4001,0,-1)),L236))</f>
        <v>4</v>
      </c>
      <c r="N236" s="1">
        <f t="shared" si="3"/>
        <v>36524</v>
      </c>
    </row>
    <row r="237" spans="1:14" x14ac:dyDescent="0.35">
      <c r="A237">
        <v>123</v>
      </c>
      <c r="B237" s="2">
        <v>37771</v>
      </c>
      <c r="C237">
        <v>3</v>
      </c>
      <c r="D237">
        <v>3</v>
      </c>
      <c r="F237">
        <v>236</v>
      </c>
      <c r="G237" cm="1">
        <f t="array" ref="G237">_xlfn.IFNA(INDEX($D$2:$D$4001,_xlfn.XMATCH(G$1&amp;"-"&amp;$F237,YEAR($B$2:$B$4001)&amp;"-"&amp;$A$2:$A$4001,0,-1)),9)</f>
        <v>9</v>
      </c>
      <c r="H237" cm="1">
        <f t="array" ref="H237">IF(OR(AND(G237=9,H$1&gt;YEAR($N237))),9,_xlfn.IFNA(INDEX($D$2:$D$4001,_xlfn.XMATCH(H$1&amp;"-"&amp;$F237,YEAR($B$2:$B$4001)&amp;"-"&amp;$A$2:$A$4001,0,-1)),G237))</f>
        <v>9</v>
      </c>
      <c r="I237" cm="1">
        <f t="array" ref="I237">IF(OR(AND(H237=9,I$1&gt;YEAR($N237))),9,_xlfn.IFNA(INDEX($D$2:$D$4001,_xlfn.XMATCH(I$1&amp;"-"&amp;$F237,YEAR($B$2:$B$4001)&amp;"-"&amp;$A$2:$A$4001,0,-1)),H237))</f>
        <v>0</v>
      </c>
      <c r="J237" cm="1">
        <f t="array" ref="J237">IF(OR(AND(I237=9,J$1&gt;YEAR($N237))),9,_xlfn.IFNA(INDEX($D$2:$D$4001,_xlfn.XMATCH(J$1&amp;"-"&amp;$F237,YEAR($B$2:$B$4001)&amp;"-"&amp;$A$2:$A$4001,0,-1)),I237))</f>
        <v>0</v>
      </c>
      <c r="K237" cm="1">
        <f t="array" ref="K237">IF(OR(AND(J237=9,K$1&gt;YEAR($N237))),9,_xlfn.IFNA(INDEX($D$2:$D$4001,_xlfn.XMATCH(K$1&amp;"-"&amp;$F237,YEAR($B$2:$B$4001)&amp;"-"&amp;$A$2:$A$4001,0,-1)),J237))</f>
        <v>0</v>
      </c>
      <c r="L237" cm="1">
        <f t="array" ref="L237">IF(OR(AND(K237=9,L$1&gt;YEAR($N237))),9,_xlfn.IFNA(INDEX($D$2:$D$4001,_xlfn.XMATCH(L$1&amp;"-"&amp;$F237,YEAR($B$2:$B$4001)&amp;"-"&amp;$A$2:$A$4001,0,-1)),K237))</f>
        <v>0</v>
      </c>
      <c r="M237" cm="1">
        <f t="array" ref="M237">IF(OR(AND(L237=9,M$1&gt;YEAR($N237))),9,_xlfn.IFNA(INDEX($D$2:$D$4001,_xlfn.XMATCH(M$1&amp;"-"&amp;$F237,YEAR($B$2:$B$4001)&amp;"-"&amp;$A$2:$A$4001,0,-1)),L237))</f>
        <v>0</v>
      </c>
      <c r="N237" s="1">
        <f t="shared" si="3"/>
        <v>37255</v>
      </c>
    </row>
    <row r="238" spans="1:14" x14ac:dyDescent="0.35">
      <c r="A238">
        <v>123</v>
      </c>
      <c r="B238" s="2">
        <v>38128</v>
      </c>
      <c r="C238">
        <v>3</v>
      </c>
      <c r="D238">
        <v>3</v>
      </c>
      <c r="F238">
        <v>237</v>
      </c>
      <c r="G238" cm="1">
        <f t="array" ref="G238">_xlfn.IFNA(INDEX($D$2:$D$4001,_xlfn.XMATCH(G$1&amp;"-"&amp;$F238,YEAR($B$2:$B$4001)&amp;"-"&amp;$A$2:$A$4001,0,-1)),9)</f>
        <v>9</v>
      </c>
      <c r="H238" cm="1">
        <f t="array" ref="H238">IF(OR(AND(G238=9,H$1&gt;YEAR($N238))),9,_xlfn.IFNA(INDEX($D$2:$D$4001,_xlfn.XMATCH(H$1&amp;"-"&amp;$F238,YEAR($B$2:$B$4001)&amp;"-"&amp;$A$2:$A$4001,0,-1)),G238))</f>
        <v>3</v>
      </c>
      <c r="I238" cm="1">
        <f t="array" ref="I238">IF(OR(AND(H238=9,I$1&gt;YEAR($N238))),9,_xlfn.IFNA(INDEX($D$2:$D$4001,_xlfn.XMATCH(I$1&amp;"-"&amp;$F238,YEAR($B$2:$B$4001)&amp;"-"&amp;$A$2:$A$4001,0,-1)),H238))</f>
        <v>3</v>
      </c>
      <c r="J238" cm="1">
        <f t="array" ref="J238">IF(OR(AND(I238=9,J$1&gt;YEAR($N238))),9,_xlfn.IFNA(INDEX($D$2:$D$4001,_xlfn.XMATCH(J$1&amp;"-"&amp;$F238,YEAR($B$2:$B$4001)&amp;"-"&amp;$A$2:$A$4001,0,-1)),I238))</f>
        <v>3</v>
      </c>
      <c r="K238" cm="1">
        <f t="array" ref="K238">IF(OR(AND(J238=9,K$1&gt;YEAR($N238))),9,_xlfn.IFNA(INDEX($D$2:$D$4001,_xlfn.XMATCH(K$1&amp;"-"&amp;$F238,YEAR($B$2:$B$4001)&amp;"-"&amp;$A$2:$A$4001,0,-1)),J238))</f>
        <v>3</v>
      </c>
      <c r="L238" cm="1">
        <f t="array" ref="L238">IF(OR(AND(K238=9,L$1&gt;YEAR($N238))),9,_xlfn.IFNA(INDEX($D$2:$D$4001,_xlfn.XMATCH(L$1&amp;"-"&amp;$F238,YEAR($B$2:$B$4001)&amp;"-"&amp;$A$2:$A$4001,0,-1)),K238))</f>
        <v>3</v>
      </c>
      <c r="M238" cm="1">
        <f t="array" ref="M238">IF(OR(AND(L238=9,M$1&gt;YEAR($N238))),9,_xlfn.IFNA(INDEX($D$2:$D$4001,_xlfn.XMATCH(M$1&amp;"-"&amp;$F238,YEAR($B$2:$B$4001)&amp;"-"&amp;$A$2:$A$4001,0,-1)),L238))</f>
        <v>3</v>
      </c>
      <c r="N238" s="1">
        <f t="shared" si="3"/>
        <v>36890</v>
      </c>
    </row>
    <row r="239" spans="1:14" x14ac:dyDescent="0.35">
      <c r="A239">
        <v>124</v>
      </c>
      <c r="B239" s="2">
        <v>36424</v>
      </c>
      <c r="C239">
        <v>3</v>
      </c>
      <c r="D239">
        <v>3</v>
      </c>
      <c r="F239">
        <v>238</v>
      </c>
      <c r="G239" cm="1">
        <f t="array" ref="G239">_xlfn.IFNA(INDEX($D$2:$D$4001,_xlfn.XMATCH(G$1&amp;"-"&amp;$F239,YEAR($B$2:$B$4001)&amp;"-"&amp;$A$2:$A$4001,0,-1)),9)</f>
        <v>9</v>
      </c>
      <c r="H239" cm="1">
        <f t="array" ref="H239">IF(OR(AND(G239=9,H$1&gt;YEAR($N239))),9,_xlfn.IFNA(INDEX($D$2:$D$4001,_xlfn.XMATCH(H$1&amp;"-"&amp;$F239,YEAR($B$2:$B$4001)&amp;"-"&amp;$A$2:$A$4001,0,-1)),G239))</f>
        <v>3</v>
      </c>
      <c r="I239" cm="1">
        <f t="array" ref="I239">IF(OR(AND(H239=9,I$1&gt;YEAR($N239))),9,_xlfn.IFNA(INDEX($D$2:$D$4001,_xlfn.XMATCH(I$1&amp;"-"&amp;$F239,YEAR($B$2:$B$4001)&amp;"-"&amp;$A$2:$A$4001,0,-1)),H239))</f>
        <v>3</v>
      </c>
      <c r="J239" cm="1">
        <f t="array" ref="J239">IF(OR(AND(I239=9,J$1&gt;YEAR($N239))),9,_xlfn.IFNA(INDEX($D$2:$D$4001,_xlfn.XMATCH(J$1&amp;"-"&amp;$F239,YEAR($B$2:$B$4001)&amp;"-"&amp;$A$2:$A$4001,0,-1)),I239))</f>
        <v>3</v>
      </c>
      <c r="K239" cm="1">
        <f t="array" ref="K239">IF(OR(AND(J239=9,K$1&gt;YEAR($N239))),9,_xlfn.IFNA(INDEX($D$2:$D$4001,_xlfn.XMATCH(K$1&amp;"-"&amp;$F239,YEAR($B$2:$B$4001)&amp;"-"&amp;$A$2:$A$4001,0,-1)),J239))</f>
        <v>3</v>
      </c>
      <c r="L239" cm="1">
        <f t="array" ref="L239">IF(OR(AND(K239=9,L$1&gt;YEAR($N239))),9,_xlfn.IFNA(INDEX($D$2:$D$4001,_xlfn.XMATCH(L$1&amp;"-"&amp;$F239,YEAR($B$2:$B$4001)&amp;"-"&amp;$A$2:$A$4001,0,-1)),K239))</f>
        <v>3</v>
      </c>
      <c r="M239" cm="1">
        <f t="array" ref="M239">IF(OR(AND(L239=9,M$1&gt;YEAR($N239))),9,_xlfn.IFNA(INDEX($D$2:$D$4001,_xlfn.XMATCH(M$1&amp;"-"&amp;$F239,YEAR($B$2:$B$4001)&amp;"-"&amp;$A$2:$A$4001,0,-1)),L239))</f>
        <v>3</v>
      </c>
      <c r="N239" s="1">
        <f t="shared" si="3"/>
        <v>36676</v>
      </c>
    </row>
    <row r="240" spans="1:14" x14ac:dyDescent="0.35">
      <c r="A240">
        <v>125</v>
      </c>
      <c r="B240" s="2">
        <v>36524</v>
      </c>
      <c r="C240">
        <v>2</v>
      </c>
      <c r="D240">
        <v>2</v>
      </c>
      <c r="F240">
        <v>239</v>
      </c>
      <c r="G240" cm="1">
        <f t="array" ref="G240">_xlfn.IFNA(INDEX($D$2:$D$4001,_xlfn.XMATCH(G$1&amp;"-"&amp;$F240,YEAR($B$2:$B$4001)&amp;"-"&amp;$A$2:$A$4001,0,-1)),9)</f>
        <v>9</v>
      </c>
      <c r="H240" cm="1">
        <f t="array" ref="H240">IF(OR(AND(G240=9,H$1&gt;YEAR($N240))),9,_xlfn.IFNA(INDEX($D$2:$D$4001,_xlfn.XMATCH(H$1&amp;"-"&amp;$F240,YEAR($B$2:$B$4001)&amp;"-"&amp;$A$2:$A$4001,0,-1)),G240))</f>
        <v>9</v>
      </c>
      <c r="I240" cm="1">
        <f t="array" ref="I240">IF(OR(AND(H240=9,I$1&gt;YEAR($N240))),9,_xlfn.IFNA(INDEX($D$2:$D$4001,_xlfn.XMATCH(I$1&amp;"-"&amp;$F240,YEAR($B$2:$B$4001)&amp;"-"&amp;$A$2:$A$4001,0,-1)),H240))</f>
        <v>3</v>
      </c>
      <c r="J240" cm="1">
        <f t="array" ref="J240">IF(OR(AND(I240=9,J$1&gt;YEAR($N240))),9,_xlfn.IFNA(INDEX($D$2:$D$4001,_xlfn.XMATCH(J$1&amp;"-"&amp;$F240,YEAR($B$2:$B$4001)&amp;"-"&amp;$A$2:$A$4001,0,-1)),I240))</f>
        <v>3</v>
      </c>
      <c r="K240" cm="1">
        <f t="array" ref="K240">IF(OR(AND(J240=9,K$1&gt;YEAR($N240))),9,_xlfn.IFNA(INDEX($D$2:$D$4001,_xlfn.XMATCH(K$1&amp;"-"&amp;$F240,YEAR($B$2:$B$4001)&amp;"-"&amp;$A$2:$A$4001,0,-1)),J240))</f>
        <v>3</v>
      </c>
      <c r="L240" cm="1">
        <f t="array" ref="L240">IF(OR(AND(K240=9,L$1&gt;YEAR($N240))),9,_xlfn.IFNA(INDEX($D$2:$D$4001,_xlfn.XMATCH(L$1&amp;"-"&amp;$F240,YEAR($B$2:$B$4001)&amp;"-"&amp;$A$2:$A$4001,0,-1)),K240))</f>
        <v>3</v>
      </c>
      <c r="M240" cm="1">
        <f t="array" ref="M240">IF(OR(AND(L240=9,M$1&gt;YEAR($N240))),9,_xlfn.IFNA(INDEX($D$2:$D$4001,_xlfn.XMATCH(M$1&amp;"-"&amp;$F240,YEAR($B$2:$B$4001)&amp;"-"&amp;$A$2:$A$4001,0,-1)),L240))</f>
        <v>3</v>
      </c>
      <c r="N240" s="1">
        <f t="shared" si="3"/>
        <v>37032</v>
      </c>
    </row>
    <row r="241" spans="1:14" x14ac:dyDescent="0.35">
      <c r="A241">
        <v>126</v>
      </c>
      <c r="B241" s="2">
        <v>37406</v>
      </c>
      <c r="C241">
        <v>5</v>
      </c>
      <c r="D241">
        <v>5</v>
      </c>
      <c r="F241">
        <v>240</v>
      </c>
      <c r="G241" cm="1">
        <f t="array" ref="G241">_xlfn.IFNA(INDEX($D$2:$D$4001,_xlfn.XMATCH(G$1&amp;"-"&amp;$F241,YEAR($B$2:$B$4001)&amp;"-"&amp;$A$2:$A$4001,0,-1)),9)</f>
        <v>9</v>
      </c>
      <c r="H241" cm="1">
        <f t="array" ref="H241">IF(OR(AND(G241=9,H$1&gt;YEAR($N241))),9,_xlfn.IFNA(INDEX($D$2:$D$4001,_xlfn.XMATCH(H$1&amp;"-"&amp;$F241,YEAR($B$2:$B$4001)&amp;"-"&amp;$A$2:$A$4001,0,-1)),G241))</f>
        <v>5</v>
      </c>
      <c r="I241" cm="1">
        <f t="array" ref="I241">IF(OR(AND(H241=9,I$1&gt;YEAR($N241))),9,_xlfn.IFNA(INDEX($D$2:$D$4001,_xlfn.XMATCH(I$1&amp;"-"&amp;$F241,YEAR($B$2:$B$4001)&amp;"-"&amp;$A$2:$A$4001,0,-1)),H241))</f>
        <v>0</v>
      </c>
      <c r="J241" cm="1">
        <f t="array" ref="J241">IF(OR(AND(I241=9,J$1&gt;YEAR($N241))),9,_xlfn.IFNA(INDEX($D$2:$D$4001,_xlfn.XMATCH(J$1&amp;"-"&amp;$F241,YEAR($B$2:$B$4001)&amp;"-"&amp;$A$2:$A$4001,0,-1)),I241))</f>
        <v>0</v>
      </c>
      <c r="K241" cm="1">
        <f t="array" ref="K241">IF(OR(AND(J241=9,K$1&gt;YEAR($N241))),9,_xlfn.IFNA(INDEX($D$2:$D$4001,_xlfn.XMATCH(K$1&amp;"-"&amp;$F241,YEAR($B$2:$B$4001)&amp;"-"&amp;$A$2:$A$4001,0,-1)),J241))</f>
        <v>0</v>
      </c>
      <c r="L241" cm="1">
        <f t="array" ref="L241">IF(OR(AND(K241=9,L$1&gt;YEAR($N241))),9,_xlfn.IFNA(INDEX($D$2:$D$4001,_xlfn.XMATCH(L$1&amp;"-"&amp;$F241,YEAR($B$2:$B$4001)&amp;"-"&amp;$A$2:$A$4001,0,-1)),K241))</f>
        <v>0</v>
      </c>
      <c r="M241" cm="1">
        <f t="array" ref="M241">IF(OR(AND(L241=9,M$1&gt;YEAR($N241))),9,_xlfn.IFNA(INDEX($D$2:$D$4001,_xlfn.XMATCH(M$1&amp;"-"&amp;$F241,YEAR($B$2:$B$4001)&amp;"-"&amp;$A$2:$A$4001,0,-1)),L241))</f>
        <v>0</v>
      </c>
      <c r="N241" s="1">
        <f t="shared" si="3"/>
        <v>36890</v>
      </c>
    </row>
    <row r="242" spans="1:14" x14ac:dyDescent="0.35">
      <c r="A242">
        <v>126</v>
      </c>
      <c r="B242" s="2">
        <v>38198</v>
      </c>
      <c r="C242">
        <v>4</v>
      </c>
      <c r="D242">
        <v>4</v>
      </c>
      <c r="F242">
        <v>241</v>
      </c>
      <c r="G242" cm="1">
        <f t="array" ref="G242">_xlfn.IFNA(INDEX($D$2:$D$4001,_xlfn.XMATCH(G$1&amp;"-"&amp;$F242,YEAR($B$2:$B$4001)&amp;"-"&amp;$A$2:$A$4001,0,-1)),9)</f>
        <v>5</v>
      </c>
      <c r="H242" cm="1">
        <f t="array" ref="H242">IF(OR(AND(G242=9,H$1&gt;YEAR($N242))),9,_xlfn.IFNA(INDEX($D$2:$D$4001,_xlfn.XMATCH(H$1&amp;"-"&amp;$F242,YEAR($B$2:$B$4001)&amp;"-"&amp;$A$2:$A$4001,0,-1)),G242))</f>
        <v>4</v>
      </c>
      <c r="I242" cm="1">
        <f t="array" ref="I242">IF(OR(AND(H242=9,I$1&gt;YEAR($N242))),9,_xlfn.IFNA(INDEX($D$2:$D$4001,_xlfn.XMATCH(I$1&amp;"-"&amp;$F242,YEAR($B$2:$B$4001)&amp;"-"&amp;$A$2:$A$4001,0,-1)),H242))</f>
        <v>4</v>
      </c>
      <c r="J242" cm="1">
        <f t="array" ref="J242">IF(OR(AND(I242=9,J$1&gt;YEAR($N242))),9,_xlfn.IFNA(INDEX($D$2:$D$4001,_xlfn.XMATCH(J$1&amp;"-"&amp;$F242,YEAR($B$2:$B$4001)&amp;"-"&amp;$A$2:$A$4001,0,-1)),I242))</f>
        <v>3</v>
      </c>
      <c r="K242" cm="1">
        <f t="array" ref="K242">IF(OR(AND(J242=9,K$1&gt;YEAR($N242))),9,_xlfn.IFNA(INDEX($D$2:$D$4001,_xlfn.XMATCH(K$1&amp;"-"&amp;$F242,YEAR($B$2:$B$4001)&amp;"-"&amp;$A$2:$A$4001,0,-1)),J242))</f>
        <v>3</v>
      </c>
      <c r="L242" cm="1">
        <f t="array" ref="L242">IF(OR(AND(K242=9,L$1&gt;YEAR($N242))),9,_xlfn.IFNA(INDEX($D$2:$D$4001,_xlfn.XMATCH(L$1&amp;"-"&amp;$F242,YEAR($B$2:$B$4001)&amp;"-"&amp;$A$2:$A$4001,0,-1)),K242))</f>
        <v>3</v>
      </c>
      <c r="M242" cm="1">
        <f t="array" ref="M242">IF(OR(AND(L242=9,M$1&gt;YEAR($N242))),9,_xlfn.IFNA(INDEX($D$2:$D$4001,_xlfn.XMATCH(M$1&amp;"-"&amp;$F242,YEAR($B$2:$B$4001)&amp;"-"&amp;$A$2:$A$4001,0,-1)),L242))</f>
        <v>3</v>
      </c>
      <c r="N242" s="1">
        <f t="shared" si="3"/>
        <v>36301</v>
      </c>
    </row>
    <row r="243" spans="1:14" x14ac:dyDescent="0.35">
      <c r="A243">
        <v>127</v>
      </c>
      <c r="B243" s="2">
        <v>36463</v>
      </c>
      <c r="C243">
        <v>5</v>
      </c>
      <c r="D243">
        <v>5</v>
      </c>
      <c r="F243">
        <v>242</v>
      </c>
      <c r="G243" cm="1">
        <f t="array" ref="G243">_xlfn.IFNA(INDEX($D$2:$D$4001,_xlfn.XMATCH(G$1&amp;"-"&amp;$F243,YEAR($B$2:$B$4001)&amp;"-"&amp;$A$2:$A$4001,0,-1)),9)</f>
        <v>9</v>
      </c>
      <c r="H243" cm="1">
        <f t="array" ref="H243">IF(OR(AND(G243=9,H$1&gt;YEAR($N243))),9,_xlfn.IFNA(INDEX($D$2:$D$4001,_xlfn.XMATCH(H$1&amp;"-"&amp;$F243,YEAR($B$2:$B$4001)&amp;"-"&amp;$A$2:$A$4001,0,-1)),G243))</f>
        <v>9</v>
      </c>
      <c r="I243" cm="1">
        <f t="array" ref="I243">IF(OR(AND(H243=9,I$1&gt;YEAR($N243))),9,_xlfn.IFNA(INDEX($D$2:$D$4001,_xlfn.XMATCH(I$1&amp;"-"&amp;$F243,YEAR($B$2:$B$4001)&amp;"-"&amp;$A$2:$A$4001,0,-1)),H243))</f>
        <v>9</v>
      </c>
      <c r="J243" cm="1">
        <f t="array" ref="J243">IF(OR(AND(I243=9,J$1&gt;YEAR($N243))),9,_xlfn.IFNA(INDEX($D$2:$D$4001,_xlfn.XMATCH(J$1&amp;"-"&amp;$F243,YEAR($B$2:$B$4001)&amp;"-"&amp;$A$2:$A$4001,0,-1)),I243))</f>
        <v>5</v>
      </c>
      <c r="K243" cm="1">
        <f t="array" ref="K243">IF(OR(AND(J243=9,K$1&gt;YEAR($N243))),9,_xlfn.IFNA(INDEX($D$2:$D$4001,_xlfn.XMATCH(K$1&amp;"-"&amp;$F243,YEAR($B$2:$B$4001)&amp;"-"&amp;$A$2:$A$4001,0,-1)),J243))</f>
        <v>5</v>
      </c>
      <c r="L243" cm="1">
        <f t="array" ref="L243">IF(OR(AND(K243=9,L$1&gt;YEAR($N243))),9,_xlfn.IFNA(INDEX($D$2:$D$4001,_xlfn.XMATCH(L$1&amp;"-"&amp;$F243,YEAR($B$2:$B$4001)&amp;"-"&amp;$A$2:$A$4001,0,-1)),K243))</f>
        <v>3</v>
      </c>
      <c r="M243" cm="1">
        <f t="array" ref="M243">IF(OR(AND(L243=9,M$1&gt;YEAR($N243))),9,_xlfn.IFNA(INDEX($D$2:$D$4001,_xlfn.XMATCH(M$1&amp;"-"&amp;$F243,YEAR($B$2:$B$4001)&amp;"-"&amp;$A$2:$A$4001,0,-1)),L243))</f>
        <v>3</v>
      </c>
      <c r="N243" s="1">
        <f t="shared" si="3"/>
        <v>37520</v>
      </c>
    </row>
    <row r="244" spans="1:14" x14ac:dyDescent="0.35">
      <c r="A244">
        <v>127</v>
      </c>
      <c r="B244" s="2">
        <v>36524</v>
      </c>
      <c r="C244">
        <v>5</v>
      </c>
      <c r="D244">
        <v>5</v>
      </c>
      <c r="F244">
        <v>243</v>
      </c>
      <c r="G244" cm="1">
        <f t="array" ref="G244">_xlfn.IFNA(INDEX($D$2:$D$4001,_xlfn.XMATCH(G$1&amp;"-"&amp;$F244,YEAR($B$2:$B$4001)&amp;"-"&amp;$A$2:$A$4001,0,-1)),9)</f>
        <v>9</v>
      </c>
      <c r="H244" cm="1">
        <f t="array" ref="H244">IF(OR(AND(G244=9,H$1&gt;YEAR($N244))),9,_xlfn.IFNA(INDEX($D$2:$D$4001,_xlfn.XMATCH(H$1&amp;"-"&amp;$F244,YEAR($B$2:$B$4001)&amp;"-"&amp;$A$2:$A$4001,0,-1)),G244))</f>
        <v>3</v>
      </c>
      <c r="I244" cm="1">
        <f t="array" ref="I244">IF(OR(AND(H244=9,I$1&gt;YEAR($N244))),9,_xlfn.IFNA(INDEX($D$2:$D$4001,_xlfn.XMATCH(I$1&amp;"-"&amp;$F244,YEAR($B$2:$B$4001)&amp;"-"&amp;$A$2:$A$4001,0,-1)),H244))</f>
        <v>3</v>
      </c>
      <c r="J244" cm="1">
        <f t="array" ref="J244">IF(OR(AND(I244=9,J$1&gt;YEAR($N244))),9,_xlfn.IFNA(INDEX($D$2:$D$4001,_xlfn.XMATCH(J$1&amp;"-"&amp;$F244,YEAR($B$2:$B$4001)&amp;"-"&amp;$A$2:$A$4001,0,-1)),I244))</f>
        <v>3</v>
      </c>
      <c r="K244" cm="1">
        <f t="array" ref="K244">IF(OR(AND(J244=9,K$1&gt;YEAR($N244))),9,_xlfn.IFNA(INDEX($D$2:$D$4001,_xlfn.XMATCH(K$1&amp;"-"&amp;$F244,YEAR($B$2:$B$4001)&amp;"-"&amp;$A$2:$A$4001,0,-1)),J244))</f>
        <v>3</v>
      </c>
      <c r="L244" cm="1">
        <f t="array" ref="L244">IF(OR(AND(K244=9,L$1&gt;YEAR($N244))),9,_xlfn.IFNA(INDEX($D$2:$D$4001,_xlfn.XMATCH(L$1&amp;"-"&amp;$F244,YEAR($B$2:$B$4001)&amp;"-"&amp;$A$2:$A$4001,0,-1)),K244))</f>
        <v>3</v>
      </c>
      <c r="M244" cm="1">
        <f t="array" ref="M244">IF(OR(AND(L244=9,M$1&gt;YEAR($N244))),9,_xlfn.IFNA(INDEX($D$2:$D$4001,_xlfn.XMATCH(M$1&amp;"-"&amp;$F244,YEAR($B$2:$B$4001)&amp;"-"&amp;$A$2:$A$4001,0,-1)),L244))</f>
        <v>3</v>
      </c>
      <c r="N244" s="1">
        <f t="shared" si="3"/>
        <v>36667</v>
      </c>
    </row>
    <row r="245" spans="1:14" x14ac:dyDescent="0.35">
      <c r="A245">
        <v>127</v>
      </c>
      <c r="B245" s="2">
        <v>36524</v>
      </c>
      <c r="C245">
        <v>6</v>
      </c>
      <c r="D245">
        <v>6</v>
      </c>
      <c r="F245">
        <v>244</v>
      </c>
      <c r="G245" cm="1">
        <f t="array" ref="G245">_xlfn.IFNA(INDEX($D$2:$D$4001,_xlfn.XMATCH(G$1&amp;"-"&amp;$F245,YEAR($B$2:$B$4001)&amp;"-"&amp;$A$2:$A$4001,0,-1)),9)</f>
        <v>4</v>
      </c>
      <c r="H245" cm="1">
        <f t="array" ref="H245">IF(OR(AND(G245=9,H$1&gt;YEAR($N245))),9,_xlfn.IFNA(INDEX($D$2:$D$4001,_xlfn.XMATCH(H$1&amp;"-"&amp;$F245,YEAR($B$2:$B$4001)&amp;"-"&amp;$A$2:$A$4001,0,-1)),G245))</f>
        <v>4</v>
      </c>
      <c r="I245" cm="1">
        <f t="array" ref="I245">IF(OR(AND(H245=9,I$1&gt;YEAR($N245))),9,_xlfn.IFNA(INDEX($D$2:$D$4001,_xlfn.XMATCH(I$1&amp;"-"&amp;$F245,YEAR($B$2:$B$4001)&amp;"-"&amp;$A$2:$A$4001,0,-1)),H245))</f>
        <v>4</v>
      </c>
      <c r="J245" cm="1">
        <f t="array" ref="J245">IF(OR(AND(I245=9,J$1&gt;YEAR($N245))),9,_xlfn.IFNA(INDEX($D$2:$D$4001,_xlfn.XMATCH(J$1&amp;"-"&amp;$F245,YEAR($B$2:$B$4001)&amp;"-"&amp;$A$2:$A$4001,0,-1)),I245))</f>
        <v>4</v>
      </c>
      <c r="K245" cm="1">
        <f t="array" ref="K245">IF(OR(AND(J245=9,K$1&gt;YEAR($N245))),9,_xlfn.IFNA(INDEX($D$2:$D$4001,_xlfn.XMATCH(K$1&amp;"-"&amp;$F245,YEAR($B$2:$B$4001)&amp;"-"&amp;$A$2:$A$4001,0,-1)),J245))</f>
        <v>4</v>
      </c>
      <c r="L245" cm="1">
        <f t="array" ref="L245">IF(OR(AND(K245=9,L$1&gt;YEAR($N245))),9,_xlfn.IFNA(INDEX($D$2:$D$4001,_xlfn.XMATCH(L$1&amp;"-"&amp;$F245,YEAR($B$2:$B$4001)&amp;"-"&amp;$A$2:$A$4001,0,-1)),K245))</f>
        <v>3</v>
      </c>
      <c r="M245" cm="1">
        <f t="array" ref="M245">IF(OR(AND(L245=9,M$1&gt;YEAR($N245))),9,_xlfn.IFNA(INDEX($D$2:$D$4001,_xlfn.XMATCH(M$1&amp;"-"&amp;$F245,YEAR($B$2:$B$4001)&amp;"-"&amp;$A$2:$A$4001,0,-1)),L245))</f>
        <v>3</v>
      </c>
      <c r="N245" s="1">
        <f t="shared" si="3"/>
        <v>36301</v>
      </c>
    </row>
    <row r="246" spans="1:14" x14ac:dyDescent="0.35">
      <c r="A246">
        <v>127</v>
      </c>
      <c r="B246" s="2">
        <v>38198</v>
      </c>
      <c r="C246">
        <v>5</v>
      </c>
      <c r="D246">
        <v>5</v>
      </c>
      <c r="F246">
        <v>245</v>
      </c>
      <c r="G246" cm="1">
        <f t="array" ref="G246">_xlfn.IFNA(INDEX($D$2:$D$4001,_xlfn.XMATCH(G$1&amp;"-"&amp;$F246,YEAR($B$2:$B$4001)&amp;"-"&amp;$A$2:$A$4001,0,-1)),9)</f>
        <v>7</v>
      </c>
      <c r="H246" cm="1">
        <f t="array" ref="H246">IF(OR(AND(G246=9,H$1&gt;YEAR($N246))),9,_xlfn.IFNA(INDEX($D$2:$D$4001,_xlfn.XMATCH(H$1&amp;"-"&amp;$F246,YEAR($B$2:$B$4001)&amp;"-"&amp;$A$2:$A$4001,0,-1)),G246))</f>
        <v>7</v>
      </c>
      <c r="I246" cm="1">
        <f t="array" ref="I246">IF(OR(AND(H246=9,I$1&gt;YEAR($N246))),9,_xlfn.IFNA(INDEX($D$2:$D$4001,_xlfn.XMATCH(I$1&amp;"-"&amp;$F246,YEAR($B$2:$B$4001)&amp;"-"&amp;$A$2:$A$4001,0,-1)),H246))</f>
        <v>7</v>
      </c>
      <c r="J246" cm="1">
        <f t="array" ref="J246">IF(OR(AND(I246=9,J$1&gt;YEAR($N246))),9,_xlfn.IFNA(INDEX($D$2:$D$4001,_xlfn.XMATCH(J$1&amp;"-"&amp;$F246,YEAR($B$2:$B$4001)&amp;"-"&amp;$A$2:$A$4001,0,-1)),I246))</f>
        <v>7</v>
      </c>
      <c r="K246" cm="1">
        <f t="array" ref="K246">IF(OR(AND(J246=9,K$1&gt;YEAR($N246))),9,_xlfn.IFNA(INDEX($D$2:$D$4001,_xlfn.XMATCH(K$1&amp;"-"&amp;$F246,YEAR($B$2:$B$4001)&amp;"-"&amp;$A$2:$A$4001,0,-1)),J246))</f>
        <v>0</v>
      </c>
      <c r="L246" cm="1">
        <f t="array" ref="L246">IF(OR(AND(K246=9,L$1&gt;YEAR($N246))),9,_xlfn.IFNA(INDEX($D$2:$D$4001,_xlfn.XMATCH(L$1&amp;"-"&amp;$F246,YEAR($B$2:$B$4001)&amp;"-"&amp;$A$2:$A$4001,0,-1)),K246))</f>
        <v>0</v>
      </c>
      <c r="M246" cm="1">
        <f t="array" ref="M246">IF(OR(AND(L246=9,M$1&gt;YEAR($N246))),9,_xlfn.IFNA(INDEX($D$2:$D$4001,_xlfn.XMATCH(M$1&amp;"-"&amp;$F246,YEAR($B$2:$B$4001)&amp;"-"&amp;$A$2:$A$4001,0,-1)),L246))</f>
        <v>0</v>
      </c>
      <c r="N246" s="1">
        <f t="shared" si="3"/>
        <v>36524</v>
      </c>
    </row>
    <row r="247" spans="1:14" x14ac:dyDescent="0.35">
      <c r="A247">
        <v>128</v>
      </c>
      <c r="B247" s="2">
        <v>36494</v>
      </c>
      <c r="C247">
        <v>2</v>
      </c>
      <c r="D247">
        <v>2</v>
      </c>
      <c r="F247">
        <v>246</v>
      </c>
      <c r="G247" cm="1">
        <f t="array" ref="G247">_xlfn.IFNA(INDEX($D$2:$D$4001,_xlfn.XMATCH(G$1&amp;"-"&amp;$F247,YEAR($B$2:$B$4001)&amp;"-"&amp;$A$2:$A$4001,0,-1)),9)</f>
        <v>9</v>
      </c>
      <c r="H247" cm="1">
        <f t="array" ref="H247">IF(OR(AND(G247=9,H$1&gt;YEAR($N247))),9,_xlfn.IFNA(INDEX($D$2:$D$4001,_xlfn.XMATCH(H$1&amp;"-"&amp;$F247,YEAR($B$2:$B$4001)&amp;"-"&amp;$A$2:$A$4001,0,-1)),G247))</f>
        <v>3</v>
      </c>
      <c r="I247" cm="1">
        <f t="array" ref="I247">IF(OR(AND(H247=9,I$1&gt;YEAR($N247))),9,_xlfn.IFNA(INDEX($D$2:$D$4001,_xlfn.XMATCH(I$1&amp;"-"&amp;$F247,YEAR($B$2:$B$4001)&amp;"-"&amp;$A$2:$A$4001,0,-1)),H247))</f>
        <v>4</v>
      </c>
      <c r="J247" cm="1">
        <f t="array" ref="J247">IF(OR(AND(I247=9,J$1&gt;YEAR($N247))),9,_xlfn.IFNA(INDEX($D$2:$D$4001,_xlfn.XMATCH(J$1&amp;"-"&amp;$F247,YEAR($B$2:$B$4001)&amp;"-"&amp;$A$2:$A$4001,0,-1)),I247))</f>
        <v>4</v>
      </c>
      <c r="K247" cm="1">
        <f t="array" ref="K247">IF(OR(AND(J247=9,K$1&gt;YEAR($N247))),9,_xlfn.IFNA(INDEX($D$2:$D$4001,_xlfn.XMATCH(K$1&amp;"-"&amp;$F247,YEAR($B$2:$B$4001)&amp;"-"&amp;$A$2:$A$4001,0,-1)),J247))</f>
        <v>0</v>
      </c>
      <c r="L247" cm="1">
        <f t="array" ref="L247">IF(OR(AND(K247=9,L$1&gt;YEAR($N247))),9,_xlfn.IFNA(INDEX($D$2:$D$4001,_xlfn.XMATCH(L$1&amp;"-"&amp;$F247,YEAR($B$2:$B$4001)&amp;"-"&amp;$A$2:$A$4001,0,-1)),K247))</f>
        <v>0</v>
      </c>
      <c r="M247" cm="1">
        <f t="array" ref="M247">IF(OR(AND(L247=9,M$1&gt;YEAR($N247))),9,_xlfn.IFNA(INDEX($D$2:$D$4001,_xlfn.XMATCH(M$1&amp;"-"&amp;$F247,YEAR($B$2:$B$4001)&amp;"-"&amp;$A$2:$A$4001,0,-1)),L247))</f>
        <v>0</v>
      </c>
      <c r="N247" s="1">
        <f t="shared" si="3"/>
        <v>36676</v>
      </c>
    </row>
    <row r="248" spans="1:14" x14ac:dyDescent="0.35">
      <c r="A248">
        <v>128</v>
      </c>
      <c r="B248" s="2">
        <v>37620</v>
      </c>
      <c r="C248">
        <v>3</v>
      </c>
      <c r="D248">
        <v>3</v>
      </c>
      <c r="F248">
        <v>247</v>
      </c>
      <c r="G248" cm="1">
        <f t="array" ref="G248">_xlfn.IFNA(INDEX($D$2:$D$4001,_xlfn.XMATCH(G$1&amp;"-"&amp;$F248,YEAR($B$2:$B$4001)&amp;"-"&amp;$A$2:$A$4001,0,-1)),9)</f>
        <v>3</v>
      </c>
      <c r="H248" cm="1">
        <f t="array" ref="H248">IF(OR(AND(G248=9,H$1&gt;YEAR($N248))),9,_xlfn.IFNA(INDEX($D$2:$D$4001,_xlfn.XMATCH(H$1&amp;"-"&amp;$F248,YEAR($B$2:$B$4001)&amp;"-"&amp;$A$2:$A$4001,0,-1)),G248))</f>
        <v>3</v>
      </c>
      <c r="I248" cm="1">
        <f t="array" ref="I248">IF(OR(AND(H248=9,I$1&gt;YEAR($N248))),9,_xlfn.IFNA(INDEX($D$2:$D$4001,_xlfn.XMATCH(I$1&amp;"-"&amp;$F248,YEAR($B$2:$B$4001)&amp;"-"&amp;$A$2:$A$4001,0,-1)),H248))</f>
        <v>3</v>
      </c>
      <c r="J248" cm="1">
        <f t="array" ref="J248">IF(OR(AND(I248=9,J$1&gt;YEAR($N248))),9,_xlfn.IFNA(INDEX($D$2:$D$4001,_xlfn.XMATCH(J$1&amp;"-"&amp;$F248,YEAR($B$2:$B$4001)&amp;"-"&amp;$A$2:$A$4001,0,-1)),I248))</f>
        <v>4</v>
      </c>
      <c r="K248" cm="1">
        <f t="array" ref="K248">IF(OR(AND(J248=9,K$1&gt;YEAR($N248))),9,_xlfn.IFNA(INDEX($D$2:$D$4001,_xlfn.XMATCH(K$1&amp;"-"&amp;$F248,YEAR($B$2:$B$4001)&amp;"-"&amp;$A$2:$A$4001,0,-1)),J248))</f>
        <v>4</v>
      </c>
      <c r="L248" cm="1">
        <f t="array" ref="L248">IF(OR(AND(K248=9,L$1&gt;YEAR($N248))),9,_xlfn.IFNA(INDEX($D$2:$D$4001,_xlfn.XMATCH(L$1&amp;"-"&amp;$F248,YEAR($B$2:$B$4001)&amp;"-"&amp;$A$2:$A$4001,0,-1)),K248))</f>
        <v>4</v>
      </c>
      <c r="M248" cm="1">
        <f t="array" ref="M248">IF(OR(AND(L248=9,M$1&gt;YEAR($N248))),9,_xlfn.IFNA(INDEX($D$2:$D$4001,_xlfn.XMATCH(M$1&amp;"-"&amp;$F248,YEAR($B$2:$B$4001)&amp;"-"&amp;$A$2:$A$4001,0,-1)),L248))</f>
        <v>4</v>
      </c>
      <c r="N248" s="1">
        <f t="shared" si="3"/>
        <v>36301</v>
      </c>
    </row>
    <row r="249" spans="1:14" x14ac:dyDescent="0.35">
      <c r="A249">
        <v>128</v>
      </c>
      <c r="B249" s="2">
        <v>37955</v>
      </c>
      <c r="C249">
        <v>0</v>
      </c>
      <c r="D249">
        <v>0</v>
      </c>
      <c r="F249">
        <v>248</v>
      </c>
      <c r="G249" cm="1">
        <f t="array" ref="G249">_xlfn.IFNA(INDEX($D$2:$D$4001,_xlfn.XMATCH(G$1&amp;"-"&amp;$F249,YEAR($B$2:$B$4001)&amp;"-"&amp;$A$2:$A$4001,0,-1)),9)</f>
        <v>9</v>
      </c>
      <c r="H249" cm="1">
        <f t="array" ref="H249">IF(OR(AND(G249=9,H$1&gt;YEAR($N249))),9,_xlfn.IFNA(INDEX($D$2:$D$4001,_xlfn.XMATCH(H$1&amp;"-"&amp;$F249,YEAR($B$2:$B$4001)&amp;"-"&amp;$A$2:$A$4001,0,-1)),G249))</f>
        <v>9</v>
      </c>
      <c r="I249" cm="1">
        <f t="array" ref="I249">IF(OR(AND(H249=9,I$1&gt;YEAR($N249))),9,_xlfn.IFNA(INDEX($D$2:$D$4001,_xlfn.XMATCH(I$1&amp;"-"&amp;$F249,YEAR($B$2:$B$4001)&amp;"-"&amp;$A$2:$A$4001,0,-1)),H249))</f>
        <v>5</v>
      </c>
      <c r="J249" cm="1">
        <f t="array" ref="J249">IF(OR(AND(I249=9,J$1&gt;YEAR($N249))),9,_xlfn.IFNA(INDEX($D$2:$D$4001,_xlfn.XMATCH(J$1&amp;"-"&amp;$F249,YEAR($B$2:$B$4001)&amp;"-"&amp;$A$2:$A$4001,0,-1)),I249))</f>
        <v>5</v>
      </c>
      <c r="K249" cm="1">
        <f t="array" ref="K249">IF(OR(AND(J249=9,K$1&gt;YEAR($N249))),9,_xlfn.IFNA(INDEX($D$2:$D$4001,_xlfn.XMATCH(K$1&amp;"-"&amp;$F249,YEAR($B$2:$B$4001)&amp;"-"&amp;$A$2:$A$4001,0,-1)),J249))</f>
        <v>6</v>
      </c>
      <c r="L249" cm="1">
        <f t="array" ref="L249">IF(OR(AND(K249=9,L$1&gt;YEAR($N249))),9,_xlfn.IFNA(INDEX($D$2:$D$4001,_xlfn.XMATCH(L$1&amp;"-"&amp;$F249,YEAR($B$2:$B$4001)&amp;"-"&amp;$A$2:$A$4001,0,-1)),K249))</f>
        <v>6</v>
      </c>
      <c r="M249" cm="1">
        <f t="array" ref="M249">IF(OR(AND(L249=9,M$1&gt;YEAR($N249))),9,_xlfn.IFNA(INDEX($D$2:$D$4001,_xlfn.XMATCH(M$1&amp;"-"&amp;$F249,YEAR($B$2:$B$4001)&amp;"-"&amp;$A$2:$A$4001,0,-1)),L249))</f>
        <v>5</v>
      </c>
      <c r="N249" s="1">
        <f t="shared" si="3"/>
        <v>37032</v>
      </c>
    </row>
    <row r="250" spans="1:14" x14ac:dyDescent="0.35">
      <c r="A250">
        <v>129</v>
      </c>
      <c r="B250" s="2">
        <v>38128</v>
      </c>
      <c r="C250">
        <v>3</v>
      </c>
      <c r="D250">
        <v>3</v>
      </c>
      <c r="F250">
        <v>249</v>
      </c>
      <c r="G250" cm="1">
        <f t="array" ref="G250">_xlfn.IFNA(INDEX($D$2:$D$4001,_xlfn.XMATCH(G$1&amp;"-"&amp;$F250,YEAR($B$2:$B$4001)&amp;"-"&amp;$A$2:$A$4001,0,-1)),9)</f>
        <v>9</v>
      </c>
      <c r="H250" cm="1">
        <f t="array" ref="H250">IF(OR(AND(G250=9,H$1&gt;YEAR($N250))),9,_xlfn.IFNA(INDEX($D$2:$D$4001,_xlfn.XMATCH(H$1&amp;"-"&amp;$F250,YEAR($B$2:$B$4001)&amp;"-"&amp;$A$2:$A$4001,0,-1)),G250))</f>
        <v>9</v>
      </c>
      <c r="I250" cm="1">
        <f t="array" ref="I250">IF(OR(AND(H250=9,I$1&gt;YEAR($N250))),9,_xlfn.IFNA(INDEX($D$2:$D$4001,_xlfn.XMATCH(I$1&amp;"-"&amp;$F250,YEAR($B$2:$B$4001)&amp;"-"&amp;$A$2:$A$4001,0,-1)),H250))</f>
        <v>5</v>
      </c>
      <c r="J250" cm="1">
        <f t="array" ref="J250">IF(OR(AND(I250=9,J$1&gt;YEAR($N250))),9,_xlfn.IFNA(INDEX($D$2:$D$4001,_xlfn.XMATCH(J$1&amp;"-"&amp;$F250,YEAR($B$2:$B$4001)&amp;"-"&amp;$A$2:$A$4001,0,-1)),I250))</f>
        <v>6</v>
      </c>
      <c r="K250" cm="1">
        <f t="array" ref="K250">IF(OR(AND(J250=9,K$1&gt;YEAR($N250))),9,_xlfn.IFNA(INDEX($D$2:$D$4001,_xlfn.XMATCH(K$1&amp;"-"&amp;$F250,YEAR($B$2:$B$4001)&amp;"-"&amp;$A$2:$A$4001,0,-1)),J250))</f>
        <v>6</v>
      </c>
      <c r="L250" cm="1">
        <f t="array" ref="L250">IF(OR(AND(K250=9,L$1&gt;YEAR($N250))),9,_xlfn.IFNA(INDEX($D$2:$D$4001,_xlfn.XMATCH(L$1&amp;"-"&amp;$F250,YEAR($B$2:$B$4001)&amp;"-"&amp;$A$2:$A$4001,0,-1)),K250))</f>
        <v>6</v>
      </c>
      <c r="M250" cm="1">
        <f t="array" ref="M250">IF(OR(AND(L250=9,M$1&gt;YEAR($N250))),9,_xlfn.IFNA(INDEX($D$2:$D$4001,_xlfn.XMATCH(M$1&amp;"-"&amp;$F250,YEAR($B$2:$B$4001)&amp;"-"&amp;$A$2:$A$4001,0,-1)),L250))</f>
        <v>6</v>
      </c>
      <c r="N250" s="1">
        <f t="shared" si="3"/>
        <v>37216</v>
      </c>
    </row>
    <row r="251" spans="1:14" x14ac:dyDescent="0.35">
      <c r="A251">
        <v>130</v>
      </c>
      <c r="B251" s="2">
        <v>37529</v>
      </c>
      <c r="C251">
        <v>0</v>
      </c>
      <c r="D251">
        <v>0</v>
      </c>
      <c r="F251">
        <v>250</v>
      </c>
      <c r="G251" cm="1">
        <f t="array" ref="G251">_xlfn.IFNA(INDEX($D$2:$D$4001,_xlfn.XMATCH(G$1&amp;"-"&amp;$F251,YEAR($B$2:$B$4001)&amp;"-"&amp;$A$2:$A$4001,0,-1)),9)</f>
        <v>9</v>
      </c>
      <c r="H251" cm="1">
        <f t="array" ref="H251">IF(OR(AND(G251=9,H$1&gt;YEAR($N251))),9,_xlfn.IFNA(INDEX($D$2:$D$4001,_xlfn.XMATCH(H$1&amp;"-"&amp;$F251,YEAR($B$2:$B$4001)&amp;"-"&amp;$A$2:$A$4001,0,-1)),G251))</f>
        <v>3</v>
      </c>
      <c r="I251" cm="1">
        <f t="array" ref="I251">IF(OR(AND(H251=9,I$1&gt;YEAR($N251))),9,_xlfn.IFNA(INDEX($D$2:$D$4001,_xlfn.XMATCH(I$1&amp;"-"&amp;$F251,YEAR($B$2:$B$4001)&amp;"-"&amp;$A$2:$A$4001,0,-1)),H251))</f>
        <v>4</v>
      </c>
      <c r="J251" cm="1">
        <f t="array" ref="J251">IF(OR(AND(I251=9,J$1&gt;YEAR($N251))),9,_xlfn.IFNA(INDEX($D$2:$D$4001,_xlfn.XMATCH(J$1&amp;"-"&amp;$F251,YEAR($B$2:$B$4001)&amp;"-"&amp;$A$2:$A$4001,0,-1)),I251))</f>
        <v>4</v>
      </c>
      <c r="K251" cm="1">
        <f t="array" ref="K251">IF(OR(AND(J251=9,K$1&gt;YEAR($N251))),9,_xlfn.IFNA(INDEX($D$2:$D$4001,_xlfn.XMATCH(K$1&amp;"-"&amp;$F251,YEAR($B$2:$B$4001)&amp;"-"&amp;$A$2:$A$4001,0,-1)),J251))</f>
        <v>4</v>
      </c>
      <c r="L251" cm="1">
        <f t="array" ref="L251">IF(OR(AND(K251=9,L$1&gt;YEAR($N251))),9,_xlfn.IFNA(INDEX($D$2:$D$4001,_xlfn.XMATCH(L$1&amp;"-"&amp;$F251,YEAR($B$2:$B$4001)&amp;"-"&amp;$A$2:$A$4001,0,-1)),K251))</f>
        <v>4</v>
      </c>
      <c r="M251" cm="1">
        <f t="array" ref="M251">IF(OR(AND(L251=9,M$1&gt;YEAR($N251))),9,_xlfn.IFNA(INDEX($D$2:$D$4001,_xlfn.XMATCH(M$1&amp;"-"&amp;$F251,YEAR($B$2:$B$4001)&amp;"-"&amp;$A$2:$A$4001,0,-1)),L251))</f>
        <v>4</v>
      </c>
      <c r="N251" s="1">
        <f t="shared" si="3"/>
        <v>36860</v>
      </c>
    </row>
    <row r="252" spans="1:14" x14ac:dyDescent="0.35">
      <c r="A252">
        <v>131</v>
      </c>
      <c r="B252" s="2">
        <v>38223</v>
      </c>
      <c r="C252">
        <v>0</v>
      </c>
      <c r="D252">
        <v>0</v>
      </c>
      <c r="F252">
        <v>251</v>
      </c>
      <c r="G252" cm="1">
        <f t="array" ref="G252">_xlfn.IFNA(INDEX($D$2:$D$4001,_xlfn.XMATCH(G$1&amp;"-"&amp;$F252,YEAR($B$2:$B$4001)&amp;"-"&amp;$A$2:$A$4001,0,-1)),9)</f>
        <v>6</v>
      </c>
      <c r="H252" cm="1">
        <f t="array" ref="H252">IF(OR(AND(G252=9,H$1&gt;YEAR($N252))),9,_xlfn.IFNA(INDEX($D$2:$D$4001,_xlfn.XMATCH(H$1&amp;"-"&amp;$F252,YEAR($B$2:$B$4001)&amp;"-"&amp;$A$2:$A$4001,0,-1)),G252))</f>
        <v>6</v>
      </c>
      <c r="I252" cm="1">
        <f t="array" ref="I252">IF(OR(AND(H252=9,I$1&gt;YEAR($N252))),9,_xlfn.IFNA(INDEX($D$2:$D$4001,_xlfn.XMATCH(I$1&amp;"-"&amp;$F252,YEAR($B$2:$B$4001)&amp;"-"&amp;$A$2:$A$4001,0,-1)),H252))</f>
        <v>6</v>
      </c>
      <c r="J252" cm="1">
        <f t="array" ref="J252">IF(OR(AND(I252=9,J$1&gt;YEAR($N252))),9,_xlfn.IFNA(INDEX($D$2:$D$4001,_xlfn.XMATCH(J$1&amp;"-"&amp;$F252,YEAR($B$2:$B$4001)&amp;"-"&amp;$A$2:$A$4001,0,-1)),I252))</f>
        <v>6</v>
      </c>
      <c r="K252" cm="1">
        <f t="array" ref="K252">IF(OR(AND(J252=9,K$1&gt;YEAR($N252))),9,_xlfn.IFNA(INDEX($D$2:$D$4001,_xlfn.XMATCH(K$1&amp;"-"&amp;$F252,YEAR($B$2:$B$4001)&amp;"-"&amp;$A$2:$A$4001,0,-1)),J252))</f>
        <v>6</v>
      </c>
      <c r="L252" cm="1">
        <f t="array" ref="L252">IF(OR(AND(K252=9,L$1&gt;YEAR($N252))),9,_xlfn.IFNA(INDEX($D$2:$D$4001,_xlfn.XMATCH(L$1&amp;"-"&amp;$F252,YEAR($B$2:$B$4001)&amp;"-"&amp;$A$2:$A$4001,0,-1)),K252))</f>
        <v>6</v>
      </c>
      <c r="M252" cm="1">
        <f t="array" ref="M252">IF(OR(AND(L252=9,M$1&gt;YEAR($N252))),9,_xlfn.IFNA(INDEX($D$2:$D$4001,_xlfn.XMATCH(M$1&amp;"-"&amp;$F252,YEAR($B$2:$B$4001)&amp;"-"&amp;$A$2:$A$4001,0,-1)),L252))</f>
        <v>6</v>
      </c>
      <c r="N252" s="1">
        <f t="shared" si="3"/>
        <v>36301</v>
      </c>
    </row>
    <row r="253" spans="1:14" x14ac:dyDescent="0.35">
      <c r="A253">
        <v>132</v>
      </c>
      <c r="B253" s="2">
        <v>36890</v>
      </c>
      <c r="C253">
        <v>3</v>
      </c>
      <c r="D253">
        <v>3</v>
      </c>
      <c r="F253">
        <v>252</v>
      </c>
      <c r="G253" cm="1">
        <f t="array" ref="G253">_xlfn.IFNA(INDEX($D$2:$D$4001,_xlfn.XMATCH(G$1&amp;"-"&amp;$F253,YEAR($B$2:$B$4001)&amp;"-"&amp;$A$2:$A$4001,0,-1)),9)</f>
        <v>9</v>
      </c>
      <c r="H253" cm="1">
        <f t="array" ref="H253">IF(OR(AND(G253=9,H$1&gt;YEAR($N253))),9,_xlfn.IFNA(INDEX($D$2:$D$4001,_xlfn.XMATCH(H$1&amp;"-"&amp;$F253,YEAR($B$2:$B$4001)&amp;"-"&amp;$A$2:$A$4001,0,-1)),G253))</f>
        <v>4</v>
      </c>
      <c r="I253" cm="1">
        <f t="array" ref="I253">IF(OR(AND(H253=9,I$1&gt;YEAR($N253))),9,_xlfn.IFNA(INDEX($D$2:$D$4001,_xlfn.XMATCH(I$1&amp;"-"&amp;$F253,YEAR($B$2:$B$4001)&amp;"-"&amp;$A$2:$A$4001,0,-1)),H253))</f>
        <v>4</v>
      </c>
      <c r="J253" cm="1">
        <f t="array" ref="J253">IF(OR(AND(I253=9,J$1&gt;YEAR($N253))),9,_xlfn.IFNA(INDEX($D$2:$D$4001,_xlfn.XMATCH(J$1&amp;"-"&amp;$F253,YEAR($B$2:$B$4001)&amp;"-"&amp;$A$2:$A$4001,0,-1)),I253))</f>
        <v>4</v>
      </c>
      <c r="K253" cm="1">
        <f t="array" ref="K253">IF(OR(AND(J253=9,K$1&gt;YEAR($N253))),9,_xlfn.IFNA(INDEX($D$2:$D$4001,_xlfn.XMATCH(K$1&amp;"-"&amp;$F253,YEAR($B$2:$B$4001)&amp;"-"&amp;$A$2:$A$4001,0,-1)),J253))</f>
        <v>4</v>
      </c>
      <c r="L253" cm="1">
        <f t="array" ref="L253">IF(OR(AND(K253=9,L$1&gt;YEAR($N253))),9,_xlfn.IFNA(INDEX($D$2:$D$4001,_xlfn.XMATCH(L$1&amp;"-"&amp;$F253,YEAR($B$2:$B$4001)&amp;"-"&amp;$A$2:$A$4001,0,-1)),K253))</f>
        <v>4</v>
      </c>
      <c r="M253" cm="1">
        <f t="array" ref="M253">IF(OR(AND(L253=9,M$1&gt;YEAR($N253))),9,_xlfn.IFNA(INDEX($D$2:$D$4001,_xlfn.XMATCH(M$1&amp;"-"&amp;$F253,YEAR($B$2:$B$4001)&amp;"-"&amp;$A$2:$A$4001,0,-1)),L253))</f>
        <v>4</v>
      </c>
      <c r="N253" s="1">
        <f t="shared" si="3"/>
        <v>36890</v>
      </c>
    </row>
    <row r="254" spans="1:14" x14ac:dyDescent="0.35">
      <c r="A254">
        <v>132</v>
      </c>
      <c r="B254" s="2">
        <v>37032</v>
      </c>
      <c r="C254">
        <v>3</v>
      </c>
      <c r="D254">
        <v>3</v>
      </c>
      <c r="F254">
        <v>253</v>
      </c>
      <c r="G254" cm="1">
        <f t="array" ref="G254">_xlfn.IFNA(INDEX($D$2:$D$4001,_xlfn.XMATCH(G$1&amp;"-"&amp;$F254,YEAR($B$2:$B$4001)&amp;"-"&amp;$A$2:$A$4001,0,-1)),9)</f>
        <v>9</v>
      </c>
      <c r="H254" cm="1">
        <f t="array" ref="H254">IF(OR(AND(G254=9,H$1&gt;YEAR($N254))),9,_xlfn.IFNA(INDEX($D$2:$D$4001,_xlfn.XMATCH(H$1&amp;"-"&amp;$F254,YEAR($B$2:$B$4001)&amp;"-"&amp;$A$2:$A$4001,0,-1)),G254))</f>
        <v>5</v>
      </c>
      <c r="I254" cm="1">
        <f t="array" ref="I254">IF(OR(AND(H254=9,I$1&gt;YEAR($N254))),9,_xlfn.IFNA(INDEX($D$2:$D$4001,_xlfn.XMATCH(I$1&amp;"-"&amp;$F254,YEAR($B$2:$B$4001)&amp;"-"&amp;$A$2:$A$4001,0,-1)),H254))</f>
        <v>5</v>
      </c>
      <c r="J254" cm="1">
        <f t="array" ref="J254">IF(OR(AND(I254=9,J$1&gt;YEAR($N254))),9,_xlfn.IFNA(INDEX($D$2:$D$4001,_xlfn.XMATCH(J$1&amp;"-"&amp;$F254,YEAR($B$2:$B$4001)&amp;"-"&amp;$A$2:$A$4001,0,-1)),I254))</f>
        <v>5</v>
      </c>
      <c r="K254" cm="1">
        <f t="array" ref="K254">IF(OR(AND(J254=9,K$1&gt;YEAR($N254))),9,_xlfn.IFNA(INDEX($D$2:$D$4001,_xlfn.XMATCH(K$1&amp;"-"&amp;$F254,YEAR($B$2:$B$4001)&amp;"-"&amp;$A$2:$A$4001,0,-1)),J254))</f>
        <v>5</v>
      </c>
      <c r="L254" cm="1">
        <f t="array" ref="L254">IF(OR(AND(K254=9,L$1&gt;YEAR($N254))),9,_xlfn.IFNA(INDEX($D$2:$D$4001,_xlfn.XMATCH(L$1&amp;"-"&amp;$F254,YEAR($B$2:$B$4001)&amp;"-"&amp;$A$2:$A$4001,0,-1)),K254))</f>
        <v>5</v>
      </c>
      <c r="M254" cm="1">
        <f t="array" ref="M254">IF(OR(AND(L254=9,M$1&gt;YEAR($N254))),9,_xlfn.IFNA(INDEX($D$2:$D$4001,_xlfn.XMATCH(M$1&amp;"-"&amp;$F254,YEAR($B$2:$B$4001)&amp;"-"&amp;$A$2:$A$4001,0,-1)),L254))</f>
        <v>5</v>
      </c>
      <c r="N254" s="1">
        <f t="shared" si="3"/>
        <v>36667</v>
      </c>
    </row>
    <row r="255" spans="1:14" x14ac:dyDescent="0.35">
      <c r="A255">
        <v>133</v>
      </c>
      <c r="B255" s="2">
        <v>37924</v>
      </c>
      <c r="C255">
        <v>0</v>
      </c>
      <c r="D255">
        <v>0</v>
      </c>
      <c r="F255">
        <v>254</v>
      </c>
      <c r="G255" cm="1">
        <f t="array" ref="G255">_xlfn.IFNA(INDEX($D$2:$D$4001,_xlfn.XMATCH(G$1&amp;"-"&amp;$F255,YEAR($B$2:$B$4001)&amp;"-"&amp;$A$2:$A$4001,0,-1)),9)</f>
        <v>9</v>
      </c>
      <c r="H255" cm="1">
        <f t="array" ref="H255">IF(OR(AND(G255=9,H$1&gt;YEAR($N255))),9,_xlfn.IFNA(INDEX($D$2:$D$4001,_xlfn.XMATCH(H$1&amp;"-"&amp;$F255,YEAR($B$2:$B$4001)&amp;"-"&amp;$A$2:$A$4001,0,-1)),G255))</f>
        <v>9</v>
      </c>
      <c r="I255" cm="1">
        <f t="array" ref="I255">IF(OR(AND(H255=9,I$1&gt;YEAR($N255))),9,_xlfn.IFNA(INDEX($D$2:$D$4001,_xlfn.XMATCH(I$1&amp;"-"&amp;$F255,YEAR($B$2:$B$4001)&amp;"-"&amp;$A$2:$A$4001,0,-1)),H255))</f>
        <v>6</v>
      </c>
      <c r="J255" cm="1">
        <f t="array" ref="J255">IF(OR(AND(I255=9,J$1&gt;YEAR($N255))),9,_xlfn.IFNA(INDEX($D$2:$D$4001,_xlfn.XMATCH(J$1&amp;"-"&amp;$F255,YEAR($B$2:$B$4001)&amp;"-"&amp;$A$2:$A$4001,0,-1)),I255))</f>
        <v>6</v>
      </c>
      <c r="K255" cm="1">
        <f t="array" ref="K255">IF(OR(AND(J255=9,K$1&gt;YEAR($N255))),9,_xlfn.IFNA(INDEX($D$2:$D$4001,_xlfn.XMATCH(K$1&amp;"-"&amp;$F255,YEAR($B$2:$B$4001)&amp;"-"&amp;$A$2:$A$4001,0,-1)),J255))</f>
        <v>6</v>
      </c>
      <c r="L255" cm="1">
        <f t="array" ref="L255">IF(OR(AND(K255=9,L$1&gt;YEAR($N255))),9,_xlfn.IFNA(INDEX($D$2:$D$4001,_xlfn.XMATCH(L$1&amp;"-"&amp;$F255,YEAR($B$2:$B$4001)&amp;"-"&amp;$A$2:$A$4001,0,-1)),K255))</f>
        <v>6</v>
      </c>
      <c r="M255" cm="1">
        <f t="array" ref="M255">IF(OR(AND(L255=9,M$1&gt;YEAR($N255))),9,_xlfn.IFNA(INDEX($D$2:$D$4001,_xlfn.XMATCH(M$1&amp;"-"&amp;$F255,YEAR($B$2:$B$4001)&amp;"-"&amp;$A$2:$A$4001,0,-1)),L255))</f>
        <v>6</v>
      </c>
      <c r="N255" s="1">
        <f t="shared" si="3"/>
        <v>37124</v>
      </c>
    </row>
    <row r="256" spans="1:14" x14ac:dyDescent="0.35">
      <c r="A256">
        <v>134</v>
      </c>
      <c r="B256" s="2">
        <v>36308</v>
      </c>
      <c r="C256">
        <v>2</v>
      </c>
      <c r="D256">
        <v>2</v>
      </c>
      <c r="F256">
        <v>255</v>
      </c>
      <c r="G256" cm="1">
        <f t="array" ref="G256">_xlfn.IFNA(INDEX($D$2:$D$4001,_xlfn.XMATCH(G$1&amp;"-"&amp;$F256,YEAR($B$2:$B$4001)&amp;"-"&amp;$A$2:$A$4001,0,-1)),9)</f>
        <v>9</v>
      </c>
      <c r="H256" cm="1">
        <f t="array" ref="H256">IF(OR(AND(G256=9,H$1&gt;YEAR($N256))),9,_xlfn.IFNA(INDEX($D$2:$D$4001,_xlfn.XMATCH(H$1&amp;"-"&amp;$F256,YEAR($B$2:$B$4001)&amp;"-"&amp;$A$2:$A$4001,0,-1)),G256))</f>
        <v>9</v>
      </c>
      <c r="I256" cm="1">
        <f t="array" ref="I256">IF(OR(AND(H256=9,I$1&gt;YEAR($N256))),9,_xlfn.IFNA(INDEX($D$2:$D$4001,_xlfn.XMATCH(I$1&amp;"-"&amp;$F256,YEAR($B$2:$B$4001)&amp;"-"&amp;$A$2:$A$4001,0,-1)),H256))</f>
        <v>5</v>
      </c>
      <c r="J256" cm="1">
        <f t="array" ref="J256">IF(OR(AND(I256=9,J$1&gt;YEAR($N256))),9,_xlfn.IFNA(INDEX($D$2:$D$4001,_xlfn.XMATCH(J$1&amp;"-"&amp;$F256,YEAR($B$2:$B$4001)&amp;"-"&amp;$A$2:$A$4001,0,-1)),I256))</f>
        <v>5</v>
      </c>
      <c r="K256" cm="1">
        <f t="array" ref="K256">IF(OR(AND(J256=9,K$1&gt;YEAR($N256))),9,_xlfn.IFNA(INDEX($D$2:$D$4001,_xlfn.XMATCH(K$1&amp;"-"&amp;$F256,YEAR($B$2:$B$4001)&amp;"-"&amp;$A$2:$A$4001,0,-1)),J256))</f>
        <v>6</v>
      </c>
      <c r="L256" cm="1">
        <f t="array" ref="L256">IF(OR(AND(K256=9,L$1&gt;YEAR($N256))),9,_xlfn.IFNA(INDEX($D$2:$D$4001,_xlfn.XMATCH(L$1&amp;"-"&amp;$F256,YEAR($B$2:$B$4001)&amp;"-"&amp;$A$2:$A$4001,0,-1)),K256))</f>
        <v>6</v>
      </c>
      <c r="M256" cm="1">
        <f t="array" ref="M256">IF(OR(AND(L256=9,M$1&gt;YEAR($N256))),9,_xlfn.IFNA(INDEX($D$2:$D$4001,_xlfn.XMATCH(M$1&amp;"-"&amp;$F256,YEAR($B$2:$B$4001)&amp;"-"&amp;$A$2:$A$4001,0,-1)),L256))</f>
        <v>6</v>
      </c>
      <c r="N256" s="1">
        <f t="shared" si="3"/>
        <v>37041</v>
      </c>
    </row>
    <row r="257" spans="1:14" x14ac:dyDescent="0.35">
      <c r="A257">
        <v>134</v>
      </c>
      <c r="B257" s="2">
        <v>36668</v>
      </c>
      <c r="C257">
        <v>2</v>
      </c>
      <c r="D257">
        <v>2</v>
      </c>
      <c r="F257">
        <v>256</v>
      </c>
      <c r="G257" cm="1">
        <f t="array" ref="G257">_xlfn.IFNA(INDEX($D$2:$D$4001,_xlfn.XMATCH(G$1&amp;"-"&amp;$F257,YEAR($B$2:$B$4001)&amp;"-"&amp;$A$2:$A$4001,0,-1)),9)</f>
        <v>3</v>
      </c>
      <c r="H257" cm="1">
        <f t="array" ref="H257">IF(OR(AND(G257=9,H$1&gt;YEAR($N257))),9,_xlfn.IFNA(INDEX($D$2:$D$4001,_xlfn.XMATCH(H$1&amp;"-"&amp;$F257,YEAR($B$2:$B$4001)&amp;"-"&amp;$A$2:$A$4001,0,-1)),G257))</f>
        <v>3</v>
      </c>
      <c r="I257" cm="1">
        <f t="array" ref="I257">IF(OR(AND(H257=9,I$1&gt;YEAR($N257))),9,_xlfn.IFNA(INDEX($D$2:$D$4001,_xlfn.XMATCH(I$1&amp;"-"&amp;$F257,YEAR($B$2:$B$4001)&amp;"-"&amp;$A$2:$A$4001,0,-1)),H257))</f>
        <v>4</v>
      </c>
      <c r="J257" cm="1">
        <f t="array" ref="J257">IF(OR(AND(I257=9,J$1&gt;YEAR($N257))),9,_xlfn.IFNA(INDEX($D$2:$D$4001,_xlfn.XMATCH(J$1&amp;"-"&amp;$F257,YEAR($B$2:$B$4001)&amp;"-"&amp;$A$2:$A$4001,0,-1)),I257))</f>
        <v>4</v>
      </c>
      <c r="K257" cm="1">
        <f t="array" ref="K257">IF(OR(AND(J257=9,K$1&gt;YEAR($N257))),9,_xlfn.IFNA(INDEX($D$2:$D$4001,_xlfn.XMATCH(K$1&amp;"-"&amp;$F257,YEAR($B$2:$B$4001)&amp;"-"&amp;$A$2:$A$4001,0,-1)),J257))</f>
        <v>4</v>
      </c>
      <c r="L257" cm="1">
        <f t="array" ref="L257">IF(OR(AND(K257=9,L$1&gt;YEAR($N257))),9,_xlfn.IFNA(INDEX($D$2:$D$4001,_xlfn.XMATCH(L$1&amp;"-"&amp;$F257,YEAR($B$2:$B$4001)&amp;"-"&amp;$A$2:$A$4001,0,-1)),K257))</f>
        <v>4</v>
      </c>
      <c r="M257" cm="1">
        <f t="array" ref="M257">IF(OR(AND(L257=9,M$1&gt;YEAR($N257))),9,_xlfn.IFNA(INDEX($D$2:$D$4001,_xlfn.XMATCH(M$1&amp;"-"&amp;$F257,YEAR($B$2:$B$4001)&amp;"-"&amp;$A$2:$A$4001,0,-1)),L257))</f>
        <v>4</v>
      </c>
      <c r="N257" s="1">
        <f t="shared" si="3"/>
        <v>36301</v>
      </c>
    </row>
    <row r="258" spans="1:14" x14ac:dyDescent="0.35">
      <c r="A258">
        <v>134</v>
      </c>
      <c r="B258" s="2">
        <v>38136</v>
      </c>
      <c r="C258">
        <v>2</v>
      </c>
      <c r="D258">
        <v>2</v>
      </c>
      <c r="F258">
        <v>257</v>
      </c>
      <c r="G258" cm="1">
        <f t="array" ref="G258">_xlfn.IFNA(INDEX($D$2:$D$4001,_xlfn.XMATCH(G$1&amp;"-"&amp;$F258,YEAR($B$2:$B$4001)&amp;"-"&amp;$A$2:$A$4001,0,-1)),9)</f>
        <v>9</v>
      </c>
      <c r="H258" cm="1">
        <f t="array" ref="H258">IF(OR(AND(G258=9,H$1&gt;YEAR($N258))),9,_xlfn.IFNA(INDEX($D$2:$D$4001,_xlfn.XMATCH(H$1&amp;"-"&amp;$F258,YEAR($B$2:$B$4001)&amp;"-"&amp;$A$2:$A$4001,0,-1)),G258))</f>
        <v>9</v>
      </c>
      <c r="I258" cm="1">
        <f t="array" ref="I258">IF(OR(AND(H258=9,I$1&gt;YEAR($N258))),9,_xlfn.IFNA(INDEX($D$2:$D$4001,_xlfn.XMATCH(I$1&amp;"-"&amp;$F258,YEAR($B$2:$B$4001)&amp;"-"&amp;$A$2:$A$4001,0,-1)),H258))</f>
        <v>4</v>
      </c>
      <c r="J258" cm="1">
        <f t="array" ref="J258">IF(OR(AND(I258=9,J$1&gt;YEAR($N258))),9,_xlfn.IFNA(INDEX($D$2:$D$4001,_xlfn.XMATCH(J$1&amp;"-"&amp;$F258,YEAR($B$2:$B$4001)&amp;"-"&amp;$A$2:$A$4001,0,-1)),I258))</f>
        <v>4</v>
      </c>
      <c r="K258" cm="1">
        <f t="array" ref="K258">IF(OR(AND(J258=9,K$1&gt;YEAR($N258))),9,_xlfn.IFNA(INDEX($D$2:$D$4001,_xlfn.XMATCH(K$1&amp;"-"&amp;$F258,YEAR($B$2:$B$4001)&amp;"-"&amp;$A$2:$A$4001,0,-1)),J258))</f>
        <v>4</v>
      </c>
      <c r="L258" cm="1">
        <f t="array" ref="L258">IF(OR(AND(K258=9,L$1&gt;YEAR($N258))),9,_xlfn.IFNA(INDEX($D$2:$D$4001,_xlfn.XMATCH(L$1&amp;"-"&amp;$F258,YEAR($B$2:$B$4001)&amp;"-"&amp;$A$2:$A$4001,0,-1)),K258))</f>
        <v>4</v>
      </c>
      <c r="M258" cm="1">
        <f t="array" ref="M258">IF(OR(AND(L258=9,M$1&gt;YEAR($N258))),9,_xlfn.IFNA(INDEX($D$2:$D$4001,_xlfn.XMATCH(M$1&amp;"-"&amp;$F258,YEAR($B$2:$B$4001)&amp;"-"&amp;$A$2:$A$4001,0,-1)),L258))</f>
        <v>5</v>
      </c>
      <c r="N258" s="1">
        <f t="shared" si="3"/>
        <v>37185</v>
      </c>
    </row>
    <row r="259" spans="1:14" x14ac:dyDescent="0.35">
      <c r="A259">
        <v>135</v>
      </c>
      <c r="B259" s="2">
        <v>36676</v>
      </c>
      <c r="C259">
        <v>3</v>
      </c>
      <c r="D259">
        <v>3</v>
      </c>
      <c r="F259">
        <v>258</v>
      </c>
      <c r="G259" cm="1">
        <f t="array" ref="G259">_xlfn.IFNA(INDEX($D$2:$D$4001,_xlfn.XMATCH(G$1&amp;"-"&amp;$F259,YEAR($B$2:$B$4001)&amp;"-"&amp;$A$2:$A$4001,0,-1)),9)</f>
        <v>9</v>
      </c>
      <c r="H259" cm="1">
        <f t="array" ref="H259">IF(OR(AND(G259=9,H$1&gt;YEAR($N259))),9,_xlfn.IFNA(INDEX($D$2:$D$4001,_xlfn.XMATCH(H$1&amp;"-"&amp;$F259,YEAR($B$2:$B$4001)&amp;"-"&amp;$A$2:$A$4001,0,-1)),G259))</f>
        <v>9</v>
      </c>
      <c r="I259" cm="1">
        <f t="array" ref="I259">IF(OR(AND(H259=9,I$1&gt;YEAR($N259))),9,_xlfn.IFNA(INDEX($D$2:$D$4001,_xlfn.XMATCH(I$1&amp;"-"&amp;$F259,YEAR($B$2:$B$4001)&amp;"-"&amp;$A$2:$A$4001,0,-1)),H259))</f>
        <v>3</v>
      </c>
      <c r="J259" cm="1">
        <f t="array" ref="J259">IF(OR(AND(I259=9,J$1&gt;YEAR($N259))),9,_xlfn.IFNA(INDEX($D$2:$D$4001,_xlfn.XMATCH(J$1&amp;"-"&amp;$F259,YEAR($B$2:$B$4001)&amp;"-"&amp;$A$2:$A$4001,0,-1)),I259))</f>
        <v>3</v>
      </c>
      <c r="K259" cm="1">
        <f t="array" ref="K259">IF(OR(AND(J259=9,K$1&gt;YEAR($N259))),9,_xlfn.IFNA(INDEX($D$2:$D$4001,_xlfn.XMATCH(K$1&amp;"-"&amp;$F259,YEAR($B$2:$B$4001)&amp;"-"&amp;$A$2:$A$4001,0,-1)),J259))</f>
        <v>3</v>
      </c>
      <c r="L259" cm="1">
        <f t="array" ref="L259">IF(OR(AND(K259=9,L$1&gt;YEAR($N259))),9,_xlfn.IFNA(INDEX($D$2:$D$4001,_xlfn.XMATCH(L$1&amp;"-"&amp;$F259,YEAR($B$2:$B$4001)&amp;"-"&amp;$A$2:$A$4001,0,-1)),K259))</f>
        <v>3</v>
      </c>
      <c r="M259" cm="1">
        <f t="array" ref="M259">IF(OR(AND(L259=9,M$1&gt;YEAR($N259))),9,_xlfn.IFNA(INDEX($D$2:$D$4001,_xlfn.XMATCH(M$1&amp;"-"&amp;$F259,YEAR($B$2:$B$4001)&amp;"-"&amp;$A$2:$A$4001,0,-1)),L259))</f>
        <v>3</v>
      </c>
      <c r="N259" s="1">
        <f t="shared" ref="N259:N322" si="4">_xlfn.MINIFS($B$2:$B$4001,$A$2:$A$4001,F259)</f>
        <v>37102</v>
      </c>
    </row>
    <row r="260" spans="1:14" x14ac:dyDescent="0.35">
      <c r="A260">
        <v>135</v>
      </c>
      <c r="B260" s="2">
        <v>37063</v>
      </c>
      <c r="C260">
        <v>3</v>
      </c>
      <c r="D260">
        <v>3</v>
      </c>
      <c r="F260">
        <v>259</v>
      </c>
      <c r="G260" cm="1">
        <f t="array" ref="G260">_xlfn.IFNA(INDEX($D$2:$D$4001,_xlfn.XMATCH(G$1&amp;"-"&amp;$F260,YEAR($B$2:$B$4001)&amp;"-"&amp;$A$2:$A$4001,0,-1)),9)</f>
        <v>5</v>
      </c>
      <c r="H260" cm="1">
        <f t="array" ref="H260">IF(OR(AND(G260=9,H$1&gt;YEAR($N260))),9,_xlfn.IFNA(INDEX($D$2:$D$4001,_xlfn.XMATCH(H$1&amp;"-"&amp;$F260,YEAR($B$2:$B$4001)&amp;"-"&amp;$A$2:$A$4001,0,-1)),G260))</f>
        <v>5</v>
      </c>
      <c r="I260" cm="1">
        <f t="array" ref="I260">IF(OR(AND(H260=9,I$1&gt;YEAR($N260))),9,_xlfn.IFNA(INDEX($D$2:$D$4001,_xlfn.XMATCH(I$1&amp;"-"&amp;$F260,YEAR($B$2:$B$4001)&amp;"-"&amp;$A$2:$A$4001,0,-1)),H260))</f>
        <v>6</v>
      </c>
      <c r="J260" cm="1">
        <f t="array" ref="J260">IF(OR(AND(I260=9,J$1&gt;YEAR($N260))),9,_xlfn.IFNA(INDEX($D$2:$D$4001,_xlfn.XMATCH(J$1&amp;"-"&amp;$F260,YEAR($B$2:$B$4001)&amp;"-"&amp;$A$2:$A$4001,0,-1)),I260))</f>
        <v>6</v>
      </c>
      <c r="K260" cm="1">
        <f t="array" ref="K260">IF(OR(AND(J260=9,K$1&gt;YEAR($N260))),9,_xlfn.IFNA(INDEX($D$2:$D$4001,_xlfn.XMATCH(K$1&amp;"-"&amp;$F260,YEAR($B$2:$B$4001)&amp;"-"&amp;$A$2:$A$4001,0,-1)),J260))</f>
        <v>6</v>
      </c>
      <c r="L260" cm="1">
        <f t="array" ref="L260">IF(OR(AND(K260=9,L$1&gt;YEAR($N260))),9,_xlfn.IFNA(INDEX($D$2:$D$4001,_xlfn.XMATCH(L$1&amp;"-"&amp;$F260,YEAR($B$2:$B$4001)&amp;"-"&amp;$A$2:$A$4001,0,-1)),K260))</f>
        <v>5</v>
      </c>
      <c r="M260" cm="1">
        <f t="array" ref="M260">IF(OR(AND(L260=9,M$1&gt;YEAR($N260))),9,_xlfn.IFNA(INDEX($D$2:$D$4001,_xlfn.XMATCH(M$1&amp;"-"&amp;$F260,YEAR($B$2:$B$4001)&amp;"-"&amp;$A$2:$A$4001,0,-1)),L260))</f>
        <v>5</v>
      </c>
      <c r="N260" s="1">
        <f t="shared" si="4"/>
        <v>36524</v>
      </c>
    </row>
    <row r="261" spans="1:14" x14ac:dyDescent="0.35">
      <c r="A261">
        <v>136</v>
      </c>
      <c r="B261" s="2">
        <v>37955</v>
      </c>
      <c r="C261">
        <v>3</v>
      </c>
      <c r="D261">
        <v>3</v>
      </c>
      <c r="F261">
        <v>260</v>
      </c>
      <c r="G261" cm="1">
        <f t="array" ref="G261">_xlfn.IFNA(INDEX($D$2:$D$4001,_xlfn.XMATCH(G$1&amp;"-"&amp;$F261,YEAR($B$2:$B$4001)&amp;"-"&amp;$A$2:$A$4001,0,-1)),9)</f>
        <v>0</v>
      </c>
      <c r="H261" cm="1">
        <f t="array" ref="H261">IF(OR(AND(G261=9,H$1&gt;YEAR($N261))),9,_xlfn.IFNA(INDEX($D$2:$D$4001,_xlfn.XMATCH(H$1&amp;"-"&amp;$F261,YEAR($B$2:$B$4001)&amp;"-"&amp;$A$2:$A$4001,0,-1)),G261))</f>
        <v>0</v>
      </c>
      <c r="I261" cm="1">
        <f t="array" ref="I261">IF(OR(AND(H261=9,I$1&gt;YEAR($N261))),9,_xlfn.IFNA(INDEX($D$2:$D$4001,_xlfn.XMATCH(I$1&amp;"-"&amp;$F261,YEAR($B$2:$B$4001)&amp;"-"&amp;$A$2:$A$4001,0,-1)),H261))</f>
        <v>0</v>
      </c>
      <c r="J261" cm="1">
        <f t="array" ref="J261">IF(OR(AND(I261=9,J$1&gt;YEAR($N261))),9,_xlfn.IFNA(INDEX($D$2:$D$4001,_xlfn.XMATCH(J$1&amp;"-"&amp;$F261,YEAR($B$2:$B$4001)&amp;"-"&amp;$A$2:$A$4001,0,-1)),I261))</f>
        <v>0</v>
      </c>
      <c r="K261" cm="1">
        <f t="array" ref="K261">IF(OR(AND(J261=9,K$1&gt;YEAR($N261))),9,_xlfn.IFNA(INDEX($D$2:$D$4001,_xlfn.XMATCH(K$1&amp;"-"&amp;$F261,YEAR($B$2:$B$4001)&amp;"-"&amp;$A$2:$A$4001,0,-1)),J261))</f>
        <v>0</v>
      </c>
      <c r="L261" cm="1">
        <f t="array" ref="L261">IF(OR(AND(K261=9,L$1&gt;YEAR($N261))),9,_xlfn.IFNA(INDEX($D$2:$D$4001,_xlfn.XMATCH(L$1&amp;"-"&amp;$F261,YEAR($B$2:$B$4001)&amp;"-"&amp;$A$2:$A$4001,0,-1)),K261))</f>
        <v>0</v>
      </c>
      <c r="M261" cm="1">
        <f t="array" ref="M261">IF(OR(AND(L261=9,M$1&gt;YEAR($N261))),9,_xlfn.IFNA(INDEX($D$2:$D$4001,_xlfn.XMATCH(M$1&amp;"-"&amp;$F261,YEAR($B$2:$B$4001)&amp;"-"&amp;$A$2:$A$4001,0,-1)),L261))</f>
        <v>0</v>
      </c>
      <c r="N261" s="1">
        <f t="shared" si="4"/>
        <v>36393</v>
      </c>
    </row>
    <row r="262" spans="1:14" x14ac:dyDescent="0.35">
      <c r="A262">
        <v>136</v>
      </c>
      <c r="B262" s="2">
        <v>38159</v>
      </c>
      <c r="C262">
        <v>0</v>
      </c>
      <c r="D262">
        <v>0</v>
      </c>
      <c r="F262">
        <v>261</v>
      </c>
      <c r="G262" cm="1">
        <f t="array" ref="G262">_xlfn.IFNA(INDEX($D$2:$D$4001,_xlfn.XMATCH(G$1&amp;"-"&amp;$F262,YEAR($B$2:$B$4001)&amp;"-"&amp;$A$2:$A$4001,0,-1)),9)</f>
        <v>9</v>
      </c>
      <c r="H262" cm="1">
        <f t="array" ref="H262">IF(OR(AND(G262=9,H$1&gt;YEAR($N262))),9,_xlfn.IFNA(INDEX($D$2:$D$4001,_xlfn.XMATCH(H$1&amp;"-"&amp;$F262,YEAR($B$2:$B$4001)&amp;"-"&amp;$A$2:$A$4001,0,-1)),G262))</f>
        <v>9</v>
      </c>
      <c r="I262" cm="1">
        <f t="array" ref="I262">IF(OR(AND(H262=9,I$1&gt;YEAR($N262))),9,_xlfn.IFNA(INDEX($D$2:$D$4001,_xlfn.XMATCH(I$1&amp;"-"&amp;$F262,YEAR($B$2:$B$4001)&amp;"-"&amp;$A$2:$A$4001,0,-1)),H262))</f>
        <v>9</v>
      </c>
      <c r="J262" cm="1">
        <f t="array" ref="J262">IF(OR(AND(I262=9,J$1&gt;YEAR($N262))),9,_xlfn.IFNA(INDEX($D$2:$D$4001,_xlfn.XMATCH(J$1&amp;"-"&amp;$F262,YEAR($B$2:$B$4001)&amp;"-"&amp;$A$2:$A$4001,0,-1)),I262))</f>
        <v>3</v>
      </c>
      <c r="K262" cm="1">
        <f t="array" ref="K262">IF(OR(AND(J262=9,K$1&gt;YEAR($N262))),9,_xlfn.IFNA(INDEX($D$2:$D$4001,_xlfn.XMATCH(K$1&amp;"-"&amp;$F262,YEAR($B$2:$B$4001)&amp;"-"&amp;$A$2:$A$4001,0,-1)),J262))</f>
        <v>4</v>
      </c>
      <c r="L262" cm="1">
        <f t="array" ref="L262">IF(OR(AND(K262=9,L$1&gt;YEAR($N262))),9,_xlfn.IFNA(INDEX($D$2:$D$4001,_xlfn.XMATCH(L$1&amp;"-"&amp;$F262,YEAR($B$2:$B$4001)&amp;"-"&amp;$A$2:$A$4001,0,-1)),K262))</f>
        <v>4</v>
      </c>
      <c r="M262" cm="1">
        <f t="array" ref="M262">IF(OR(AND(L262=9,M$1&gt;YEAR($N262))),9,_xlfn.IFNA(INDEX($D$2:$D$4001,_xlfn.XMATCH(M$1&amp;"-"&amp;$F262,YEAR($B$2:$B$4001)&amp;"-"&amp;$A$2:$A$4001,0,-1)),L262))</f>
        <v>4</v>
      </c>
      <c r="N262" s="1">
        <f t="shared" si="4"/>
        <v>37406</v>
      </c>
    </row>
    <row r="263" spans="1:14" x14ac:dyDescent="0.35">
      <c r="A263">
        <v>137</v>
      </c>
      <c r="B263" s="2">
        <v>37035</v>
      </c>
      <c r="C263">
        <v>4</v>
      </c>
      <c r="D263">
        <v>4</v>
      </c>
      <c r="F263">
        <v>262</v>
      </c>
      <c r="G263" cm="1">
        <f t="array" ref="G263">_xlfn.IFNA(INDEX($D$2:$D$4001,_xlfn.XMATCH(G$1&amp;"-"&amp;$F263,YEAR($B$2:$B$4001)&amp;"-"&amp;$A$2:$A$4001,0,-1)),9)</f>
        <v>9</v>
      </c>
      <c r="H263" cm="1">
        <f t="array" ref="H263">IF(OR(AND(G263=9,H$1&gt;YEAR($N263))),9,_xlfn.IFNA(INDEX($D$2:$D$4001,_xlfn.XMATCH(H$1&amp;"-"&amp;$F263,YEAR($B$2:$B$4001)&amp;"-"&amp;$A$2:$A$4001,0,-1)),G263))</f>
        <v>2</v>
      </c>
      <c r="I263" cm="1">
        <f t="array" ref="I263">IF(OR(AND(H263=9,I$1&gt;YEAR($N263))),9,_xlfn.IFNA(INDEX($D$2:$D$4001,_xlfn.XMATCH(I$1&amp;"-"&amp;$F263,YEAR($B$2:$B$4001)&amp;"-"&amp;$A$2:$A$4001,0,-1)),H263))</f>
        <v>2</v>
      </c>
      <c r="J263" cm="1">
        <f t="array" ref="J263">IF(OR(AND(I263=9,J$1&gt;YEAR($N263))),9,_xlfn.IFNA(INDEX($D$2:$D$4001,_xlfn.XMATCH(J$1&amp;"-"&amp;$F263,YEAR($B$2:$B$4001)&amp;"-"&amp;$A$2:$A$4001,0,-1)),I263))</f>
        <v>1</v>
      </c>
      <c r="K263" cm="1">
        <f t="array" ref="K263">IF(OR(AND(J263=9,K$1&gt;YEAR($N263))),9,_xlfn.IFNA(INDEX($D$2:$D$4001,_xlfn.XMATCH(K$1&amp;"-"&amp;$F263,YEAR($B$2:$B$4001)&amp;"-"&amp;$A$2:$A$4001,0,-1)),J263))</f>
        <v>1</v>
      </c>
      <c r="L263" cm="1">
        <f t="array" ref="L263">IF(OR(AND(K263=9,L$1&gt;YEAR($N263))),9,_xlfn.IFNA(INDEX($D$2:$D$4001,_xlfn.XMATCH(L$1&amp;"-"&amp;$F263,YEAR($B$2:$B$4001)&amp;"-"&amp;$A$2:$A$4001,0,-1)),K263))</f>
        <v>1</v>
      </c>
      <c r="M263" cm="1">
        <f t="array" ref="M263">IF(OR(AND(L263=9,M$1&gt;YEAR($N263))),9,_xlfn.IFNA(INDEX($D$2:$D$4001,_xlfn.XMATCH(M$1&amp;"-"&amp;$F263,YEAR($B$2:$B$4001)&amp;"-"&amp;$A$2:$A$4001,0,-1)),L263))</f>
        <v>1</v>
      </c>
      <c r="N263" s="1">
        <f t="shared" si="4"/>
        <v>36829</v>
      </c>
    </row>
    <row r="264" spans="1:14" x14ac:dyDescent="0.35">
      <c r="A264">
        <v>138</v>
      </c>
      <c r="B264" s="2">
        <v>36667</v>
      </c>
      <c r="C264">
        <v>0</v>
      </c>
      <c r="D264">
        <v>0</v>
      </c>
      <c r="F264">
        <v>263</v>
      </c>
      <c r="G264" cm="1">
        <f t="array" ref="G264">_xlfn.IFNA(INDEX($D$2:$D$4001,_xlfn.XMATCH(G$1&amp;"-"&amp;$F264,YEAR($B$2:$B$4001)&amp;"-"&amp;$A$2:$A$4001,0,-1)),9)</f>
        <v>9</v>
      </c>
      <c r="H264" cm="1">
        <f t="array" ref="H264">IF(OR(AND(G264=9,H$1&gt;YEAR($N264))),9,_xlfn.IFNA(INDEX($D$2:$D$4001,_xlfn.XMATCH(H$1&amp;"-"&amp;$F264,YEAR($B$2:$B$4001)&amp;"-"&amp;$A$2:$A$4001,0,-1)),G264))</f>
        <v>9</v>
      </c>
      <c r="I264" cm="1">
        <f t="array" ref="I264">IF(OR(AND(H264=9,I$1&gt;YEAR($N264))),9,_xlfn.IFNA(INDEX($D$2:$D$4001,_xlfn.XMATCH(I$1&amp;"-"&amp;$F264,YEAR($B$2:$B$4001)&amp;"-"&amp;$A$2:$A$4001,0,-1)),H264))</f>
        <v>9</v>
      </c>
      <c r="J264" cm="1">
        <f t="array" ref="J264">IF(OR(AND(I264=9,J$1&gt;YEAR($N264))),9,_xlfn.IFNA(INDEX($D$2:$D$4001,_xlfn.XMATCH(J$1&amp;"-"&amp;$F264,YEAR($B$2:$B$4001)&amp;"-"&amp;$A$2:$A$4001,0,-1)),I264))</f>
        <v>6</v>
      </c>
      <c r="K264" cm="1">
        <f t="array" ref="K264">IF(OR(AND(J264=9,K$1&gt;YEAR($N264))),9,_xlfn.IFNA(INDEX($D$2:$D$4001,_xlfn.XMATCH(K$1&amp;"-"&amp;$F264,YEAR($B$2:$B$4001)&amp;"-"&amp;$A$2:$A$4001,0,-1)),J264))</f>
        <v>6</v>
      </c>
      <c r="L264" cm="1">
        <f t="array" ref="L264">IF(OR(AND(K264=9,L$1&gt;YEAR($N264))),9,_xlfn.IFNA(INDEX($D$2:$D$4001,_xlfn.XMATCH(L$1&amp;"-"&amp;$F264,YEAR($B$2:$B$4001)&amp;"-"&amp;$A$2:$A$4001,0,-1)),K264))</f>
        <v>6</v>
      </c>
      <c r="M264" cm="1">
        <f t="array" ref="M264">IF(OR(AND(L264=9,M$1&gt;YEAR($N264))),9,_xlfn.IFNA(INDEX($D$2:$D$4001,_xlfn.XMATCH(M$1&amp;"-"&amp;$F264,YEAR($B$2:$B$4001)&amp;"-"&amp;$A$2:$A$4001,0,-1)),L264))</f>
        <v>6</v>
      </c>
      <c r="N264" s="1">
        <f t="shared" si="4"/>
        <v>37397</v>
      </c>
    </row>
    <row r="265" spans="1:14" x14ac:dyDescent="0.35">
      <c r="A265">
        <v>139</v>
      </c>
      <c r="B265" s="2">
        <v>36524</v>
      </c>
      <c r="C265">
        <v>3</v>
      </c>
      <c r="D265">
        <v>3</v>
      </c>
      <c r="F265">
        <v>264</v>
      </c>
      <c r="G265" cm="1">
        <f t="array" ref="G265">_xlfn.IFNA(INDEX($D$2:$D$4001,_xlfn.XMATCH(G$1&amp;"-"&amp;$F265,YEAR($B$2:$B$4001)&amp;"-"&amp;$A$2:$A$4001,0,-1)),9)</f>
        <v>9</v>
      </c>
      <c r="H265" cm="1">
        <f t="array" ref="H265">IF(OR(AND(G265=9,H$1&gt;YEAR($N265))),9,_xlfn.IFNA(INDEX($D$2:$D$4001,_xlfn.XMATCH(H$1&amp;"-"&amp;$F265,YEAR($B$2:$B$4001)&amp;"-"&amp;$A$2:$A$4001,0,-1)),G265))</f>
        <v>3</v>
      </c>
      <c r="I265" cm="1">
        <f t="array" ref="I265">IF(OR(AND(H265=9,I$1&gt;YEAR($N265))),9,_xlfn.IFNA(INDEX($D$2:$D$4001,_xlfn.XMATCH(I$1&amp;"-"&amp;$F265,YEAR($B$2:$B$4001)&amp;"-"&amp;$A$2:$A$4001,0,-1)),H265))</f>
        <v>4</v>
      </c>
      <c r="J265" cm="1">
        <f t="array" ref="J265">IF(OR(AND(I265=9,J$1&gt;YEAR($N265))),9,_xlfn.IFNA(INDEX($D$2:$D$4001,_xlfn.XMATCH(J$1&amp;"-"&amp;$F265,YEAR($B$2:$B$4001)&amp;"-"&amp;$A$2:$A$4001,0,-1)),I265))</f>
        <v>4</v>
      </c>
      <c r="K265" cm="1">
        <f t="array" ref="K265">IF(OR(AND(J265=9,K$1&gt;YEAR($N265))),9,_xlfn.IFNA(INDEX($D$2:$D$4001,_xlfn.XMATCH(K$1&amp;"-"&amp;$F265,YEAR($B$2:$B$4001)&amp;"-"&amp;$A$2:$A$4001,0,-1)),J265))</f>
        <v>4</v>
      </c>
      <c r="L265" cm="1">
        <f t="array" ref="L265">IF(OR(AND(K265=9,L$1&gt;YEAR($N265))),9,_xlfn.IFNA(INDEX($D$2:$D$4001,_xlfn.XMATCH(L$1&amp;"-"&amp;$F265,YEAR($B$2:$B$4001)&amp;"-"&amp;$A$2:$A$4001,0,-1)),K265))</f>
        <v>4</v>
      </c>
      <c r="M265" cm="1">
        <f t="array" ref="M265">IF(OR(AND(L265=9,M$1&gt;YEAR($N265))),9,_xlfn.IFNA(INDEX($D$2:$D$4001,_xlfn.XMATCH(M$1&amp;"-"&amp;$F265,YEAR($B$2:$B$4001)&amp;"-"&amp;$A$2:$A$4001,0,-1)),L265))</f>
        <v>5</v>
      </c>
      <c r="N265" s="1">
        <f t="shared" si="4"/>
        <v>36667</v>
      </c>
    </row>
    <row r="266" spans="1:14" x14ac:dyDescent="0.35">
      <c r="A266">
        <v>139</v>
      </c>
      <c r="B266" s="2">
        <v>37041</v>
      </c>
      <c r="C266">
        <v>4</v>
      </c>
      <c r="D266">
        <v>4</v>
      </c>
      <c r="F266">
        <v>265</v>
      </c>
      <c r="G266" cm="1">
        <f t="array" ref="G266">_xlfn.IFNA(INDEX($D$2:$D$4001,_xlfn.XMATCH(G$1&amp;"-"&amp;$F266,YEAR($B$2:$B$4001)&amp;"-"&amp;$A$2:$A$4001,0,-1)),9)</f>
        <v>9</v>
      </c>
      <c r="H266" cm="1">
        <f t="array" ref="H266">IF(OR(AND(G266=9,H$1&gt;YEAR($N266))),9,_xlfn.IFNA(INDEX($D$2:$D$4001,_xlfn.XMATCH(H$1&amp;"-"&amp;$F266,YEAR($B$2:$B$4001)&amp;"-"&amp;$A$2:$A$4001,0,-1)),G266))</f>
        <v>8</v>
      </c>
      <c r="I266" cm="1">
        <f t="array" ref="I266">IF(OR(AND(H266=9,I$1&gt;YEAR($N266))),9,_xlfn.IFNA(INDEX($D$2:$D$4001,_xlfn.XMATCH(I$1&amp;"-"&amp;$F266,YEAR($B$2:$B$4001)&amp;"-"&amp;$A$2:$A$4001,0,-1)),H266))</f>
        <v>8</v>
      </c>
      <c r="J266" cm="1">
        <f t="array" ref="J266">IF(OR(AND(I266=9,J$1&gt;YEAR($N266))),9,_xlfn.IFNA(INDEX($D$2:$D$4001,_xlfn.XMATCH(J$1&amp;"-"&amp;$F266,YEAR($B$2:$B$4001)&amp;"-"&amp;$A$2:$A$4001,0,-1)),I266))</f>
        <v>8</v>
      </c>
      <c r="K266" cm="1">
        <f t="array" ref="K266">IF(OR(AND(J266=9,K$1&gt;YEAR($N266))),9,_xlfn.IFNA(INDEX($D$2:$D$4001,_xlfn.XMATCH(K$1&amp;"-"&amp;$F266,YEAR($B$2:$B$4001)&amp;"-"&amp;$A$2:$A$4001,0,-1)),J266))</f>
        <v>8</v>
      </c>
      <c r="L266" cm="1">
        <f t="array" ref="L266">IF(OR(AND(K266=9,L$1&gt;YEAR($N266))),9,_xlfn.IFNA(INDEX($D$2:$D$4001,_xlfn.XMATCH(L$1&amp;"-"&amp;$F266,YEAR($B$2:$B$4001)&amp;"-"&amp;$A$2:$A$4001,0,-1)),K266))</f>
        <v>8</v>
      </c>
      <c r="M266" cm="1">
        <f t="array" ref="M266">IF(OR(AND(L266=9,M$1&gt;YEAR($N266))),9,_xlfn.IFNA(INDEX($D$2:$D$4001,_xlfn.XMATCH(M$1&amp;"-"&amp;$F266,YEAR($B$2:$B$4001)&amp;"-"&amp;$A$2:$A$4001,0,-1)),L266))</f>
        <v>8</v>
      </c>
      <c r="N266" s="1">
        <f t="shared" si="4"/>
        <v>36667</v>
      </c>
    </row>
    <row r="267" spans="1:14" x14ac:dyDescent="0.35">
      <c r="A267">
        <v>140</v>
      </c>
      <c r="B267" s="2">
        <v>38502</v>
      </c>
      <c r="C267">
        <v>3</v>
      </c>
      <c r="D267">
        <v>3</v>
      </c>
      <c r="F267">
        <v>266</v>
      </c>
      <c r="G267" cm="1">
        <f t="array" ref="G267">_xlfn.IFNA(INDEX($D$2:$D$4001,_xlfn.XMATCH(G$1&amp;"-"&amp;$F267,YEAR($B$2:$B$4001)&amp;"-"&amp;$A$2:$A$4001,0,-1)),9)</f>
        <v>9</v>
      </c>
      <c r="H267" cm="1">
        <f t="array" ref="H267">IF(OR(AND(G267=9,H$1&gt;YEAR($N267))),9,_xlfn.IFNA(INDEX($D$2:$D$4001,_xlfn.XMATCH(H$1&amp;"-"&amp;$F267,YEAR($B$2:$B$4001)&amp;"-"&amp;$A$2:$A$4001,0,-1)),G267))</f>
        <v>4</v>
      </c>
      <c r="I267" cm="1">
        <f t="array" ref="I267">IF(OR(AND(H267=9,I$1&gt;YEAR($N267))),9,_xlfn.IFNA(INDEX($D$2:$D$4001,_xlfn.XMATCH(I$1&amp;"-"&amp;$F267,YEAR($B$2:$B$4001)&amp;"-"&amp;$A$2:$A$4001,0,-1)),H267))</f>
        <v>4</v>
      </c>
      <c r="J267" cm="1">
        <f t="array" ref="J267">IF(OR(AND(I267=9,J$1&gt;YEAR($N267))),9,_xlfn.IFNA(INDEX($D$2:$D$4001,_xlfn.XMATCH(J$1&amp;"-"&amp;$F267,YEAR($B$2:$B$4001)&amp;"-"&amp;$A$2:$A$4001,0,-1)),I267))</f>
        <v>3</v>
      </c>
      <c r="K267" cm="1">
        <f t="array" ref="K267">IF(OR(AND(J267=9,K$1&gt;YEAR($N267))),9,_xlfn.IFNA(INDEX($D$2:$D$4001,_xlfn.XMATCH(K$1&amp;"-"&amp;$F267,YEAR($B$2:$B$4001)&amp;"-"&amp;$A$2:$A$4001,0,-1)),J267))</f>
        <v>3</v>
      </c>
      <c r="L267" cm="1">
        <f t="array" ref="L267">IF(OR(AND(K267=9,L$1&gt;YEAR($N267))),9,_xlfn.IFNA(INDEX($D$2:$D$4001,_xlfn.XMATCH(L$1&amp;"-"&amp;$F267,YEAR($B$2:$B$4001)&amp;"-"&amp;$A$2:$A$4001,0,-1)),K267))</f>
        <v>3</v>
      </c>
      <c r="M267" cm="1">
        <f t="array" ref="M267">IF(OR(AND(L267=9,M$1&gt;YEAR($N267))),9,_xlfn.IFNA(INDEX($D$2:$D$4001,_xlfn.XMATCH(M$1&amp;"-"&amp;$F267,YEAR($B$2:$B$4001)&amp;"-"&amp;$A$2:$A$4001,0,-1)),L267))</f>
        <v>3</v>
      </c>
      <c r="N267" s="1">
        <f t="shared" si="4"/>
        <v>36667</v>
      </c>
    </row>
    <row r="268" spans="1:14" x14ac:dyDescent="0.35">
      <c r="A268">
        <v>141</v>
      </c>
      <c r="B268" s="2">
        <v>37985</v>
      </c>
      <c r="C268">
        <v>0</v>
      </c>
      <c r="D268">
        <v>0</v>
      </c>
      <c r="F268">
        <v>267</v>
      </c>
      <c r="G268" cm="1">
        <f t="array" ref="G268">_xlfn.IFNA(INDEX($D$2:$D$4001,_xlfn.XMATCH(G$1&amp;"-"&amp;$F268,YEAR($B$2:$B$4001)&amp;"-"&amp;$A$2:$A$4001,0,-1)),9)</f>
        <v>9</v>
      </c>
      <c r="H268" cm="1">
        <f t="array" ref="H268">IF(OR(AND(G268=9,H$1&gt;YEAR($N268))),9,_xlfn.IFNA(INDEX($D$2:$D$4001,_xlfn.XMATCH(H$1&amp;"-"&amp;$F268,YEAR($B$2:$B$4001)&amp;"-"&amp;$A$2:$A$4001,0,-1)),G268))</f>
        <v>9</v>
      </c>
      <c r="I268" cm="1">
        <f t="array" ref="I268">IF(OR(AND(H268=9,I$1&gt;YEAR($N268))),9,_xlfn.IFNA(INDEX($D$2:$D$4001,_xlfn.XMATCH(I$1&amp;"-"&amp;$F268,YEAR($B$2:$B$4001)&amp;"-"&amp;$A$2:$A$4001,0,-1)),H268))</f>
        <v>9</v>
      </c>
      <c r="J268" cm="1">
        <f t="array" ref="J268">IF(OR(AND(I268=9,J$1&gt;YEAR($N268))),9,_xlfn.IFNA(INDEX($D$2:$D$4001,_xlfn.XMATCH(J$1&amp;"-"&amp;$F268,YEAR($B$2:$B$4001)&amp;"-"&amp;$A$2:$A$4001,0,-1)),I268))</f>
        <v>9</v>
      </c>
      <c r="K268" cm="1">
        <f t="array" ref="K268">IF(OR(AND(J268=9,K$1&gt;YEAR($N268))),9,_xlfn.IFNA(INDEX($D$2:$D$4001,_xlfn.XMATCH(K$1&amp;"-"&amp;$F268,YEAR($B$2:$B$4001)&amp;"-"&amp;$A$2:$A$4001,0,-1)),J268))</f>
        <v>9</v>
      </c>
      <c r="L268" cm="1">
        <f t="array" ref="L268">IF(OR(AND(K268=9,L$1&gt;YEAR($N268))),9,_xlfn.IFNA(INDEX($D$2:$D$4001,_xlfn.XMATCH(L$1&amp;"-"&amp;$F268,YEAR($B$2:$B$4001)&amp;"-"&amp;$A$2:$A$4001,0,-1)),K268))</f>
        <v>3</v>
      </c>
      <c r="M268" cm="1">
        <f t="array" ref="M268">IF(OR(AND(L268=9,M$1&gt;YEAR($N268))),9,_xlfn.IFNA(INDEX($D$2:$D$4001,_xlfn.XMATCH(M$1&amp;"-"&amp;$F268,YEAR($B$2:$B$4001)&amp;"-"&amp;$A$2:$A$4001,0,-1)),L268))</f>
        <v>3</v>
      </c>
      <c r="N268" s="1">
        <f t="shared" si="4"/>
        <v>38137</v>
      </c>
    </row>
    <row r="269" spans="1:14" x14ac:dyDescent="0.35">
      <c r="A269">
        <v>142</v>
      </c>
      <c r="B269" s="2">
        <v>37255</v>
      </c>
      <c r="C269">
        <v>5</v>
      </c>
      <c r="D269">
        <v>5</v>
      </c>
      <c r="F269">
        <v>268</v>
      </c>
      <c r="G269" cm="1">
        <f t="array" ref="G269">_xlfn.IFNA(INDEX($D$2:$D$4001,_xlfn.XMATCH(G$1&amp;"-"&amp;$F269,YEAR($B$2:$B$4001)&amp;"-"&amp;$A$2:$A$4001,0,-1)),9)</f>
        <v>6</v>
      </c>
      <c r="H269" cm="1">
        <f t="array" ref="H269">IF(OR(AND(G269=9,H$1&gt;YEAR($N269))),9,_xlfn.IFNA(INDEX($D$2:$D$4001,_xlfn.XMATCH(H$1&amp;"-"&amp;$F269,YEAR($B$2:$B$4001)&amp;"-"&amp;$A$2:$A$4001,0,-1)),G269))</f>
        <v>6</v>
      </c>
      <c r="I269" cm="1">
        <f t="array" ref="I269">IF(OR(AND(H269=9,I$1&gt;YEAR($N269))),9,_xlfn.IFNA(INDEX($D$2:$D$4001,_xlfn.XMATCH(I$1&amp;"-"&amp;$F269,YEAR($B$2:$B$4001)&amp;"-"&amp;$A$2:$A$4001,0,-1)),H269))</f>
        <v>0</v>
      </c>
      <c r="J269" cm="1">
        <f t="array" ref="J269">IF(OR(AND(I269=9,J$1&gt;YEAR($N269))),9,_xlfn.IFNA(INDEX($D$2:$D$4001,_xlfn.XMATCH(J$1&amp;"-"&amp;$F269,YEAR($B$2:$B$4001)&amp;"-"&amp;$A$2:$A$4001,0,-1)),I269))</f>
        <v>0</v>
      </c>
      <c r="K269" cm="1">
        <f t="array" ref="K269">IF(OR(AND(J269=9,K$1&gt;YEAR($N269))),9,_xlfn.IFNA(INDEX($D$2:$D$4001,_xlfn.XMATCH(K$1&amp;"-"&amp;$F269,YEAR($B$2:$B$4001)&amp;"-"&amp;$A$2:$A$4001,0,-1)),J269))</f>
        <v>0</v>
      </c>
      <c r="L269" cm="1">
        <f t="array" ref="L269">IF(OR(AND(K269=9,L$1&gt;YEAR($N269))),9,_xlfn.IFNA(INDEX($D$2:$D$4001,_xlfn.XMATCH(L$1&amp;"-"&amp;$F269,YEAR($B$2:$B$4001)&amp;"-"&amp;$A$2:$A$4001,0,-1)),K269))</f>
        <v>0</v>
      </c>
      <c r="M269" cm="1">
        <f t="array" ref="M269">IF(OR(AND(L269=9,M$1&gt;YEAR($N269))),9,_xlfn.IFNA(INDEX($D$2:$D$4001,_xlfn.XMATCH(M$1&amp;"-"&amp;$F269,YEAR($B$2:$B$4001)&amp;"-"&amp;$A$2:$A$4001,0,-1)),L269))</f>
        <v>0</v>
      </c>
      <c r="N269" s="1">
        <f t="shared" si="4"/>
        <v>36370</v>
      </c>
    </row>
    <row r="270" spans="1:14" x14ac:dyDescent="0.35">
      <c r="A270">
        <v>142</v>
      </c>
      <c r="B270" s="2">
        <v>38137</v>
      </c>
      <c r="C270">
        <v>4</v>
      </c>
      <c r="D270">
        <v>4</v>
      </c>
      <c r="F270">
        <v>269</v>
      </c>
      <c r="G270" cm="1">
        <f t="array" ref="G270">_xlfn.IFNA(INDEX($D$2:$D$4001,_xlfn.XMATCH(G$1&amp;"-"&amp;$F270,YEAR($B$2:$B$4001)&amp;"-"&amp;$A$2:$A$4001,0,-1)),9)</f>
        <v>9</v>
      </c>
      <c r="H270" cm="1">
        <f t="array" ref="H270">IF(OR(AND(G270=9,H$1&gt;YEAR($N270))),9,_xlfn.IFNA(INDEX($D$2:$D$4001,_xlfn.XMATCH(H$1&amp;"-"&amp;$F270,YEAR($B$2:$B$4001)&amp;"-"&amp;$A$2:$A$4001,0,-1)),G270))</f>
        <v>4</v>
      </c>
      <c r="I270" cm="1">
        <f t="array" ref="I270">IF(OR(AND(H270=9,I$1&gt;YEAR($N270))),9,_xlfn.IFNA(INDEX($D$2:$D$4001,_xlfn.XMATCH(I$1&amp;"-"&amp;$F270,YEAR($B$2:$B$4001)&amp;"-"&amp;$A$2:$A$4001,0,-1)),H270))</f>
        <v>4</v>
      </c>
      <c r="J270" cm="1">
        <f t="array" ref="J270">IF(OR(AND(I270=9,J$1&gt;YEAR($N270))),9,_xlfn.IFNA(INDEX($D$2:$D$4001,_xlfn.XMATCH(J$1&amp;"-"&amp;$F270,YEAR($B$2:$B$4001)&amp;"-"&amp;$A$2:$A$4001,0,-1)),I270))</f>
        <v>5</v>
      </c>
      <c r="K270" cm="1">
        <f t="array" ref="K270">IF(OR(AND(J270=9,K$1&gt;YEAR($N270))),9,_xlfn.IFNA(INDEX($D$2:$D$4001,_xlfn.XMATCH(K$1&amp;"-"&amp;$F270,YEAR($B$2:$B$4001)&amp;"-"&amp;$A$2:$A$4001,0,-1)),J270))</f>
        <v>6</v>
      </c>
      <c r="L270" cm="1">
        <f t="array" ref="L270">IF(OR(AND(K270=9,L$1&gt;YEAR($N270))),9,_xlfn.IFNA(INDEX($D$2:$D$4001,_xlfn.XMATCH(L$1&amp;"-"&amp;$F270,YEAR($B$2:$B$4001)&amp;"-"&amp;$A$2:$A$4001,0,-1)),K270))</f>
        <v>6</v>
      </c>
      <c r="M270" cm="1">
        <f t="array" ref="M270">IF(OR(AND(L270=9,M$1&gt;YEAR($N270))),9,_xlfn.IFNA(INDEX($D$2:$D$4001,_xlfn.XMATCH(M$1&amp;"-"&amp;$F270,YEAR($B$2:$B$4001)&amp;"-"&amp;$A$2:$A$4001,0,-1)),L270))</f>
        <v>6</v>
      </c>
      <c r="N270" s="1">
        <f t="shared" si="4"/>
        <v>36667</v>
      </c>
    </row>
    <row r="271" spans="1:14" x14ac:dyDescent="0.35">
      <c r="A271">
        <v>143</v>
      </c>
      <c r="B271" s="2">
        <v>36524</v>
      </c>
      <c r="C271">
        <v>4</v>
      </c>
      <c r="D271">
        <v>4</v>
      </c>
      <c r="F271">
        <v>270</v>
      </c>
      <c r="G271" cm="1">
        <f t="array" ref="G271">_xlfn.IFNA(INDEX($D$2:$D$4001,_xlfn.XMATCH(G$1&amp;"-"&amp;$F271,YEAR($B$2:$B$4001)&amp;"-"&amp;$A$2:$A$4001,0,-1)),9)</f>
        <v>9</v>
      </c>
      <c r="H271" cm="1">
        <f t="array" ref="H271">IF(OR(AND(G271=9,H$1&gt;YEAR($N271))),9,_xlfn.IFNA(INDEX($D$2:$D$4001,_xlfn.XMATCH(H$1&amp;"-"&amp;$F271,YEAR($B$2:$B$4001)&amp;"-"&amp;$A$2:$A$4001,0,-1)),G271))</f>
        <v>9</v>
      </c>
      <c r="I271" cm="1">
        <f t="array" ref="I271">IF(OR(AND(H271=9,I$1&gt;YEAR($N271))),9,_xlfn.IFNA(INDEX($D$2:$D$4001,_xlfn.XMATCH(I$1&amp;"-"&amp;$F271,YEAR($B$2:$B$4001)&amp;"-"&amp;$A$2:$A$4001,0,-1)),H271))</f>
        <v>9</v>
      </c>
      <c r="J271" cm="1">
        <f t="array" ref="J271">IF(OR(AND(I271=9,J$1&gt;YEAR($N271))),9,_xlfn.IFNA(INDEX($D$2:$D$4001,_xlfn.XMATCH(J$1&amp;"-"&amp;$F271,YEAR($B$2:$B$4001)&amp;"-"&amp;$A$2:$A$4001,0,-1)),I271))</f>
        <v>5</v>
      </c>
      <c r="K271" cm="1">
        <f t="array" ref="K271">IF(OR(AND(J271=9,K$1&gt;YEAR($N271))),9,_xlfn.IFNA(INDEX($D$2:$D$4001,_xlfn.XMATCH(K$1&amp;"-"&amp;$F271,YEAR($B$2:$B$4001)&amp;"-"&amp;$A$2:$A$4001,0,-1)),J271))</f>
        <v>5</v>
      </c>
      <c r="L271" cm="1">
        <f t="array" ref="L271">IF(OR(AND(K271=9,L$1&gt;YEAR($N271))),9,_xlfn.IFNA(INDEX($D$2:$D$4001,_xlfn.XMATCH(L$1&amp;"-"&amp;$F271,YEAR($B$2:$B$4001)&amp;"-"&amp;$A$2:$A$4001,0,-1)),K271))</f>
        <v>5</v>
      </c>
      <c r="M271" cm="1">
        <f t="array" ref="M271">IF(OR(AND(L271=9,M$1&gt;YEAR($N271))),9,_xlfn.IFNA(INDEX($D$2:$D$4001,_xlfn.XMATCH(M$1&amp;"-"&amp;$F271,YEAR($B$2:$B$4001)&amp;"-"&amp;$A$2:$A$4001,0,-1)),L271))</f>
        <v>5</v>
      </c>
      <c r="N271" s="1">
        <f t="shared" si="4"/>
        <v>37428</v>
      </c>
    </row>
    <row r="272" spans="1:14" x14ac:dyDescent="0.35">
      <c r="A272">
        <v>143</v>
      </c>
      <c r="B272" s="2">
        <v>36676</v>
      </c>
      <c r="C272">
        <v>3</v>
      </c>
      <c r="D272">
        <v>3</v>
      </c>
      <c r="F272">
        <v>271</v>
      </c>
      <c r="G272" cm="1">
        <f t="array" ref="G272">_xlfn.IFNA(INDEX($D$2:$D$4001,_xlfn.XMATCH(G$1&amp;"-"&amp;$F272,YEAR($B$2:$B$4001)&amp;"-"&amp;$A$2:$A$4001,0,-1)),9)</f>
        <v>9</v>
      </c>
      <c r="H272" cm="1">
        <f t="array" ref="H272">IF(OR(AND(G272=9,H$1&gt;YEAR($N272))),9,_xlfn.IFNA(INDEX($D$2:$D$4001,_xlfn.XMATCH(H$1&amp;"-"&amp;$F272,YEAR($B$2:$B$4001)&amp;"-"&amp;$A$2:$A$4001,0,-1)),G272))</f>
        <v>3</v>
      </c>
      <c r="I272" cm="1">
        <f t="array" ref="I272">IF(OR(AND(H272=9,I$1&gt;YEAR($N272))),9,_xlfn.IFNA(INDEX($D$2:$D$4001,_xlfn.XMATCH(I$1&amp;"-"&amp;$F272,YEAR($B$2:$B$4001)&amp;"-"&amp;$A$2:$A$4001,0,-1)),H272))</f>
        <v>2</v>
      </c>
      <c r="J272" cm="1">
        <f t="array" ref="J272">IF(OR(AND(I272=9,J$1&gt;YEAR($N272))),9,_xlfn.IFNA(INDEX($D$2:$D$4001,_xlfn.XMATCH(J$1&amp;"-"&amp;$F272,YEAR($B$2:$B$4001)&amp;"-"&amp;$A$2:$A$4001,0,-1)),I272))</f>
        <v>2</v>
      </c>
      <c r="K272" cm="1">
        <f t="array" ref="K272">IF(OR(AND(J272=9,K$1&gt;YEAR($N272))),9,_xlfn.IFNA(INDEX($D$2:$D$4001,_xlfn.XMATCH(K$1&amp;"-"&amp;$F272,YEAR($B$2:$B$4001)&amp;"-"&amp;$A$2:$A$4001,0,-1)),J272))</f>
        <v>2</v>
      </c>
      <c r="L272" cm="1">
        <f t="array" ref="L272">IF(OR(AND(K272=9,L$1&gt;YEAR($N272))),9,_xlfn.IFNA(INDEX($D$2:$D$4001,_xlfn.XMATCH(L$1&amp;"-"&amp;$F272,YEAR($B$2:$B$4001)&amp;"-"&amp;$A$2:$A$4001,0,-1)),K272))</f>
        <v>2</v>
      </c>
      <c r="M272" cm="1">
        <f t="array" ref="M272">IF(OR(AND(L272=9,M$1&gt;YEAR($N272))),9,_xlfn.IFNA(INDEX($D$2:$D$4001,_xlfn.XMATCH(M$1&amp;"-"&amp;$F272,YEAR($B$2:$B$4001)&amp;"-"&amp;$A$2:$A$4001,0,-1)),L272))</f>
        <v>2</v>
      </c>
      <c r="N272" s="1">
        <f t="shared" si="4"/>
        <v>36890</v>
      </c>
    </row>
    <row r="273" spans="1:14" x14ac:dyDescent="0.35">
      <c r="A273">
        <v>143</v>
      </c>
      <c r="B273" s="2">
        <v>37489</v>
      </c>
      <c r="C273">
        <v>3</v>
      </c>
      <c r="D273">
        <v>3</v>
      </c>
      <c r="F273">
        <v>272</v>
      </c>
      <c r="G273" cm="1">
        <f t="array" ref="G273">_xlfn.IFNA(INDEX($D$2:$D$4001,_xlfn.XMATCH(G$1&amp;"-"&amp;$F273,YEAR($B$2:$B$4001)&amp;"-"&amp;$A$2:$A$4001,0,-1)),9)</f>
        <v>9</v>
      </c>
      <c r="H273" cm="1">
        <f t="array" ref="H273">IF(OR(AND(G273=9,H$1&gt;YEAR($N273))),9,_xlfn.IFNA(INDEX($D$2:$D$4001,_xlfn.XMATCH(H$1&amp;"-"&amp;$F273,YEAR($B$2:$B$4001)&amp;"-"&amp;$A$2:$A$4001,0,-1)),G273))</f>
        <v>9</v>
      </c>
      <c r="I273" cm="1">
        <f t="array" ref="I273">IF(OR(AND(H273=9,I$1&gt;YEAR($N273))),9,_xlfn.IFNA(INDEX($D$2:$D$4001,_xlfn.XMATCH(I$1&amp;"-"&amp;$F273,YEAR($B$2:$B$4001)&amp;"-"&amp;$A$2:$A$4001,0,-1)),H273))</f>
        <v>3</v>
      </c>
      <c r="J273" cm="1">
        <f t="array" ref="J273">IF(OR(AND(I273=9,J$1&gt;YEAR($N273))),9,_xlfn.IFNA(INDEX($D$2:$D$4001,_xlfn.XMATCH(J$1&amp;"-"&amp;$F273,YEAR($B$2:$B$4001)&amp;"-"&amp;$A$2:$A$4001,0,-1)),I273))</f>
        <v>4</v>
      </c>
      <c r="K273" cm="1">
        <f t="array" ref="K273">IF(OR(AND(J273=9,K$1&gt;YEAR($N273))),9,_xlfn.IFNA(INDEX($D$2:$D$4001,_xlfn.XMATCH(K$1&amp;"-"&amp;$F273,YEAR($B$2:$B$4001)&amp;"-"&amp;$A$2:$A$4001,0,-1)),J273))</f>
        <v>4</v>
      </c>
      <c r="L273" cm="1">
        <f t="array" ref="L273">IF(OR(AND(K273=9,L$1&gt;YEAR($N273))),9,_xlfn.IFNA(INDEX($D$2:$D$4001,_xlfn.XMATCH(L$1&amp;"-"&amp;$F273,YEAR($B$2:$B$4001)&amp;"-"&amp;$A$2:$A$4001,0,-1)),K273))</f>
        <v>4</v>
      </c>
      <c r="M273" cm="1">
        <f t="array" ref="M273">IF(OR(AND(L273=9,M$1&gt;YEAR($N273))),9,_xlfn.IFNA(INDEX($D$2:$D$4001,_xlfn.XMATCH(M$1&amp;"-"&amp;$F273,YEAR($B$2:$B$4001)&amp;"-"&amp;$A$2:$A$4001,0,-1)),L273))</f>
        <v>4</v>
      </c>
      <c r="N273" s="1">
        <f t="shared" si="4"/>
        <v>37032</v>
      </c>
    </row>
    <row r="274" spans="1:14" x14ac:dyDescent="0.35">
      <c r="A274">
        <v>144</v>
      </c>
      <c r="B274" s="2">
        <v>37762</v>
      </c>
      <c r="C274">
        <v>4</v>
      </c>
      <c r="D274">
        <v>4</v>
      </c>
      <c r="F274">
        <v>273</v>
      </c>
      <c r="G274" cm="1">
        <f t="array" ref="G274">_xlfn.IFNA(INDEX($D$2:$D$4001,_xlfn.XMATCH(G$1&amp;"-"&amp;$F274,YEAR($B$2:$B$4001)&amp;"-"&amp;$A$2:$A$4001,0,-1)),9)</f>
        <v>9</v>
      </c>
      <c r="H274" cm="1">
        <f t="array" ref="H274">IF(OR(AND(G274=9,H$1&gt;YEAR($N274))),9,_xlfn.IFNA(INDEX($D$2:$D$4001,_xlfn.XMATCH(H$1&amp;"-"&amp;$F274,YEAR($B$2:$B$4001)&amp;"-"&amp;$A$2:$A$4001,0,-1)),G274))</f>
        <v>9</v>
      </c>
      <c r="I274" cm="1">
        <f t="array" ref="I274">IF(OR(AND(H274=9,I$1&gt;YEAR($N274))),9,_xlfn.IFNA(INDEX($D$2:$D$4001,_xlfn.XMATCH(I$1&amp;"-"&amp;$F274,YEAR($B$2:$B$4001)&amp;"-"&amp;$A$2:$A$4001,0,-1)),H274))</f>
        <v>4</v>
      </c>
      <c r="J274" cm="1">
        <f t="array" ref="J274">IF(OR(AND(I274=9,J$1&gt;YEAR($N274))),9,_xlfn.IFNA(INDEX($D$2:$D$4001,_xlfn.XMATCH(J$1&amp;"-"&amp;$F274,YEAR($B$2:$B$4001)&amp;"-"&amp;$A$2:$A$4001,0,-1)),I274))</f>
        <v>4</v>
      </c>
      <c r="K274" cm="1">
        <f t="array" ref="K274">IF(OR(AND(J274=9,K$1&gt;YEAR($N274))),9,_xlfn.IFNA(INDEX($D$2:$D$4001,_xlfn.XMATCH(K$1&amp;"-"&amp;$F274,YEAR($B$2:$B$4001)&amp;"-"&amp;$A$2:$A$4001,0,-1)),J274))</f>
        <v>4</v>
      </c>
      <c r="L274" cm="1">
        <f t="array" ref="L274">IF(OR(AND(K274=9,L$1&gt;YEAR($N274))),9,_xlfn.IFNA(INDEX($D$2:$D$4001,_xlfn.XMATCH(L$1&amp;"-"&amp;$F274,YEAR($B$2:$B$4001)&amp;"-"&amp;$A$2:$A$4001,0,-1)),K274))</f>
        <v>5</v>
      </c>
      <c r="M274" cm="1">
        <f t="array" ref="M274">IF(OR(AND(L274=9,M$1&gt;YEAR($N274))),9,_xlfn.IFNA(INDEX($D$2:$D$4001,_xlfn.XMATCH(M$1&amp;"-"&amp;$F274,YEAR($B$2:$B$4001)&amp;"-"&amp;$A$2:$A$4001,0,-1)),L274))</f>
        <v>5</v>
      </c>
      <c r="N274" s="1">
        <f t="shared" si="4"/>
        <v>37041</v>
      </c>
    </row>
    <row r="275" spans="1:14" x14ac:dyDescent="0.35">
      <c r="A275">
        <v>145</v>
      </c>
      <c r="B275" s="2">
        <v>36676</v>
      </c>
      <c r="C275">
        <v>3</v>
      </c>
      <c r="D275">
        <v>3</v>
      </c>
      <c r="F275">
        <v>274</v>
      </c>
      <c r="G275" cm="1">
        <f t="array" ref="G275">_xlfn.IFNA(INDEX($D$2:$D$4001,_xlfn.XMATCH(G$1&amp;"-"&amp;$F275,YEAR($B$2:$B$4001)&amp;"-"&amp;$A$2:$A$4001,0,-1)),9)</f>
        <v>9</v>
      </c>
      <c r="H275" cm="1">
        <f t="array" ref="H275">IF(OR(AND(G275=9,H$1&gt;YEAR($N275))),9,_xlfn.IFNA(INDEX($D$2:$D$4001,_xlfn.XMATCH(H$1&amp;"-"&amp;$F275,YEAR($B$2:$B$4001)&amp;"-"&amp;$A$2:$A$4001,0,-1)),G275))</f>
        <v>9</v>
      </c>
      <c r="I275" cm="1">
        <f t="array" ref="I275">IF(OR(AND(H275=9,I$1&gt;YEAR($N275))),9,_xlfn.IFNA(INDEX($D$2:$D$4001,_xlfn.XMATCH(I$1&amp;"-"&amp;$F275,YEAR($B$2:$B$4001)&amp;"-"&amp;$A$2:$A$4001,0,-1)),H275))</f>
        <v>3</v>
      </c>
      <c r="J275" cm="1">
        <f t="array" ref="J275">IF(OR(AND(I275=9,J$1&gt;YEAR($N275))),9,_xlfn.IFNA(INDEX($D$2:$D$4001,_xlfn.XMATCH(J$1&amp;"-"&amp;$F275,YEAR($B$2:$B$4001)&amp;"-"&amp;$A$2:$A$4001,0,-1)),I275))</f>
        <v>3</v>
      </c>
      <c r="K275" cm="1">
        <f t="array" ref="K275">IF(OR(AND(J275=9,K$1&gt;YEAR($N275))),9,_xlfn.IFNA(INDEX($D$2:$D$4001,_xlfn.XMATCH(K$1&amp;"-"&amp;$F275,YEAR($B$2:$B$4001)&amp;"-"&amp;$A$2:$A$4001,0,-1)),J275))</f>
        <v>3</v>
      </c>
      <c r="L275" cm="1">
        <f t="array" ref="L275">IF(OR(AND(K275=9,L$1&gt;YEAR($N275))),9,_xlfn.IFNA(INDEX($D$2:$D$4001,_xlfn.XMATCH(L$1&amp;"-"&amp;$F275,YEAR($B$2:$B$4001)&amp;"-"&amp;$A$2:$A$4001,0,-1)),K275))</f>
        <v>3</v>
      </c>
      <c r="M275" cm="1">
        <f t="array" ref="M275">IF(OR(AND(L275=9,M$1&gt;YEAR($N275))),9,_xlfn.IFNA(INDEX($D$2:$D$4001,_xlfn.XMATCH(M$1&amp;"-"&amp;$F275,YEAR($B$2:$B$4001)&amp;"-"&amp;$A$2:$A$4001,0,-1)),L275))</f>
        <v>3</v>
      </c>
      <c r="N275" s="1">
        <f t="shared" si="4"/>
        <v>37164</v>
      </c>
    </row>
    <row r="276" spans="1:14" x14ac:dyDescent="0.35">
      <c r="A276">
        <v>146</v>
      </c>
      <c r="B276" s="2">
        <v>37072</v>
      </c>
      <c r="C276">
        <v>1</v>
      </c>
      <c r="D276">
        <v>1</v>
      </c>
      <c r="F276">
        <v>275</v>
      </c>
      <c r="G276" cm="1">
        <f t="array" ref="G276">_xlfn.IFNA(INDEX($D$2:$D$4001,_xlfn.XMATCH(G$1&amp;"-"&amp;$F276,YEAR($B$2:$B$4001)&amp;"-"&amp;$A$2:$A$4001,0,-1)),9)</f>
        <v>2</v>
      </c>
      <c r="H276" cm="1">
        <f t="array" ref="H276">IF(OR(AND(G276=9,H$1&gt;YEAR($N276))),9,_xlfn.IFNA(INDEX($D$2:$D$4001,_xlfn.XMATCH(H$1&amp;"-"&amp;$F276,YEAR($B$2:$B$4001)&amp;"-"&amp;$A$2:$A$4001,0,-1)),G276))</f>
        <v>2</v>
      </c>
      <c r="I276" cm="1">
        <f t="array" ref="I276">IF(OR(AND(H276=9,I$1&gt;YEAR($N276))),9,_xlfn.IFNA(INDEX($D$2:$D$4001,_xlfn.XMATCH(I$1&amp;"-"&amp;$F276,YEAR($B$2:$B$4001)&amp;"-"&amp;$A$2:$A$4001,0,-1)),H276))</f>
        <v>2</v>
      </c>
      <c r="J276" cm="1">
        <f t="array" ref="J276">IF(OR(AND(I276=9,J$1&gt;YEAR($N276))),9,_xlfn.IFNA(INDEX($D$2:$D$4001,_xlfn.XMATCH(J$1&amp;"-"&amp;$F276,YEAR($B$2:$B$4001)&amp;"-"&amp;$A$2:$A$4001,0,-1)),I276))</f>
        <v>2</v>
      </c>
      <c r="K276" cm="1">
        <f t="array" ref="K276">IF(OR(AND(J276=9,K$1&gt;YEAR($N276))),9,_xlfn.IFNA(INDEX($D$2:$D$4001,_xlfn.XMATCH(K$1&amp;"-"&amp;$F276,YEAR($B$2:$B$4001)&amp;"-"&amp;$A$2:$A$4001,0,-1)),J276))</f>
        <v>2</v>
      </c>
      <c r="L276" cm="1">
        <f t="array" ref="L276">IF(OR(AND(K276=9,L$1&gt;YEAR($N276))),9,_xlfn.IFNA(INDEX($D$2:$D$4001,_xlfn.XMATCH(L$1&amp;"-"&amp;$F276,YEAR($B$2:$B$4001)&amp;"-"&amp;$A$2:$A$4001,0,-1)),K276))</f>
        <v>2</v>
      </c>
      <c r="M276" cm="1">
        <f t="array" ref="M276">IF(OR(AND(L276=9,M$1&gt;YEAR($N276))),9,_xlfn.IFNA(INDEX($D$2:$D$4001,_xlfn.XMATCH(M$1&amp;"-"&amp;$F276,YEAR($B$2:$B$4001)&amp;"-"&amp;$A$2:$A$4001,0,-1)),L276))</f>
        <v>2</v>
      </c>
      <c r="N276" s="1">
        <f t="shared" si="4"/>
        <v>36341</v>
      </c>
    </row>
    <row r="277" spans="1:14" x14ac:dyDescent="0.35">
      <c r="A277">
        <v>147</v>
      </c>
      <c r="B277" s="2">
        <v>36759</v>
      </c>
      <c r="C277">
        <v>2</v>
      </c>
      <c r="D277">
        <v>2</v>
      </c>
      <c r="F277">
        <v>276</v>
      </c>
      <c r="G277" cm="1">
        <f t="array" ref="G277">_xlfn.IFNA(INDEX($D$2:$D$4001,_xlfn.XMATCH(G$1&amp;"-"&amp;$F277,YEAR($B$2:$B$4001)&amp;"-"&amp;$A$2:$A$4001,0,-1)),9)</f>
        <v>2</v>
      </c>
      <c r="H277" cm="1">
        <f t="array" ref="H277">IF(OR(AND(G277=9,H$1&gt;YEAR($N277))),9,_xlfn.IFNA(INDEX($D$2:$D$4001,_xlfn.XMATCH(H$1&amp;"-"&amp;$F277,YEAR($B$2:$B$4001)&amp;"-"&amp;$A$2:$A$4001,0,-1)),G277))</f>
        <v>2</v>
      </c>
      <c r="I277" cm="1">
        <f t="array" ref="I277">IF(OR(AND(H277=9,I$1&gt;YEAR($N277))),9,_xlfn.IFNA(INDEX($D$2:$D$4001,_xlfn.XMATCH(I$1&amp;"-"&amp;$F277,YEAR($B$2:$B$4001)&amp;"-"&amp;$A$2:$A$4001,0,-1)),H277))</f>
        <v>2</v>
      </c>
      <c r="J277" cm="1">
        <f t="array" ref="J277">IF(OR(AND(I277=9,J$1&gt;YEAR($N277))),9,_xlfn.IFNA(INDEX($D$2:$D$4001,_xlfn.XMATCH(J$1&amp;"-"&amp;$F277,YEAR($B$2:$B$4001)&amp;"-"&amp;$A$2:$A$4001,0,-1)),I277))</f>
        <v>2</v>
      </c>
      <c r="K277" cm="1">
        <f t="array" ref="K277">IF(OR(AND(J277=9,K$1&gt;YEAR($N277))),9,_xlfn.IFNA(INDEX($D$2:$D$4001,_xlfn.XMATCH(K$1&amp;"-"&amp;$F277,YEAR($B$2:$B$4001)&amp;"-"&amp;$A$2:$A$4001,0,-1)),J277))</f>
        <v>2</v>
      </c>
      <c r="L277" cm="1">
        <f t="array" ref="L277">IF(OR(AND(K277=9,L$1&gt;YEAR($N277))),9,_xlfn.IFNA(INDEX($D$2:$D$4001,_xlfn.XMATCH(L$1&amp;"-"&amp;$F277,YEAR($B$2:$B$4001)&amp;"-"&amp;$A$2:$A$4001,0,-1)),K277))</f>
        <v>2</v>
      </c>
      <c r="M277" cm="1">
        <f t="array" ref="M277">IF(OR(AND(L277=9,M$1&gt;YEAR($N277))),9,_xlfn.IFNA(INDEX($D$2:$D$4001,_xlfn.XMATCH(M$1&amp;"-"&amp;$F277,YEAR($B$2:$B$4001)&amp;"-"&amp;$A$2:$A$4001,0,-1)),L277))</f>
        <v>2</v>
      </c>
      <c r="N277" s="1">
        <f t="shared" si="4"/>
        <v>36310</v>
      </c>
    </row>
    <row r="278" spans="1:14" x14ac:dyDescent="0.35">
      <c r="A278">
        <v>147</v>
      </c>
      <c r="B278" s="2">
        <v>37405</v>
      </c>
      <c r="C278">
        <v>0</v>
      </c>
      <c r="D278">
        <v>0</v>
      </c>
      <c r="F278">
        <v>277</v>
      </c>
      <c r="G278" cm="1">
        <f t="array" ref="G278">_xlfn.IFNA(INDEX($D$2:$D$4001,_xlfn.XMATCH(G$1&amp;"-"&amp;$F278,YEAR($B$2:$B$4001)&amp;"-"&amp;$A$2:$A$4001,0,-1)),9)</f>
        <v>9</v>
      </c>
      <c r="H278" cm="1">
        <f t="array" ref="H278">IF(OR(AND(G278=9,H$1&gt;YEAR($N278))),9,_xlfn.IFNA(INDEX($D$2:$D$4001,_xlfn.XMATCH(H$1&amp;"-"&amp;$F278,YEAR($B$2:$B$4001)&amp;"-"&amp;$A$2:$A$4001,0,-1)),G278))</f>
        <v>9</v>
      </c>
      <c r="I278" cm="1">
        <f t="array" ref="I278">IF(OR(AND(H278=9,I$1&gt;YEAR($N278))),9,_xlfn.IFNA(INDEX($D$2:$D$4001,_xlfn.XMATCH(I$1&amp;"-"&amp;$F278,YEAR($B$2:$B$4001)&amp;"-"&amp;$A$2:$A$4001,0,-1)),H278))</f>
        <v>9</v>
      </c>
      <c r="J278" cm="1">
        <f t="array" ref="J278">IF(OR(AND(I278=9,J$1&gt;YEAR($N278))),9,_xlfn.IFNA(INDEX($D$2:$D$4001,_xlfn.XMATCH(J$1&amp;"-"&amp;$F278,YEAR($B$2:$B$4001)&amp;"-"&amp;$A$2:$A$4001,0,-1)),I278))</f>
        <v>9</v>
      </c>
      <c r="K278" cm="1">
        <f t="array" ref="K278">IF(OR(AND(J278=9,K$1&gt;YEAR($N278))),9,_xlfn.IFNA(INDEX($D$2:$D$4001,_xlfn.XMATCH(K$1&amp;"-"&amp;$F278,YEAR($B$2:$B$4001)&amp;"-"&amp;$A$2:$A$4001,0,-1)),J278))</f>
        <v>9</v>
      </c>
      <c r="L278" cm="1">
        <f t="array" ref="L278">IF(OR(AND(K278=9,L$1&gt;YEAR($N278))),9,_xlfn.IFNA(INDEX($D$2:$D$4001,_xlfn.XMATCH(L$1&amp;"-"&amp;$F278,YEAR($B$2:$B$4001)&amp;"-"&amp;$A$2:$A$4001,0,-1)),K278))</f>
        <v>9</v>
      </c>
      <c r="M278" cm="1">
        <f t="array" ref="M278">IF(OR(AND(L278=9,M$1&gt;YEAR($N278))),9,_xlfn.IFNA(INDEX($D$2:$D$4001,_xlfn.XMATCH(M$1&amp;"-"&amp;$F278,YEAR($B$2:$B$4001)&amp;"-"&amp;$A$2:$A$4001,0,-1)),L278))</f>
        <v>2</v>
      </c>
      <c r="N278" s="1">
        <f t="shared" si="4"/>
        <v>38498</v>
      </c>
    </row>
    <row r="279" spans="1:14" x14ac:dyDescent="0.35">
      <c r="A279">
        <v>148</v>
      </c>
      <c r="B279" s="2">
        <v>36667</v>
      </c>
      <c r="C279">
        <v>3</v>
      </c>
      <c r="D279">
        <v>3</v>
      </c>
      <c r="F279">
        <v>278</v>
      </c>
      <c r="G279" cm="1">
        <f t="array" ref="G279">_xlfn.IFNA(INDEX($D$2:$D$4001,_xlfn.XMATCH(G$1&amp;"-"&amp;$F279,YEAR($B$2:$B$4001)&amp;"-"&amp;$A$2:$A$4001,0,-1)),9)</f>
        <v>0</v>
      </c>
      <c r="H279" cm="1">
        <f t="array" ref="H279">IF(OR(AND(G279=9,H$1&gt;YEAR($N279))),9,_xlfn.IFNA(INDEX($D$2:$D$4001,_xlfn.XMATCH(H$1&amp;"-"&amp;$F279,YEAR($B$2:$B$4001)&amp;"-"&amp;$A$2:$A$4001,0,-1)),G279))</f>
        <v>0</v>
      </c>
      <c r="I279" cm="1">
        <f t="array" ref="I279">IF(OR(AND(H279=9,I$1&gt;YEAR($N279))),9,_xlfn.IFNA(INDEX($D$2:$D$4001,_xlfn.XMATCH(I$1&amp;"-"&amp;$F279,YEAR($B$2:$B$4001)&amp;"-"&amp;$A$2:$A$4001,0,-1)),H279))</f>
        <v>0</v>
      </c>
      <c r="J279" cm="1">
        <f t="array" ref="J279">IF(OR(AND(I279=9,J$1&gt;YEAR($N279))),9,_xlfn.IFNA(INDEX($D$2:$D$4001,_xlfn.XMATCH(J$1&amp;"-"&amp;$F279,YEAR($B$2:$B$4001)&amp;"-"&amp;$A$2:$A$4001,0,-1)),I279))</f>
        <v>0</v>
      </c>
      <c r="K279" cm="1">
        <f t="array" ref="K279">IF(OR(AND(J279=9,K$1&gt;YEAR($N279))),9,_xlfn.IFNA(INDEX($D$2:$D$4001,_xlfn.XMATCH(K$1&amp;"-"&amp;$F279,YEAR($B$2:$B$4001)&amp;"-"&amp;$A$2:$A$4001,0,-1)),J279))</f>
        <v>0</v>
      </c>
      <c r="L279" cm="1">
        <f t="array" ref="L279">IF(OR(AND(K279=9,L$1&gt;YEAR($N279))),9,_xlfn.IFNA(INDEX($D$2:$D$4001,_xlfn.XMATCH(L$1&amp;"-"&amp;$F279,YEAR($B$2:$B$4001)&amp;"-"&amp;$A$2:$A$4001,0,-1)),K279))</f>
        <v>0</v>
      </c>
      <c r="M279" cm="1">
        <f t="array" ref="M279">IF(OR(AND(L279=9,M$1&gt;YEAR($N279))),9,_xlfn.IFNA(INDEX($D$2:$D$4001,_xlfn.XMATCH(M$1&amp;"-"&amp;$F279,YEAR($B$2:$B$4001)&amp;"-"&amp;$A$2:$A$4001,0,-1)),L279))</f>
        <v>0</v>
      </c>
      <c r="N279" s="1">
        <f t="shared" si="4"/>
        <v>36371</v>
      </c>
    </row>
    <row r="280" spans="1:14" x14ac:dyDescent="0.35">
      <c r="A280">
        <v>149</v>
      </c>
      <c r="B280" s="2">
        <v>37559</v>
      </c>
      <c r="C280">
        <v>4</v>
      </c>
      <c r="D280">
        <v>4</v>
      </c>
      <c r="F280">
        <v>279</v>
      </c>
      <c r="G280" cm="1">
        <f t="array" ref="G280">_xlfn.IFNA(INDEX($D$2:$D$4001,_xlfn.XMATCH(G$1&amp;"-"&amp;$F280,YEAR($B$2:$B$4001)&amp;"-"&amp;$A$2:$A$4001,0,-1)),9)</f>
        <v>9</v>
      </c>
      <c r="H280" cm="1">
        <f t="array" ref="H280">IF(OR(AND(G280=9,H$1&gt;YEAR($N280))),9,_xlfn.IFNA(INDEX($D$2:$D$4001,_xlfn.XMATCH(H$1&amp;"-"&amp;$F280,YEAR($B$2:$B$4001)&amp;"-"&amp;$A$2:$A$4001,0,-1)),G280))</f>
        <v>5</v>
      </c>
      <c r="I280" cm="1">
        <f t="array" ref="I280">IF(OR(AND(H280=9,I$1&gt;YEAR($N280))),9,_xlfn.IFNA(INDEX($D$2:$D$4001,_xlfn.XMATCH(I$1&amp;"-"&amp;$F280,YEAR($B$2:$B$4001)&amp;"-"&amp;$A$2:$A$4001,0,-1)),H280))</f>
        <v>4</v>
      </c>
      <c r="J280" cm="1">
        <f t="array" ref="J280">IF(OR(AND(I280=9,J$1&gt;YEAR($N280))),9,_xlfn.IFNA(INDEX($D$2:$D$4001,_xlfn.XMATCH(J$1&amp;"-"&amp;$F280,YEAR($B$2:$B$4001)&amp;"-"&amp;$A$2:$A$4001,0,-1)),I280))</f>
        <v>0</v>
      </c>
      <c r="K280" cm="1">
        <f t="array" ref="K280">IF(OR(AND(J280=9,K$1&gt;YEAR($N280))),9,_xlfn.IFNA(INDEX($D$2:$D$4001,_xlfn.XMATCH(K$1&amp;"-"&amp;$F280,YEAR($B$2:$B$4001)&amp;"-"&amp;$A$2:$A$4001,0,-1)),J280))</f>
        <v>0</v>
      </c>
      <c r="L280" cm="1">
        <f t="array" ref="L280">IF(OR(AND(K280=9,L$1&gt;YEAR($N280))),9,_xlfn.IFNA(INDEX($D$2:$D$4001,_xlfn.XMATCH(L$1&amp;"-"&amp;$F280,YEAR($B$2:$B$4001)&amp;"-"&amp;$A$2:$A$4001,0,-1)),K280))</f>
        <v>0</v>
      </c>
      <c r="M280" cm="1">
        <f t="array" ref="M280">IF(OR(AND(L280=9,M$1&gt;YEAR($N280))),9,_xlfn.IFNA(INDEX($D$2:$D$4001,_xlfn.XMATCH(M$1&amp;"-"&amp;$F280,YEAR($B$2:$B$4001)&amp;"-"&amp;$A$2:$A$4001,0,-1)),L280))</f>
        <v>0</v>
      </c>
      <c r="N280" s="1">
        <f t="shared" si="4"/>
        <v>36768</v>
      </c>
    </row>
    <row r="281" spans="1:14" x14ac:dyDescent="0.35">
      <c r="A281">
        <v>149</v>
      </c>
      <c r="B281" s="2">
        <v>37985</v>
      </c>
      <c r="C281">
        <v>3</v>
      </c>
      <c r="D281">
        <v>3</v>
      </c>
      <c r="F281">
        <v>280</v>
      </c>
      <c r="G281" cm="1">
        <f t="array" ref="G281">_xlfn.IFNA(INDEX($D$2:$D$4001,_xlfn.XMATCH(G$1&amp;"-"&amp;$F281,YEAR($B$2:$B$4001)&amp;"-"&amp;$A$2:$A$4001,0,-1)),9)</f>
        <v>9</v>
      </c>
      <c r="H281" cm="1">
        <f t="array" ref="H281">IF(OR(AND(G281=9,H$1&gt;YEAR($N281))),9,_xlfn.IFNA(INDEX($D$2:$D$4001,_xlfn.XMATCH(H$1&amp;"-"&amp;$F281,YEAR($B$2:$B$4001)&amp;"-"&amp;$A$2:$A$4001,0,-1)),G281))</f>
        <v>9</v>
      </c>
      <c r="I281" cm="1">
        <f t="array" ref="I281">IF(OR(AND(H281=9,I$1&gt;YEAR($N281))),9,_xlfn.IFNA(INDEX($D$2:$D$4001,_xlfn.XMATCH(I$1&amp;"-"&amp;$F281,YEAR($B$2:$B$4001)&amp;"-"&amp;$A$2:$A$4001,0,-1)),H281))</f>
        <v>4</v>
      </c>
      <c r="J281" cm="1">
        <f t="array" ref="J281">IF(OR(AND(I281=9,J$1&gt;YEAR($N281))),9,_xlfn.IFNA(INDEX($D$2:$D$4001,_xlfn.XMATCH(J$1&amp;"-"&amp;$F281,YEAR($B$2:$B$4001)&amp;"-"&amp;$A$2:$A$4001,0,-1)),I281))</f>
        <v>4</v>
      </c>
      <c r="K281" cm="1">
        <f t="array" ref="K281">IF(OR(AND(J281=9,K$1&gt;YEAR($N281))),9,_xlfn.IFNA(INDEX($D$2:$D$4001,_xlfn.XMATCH(K$1&amp;"-"&amp;$F281,YEAR($B$2:$B$4001)&amp;"-"&amp;$A$2:$A$4001,0,-1)),J281))</f>
        <v>5</v>
      </c>
      <c r="L281" cm="1">
        <f t="array" ref="L281">IF(OR(AND(K281=9,L$1&gt;YEAR($N281))),9,_xlfn.IFNA(INDEX($D$2:$D$4001,_xlfn.XMATCH(L$1&amp;"-"&amp;$F281,YEAR($B$2:$B$4001)&amp;"-"&amp;$A$2:$A$4001,0,-1)),K281))</f>
        <v>6</v>
      </c>
      <c r="M281" cm="1">
        <f t="array" ref="M281">IF(OR(AND(L281=9,M$1&gt;YEAR($N281))),9,_xlfn.IFNA(INDEX($D$2:$D$4001,_xlfn.XMATCH(M$1&amp;"-"&amp;$F281,YEAR($B$2:$B$4001)&amp;"-"&amp;$A$2:$A$4001,0,-1)),L281))</f>
        <v>6</v>
      </c>
      <c r="N281" s="1">
        <f t="shared" si="4"/>
        <v>37185</v>
      </c>
    </row>
    <row r="282" spans="1:14" x14ac:dyDescent="0.35">
      <c r="A282">
        <v>150</v>
      </c>
      <c r="B282" s="2">
        <v>37037</v>
      </c>
      <c r="C282">
        <v>2</v>
      </c>
      <c r="D282">
        <v>2</v>
      </c>
      <c r="F282">
        <v>281</v>
      </c>
      <c r="G282" cm="1">
        <f t="array" ref="G282">_xlfn.IFNA(INDEX($D$2:$D$4001,_xlfn.XMATCH(G$1&amp;"-"&amp;$F282,YEAR($B$2:$B$4001)&amp;"-"&amp;$A$2:$A$4001,0,-1)),9)</f>
        <v>5</v>
      </c>
      <c r="H282" cm="1">
        <f t="array" ref="H282">IF(OR(AND(G282=9,H$1&gt;YEAR($N282))),9,_xlfn.IFNA(INDEX($D$2:$D$4001,_xlfn.XMATCH(H$1&amp;"-"&amp;$F282,YEAR($B$2:$B$4001)&amp;"-"&amp;$A$2:$A$4001,0,-1)),G282))</f>
        <v>4</v>
      </c>
      <c r="I282" cm="1">
        <f t="array" ref="I282">IF(OR(AND(H282=9,I$1&gt;YEAR($N282))),9,_xlfn.IFNA(INDEX($D$2:$D$4001,_xlfn.XMATCH(I$1&amp;"-"&amp;$F282,YEAR($B$2:$B$4001)&amp;"-"&amp;$A$2:$A$4001,0,-1)),H282))</f>
        <v>4</v>
      </c>
      <c r="J282" cm="1">
        <f t="array" ref="J282">IF(OR(AND(I282=9,J$1&gt;YEAR($N282))),9,_xlfn.IFNA(INDEX($D$2:$D$4001,_xlfn.XMATCH(J$1&amp;"-"&amp;$F282,YEAR($B$2:$B$4001)&amp;"-"&amp;$A$2:$A$4001,0,-1)),I282))</f>
        <v>0</v>
      </c>
      <c r="K282" cm="1">
        <f t="array" ref="K282">IF(OR(AND(J282=9,K$1&gt;YEAR($N282))),9,_xlfn.IFNA(INDEX($D$2:$D$4001,_xlfn.XMATCH(K$1&amp;"-"&amp;$F282,YEAR($B$2:$B$4001)&amp;"-"&amp;$A$2:$A$4001,0,-1)),J282))</f>
        <v>0</v>
      </c>
      <c r="L282" cm="1">
        <f t="array" ref="L282">IF(OR(AND(K282=9,L$1&gt;YEAR($N282))),9,_xlfn.IFNA(INDEX($D$2:$D$4001,_xlfn.XMATCH(L$1&amp;"-"&amp;$F282,YEAR($B$2:$B$4001)&amp;"-"&amp;$A$2:$A$4001,0,-1)),K282))</f>
        <v>0</v>
      </c>
      <c r="M282" cm="1">
        <f t="array" ref="M282">IF(OR(AND(L282=9,M$1&gt;YEAR($N282))),9,_xlfn.IFNA(INDEX($D$2:$D$4001,_xlfn.XMATCH(M$1&amp;"-"&amp;$F282,YEAR($B$2:$B$4001)&amp;"-"&amp;$A$2:$A$4001,0,-1)),L282))</f>
        <v>0</v>
      </c>
      <c r="N282" s="1">
        <f t="shared" si="4"/>
        <v>36301</v>
      </c>
    </row>
    <row r="283" spans="1:14" x14ac:dyDescent="0.35">
      <c r="A283">
        <v>150</v>
      </c>
      <c r="B283" s="2">
        <v>37072</v>
      </c>
      <c r="C283">
        <v>2</v>
      </c>
      <c r="D283">
        <v>2</v>
      </c>
      <c r="F283">
        <v>282</v>
      </c>
      <c r="G283" cm="1">
        <f t="array" ref="G283">_xlfn.IFNA(INDEX($D$2:$D$4001,_xlfn.XMATCH(G$1&amp;"-"&amp;$F283,YEAR($B$2:$B$4001)&amp;"-"&amp;$A$2:$A$4001,0,-1)),9)</f>
        <v>9</v>
      </c>
      <c r="H283" cm="1">
        <f t="array" ref="H283">IF(OR(AND(G283=9,H$1&gt;YEAR($N283))),9,_xlfn.IFNA(INDEX($D$2:$D$4001,_xlfn.XMATCH(H$1&amp;"-"&amp;$F283,YEAR($B$2:$B$4001)&amp;"-"&amp;$A$2:$A$4001,0,-1)),G283))</f>
        <v>9</v>
      </c>
      <c r="I283" cm="1">
        <f t="array" ref="I283">IF(OR(AND(H283=9,I$1&gt;YEAR($N283))),9,_xlfn.IFNA(INDEX($D$2:$D$4001,_xlfn.XMATCH(I$1&amp;"-"&amp;$F283,YEAR($B$2:$B$4001)&amp;"-"&amp;$A$2:$A$4001,0,-1)),H283))</f>
        <v>3</v>
      </c>
      <c r="J283" cm="1">
        <f t="array" ref="J283">IF(OR(AND(I283=9,J$1&gt;YEAR($N283))),9,_xlfn.IFNA(INDEX($D$2:$D$4001,_xlfn.XMATCH(J$1&amp;"-"&amp;$F283,YEAR($B$2:$B$4001)&amp;"-"&amp;$A$2:$A$4001,0,-1)),I283))</f>
        <v>3</v>
      </c>
      <c r="K283" cm="1">
        <f t="array" ref="K283">IF(OR(AND(J283=9,K$1&gt;YEAR($N283))),9,_xlfn.IFNA(INDEX($D$2:$D$4001,_xlfn.XMATCH(K$1&amp;"-"&amp;$F283,YEAR($B$2:$B$4001)&amp;"-"&amp;$A$2:$A$4001,0,-1)),J283))</f>
        <v>3</v>
      </c>
      <c r="L283" cm="1">
        <f t="array" ref="L283">IF(OR(AND(K283=9,L$1&gt;YEAR($N283))),9,_xlfn.IFNA(INDEX($D$2:$D$4001,_xlfn.XMATCH(L$1&amp;"-"&amp;$F283,YEAR($B$2:$B$4001)&amp;"-"&amp;$A$2:$A$4001,0,-1)),K283))</f>
        <v>3</v>
      </c>
      <c r="M283" cm="1">
        <f t="array" ref="M283">IF(OR(AND(L283=9,M$1&gt;YEAR($N283))),9,_xlfn.IFNA(INDEX($D$2:$D$4001,_xlfn.XMATCH(M$1&amp;"-"&amp;$F283,YEAR($B$2:$B$4001)&amp;"-"&amp;$A$2:$A$4001,0,-1)),L283))</f>
        <v>3</v>
      </c>
      <c r="N283" s="1">
        <f t="shared" si="4"/>
        <v>37255</v>
      </c>
    </row>
    <row r="284" spans="1:14" x14ac:dyDescent="0.35">
      <c r="A284">
        <v>150</v>
      </c>
      <c r="B284" s="2">
        <v>38135</v>
      </c>
      <c r="C284">
        <v>2</v>
      </c>
      <c r="D284">
        <v>2</v>
      </c>
      <c r="F284">
        <v>283</v>
      </c>
      <c r="G284" cm="1">
        <f t="array" ref="G284">_xlfn.IFNA(INDEX($D$2:$D$4001,_xlfn.XMATCH(G$1&amp;"-"&amp;$F284,YEAR($B$2:$B$4001)&amp;"-"&amp;$A$2:$A$4001,0,-1)),9)</f>
        <v>9</v>
      </c>
      <c r="H284" cm="1">
        <f t="array" ref="H284">IF(OR(AND(G284=9,H$1&gt;YEAR($N284))),9,_xlfn.IFNA(INDEX($D$2:$D$4001,_xlfn.XMATCH(H$1&amp;"-"&amp;$F284,YEAR($B$2:$B$4001)&amp;"-"&amp;$A$2:$A$4001,0,-1)),G284))</f>
        <v>3</v>
      </c>
      <c r="I284" cm="1">
        <f t="array" ref="I284">IF(OR(AND(H284=9,I$1&gt;YEAR($N284))),9,_xlfn.IFNA(INDEX($D$2:$D$4001,_xlfn.XMATCH(I$1&amp;"-"&amp;$F284,YEAR($B$2:$B$4001)&amp;"-"&amp;$A$2:$A$4001,0,-1)),H284))</f>
        <v>4</v>
      </c>
      <c r="J284" cm="1">
        <f t="array" ref="J284">IF(OR(AND(I284=9,J$1&gt;YEAR($N284))),9,_xlfn.IFNA(INDEX($D$2:$D$4001,_xlfn.XMATCH(J$1&amp;"-"&amp;$F284,YEAR($B$2:$B$4001)&amp;"-"&amp;$A$2:$A$4001,0,-1)),I284))</f>
        <v>5</v>
      </c>
      <c r="K284" cm="1">
        <f t="array" ref="K284">IF(OR(AND(J284=9,K$1&gt;YEAR($N284))),9,_xlfn.IFNA(INDEX($D$2:$D$4001,_xlfn.XMATCH(K$1&amp;"-"&amp;$F284,YEAR($B$2:$B$4001)&amp;"-"&amp;$A$2:$A$4001,0,-1)),J284))</f>
        <v>6</v>
      </c>
      <c r="L284" cm="1">
        <f t="array" ref="L284">IF(OR(AND(K284=9,L$1&gt;YEAR($N284))),9,_xlfn.IFNA(INDEX($D$2:$D$4001,_xlfn.XMATCH(L$1&amp;"-"&amp;$F284,YEAR($B$2:$B$4001)&amp;"-"&amp;$A$2:$A$4001,0,-1)),K284))</f>
        <v>6</v>
      </c>
      <c r="M284" cm="1">
        <f t="array" ref="M284">IF(OR(AND(L284=9,M$1&gt;YEAR($N284))),9,_xlfn.IFNA(INDEX($D$2:$D$4001,_xlfn.XMATCH(M$1&amp;"-"&amp;$F284,YEAR($B$2:$B$4001)&amp;"-"&amp;$A$2:$A$4001,0,-1)),L284))</f>
        <v>6</v>
      </c>
      <c r="N284" s="1">
        <f t="shared" si="4"/>
        <v>36890</v>
      </c>
    </row>
    <row r="285" spans="1:14" x14ac:dyDescent="0.35">
      <c r="A285">
        <v>151</v>
      </c>
      <c r="B285" s="2">
        <v>36676</v>
      </c>
      <c r="C285">
        <v>0</v>
      </c>
      <c r="D285">
        <v>0</v>
      </c>
      <c r="F285">
        <v>284</v>
      </c>
      <c r="G285" cm="1">
        <f t="array" ref="G285">_xlfn.IFNA(INDEX($D$2:$D$4001,_xlfn.XMATCH(G$1&amp;"-"&amp;$F285,YEAR($B$2:$B$4001)&amp;"-"&amp;$A$2:$A$4001,0,-1)),9)</f>
        <v>9</v>
      </c>
      <c r="H285" cm="1">
        <f t="array" ref="H285">IF(OR(AND(G285=9,H$1&gt;YEAR($N285))),9,_xlfn.IFNA(INDEX($D$2:$D$4001,_xlfn.XMATCH(H$1&amp;"-"&amp;$F285,YEAR($B$2:$B$4001)&amp;"-"&amp;$A$2:$A$4001,0,-1)),G285))</f>
        <v>0</v>
      </c>
      <c r="I285" cm="1">
        <f t="array" ref="I285">IF(OR(AND(H285=9,I$1&gt;YEAR($N285))),9,_xlfn.IFNA(INDEX($D$2:$D$4001,_xlfn.XMATCH(I$1&amp;"-"&amp;$F285,YEAR($B$2:$B$4001)&amp;"-"&amp;$A$2:$A$4001,0,-1)),H285))</f>
        <v>0</v>
      </c>
      <c r="J285" cm="1">
        <f t="array" ref="J285">IF(OR(AND(I285=9,J$1&gt;YEAR($N285))),9,_xlfn.IFNA(INDEX($D$2:$D$4001,_xlfn.XMATCH(J$1&amp;"-"&amp;$F285,YEAR($B$2:$B$4001)&amp;"-"&amp;$A$2:$A$4001,0,-1)),I285))</f>
        <v>0</v>
      </c>
      <c r="K285" cm="1">
        <f t="array" ref="K285">IF(OR(AND(J285=9,K$1&gt;YEAR($N285))),9,_xlfn.IFNA(INDEX($D$2:$D$4001,_xlfn.XMATCH(K$1&amp;"-"&amp;$F285,YEAR($B$2:$B$4001)&amp;"-"&amp;$A$2:$A$4001,0,-1)),J285))</f>
        <v>0</v>
      </c>
      <c r="L285" cm="1">
        <f t="array" ref="L285">IF(OR(AND(K285=9,L$1&gt;YEAR($N285))),9,_xlfn.IFNA(INDEX($D$2:$D$4001,_xlfn.XMATCH(L$1&amp;"-"&amp;$F285,YEAR($B$2:$B$4001)&amp;"-"&amp;$A$2:$A$4001,0,-1)),K285))</f>
        <v>0</v>
      </c>
      <c r="M285" cm="1">
        <f t="array" ref="M285">IF(OR(AND(L285=9,M$1&gt;YEAR($N285))),9,_xlfn.IFNA(INDEX($D$2:$D$4001,_xlfn.XMATCH(M$1&amp;"-"&amp;$F285,YEAR($B$2:$B$4001)&amp;"-"&amp;$A$2:$A$4001,0,-1)),L285))</f>
        <v>0</v>
      </c>
      <c r="N285" s="1">
        <f t="shared" si="4"/>
        <v>36737</v>
      </c>
    </row>
    <row r="286" spans="1:14" x14ac:dyDescent="0.35">
      <c r="A286">
        <v>152</v>
      </c>
      <c r="B286" s="2">
        <v>37771</v>
      </c>
      <c r="C286">
        <v>2</v>
      </c>
      <c r="D286">
        <v>2</v>
      </c>
      <c r="F286">
        <v>285</v>
      </c>
      <c r="G286" cm="1">
        <f t="array" ref="G286">_xlfn.IFNA(INDEX($D$2:$D$4001,_xlfn.XMATCH(G$1&amp;"-"&amp;$F286,YEAR($B$2:$B$4001)&amp;"-"&amp;$A$2:$A$4001,0,-1)),9)</f>
        <v>6</v>
      </c>
      <c r="H286" cm="1">
        <f t="array" ref="H286">IF(OR(AND(G286=9,H$1&gt;YEAR($N286))),9,_xlfn.IFNA(INDEX($D$2:$D$4001,_xlfn.XMATCH(H$1&amp;"-"&amp;$F286,YEAR($B$2:$B$4001)&amp;"-"&amp;$A$2:$A$4001,0,-1)),G286))</f>
        <v>6</v>
      </c>
      <c r="I286" cm="1">
        <f t="array" ref="I286">IF(OR(AND(H286=9,I$1&gt;YEAR($N286))),9,_xlfn.IFNA(INDEX($D$2:$D$4001,_xlfn.XMATCH(I$1&amp;"-"&amp;$F286,YEAR($B$2:$B$4001)&amp;"-"&amp;$A$2:$A$4001,0,-1)),H286))</f>
        <v>6</v>
      </c>
      <c r="J286" cm="1">
        <f t="array" ref="J286">IF(OR(AND(I286=9,J$1&gt;YEAR($N286))),9,_xlfn.IFNA(INDEX($D$2:$D$4001,_xlfn.XMATCH(J$1&amp;"-"&amp;$F286,YEAR($B$2:$B$4001)&amp;"-"&amp;$A$2:$A$4001,0,-1)),I286))</f>
        <v>6</v>
      </c>
      <c r="K286" cm="1">
        <f t="array" ref="K286">IF(OR(AND(J286=9,K$1&gt;YEAR($N286))),9,_xlfn.IFNA(INDEX($D$2:$D$4001,_xlfn.XMATCH(K$1&amp;"-"&amp;$F286,YEAR($B$2:$B$4001)&amp;"-"&amp;$A$2:$A$4001,0,-1)),J286))</f>
        <v>6</v>
      </c>
      <c r="L286" cm="1">
        <f t="array" ref="L286">IF(OR(AND(K286=9,L$1&gt;YEAR($N286))),9,_xlfn.IFNA(INDEX($D$2:$D$4001,_xlfn.XMATCH(L$1&amp;"-"&amp;$F286,YEAR($B$2:$B$4001)&amp;"-"&amp;$A$2:$A$4001,0,-1)),K286))</f>
        <v>6</v>
      </c>
      <c r="M286" cm="1">
        <f t="array" ref="M286">IF(OR(AND(L286=9,M$1&gt;YEAR($N286))),9,_xlfn.IFNA(INDEX($D$2:$D$4001,_xlfn.XMATCH(M$1&amp;"-"&amp;$F286,YEAR($B$2:$B$4001)&amp;"-"&amp;$A$2:$A$4001,0,-1)),L286))</f>
        <v>6</v>
      </c>
      <c r="N286" s="1">
        <f t="shared" si="4"/>
        <v>36524</v>
      </c>
    </row>
    <row r="287" spans="1:14" x14ac:dyDescent="0.35">
      <c r="A287">
        <v>153</v>
      </c>
      <c r="B287" s="2">
        <v>36860</v>
      </c>
      <c r="C287">
        <v>4</v>
      </c>
      <c r="D287">
        <v>4</v>
      </c>
      <c r="F287">
        <v>286</v>
      </c>
      <c r="G287" cm="1">
        <f t="array" ref="G287">_xlfn.IFNA(INDEX($D$2:$D$4001,_xlfn.XMATCH(G$1&amp;"-"&amp;$F287,YEAR($B$2:$B$4001)&amp;"-"&amp;$A$2:$A$4001,0,-1)),9)</f>
        <v>9</v>
      </c>
      <c r="H287" cm="1">
        <f t="array" ref="H287">IF(OR(AND(G287=9,H$1&gt;YEAR($N287))),9,_xlfn.IFNA(INDEX($D$2:$D$4001,_xlfn.XMATCH(H$1&amp;"-"&amp;$F287,YEAR($B$2:$B$4001)&amp;"-"&amp;$A$2:$A$4001,0,-1)),G287))</f>
        <v>9</v>
      </c>
      <c r="I287" cm="1">
        <f t="array" ref="I287">IF(OR(AND(H287=9,I$1&gt;YEAR($N287))),9,_xlfn.IFNA(INDEX($D$2:$D$4001,_xlfn.XMATCH(I$1&amp;"-"&amp;$F287,YEAR($B$2:$B$4001)&amp;"-"&amp;$A$2:$A$4001,0,-1)),H287))</f>
        <v>3</v>
      </c>
      <c r="J287" cm="1">
        <f t="array" ref="J287">IF(OR(AND(I287=9,J$1&gt;YEAR($N287))),9,_xlfn.IFNA(INDEX($D$2:$D$4001,_xlfn.XMATCH(J$1&amp;"-"&amp;$F287,YEAR($B$2:$B$4001)&amp;"-"&amp;$A$2:$A$4001,0,-1)),I287))</f>
        <v>3</v>
      </c>
      <c r="K287" cm="1">
        <f t="array" ref="K287">IF(OR(AND(J287=9,K$1&gt;YEAR($N287))),9,_xlfn.IFNA(INDEX($D$2:$D$4001,_xlfn.XMATCH(K$1&amp;"-"&amp;$F287,YEAR($B$2:$B$4001)&amp;"-"&amp;$A$2:$A$4001,0,-1)),J287))</f>
        <v>3</v>
      </c>
      <c r="L287" cm="1">
        <f t="array" ref="L287">IF(OR(AND(K287=9,L$1&gt;YEAR($N287))),9,_xlfn.IFNA(INDEX($D$2:$D$4001,_xlfn.XMATCH(L$1&amp;"-"&amp;$F287,YEAR($B$2:$B$4001)&amp;"-"&amp;$A$2:$A$4001,0,-1)),K287))</f>
        <v>3</v>
      </c>
      <c r="M287" cm="1">
        <f t="array" ref="M287">IF(OR(AND(L287=9,M$1&gt;YEAR($N287))),9,_xlfn.IFNA(INDEX($D$2:$D$4001,_xlfn.XMATCH(M$1&amp;"-"&amp;$F287,YEAR($B$2:$B$4001)&amp;"-"&amp;$A$2:$A$4001,0,-1)),L287))</f>
        <v>3</v>
      </c>
      <c r="N287" s="1">
        <f t="shared" si="4"/>
        <v>37124</v>
      </c>
    </row>
    <row r="288" spans="1:14" x14ac:dyDescent="0.35">
      <c r="A288">
        <v>154</v>
      </c>
      <c r="B288" s="2">
        <v>37406</v>
      </c>
      <c r="C288">
        <v>1</v>
      </c>
      <c r="D288">
        <v>1</v>
      </c>
      <c r="F288">
        <v>287</v>
      </c>
      <c r="G288" cm="1">
        <f t="array" ref="G288">_xlfn.IFNA(INDEX($D$2:$D$4001,_xlfn.XMATCH(G$1&amp;"-"&amp;$F288,YEAR($B$2:$B$4001)&amp;"-"&amp;$A$2:$A$4001,0,-1)),9)</f>
        <v>9</v>
      </c>
      <c r="H288" cm="1">
        <f t="array" ref="H288">IF(OR(AND(G288=9,H$1&gt;YEAR($N288))),9,_xlfn.IFNA(INDEX($D$2:$D$4001,_xlfn.XMATCH(H$1&amp;"-"&amp;$F288,YEAR($B$2:$B$4001)&amp;"-"&amp;$A$2:$A$4001,0,-1)),G288))</f>
        <v>9</v>
      </c>
      <c r="I288" cm="1">
        <f t="array" ref="I288">IF(OR(AND(H288=9,I$1&gt;YEAR($N288))),9,_xlfn.IFNA(INDEX($D$2:$D$4001,_xlfn.XMATCH(I$1&amp;"-"&amp;$F288,YEAR($B$2:$B$4001)&amp;"-"&amp;$A$2:$A$4001,0,-1)),H288))</f>
        <v>3</v>
      </c>
      <c r="J288" cm="1">
        <f t="array" ref="J288">IF(OR(AND(I288=9,J$1&gt;YEAR($N288))),9,_xlfn.IFNA(INDEX($D$2:$D$4001,_xlfn.XMATCH(J$1&amp;"-"&amp;$F288,YEAR($B$2:$B$4001)&amp;"-"&amp;$A$2:$A$4001,0,-1)),I288))</f>
        <v>4</v>
      </c>
      <c r="K288" cm="1">
        <f t="array" ref="K288">IF(OR(AND(J288=9,K$1&gt;YEAR($N288))),9,_xlfn.IFNA(INDEX($D$2:$D$4001,_xlfn.XMATCH(K$1&amp;"-"&amp;$F288,YEAR($B$2:$B$4001)&amp;"-"&amp;$A$2:$A$4001,0,-1)),J288))</f>
        <v>4</v>
      </c>
      <c r="L288" cm="1">
        <f t="array" ref="L288">IF(OR(AND(K288=9,L$1&gt;YEAR($N288))),9,_xlfn.IFNA(INDEX($D$2:$D$4001,_xlfn.XMATCH(L$1&amp;"-"&amp;$F288,YEAR($B$2:$B$4001)&amp;"-"&amp;$A$2:$A$4001,0,-1)),K288))</f>
        <v>4</v>
      </c>
      <c r="M288" cm="1">
        <f t="array" ref="M288">IF(OR(AND(L288=9,M$1&gt;YEAR($N288))),9,_xlfn.IFNA(INDEX($D$2:$D$4001,_xlfn.XMATCH(M$1&amp;"-"&amp;$F288,YEAR($B$2:$B$4001)&amp;"-"&amp;$A$2:$A$4001,0,-1)),L288))</f>
        <v>4</v>
      </c>
      <c r="N288" s="1">
        <f t="shared" si="4"/>
        <v>37032</v>
      </c>
    </row>
    <row r="289" spans="1:14" x14ac:dyDescent="0.35">
      <c r="A289">
        <v>155</v>
      </c>
      <c r="B289" s="2">
        <v>37863</v>
      </c>
      <c r="C289">
        <v>4</v>
      </c>
      <c r="D289">
        <v>4</v>
      </c>
      <c r="F289">
        <v>288</v>
      </c>
      <c r="G289" cm="1">
        <f t="array" ref="G289">_xlfn.IFNA(INDEX($D$2:$D$4001,_xlfn.XMATCH(G$1&amp;"-"&amp;$F289,YEAR($B$2:$B$4001)&amp;"-"&amp;$A$2:$A$4001,0,-1)),9)</f>
        <v>9</v>
      </c>
      <c r="H289" cm="1">
        <f t="array" ref="H289">IF(OR(AND(G289=9,H$1&gt;YEAR($N289))),9,_xlfn.IFNA(INDEX($D$2:$D$4001,_xlfn.XMATCH(H$1&amp;"-"&amp;$F289,YEAR($B$2:$B$4001)&amp;"-"&amp;$A$2:$A$4001,0,-1)),G289))</f>
        <v>9</v>
      </c>
      <c r="I289" cm="1">
        <f t="array" ref="I289">IF(OR(AND(H289=9,I$1&gt;YEAR($N289))),9,_xlfn.IFNA(INDEX($D$2:$D$4001,_xlfn.XMATCH(I$1&amp;"-"&amp;$F289,YEAR($B$2:$B$4001)&amp;"-"&amp;$A$2:$A$4001,0,-1)),H289))</f>
        <v>3</v>
      </c>
      <c r="J289" cm="1">
        <f t="array" ref="J289">IF(OR(AND(I289=9,J$1&gt;YEAR($N289))),9,_xlfn.IFNA(INDEX($D$2:$D$4001,_xlfn.XMATCH(J$1&amp;"-"&amp;$F289,YEAR($B$2:$B$4001)&amp;"-"&amp;$A$2:$A$4001,0,-1)),I289))</f>
        <v>3</v>
      </c>
      <c r="K289" cm="1">
        <f t="array" ref="K289">IF(OR(AND(J289=9,K$1&gt;YEAR($N289))),9,_xlfn.IFNA(INDEX($D$2:$D$4001,_xlfn.XMATCH(K$1&amp;"-"&amp;$F289,YEAR($B$2:$B$4001)&amp;"-"&amp;$A$2:$A$4001,0,-1)),J289))</f>
        <v>3</v>
      </c>
      <c r="L289" cm="1">
        <f t="array" ref="L289">IF(OR(AND(K289=9,L$1&gt;YEAR($N289))),9,_xlfn.IFNA(INDEX($D$2:$D$4001,_xlfn.XMATCH(L$1&amp;"-"&amp;$F289,YEAR($B$2:$B$4001)&amp;"-"&amp;$A$2:$A$4001,0,-1)),K289))</f>
        <v>3</v>
      </c>
      <c r="M289" cm="1">
        <f t="array" ref="M289">IF(OR(AND(L289=9,M$1&gt;YEAR($N289))),9,_xlfn.IFNA(INDEX($D$2:$D$4001,_xlfn.XMATCH(M$1&amp;"-"&amp;$F289,YEAR($B$2:$B$4001)&amp;"-"&amp;$A$2:$A$4001,0,-1)),L289))</f>
        <v>3</v>
      </c>
      <c r="N289" s="1">
        <f t="shared" si="4"/>
        <v>37032</v>
      </c>
    </row>
    <row r="290" spans="1:14" x14ac:dyDescent="0.35">
      <c r="A290">
        <v>156</v>
      </c>
      <c r="B290" s="2">
        <v>36524</v>
      </c>
      <c r="C290">
        <v>6</v>
      </c>
      <c r="D290">
        <v>6</v>
      </c>
      <c r="F290">
        <v>289</v>
      </c>
      <c r="G290" cm="1">
        <f t="array" ref="G290">_xlfn.IFNA(INDEX($D$2:$D$4001,_xlfn.XMATCH(G$1&amp;"-"&amp;$F290,YEAR($B$2:$B$4001)&amp;"-"&amp;$A$2:$A$4001,0,-1)),9)</f>
        <v>9</v>
      </c>
      <c r="H290" cm="1">
        <f t="array" ref="H290">IF(OR(AND(G290=9,H$1&gt;YEAR($N290))),9,_xlfn.IFNA(INDEX($D$2:$D$4001,_xlfn.XMATCH(H$1&amp;"-"&amp;$F290,YEAR($B$2:$B$4001)&amp;"-"&amp;$A$2:$A$4001,0,-1)),G290))</f>
        <v>9</v>
      </c>
      <c r="I290" cm="1">
        <f t="array" ref="I290">IF(OR(AND(H290=9,I$1&gt;YEAR($N290))),9,_xlfn.IFNA(INDEX($D$2:$D$4001,_xlfn.XMATCH(I$1&amp;"-"&amp;$F290,YEAR($B$2:$B$4001)&amp;"-"&amp;$A$2:$A$4001,0,-1)),H290))</f>
        <v>9</v>
      </c>
      <c r="J290" cm="1">
        <f t="array" ref="J290">IF(OR(AND(I290=9,J$1&gt;YEAR($N290))),9,_xlfn.IFNA(INDEX($D$2:$D$4001,_xlfn.XMATCH(J$1&amp;"-"&amp;$F290,YEAR($B$2:$B$4001)&amp;"-"&amp;$A$2:$A$4001,0,-1)),I290))</f>
        <v>3</v>
      </c>
      <c r="K290" cm="1">
        <f t="array" ref="K290">IF(OR(AND(J290=9,K$1&gt;YEAR($N290))),9,_xlfn.IFNA(INDEX($D$2:$D$4001,_xlfn.XMATCH(K$1&amp;"-"&amp;$F290,YEAR($B$2:$B$4001)&amp;"-"&amp;$A$2:$A$4001,0,-1)),J290))</f>
        <v>3</v>
      </c>
      <c r="L290" cm="1">
        <f t="array" ref="L290">IF(OR(AND(K290=9,L$1&gt;YEAR($N290))),9,_xlfn.IFNA(INDEX($D$2:$D$4001,_xlfn.XMATCH(L$1&amp;"-"&amp;$F290,YEAR($B$2:$B$4001)&amp;"-"&amp;$A$2:$A$4001,0,-1)),K290))</f>
        <v>3</v>
      </c>
      <c r="M290" cm="1">
        <f t="array" ref="M290">IF(OR(AND(L290=9,M$1&gt;YEAR($N290))),9,_xlfn.IFNA(INDEX($D$2:$D$4001,_xlfn.XMATCH(M$1&amp;"-"&amp;$F290,YEAR($B$2:$B$4001)&amp;"-"&amp;$A$2:$A$4001,0,-1)),L290))</f>
        <v>3</v>
      </c>
      <c r="N290" s="1">
        <f t="shared" si="4"/>
        <v>37590</v>
      </c>
    </row>
    <row r="291" spans="1:14" x14ac:dyDescent="0.35">
      <c r="A291">
        <v>156</v>
      </c>
      <c r="B291" s="2">
        <v>36667</v>
      </c>
      <c r="C291">
        <v>7</v>
      </c>
      <c r="D291">
        <v>7</v>
      </c>
      <c r="F291">
        <v>290</v>
      </c>
      <c r="G291" cm="1">
        <f t="array" ref="G291">_xlfn.IFNA(INDEX($D$2:$D$4001,_xlfn.XMATCH(G$1&amp;"-"&amp;$F291,YEAR($B$2:$B$4001)&amp;"-"&amp;$A$2:$A$4001,0,-1)),9)</f>
        <v>9</v>
      </c>
      <c r="H291" cm="1">
        <f t="array" ref="H291">IF(OR(AND(G291=9,H$1&gt;YEAR($N291))),9,_xlfn.IFNA(INDEX($D$2:$D$4001,_xlfn.XMATCH(H$1&amp;"-"&amp;$F291,YEAR($B$2:$B$4001)&amp;"-"&amp;$A$2:$A$4001,0,-1)),G291))</f>
        <v>9</v>
      </c>
      <c r="I291" cm="1">
        <f t="array" ref="I291">IF(OR(AND(H291=9,I$1&gt;YEAR($N291))),9,_xlfn.IFNA(INDEX($D$2:$D$4001,_xlfn.XMATCH(I$1&amp;"-"&amp;$F291,YEAR($B$2:$B$4001)&amp;"-"&amp;$A$2:$A$4001,0,-1)),H291))</f>
        <v>9</v>
      </c>
      <c r="J291" cm="1">
        <f t="array" ref="J291">IF(OR(AND(I291=9,J$1&gt;YEAR($N291))),9,_xlfn.IFNA(INDEX($D$2:$D$4001,_xlfn.XMATCH(J$1&amp;"-"&amp;$F291,YEAR($B$2:$B$4001)&amp;"-"&amp;$A$2:$A$4001,0,-1)),I291))</f>
        <v>9</v>
      </c>
      <c r="K291" cm="1">
        <f t="array" ref="K291">IF(OR(AND(J291=9,K$1&gt;YEAR($N291))),9,_xlfn.IFNA(INDEX($D$2:$D$4001,_xlfn.XMATCH(K$1&amp;"-"&amp;$F291,YEAR($B$2:$B$4001)&amp;"-"&amp;$A$2:$A$4001,0,-1)),J291))</f>
        <v>4</v>
      </c>
      <c r="L291" cm="1">
        <f t="array" ref="L291">IF(OR(AND(K291=9,L$1&gt;YEAR($N291))),9,_xlfn.IFNA(INDEX($D$2:$D$4001,_xlfn.XMATCH(L$1&amp;"-"&amp;$F291,YEAR($B$2:$B$4001)&amp;"-"&amp;$A$2:$A$4001,0,-1)),K291))</f>
        <v>4</v>
      </c>
      <c r="M291" cm="1">
        <f t="array" ref="M291">IF(OR(AND(L291=9,M$1&gt;YEAR($N291))),9,_xlfn.IFNA(INDEX($D$2:$D$4001,_xlfn.XMATCH(M$1&amp;"-"&amp;$F291,YEAR($B$2:$B$4001)&amp;"-"&amp;$A$2:$A$4001,0,-1)),L291))</f>
        <v>4</v>
      </c>
      <c r="N291" s="1">
        <f t="shared" si="4"/>
        <v>37946</v>
      </c>
    </row>
    <row r="292" spans="1:14" x14ac:dyDescent="0.35">
      <c r="A292">
        <v>156</v>
      </c>
      <c r="B292" s="2">
        <v>36676</v>
      </c>
      <c r="C292">
        <v>6</v>
      </c>
      <c r="D292">
        <v>6</v>
      </c>
      <c r="F292">
        <v>291</v>
      </c>
      <c r="G292" cm="1">
        <f t="array" ref="G292">_xlfn.IFNA(INDEX($D$2:$D$4001,_xlfn.XMATCH(G$1&amp;"-"&amp;$F292,YEAR($B$2:$B$4001)&amp;"-"&amp;$A$2:$A$4001,0,-1)),9)</f>
        <v>9</v>
      </c>
      <c r="H292" cm="1">
        <f t="array" ref="H292">IF(OR(AND(G292=9,H$1&gt;YEAR($N292))),9,_xlfn.IFNA(INDEX($D$2:$D$4001,_xlfn.XMATCH(H$1&amp;"-"&amp;$F292,YEAR($B$2:$B$4001)&amp;"-"&amp;$A$2:$A$4001,0,-1)),G292))</f>
        <v>9</v>
      </c>
      <c r="I292" cm="1">
        <f t="array" ref="I292">IF(OR(AND(H292=9,I$1&gt;YEAR($N292))),9,_xlfn.IFNA(INDEX($D$2:$D$4001,_xlfn.XMATCH(I$1&amp;"-"&amp;$F292,YEAR($B$2:$B$4001)&amp;"-"&amp;$A$2:$A$4001,0,-1)),H292))</f>
        <v>1</v>
      </c>
      <c r="J292" cm="1">
        <f t="array" ref="J292">IF(OR(AND(I292=9,J$1&gt;YEAR($N292))),9,_xlfn.IFNA(INDEX($D$2:$D$4001,_xlfn.XMATCH(J$1&amp;"-"&amp;$F292,YEAR($B$2:$B$4001)&amp;"-"&amp;$A$2:$A$4001,0,-1)),I292))</f>
        <v>1</v>
      </c>
      <c r="K292" cm="1">
        <f t="array" ref="K292">IF(OR(AND(J292=9,K$1&gt;YEAR($N292))),9,_xlfn.IFNA(INDEX($D$2:$D$4001,_xlfn.XMATCH(K$1&amp;"-"&amp;$F292,YEAR($B$2:$B$4001)&amp;"-"&amp;$A$2:$A$4001,0,-1)),J292))</f>
        <v>1</v>
      </c>
      <c r="L292" cm="1">
        <f t="array" ref="L292">IF(OR(AND(K292=9,L$1&gt;YEAR($N292))),9,_xlfn.IFNA(INDEX($D$2:$D$4001,_xlfn.XMATCH(L$1&amp;"-"&amp;$F292,YEAR($B$2:$B$4001)&amp;"-"&amp;$A$2:$A$4001,0,-1)),K292))</f>
        <v>1</v>
      </c>
      <c r="M292" cm="1">
        <f t="array" ref="M292">IF(OR(AND(L292=9,M$1&gt;YEAR($N292))),9,_xlfn.IFNA(INDEX($D$2:$D$4001,_xlfn.XMATCH(M$1&amp;"-"&amp;$F292,YEAR($B$2:$B$4001)&amp;"-"&amp;$A$2:$A$4001,0,-1)),L292))</f>
        <v>1</v>
      </c>
      <c r="N292" s="1">
        <f t="shared" si="4"/>
        <v>37255</v>
      </c>
    </row>
    <row r="293" spans="1:14" x14ac:dyDescent="0.35">
      <c r="A293">
        <v>156</v>
      </c>
      <c r="B293" s="2">
        <v>37771</v>
      </c>
      <c r="C293">
        <v>7</v>
      </c>
      <c r="D293">
        <v>7</v>
      </c>
      <c r="F293">
        <v>292</v>
      </c>
      <c r="G293" cm="1">
        <f t="array" ref="G293">_xlfn.IFNA(INDEX($D$2:$D$4001,_xlfn.XMATCH(G$1&amp;"-"&amp;$F293,YEAR($B$2:$B$4001)&amp;"-"&amp;$A$2:$A$4001,0,-1)),9)</f>
        <v>4</v>
      </c>
      <c r="H293" cm="1">
        <f t="array" ref="H293">IF(OR(AND(G293=9,H$1&gt;YEAR($N293))),9,_xlfn.IFNA(INDEX($D$2:$D$4001,_xlfn.XMATCH(H$1&amp;"-"&amp;$F293,YEAR($B$2:$B$4001)&amp;"-"&amp;$A$2:$A$4001,0,-1)),G293))</f>
        <v>4</v>
      </c>
      <c r="I293" cm="1">
        <f t="array" ref="I293">IF(OR(AND(H293=9,I$1&gt;YEAR($N293))),9,_xlfn.IFNA(INDEX($D$2:$D$4001,_xlfn.XMATCH(I$1&amp;"-"&amp;$F293,YEAR($B$2:$B$4001)&amp;"-"&amp;$A$2:$A$4001,0,-1)),H293))</f>
        <v>0</v>
      </c>
      <c r="J293" cm="1">
        <f t="array" ref="J293">IF(OR(AND(I293=9,J$1&gt;YEAR($N293))),9,_xlfn.IFNA(INDEX($D$2:$D$4001,_xlfn.XMATCH(J$1&amp;"-"&amp;$F293,YEAR($B$2:$B$4001)&amp;"-"&amp;$A$2:$A$4001,0,-1)),I293))</f>
        <v>0</v>
      </c>
      <c r="K293" cm="1">
        <f t="array" ref="K293">IF(OR(AND(J293=9,K$1&gt;YEAR($N293))),9,_xlfn.IFNA(INDEX($D$2:$D$4001,_xlfn.XMATCH(K$1&amp;"-"&amp;$F293,YEAR($B$2:$B$4001)&amp;"-"&amp;$A$2:$A$4001,0,-1)),J293))</f>
        <v>0</v>
      </c>
      <c r="L293" cm="1">
        <f t="array" ref="L293">IF(OR(AND(K293=9,L$1&gt;YEAR($N293))),9,_xlfn.IFNA(INDEX($D$2:$D$4001,_xlfn.XMATCH(L$1&amp;"-"&amp;$F293,YEAR($B$2:$B$4001)&amp;"-"&amp;$A$2:$A$4001,0,-1)),K293))</f>
        <v>0</v>
      </c>
      <c r="M293" cm="1">
        <f t="array" ref="M293">IF(OR(AND(L293=9,M$1&gt;YEAR($N293))),9,_xlfn.IFNA(INDEX($D$2:$D$4001,_xlfn.XMATCH(M$1&amp;"-"&amp;$F293,YEAR($B$2:$B$4001)&amp;"-"&amp;$A$2:$A$4001,0,-1)),L293))</f>
        <v>0</v>
      </c>
      <c r="N293" s="1">
        <f t="shared" si="4"/>
        <v>36463</v>
      </c>
    </row>
    <row r="294" spans="1:14" x14ac:dyDescent="0.35">
      <c r="A294">
        <v>156</v>
      </c>
      <c r="B294" s="2">
        <v>38137</v>
      </c>
      <c r="C294">
        <v>6</v>
      </c>
      <c r="D294">
        <v>6</v>
      </c>
      <c r="F294">
        <v>293</v>
      </c>
      <c r="G294" cm="1">
        <f t="array" ref="G294">_xlfn.IFNA(INDEX($D$2:$D$4001,_xlfn.XMATCH(G$1&amp;"-"&amp;$F294,YEAR($B$2:$B$4001)&amp;"-"&amp;$A$2:$A$4001,0,-1)),9)</f>
        <v>4</v>
      </c>
      <c r="H294" cm="1">
        <f t="array" ref="H294">IF(OR(AND(G294=9,H$1&gt;YEAR($N294))),9,_xlfn.IFNA(INDEX($D$2:$D$4001,_xlfn.XMATCH(H$1&amp;"-"&amp;$F294,YEAR($B$2:$B$4001)&amp;"-"&amp;$A$2:$A$4001,0,-1)),G294))</f>
        <v>4</v>
      </c>
      <c r="I294" cm="1">
        <f t="array" ref="I294">IF(OR(AND(H294=9,I$1&gt;YEAR($N294))),9,_xlfn.IFNA(INDEX($D$2:$D$4001,_xlfn.XMATCH(I$1&amp;"-"&amp;$F294,YEAR($B$2:$B$4001)&amp;"-"&amp;$A$2:$A$4001,0,-1)),H294))</f>
        <v>4</v>
      </c>
      <c r="J294" cm="1">
        <f t="array" ref="J294">IF(OR(AND(I294=9,J$1&gt;YEAR($N294))),9,_xlfn.IFNA(INDEX($D$2:$D$4001,_xlfn.XMATCH(J$1&amp;"-"&amp;$F294,YEAR($B$2:$B$4001)&amp;"-"&amp;$A$2:$A$4001,0,-1)),I294))</f>
        <v>4</v>
      </c>
      <c r="K294" cm="1">
        <f t="array" ref="K294">IF(OR(AND(J294=9,K$1&gt;YEAR($N294))),9,_xlfn.IFNA(INDEX($D$2:$D$4001,_xlfn.XMATCH(K$1&amp;"-"&amp;$F294,YEAR($B$2:$B$4001)&amp;"-"&amp;$A$2:$A$4001,0,-1)),J294))</f>
        <v>4</v>
      </c>
      <c r="L294" cm="1">
        <f t="array" ref="L294">IF(OR(AND(K294=9,L$1&gt;YEAR($N294))),9,_xlfn.IFNA(INDEX($D$2:$D$4001,_xlfn.XMATCH(L$1&amp;"-"&amp;$F294,YEAR($B$2:$B$4001)&amp;"-"&amp;$A$2:$A$4001,0,-1)),K294))</f>
        <v>5</v>
      </c>
      <c r="M294" cm="1">
        <f t="array" ref="M294">IF(OR(AND(L294=9,M$1&gt;YEAR($N294))),9,_xlfn.IFNA(INDEX($D$2:$D$4001,_xlfn.XMATCH(M$1&amp;"-"&amp;$F294,YEAR($B$2:$B$4001)&amp;"-"&amp;$A$2:$A$4001,0,-1)),L294))</f>
        <v>5</v>
      </c>
      <c r="N294" s="1">
        <f t="shared" si="4"/>
        <v>36332</v>
      </c>
    </row>
    <row r="295" spans="1:14" x14ac:dyDescent="0.35">
      <c r="A295">
        <v>156</v>
      </c>
      <c r="B295" s="2">
        <v>38321</v>
      </c>
      <c r="C295">
        <v>6</v>
      </c>
      <c r="D295">
        <v>6</v>
      </c>
      <c r="F295">
        <v>294</v>
      </c>
      <c r="G295" cm="1">
        <f t="array" ref="G295">_xlfn.IFNA(INDEX($D$2:$D$4001,_xlfn.XMATCH(G$1&amp;"-"&amp;$F295,YEAR($B$2:$B$4001)&amp;"-"&amp;$A$2:$A$4001,0,-1)),9)</f>
        <v>9</v>
      </c>
      <c r="H295" cm="1">
        <f t="array" ref="H295">IF(OR(AND(G295=9,H$1&gt;YEAR($N295))),9,_xlfn.IFNA(INDEX($D$2:$D$4001,_xlfn.XMATCH(H$1&amp;"-"&amp;$F295,YEAR($B$2:$B$4001)&amp;"-"&amp;$A$2:$A$4001,0,-1)),G295))</f>
        <v>9</v>
      </c>
      <c r="I295" cm="1">
        <f t="array" ref="I295">IF(OR(AND(H295=9,I$1&gt;YEAR($N295))),9,_xlfn.IFNA(INDEX($D$2:$D$4001,_xlfn.XMATCH(I$1&amp;"-"&amp;$F295,YEAR($B$2:$B$4001)&amp;"-"&amp;$A$2:$A$4001,0,-1)),H295))</f>
        <v>9</v>
      </c>
      <c r="J295" cm="1">
        <f t="array" ref="J295">IF(OR(AND(I295=9,J$1&gt;YEAR($N295))),9,_xlfn.IFNA(INDEX($D$2:$D$4001,_xlfn.XMATCH(J$1&amp;"-"&amp;$F295,YEAR($B$2:$B$4001)&amp;"-"&amp;$A$2:$A$4001,0,-1)),I295))</f>
        <v>5</v>
      </c>
      <c r="K295" cm="1">
        <f t="array" ref="K295">IF(OR(AND(J295=9,K$1&gt;YEAR($N295))),9,_xlfn.IFNA(INDEX($D$2:$D$4001,_xlfn.XMATCH(K$1&amp;"-"&amp;$F295,YEAR($B$2:$B$4001)&amp;"-"&amp;$A$2:$A$4001,0,-1)),J295))</f>
        <v>0</v>
      </c>
      <c r="L295" cm="1">
        <f t="array" ref="L295">IF(OR(AND(K295=9,L$1&gt;YEAR($N295))),9,_xlfn.IFNA(INDEX($D$2:$D$4001,_xlfn.XMATCH(L$1&amp;"-"&amp;$F295,YEAR($B$2:$B$4001)&amp;"-"&amp;$A$2:$A$4001,0,-1)),K295))</f>
        <v>0</v>
      </c>
      <c r="M295" cm="1">
        <f t="array" ref="M295">IF(OR(AND(L295=9,M$1&gt;YEAR($N295))),9,_xlfn.IFNA(INDEX($D$2:$D$4001,_xlfn.XMATCH(M$1&amp;"-"&amp;$F295,YEAR($B$2:$B$4001)&amp;"-"&amp;$A$2:$A$4001,0,-1)),L295))</f>
        <v>0</v>
      </c>
      <c r="N295" s="1">
        <f t="shared" si="4"/>
        <v>37489</v>
      </c>
    </row>
    <row r="296" spans="1:14" x14ac:dyDescent="0.35">
      <c r="A296">
        <v>157</v>
      </c>
      <c r="B296" s="2">
        <v>37489</v>
      </c>
      <c r="C296">
        <v>3</v>
      </c>
      <c r="D296">
        <v>3</v>
      </c>
      <c r="F296">
        <v>295</v>
      </c>
      <c r="G296" cm="1">
        <f t="array" ref="G296">_xlfn.IFNA(INDEX($D$2:$D$4001,_xlfn.XMATCH(G$1&amp;"-"&amp;$F296,YEAR($B$2:$B$4001)&amp;"-"&amp;$A$2:$A$4001,0,-1)),9)</f>
        <v>9</v>
      </c>
      <c r="H296" cm="1">
        <f t="array" ref="H296">IF(OR(AND(G296=9,H$1&gt;YEAR($N296))),9,_xlfn.IFNA(INDEX($D$2:$D$4001,_xlfn.XMATCH(H$1&amp;"-"&amp;$F296,YEAR($B$2:$B$4001)&amp;"-"&amp;$A$2:$A$4001,0,-1)),G296))</f>
        <v>9</v>
      </c>
      <c r="I296" cm="1">
        <f t="array" ref="I296">IF(OR(AND(H296=9,I$1&gt;YEAR($N296))),9,_xlfn.IFNA(INDEX($D$2:$D$4001,_xlfn.XMATCH(I$1&amp;"-"&amp;$F296,YEAR($B$2:$B$4001)&amp;"-"&amp;$A$2:$A$4001,0,-1)),H296))</f>
        <v>8</v>
      </c>
      <c r="J296" cm="1">
        <f t="array" ref="J296">IF(OR(AND(I296=9,J$1&gt;YEAR($N296))),9,_xlfn.IFNA(INDEX($D$2:$D$4001,_xlfn.XMATCH(J$1&amp;"-"&amp;$F296,YEAR($B$2:$B$4001)&amp;"-"&amp;$A$2:$A$4001,0,-1)),I296))</f>
        <v>8</v>
      </c>
      <c r="K296" cm="1">
        <f t="array" ref="K296">IF(OR(AND(J296=9,K$1&gt;YEAR($N296))),9,_xlfn.IFNA(INDEX($D$2:$D$4001,_xlfn.XMATCH(K$1&amp;"-"&amp;$F296,YEAR($B$2:$B$4001)&amp;"-"&amp;$A$2:$A$4001,0,-1)),J296))</f>
        <v>8</v>
      </c>
      <c r="L296" cm="1">
        <f t="array" ref="L296">IF(OR(AND(K296=9,L$1&gt;YEAR($N296))),9,_xlfn.IFNA(INDEX($D$2:$D$4001,_xlfn.XMATCH(L$1&amp;"-"&amp;$F296,YEAR($B$2:$B$4001)&amp;"-"&amp;$A$2:$A$4001,0,-1)),K296))</f>
        <v>8</v>
      </c>
      <c r="M296" cm="1">
        <f t="array" ref="M296">IF(OR(AND(L296=9,M$1&gt;YEAR($N296))),9,_xlfn.IFNA(INDEX($D$2:$D$4001,_xlfn.XMATCH(M$1&amp;"-"&amp;$F296,YEAR($B$2:$B$4001)&amp;"-"&amp;$A$2:$A$4001,0,-1)),L296))</f>
        <v>8</v>
      </c>
      <c r="N296" s="1">
        <f t="shared" si="4"/>
        <v>37041</v>
      </c>
    </row>
    <row r="297" spans="1:14" x14ac:dyDescent="0.35">
      <c r="A297">
        <v>157</v>
      </c>
      <c r="B297" s="2">
        <v>37581</v>
      </c>
      <c r="C297">
        <v>3</v>
      </c>
      <c r="D297">
        <v>3</v>
      </c>
      <c r="F297">
        <v>296</v>
      </c>
      <c r="G297" cm="1">
        <f t="array" ref="G297">_xlfn.IFNA(INDEX($D$2:$D$4001,_xlfn.XMATCH(G$1&amp;"-"&amp;$F297,YEAR($B$2:$B$4001)&amp;"-"&amp;$A$2:$A$4001,0,-1)),9)</f>
        <v>9</v>
      </c>
      <c r="H297" cm="1">
        <f t="array" ref="H297">IF(OR(AND(G297=9,H$1&gt;YEAR($N297))),9,_xlfn.IFNA(INDEX($D$2:$D$4001,_xlfn.XMATCH(H$1&amp;"-"&amp;$F297,YEAR($B$2:$B$4001)&amp;"-"&amp;$A$2:$A$4001,0,-1)),G297))</f>
        <v>9</v>
      </c>
      <c r="I297" cm="1">
        <f t="array" ref="I297">IF(OR(AND(H297=9,I$1&gt;YEAR($N297))),9,_xlfn.IFNA(INDEX($D$2:$D$4001,_xlfn.XMATCH(I$1&amp;"-"&amp;$F297,YEAR($B$2:$B$4001)&amp;"-"&amp;$A$2:$A$4001,0,-1)),H297))</f>
        <v>6</v>
      </c>
      <c r="J297" cm="1">
        <f t="array" ref="J297">IF(OR(AND(I297=9,J$1&gt;YEAR($N297))),9,_xlfn.IFNA(INDEX($D$2:$D$4001,_xlfn.XMATCH(J$1&amp;"-"&amp;$F297,YEAR($B$2:$B$4001)&amp;"-"&amp;$A$2:$A$4001,0,-1)),I297))</f>
        <v>6</v>
      </c>
      <c r="K297" cm="1">
        <f t="array" ref="K297">IF(OR(AND(J297=9,K$1&gt;YEAR($N297))),9,_xlfn.IFNA(INDEX($D$2:$D$4001,_xlfn.XMATCH(K$1&amp;"-"&amp;$F297,YEAR($B$2:$B$4001)&amp;"-"&amp;$A$2:$A$4001,0,-1)),J297))</f>
        <v>7</v>
      </c>
      <c r="L297" cm="1">
        <f t="array" ref="L297">IF(OR(AND(K297=9,L$1&gt;YEAR($N297))),9,_xlfn.IFNA(INDEX($D$2:$D$4001,_xlfn.XMATCH(L$1&amp;"-"&amp;$F297,YEAR($B$2:$B$4001)&amp;"-"&amp;$A$2:$A$4001,0,-1)),K297))</f>
        <v>7</v>
      </c>
      <c r="M297" cm="1">
        <f t="array" ref="M297">IF(OR(AND(L297=9,M$1&gt;YEAR($N297))),9,_xlfn.IFNA(INDEX($D$2:$D$4001,_xlfn.XMATCH(M$1&amp;"-"&amp;$F297,YEAR($B$2:$B$4001)&amp;"-"&amp;$A$2:$A$4001,0,-1)),L297))</f>
        <v>7</v>
      </c>
      <c r="N297" s="1">
        <f t="shared" si="4"/>
        <v>37255</v>
      </c>
    </row>
    <row r="298" spans="1:14" x14ac:dyDescent="0.35">
      <c r="A298">
        <v>157</v>
      </c>
      <c r="B298" s="2">
        <v>37985</v>
      </c>
      <c r="C298">
        <v>3</v>
      </c>
      <c r="D298">
        <v>3</v>
      </c>
      <c r="F298">
        <v>297</v>
      </c>
      <c r="G298" cm="1">
        <f t="array" ref="G298">_xlfn.IFNA(INDEX($D$2:$D$4001,_xlfn.XMATCH(G$1&amp;"-"&amp;$F298,YEAR($B$2:$B$4001)&amp;"-"&amp;$A$2:$A$4001,0,-1)),9)</f>
        <v>0</v>
      </c>
      <c r="H298" cm="1">
        <f t="array" ref="H298">IF(OR(AND(G298=9,H$1&gt;YEAR($N298))),9,_xlfn.IFNA(INDEX($D$2:$D$4001,_xlfn.XMATCH(H$1&amp;"-"&amp;$F298,YEAR($B$2:$B$4001)&amp;"-"&amp;$A$2:$A$4001,0,-1)),G298))</f>
        <v>0</v>
      </c>
      <c r="I298" cm="1">
        <f t="array" ref="I298">IF(OR(AND(H298=9,I$1&gt;YEAR($N298))),9,_xlfn.IFNA(INDEX($D$2:$D$4001,_xlfn.XMATCH(I$1&amp;"-"&amp;$F298,YEAR($B$2:$B$4001)&amp;"-"&amp;$A$2:$A$4001,0,-1)),H298))</f>
        <v>0</v>
      </c>
      <c r="J298" cm="1">
        <f t="array" ref="J298">IF(OR(AND(I298=9,J$1&gt;YEAR($N298))),9,_xlfn.IFNA(INDEX($D$2:$D$4001,_xlfn.XMATCH(J$1&amp;"-"&amp;$F298,YEAR($B$2:$B$4001)&amp;"-"&amp;$A$2:$A$4001,0,-1)),I298))</f>
        <v>0</v>
      </c>
      <c r="K298" cm="1">
        <f t="array" ref="K298">IF(OR(AND(J298=9,K$1&gt;YEAR($N298))),9,_xlfn.IFNA(INDEX($D$2:$D$4001,_xlfn.XMATCH(K$1&amp;"-"&amp;$F298,YEAR($B$2:$B$4001)&amp;"-"&amp;$A$2:$A$4001,0,-1)),J298))</f>
        <v>0</v>
      </c>
      <c r="L298" cm="1">
        <f t="array" ref="L298">IF(OR(AND(K298=9,L$1&gt;YEAR($N298))),9,_xlfn.IFNA(INDEX($D$2:$D$4001,_xlfn.XMATCH(L$1&amp;"-"&amp;$F298,YEAR($B$2:$B$4001)&amp;"-"&amp;$A$2:$A$4001,0,-1)),K298))</f>
        <v>0</v>
      </c>
      <c r="M298" cm="1">
        <f t="array" ref="M298">IF(OR(AND(L298=9,M$1&gt;YEAR($N298))),9,_xlfn.IFNA(INDEX($D$2:$D$4001,_xlfn.XMATCH(M$1&amp;"-"&amp;$F298,YEAR($B$2:$B$4001)&amp;"-"&amp;$A$2:$A$4001,0,-1)),L298))</f>
        <v>0</v>
      </c>
      <c r="N298" s="1">
        <f t="shared" si="4"/>
        <v>36454</v>
      </c>
    </row>
    <row r="299" spans="1:14" x14ac:dyDescent="0.35">
      <c r="A299">
        <v>157</v>
      </c>
      <c r="B299" s="2">
        <v>38260</v>
      </c>
      <c r="C299">
        <v>0</v>
      </c>
      <c r="D299">
        <v>0</v>
      </c>
      <c r="F299">
        <v>298</v>
      </c>
      <c r="G299" cm="1">
        <f t="array" ref="G299">_xlfn.IFNA(INDEX($D$2:$D$4001,_xlfn.XMATCH(G$1&amp;"-"&amp;$F299,YEAR($B$2:$B$4001)&amp;"-"&amp;$A$2:$A$4001,0,-1)),9)</f>
        <v>9</v>
      </c>
      <c r="H299" cm="1">
        <f t="array" ref="H299">IF(OR(AND(G299=9,H$1&gt;YEAR($N299))),9,_xlfn.IFNA(INDEX($D$2:$D$4001,_xlfn.XMATCH(H$1&amp;"-"&amp;$F299,YEAR($B$2:$B$4001)&amp;"-"&amp;$A$2:$A$4001,0,-1)),G299))</f>
        <v>9</v>
      </c>
      <c r="I299" cm="1">
        <f t="array" ref="I299">IF(OR(AND(H299=9,I$1&gt;YEAR($N299))),9,_xlfn.IFNA(INDEX($D$2:$D$4001,_xlfn.XMATCH(I$1&amp;"-"&amp;$F299,YEAR($B$2:$B$4001)&amp;"-"&amp;$A$2:$A$4001,0,-1)),H299))</f>
        <v>9</v>
      </c>
      <c r="J299" cm="1">
        <f t="array" ref="J299">IF(OR(AND(I299=9,J$1&gt;YEAR($N299))),9,_xlfn.IFNA(INDEX($D$2:$D$4001,_xlfn.XMATCH(J$1&amp;"-"&amp;$F299,YEAR($B$2:$B$4001)&amp;"-"&amp;$A$2:$A$4001,0,-1)),I299))</f>
        <v>2</v>
      </c>
      <c r="K299" cm="1">
        <f t="array" ref="K299">IF(OR(AND(J299=9,K$1&gt;YEAR($N299))),9,_xlfn.IFNA(INDEX($D$2:$D$4001,_xlfn.XMATCH(K$1&amp;"-"&amp;$F299,YEAR($B$2:$B$4001)&amp;"-"&amp;$A$2:$A$4001,0,-1)),J299))</f>
        <v>0</v>
      </c>
      <c r="L299" cm="1">
        <f t="array" ref="L299">IF(OR(AND(K299=9,L$1&gt;YEAR($N299))),9,_xlfn.IFNA(INDEX($D$2:$D$4001,_xlfn.XMATCH(L$1&amp;"-"&amp;$F299,YEAR($B$2:$B$4001)&amp;"-"&amp;$A$2:$A$4001,0,-1)),K299))</f>
        <v>0</v>
      </c>
      <c r="M299" cm="1">
        <f t="array" ref="M299">IF(OR(AND(L299=9,M$1&gt;YEAR($N299))),9,_xlfn.IFNA(INDEX($D$2:$D$4001,_xlfn.XMATCH(M$1&amp;"-"&amp;$F299,YEAR($B$2:$B$4001)&amp;"-"&amp;$A$2:$A$4001,0,-1)),L299))</f>
        <v>0</v>
      </c>
      <c r="N299" s="1">
        <f t="shared" si="4"/>
        <v>37550</v>
      </c>
    </row>
    <row r="300" spans="1:14" x14ac:dyDescent="0.35">
      <c r="A300">
        <v>158</v>
      </c>
      <c r="B300" s="2">
        <v>36332</v>
      </c>
      <c r="C300">
        <v>0</v>
      </c>
      <c r="D300">
        <v>0</v>
      </c>
      <c r="F300">
        <v>299</v>
      </c>
      <c r="G300" cm="1">
        <f t="array" ref="G300">_xlfn.IFNA(INDEX($D$2:$D$4001,_xlfn.XMATCH(G$1&amp;"-"&amp;$F300,YEAR($B$2:$B$4001)&amp;"-"&amp;$A$2:$A$4001,0,-1)),9)</f>
        <v>3</v>
      </c>
      <c r="H300" cm="1">
        <f t="array" ref="H300">IF(OR(AND(G300=9,H$1&gt;YEAR($N300))),9,_xlfn.IFNA(INDEX($D$2:$D$4001,_xlfn.XMATCH(H$1&amp;"-"&amp;$F300,YEAR($B$2:$B$4001)&amp;"-"&amp;$A$2:$A$4001,0,-1)),G300))</f>
        <v>0</v>
      </c>
      <c r="I300" cm="1">
        <f t="array" ref="I300">IF(OR(AND(H300=9,I$1&gt;YEAR($N300))),9,_xlfn.IFNA(INDEX($D$2:$D$4001,_xlfn.XMATCH(I$1&amp;"-"&amp;$F300,YEAR($B$2:$B$4001)&amp;"-"&amp;$A$2:$A$4001,0,-1)),H300))</f>
        <v>0</v>
      </c>
      <c r="J300" cm="1">
        <f t="array" ref="J300">IF(OR(AND(I300=9,J$1&gt;YEAR($N300))),9,_xlfn.IFNA(INDEX($D$2:$D$4001,_xlfn.XMATCH(J$1&amp;"-"&amp;$F300,YEAR($B$2:$B$4001)&amp;"-"&amp;$A$2:$A$4001,0,-1)),I300))</f>
        <v>0</v>
      </c>
      <c r="K300" cm="1">
        <f t="array" ref="K300">IF(OR(AND(J300=9,K$1&gt;YEAR($N300))),9,_xlfn.IFNA(INDEX($D$2:$D$4001,_xlfn.XMATCH(K$1&amp;"-"&amp;$F300,YEAR($B$2:$B$4001)&amp;"-"&amp;$A$2:$A$4001,0,-1)),J300))</f>
        <v>0</v>
      </c>
      <c r="L300" cm="1">
        <f t="array" ref="L300">IF(OR(AND(K300=9,L$1&gt;YEAR($N300))),9,_xlfn.IFNA(INDEX($D$2:$D$4001,_xlfn.XMATCH(L$1&amp;"-"&amp;$F300,YEAR($B$2:$B$4001)&amp;"-"&amp;$A$2:$A$4001,0,-1)),K300))</f>
        <v>0</v>
      </c>
      <c r="M300" cm="1">
        <f t="array" ref="M300">IF(OR(AND(L300=9,M$1&gt;YEAR($N300))),9,_xlfn.IFNA(INDEX($D$2:$D$4001,_xlfn.XMATCH(M$1&amp;"-"&amp;$F300,YEAR($B$2:$B$4001)&amp;"-"&amp;$A$2:$A$4001,0,-1)),L300))</f>
        <v>0</v>
      </c>
      <c r="N300" s="1">
        <f t="shared" si="4"/>
        <v>36524</v>
      </c>
    </row>
    <row r="301" spans="1:14" x14ac:dyDescent="0.35">
      <c r="A301">
        <v>159</v>
      </c>
      <c r="B301" s="2">
        <v>36310</v>
      </c>
      <c r="C301">
        <v>0</v>
      </c>
      <c r="D301">
        <v>0</v>
      </c>
      <c r="F301">
        <v>300</v>
      </c>
      <c r="G301" cm="1">
        <f t="array" ref="G301">_xlfn.IFNA(INDEX($D$2:$D$4001,_xlfn.XMATCH(G$1&amp;"-"&amp;$F301,YEAR($B$2:$B$4001)&amp;"-"&amp;$A$2:$A$4001,0,-1)),9)</f>
        <v>9</v>
      </c>
      <c r="H301" cm="1">
        <f t="array" ref="H301">IF(OR(AND(G301=9,H$1&gt;YEAR($N301))),9,_xlfn.IFNA(INDEX($D$2:$D$4001,_xlfn.XMATCH(H$1&amp;"-"&amp;$F301,YEAR($B$2:$B$4001)&amp;"-"&amp;$A$2:$A$4001,0,-1)),G301))</f>
        <v>9</v>
      </c>
      <c r="I301" cm="1">
        <f t="array" ref="I301">IF(OR(AND(H301=9,I$1&gt;YEAR($N301))),9,_xlfn.IFNA(INDEX($D$2:$D$4001,_xlfn.XMATCH(I$1&amp;"-"&amp;$F301,YEAR($B$2:$B$4001)&amp;"-"&amp;$A$2:$A$4001,0,-1)),H301))</f>
        <v>9</v>
      </c>
      <c r="J301" cm="1">
        <f t="array" ref="J301">IF(OR(AND(I301=9,J$1&gt;YEAR($N301))),9,_xlfn.IFNA(INDEX($D$2:$D$4001,_xlfn.XMATCH(J$1&amp;"-"&amp;$F301,YEAR($B$2:$B$4001)&amp;"-"&amp;$A$2:$A$4001,0,-1)),I301))</f>
        <v>9</v>
      </c>
      <c r="K301" cm="1">
        <f t="array" ref="K301">IF(OR(AND(J301=9,K$1&gt;YEAR($N301))),9,_xlfn.IFNA(INDEX($D$2:$D$4001,_xlfn.XMATCH(K$1&amp;"-"&amp;$F301,YEAR($B$2:$B$4001)&amp;"-"&amp;$A$2:$A$4001,0,-1)),J301))</f>
        <v>9</v>
      </c>
      <c r="L301" cm="1">
        <f t="array" ref="L301">IF(OR(AND(K301=9,L$1&gt;YEAR($N301))),9,_xlfn.IFNA(INDEX($D$2:$D$4001,_xlfn.XMATCH(L$1&amp;"-"&amp;$F301,YEAR($B$2:$B$4001)&amp;"-"&amp;$A$2:$A$4001,0,-1)),K301))</f>
        <v>9</v>
      </c>
      <c r="M301" cm="1">
        <f t="array" ref="M301">IF(OR(AND(L301=9,M$1&gt;YEAR($N301))),9,_xlfn.IFNA(INDEX($D$2:$D$4001,_xlfn.XMATCH(M$1&amp;"-"&amp;$F301,YEAR($B$2:$B$4001)&amp;"-"&amp;$A$2:$A$4001,0,-1)),L301))</f>
        <v>4</v>
      </c>
      <c r="N301" s="1">
        <f t="shared" si="4"/>
        <v>38502</v>
      </c>
    </row>
    <row r="302" spans="1:14" x14ac:dyDescent="0.35">
      <c r="A302">
        <v>159</v>
      </c>
      <c r="B302" s="2">
        <v>36310</v>
      </c>
      <c r="C302">
        <v>5</v>
      </c>
      <c r="D302">
        <v>5</v>
      </c>
      <c r="F302">
        <v>301</v>
      </c>
      <c r="G302" cm="1">
        <f t="array" ref="G302">_xlfn.IFNA(INDEX($D$2:$D$4001,_xlfn.XMATCH(G$1&amp;"-"&amp;$F302,YEAR($B$2:$B$4001)&amp;"-"&amp;$A$2:$A$4001,0,-1)),9)</f>
        <v>9</v>
      </c>
      <c r="H302" cm="1">
        <f t="array" ref="H302">IF(OR(AND(G302=9,H$1&gt;YEAR($N302))),9,_xlfn.IFNA(INDEX($D$2:$D$4001,_xlfn.XMATCH(H$1&amp;"-"&amp;$F302,YEAR($B$2:$B$4001)&amp;"-"&amp;$A$2:$A$4001,0,-1)),G302))</f>
        <v>9</v>
      </c>
      <c r="I302" cm="1">
        <f t="array" ref="I302">IF(OR(AND(H302=9,I$1&gt;YEAR($N302))),9,_xlfn.IFNA(INDEX($D$2:$D$4001,_xlfn.XMATCH(I$1&amp;"-"&amp;$F302,YEAR($B$2:$B$4001)&amp;"-"&amp;$A$2:$A$4001,0,-1)),H302))</f>
        <v>4</v>
      </c>
      <c r="J302" cm="1">
        <f t="array" ref="J302">IF(OR(AND(I302=9,J$1&gt;YEAR($N302))),9,_xlfn.IFNA(INDEX($D$2:$D$4001,_xlfn.XMATCH(J$1&amp;"-"&amp;$F302,YEAR($B$2:$B$4001)&amp;"-"&amp;$A$2:$A$4001,0,-1)),I302))</f>
        <v>4</v>
      </c>
      <c r="K302" cm="1">
        <f t="array" ref="K302">IF(OR(AND(J302=9,K$1&gt;YEAR($N302))),9,_xlfn.IFNA(INDEX($D$2:$D$4001,_xlfn.XMATCH(K$1&amp;"-"&amp;$F302,YEAR($B$2:$B$4001)&amp;"-"&amp;$A$2:$A$4001,0,-1)),J302))</f>
        <v>4</v>
      </c>
      <c r="L302" cm="1">
        <f t="array" ref="L302">IF(OR(AND(K302=9,L$1&gt;YEAR($N302))),9,_xlfn.IFNA(INDEX($D$2:$D$4001,_xlfn.XMATCH(L$1&amp;"-"&amp;$F302,YEAR($B$2:$B$4001)&amp;"-"&amp;$A$2:$A$4001,0,-1)),K302))</f>
        <v>4</v>
      </c>
      <c r="M302" cm="1">
        <f t="array" ref="M302">IF(OR(AND(L302=9,M$1&gt;YEAR($N302))),9,_xlfn.IFNA(INDEX($D$2:$D$4001,_xlfn.XMATCH(M$1&amp;"-"&amp;$F302,YEAR($B$2:$B$4001)&amp;"-"&amp;$A$2:$A$4001,0,-1)),L302))</f>
        <v>4</v>
      </c>
      <c r="N302" s="1">
        <f t="shared" si="4"/>
        <v>37225</v>
      </c>
    </row>
    <row r="303" spans="1:14" x14ac:dyDescent="0.35">
      <c r="A303">
        <v>159</v>
      </c>
      <c r="B303" s="2">
        <v>37894</v>
      </c>
      <c r="C303">
        <v>0</v>
      </c>
      <c r="D303">
        <v>0</v>
      </c>
      <c r="F303">
        <v>302</v>
      </c>
      <c r="G303" cm="1">
        <f t="array" ref="G303">_xlfn.IFNA(INDEX($D$2:$D$4001,_xlfn.XMATCH(G$1&amp;"-"&amp;$F303,YEAR($B$2:$B$4001)&amp;"-"&amp;$A$2:$A$4001,0,-1)),9)</f>
        <v>4</v>
      </c>
      <c r="H303" cm="1">
        <f t="array" ref="H303">IF(OR(AND(G303=9,H$1&gt;YEAR($N303))),9,_xlfn.IFNA(INDEX($D$2:$D$4001,_xlfn.XMATCH(H$1&amp;"-"&amp;$F303,YEAR($B$2:$B$4001)&amp;"-"&amp;$A$2:$A$4001,0,-1)),G303))</f>
        <v>4</v>
      </c>
      <c r="I303" cm="1">
        <f t="array" ref="I303">IF(OR(AND(H303=9,I$1&gt;YEAR($N303))),9,_xlfn.IFNA(INDEX($D$2:$D$4001,_xlfn.XMATCH(I$1&amp;"-"&amp;$F303,YEAR($B$2:$B$4001)&amp;"-"&amp;$A$2:$A$4001,0,-1)),H303))</f>
        <v>4</v>
      </c>
      <c r="J303" cm="1">
        <f t="array" ref="J303">IF(OR(AND(I303=9,J$1&gt;YEAR($N303))),9,_xlfn.IFNA(INDEX($D$2:$D$4001,_xlfn.XMATCH(J$1&amp;"-"&amp;$F303,YEAR($B$2:$B$4001)&amp;"-"&amp;$A$2:$A$4001,0,-1)),I303))</f>
        <v>4</v>
      </c>
      <c r="K303" cm="1">
        <f t="array" ref="K303">IF(OR(AND(J303=9,K$1&gt;YEAR($N303))),9,_xlfn.IFNA(INDEX($D$2:$D$4001,_xlfn.XMATCH(K$1&amp;"-"&amp;$F303,YEAR($B$2:$B$4001)&amp;"-"&amp;$A$2:$A$4001,0,-1)),J303))</f>
        <v>0</v>
      </c>
      <c r="L303" cm="1">
        <f t="array" ref="L303">IF(OR(AND(K303=9,L$1&gt;YEAR($N303))),9,_xlfn.IFNA(INDEX($D$2:$D$4001,_xlfn.XMATCH(L$1&amp;"-"&amp;$F303,YEAR($B$2:$B$4001)&amp;"-"&amp;$A$2:$A$4001,0,-1)),K303))</f>
        <v>0</v>
      </c>
      <c r="M303" cm="1">
        <f t="array" ref="M303">IF(OR(AND(L303=9,M$1&gt;YEAR($N303))),9,_xlfn.IFNA(INDEX($D$2:$D$4001,_xlfn.XMATCH(M$1&amp;"-"&amp;$F303,YEAR($B$2:$B$4001)&amp;"-"&amp;$A$2:$A$4001,0,-1)),L303))</f>
        <v>0</v>
      </c>
      <c r="N303" s="1">
        <f t="shared" si="4"/>
        <v>36310</v>
      </c>
    </row>
    <row r="304" spans="1:14" x14ac:dyDescent="0.35">
      <c r="A304">
        <v>160</v>
      </c>
      <c r="B304" s="2">
        <v>37032</v>
      </c>
      <c r="C304">
        <v>2</v>
      </c>
      <c r="D304">
        <v>2</v>
      </c>
      <c r="F304">
        <v>303</v>
      </c>
      <c r="G304" cm="1">
        <f t="array" ref="G304">_xlfn.IFNA(INDEX($D$2:$D$4001,_xlfn.XMATCH(G$1&amp;"-"&amp;$F304,YEAR($B$2:$B$4001)&amp;"-"&amp;$A$2:$A$4001,0,-1)),9)</f>
        <v>9</v>
      </c>
      <c r="H304" cm="1">
        <f t="array" ref="H304">IF(OR(AND(G304=9,H$1&gt;YEAR($N304))),9,_xlfn.IFNA(INDEX($D$2:$D$4001,_xlfn.XMATCH(H$1&amp;"-"&amp;$F304,YEAR($B$2:$B$4001)&amp;"-"&amp;$A$2:$A$4001,0,-1)),G304))</f>
        <v>9</v>
      </c>
      <c r="I304" cm="1">
        <f t="array" ref="I304">IF(OR(AND(H304=9,I$1&gt;YEAR($N304))),9,_xlfn.IFNA(INDEX($D$2:$D$4001,_xlfn.XMATCH(I$1&amp;"-"&amp;$F304,YEAR($B$2:$B$4001)&amp;"-"&amp;$A$2:$A$4001,0,-1)),H304))</f>
        <v>9</v>
      </c>
      <c r="J304" cm="1">
        <f t="array" ref="J304">IF(OR(AND(I304=9,J$1&gt;YEAR($N304))),9,_xlfn.IFNA(INDEX($D$2:$D$4001,_xlfn.XMATCH(J$1&amp;"-"&amp;$F304,YEAR($B$2:$B$4001)&amp;"-"&amp;$A$2:$A$4001,0,-1)),I304))</f>
        <v>9</v>
      </c>
      <c r="K304" cm="1">
        <f t="array" ref="K304">IF(OR(AND(J304=9,K$1&gt;YEAR($N304))),9,_xlfn.IFNA(INDEX($D$2:$D$4001,_xlfn.XMATCH(K$1&amp;"-"&amp;$F304,YEAR($B$2:$B$4001)&amp;"-"&amp;$A$2:$A$4001,0,-1)),J304))</f>
        <v>5</v>
      </c>
      <c r="L304" cm="1">
        <f t="array" ref="L304">IF(OR(AND(K304=9,L$1&gt;YEAR($N304))),9,_xlfn.IFNA(INDEX($D$2:$D$4001,_xlfn.XMATCH(L$1&amp;"-"&amp;$F304,YEAR($B$2:$B$4001)&amp;"-"&amp;$A$2:$A$4001,0,-1)),K304))</f>
        <v>5</v>
      </c>
      <c r="M304" cm="1">
        <f t="array" ref="M304">IF(OR(AND(L304=9,M$1&gt;YEAR($N304))),9,_xlfn.IFNA(INDEX($D$2:$D$4001,_xlfn.XMATCH(M$1&amp;"-"&amp;$F304,YEAR($B$2:$B$4001)&amp;"-"&amp;$A$2:$A$4001,0,-1)),L304))</f>
        <v>5</v>
      </c>
      <c r="N304" s="1">
        <f t="shared" si="4"/>
        <v>37915</v>
      </c>
    </row>
    <row r="305" spans="1:14" x14ac:dyDescent="0.35">
      <c r="A305">
        <v>160</v>
      </c>
      <c r="B305" s="2">
        <v>37985</v>
      </c>
      <c r="C305">
        <v>3</v>
      </c>
      <c r="D305">
        <v>3</v>
      </c>
      <c r="F305">
        <v>304</v>
      </c>
      <c r="G305" cm="1">
        <f t="array" ref="G305">_xlfn.IFNA(INDEX($D$2:$D$4001,_xlfn.XMATCH(G$1&amp;"-"&amp;$F305,YEAR($B$2:$B$4001)&amp;"-"&amp;$A$2:$A$4001,0,-1)),9)</f>
        <v>9</v>
      </c>
      <c r="H305" cm="1">
        <f t="array" ref="H305">IF(OR(AND(G305=9,H$1&gt;YEAR($N305))),9,_xlfn.IFNA(INDEX($D$2:$D$4001,_xlfn.XMATCH(H$1&amp;"-"&amp;$F305,YEAR($B$2:$B$4001)&amp;"-"&amp;$A$2:$A$4001,0,-1)),G305))</f>
        <v>9</v>
      </c>
      <c r="I305" cm="1">
        <f t="array" ref="I305">IF(OR(AND(H305=9,I$1&gt;YEAR($N305))),9,_xlfn.IFNA(INDEX($D$2:$D$4001,_xlfn.XMATCH(I$1&amp;"-"&amp;$F305,YEAR($B$2:$B$4001)&amp;"-"&amp;$A$2:$A$4001,0,-1)),H305))</f>
        <v>1</v>
      </c>
      <c r="J305" cm="1">
        <f t="array" ref="J305">IF(OR(AND(I305=9,J$1&gt;YEAR($N305))),9,_xlfn.IFNA(INDEX($D$2:$D$4001,_xlfn.XMATCH(J$1&amp;"-"&amp;$F305,YEAR($B$2:$B$4001)&amp;"-"&amp;$A$2:$A$4001,0,-1)),I305))</f>
        <v>1</v>
      </c>
      <c r="K305" cm="1">
        <f t="array" ref="K305">IF(OR(AND(J305=9,K$1&gt;YEAR($N305))),9,_xlfn.IFNA(INDEX($D$2:$D$4001,_xlfn.XMATCH(K$1&amp;"-"&amp;$F305,YEAR($B$2:$B$4001)&amp;"-"&amp;$A$2:$A$4001,0,-1)),J305))</f>
        <v>1</v>
      </c>
      <c r="L305" cm="1">
        <f t="array" ref="L305">IF(OR(AND(K305=9,L$1&gt;YEAR($N305))),9,_xlfn.IFNA(INDEX($D$2:$D$4001,_xlfn.XMATCH(L$1&amp;"-"&amp;$F305,YEAR($B$2:$B$4001)&amp;"-"&amp;$A$2:$A$4001,0,-1)),K305))</f>
        <v>1</v>
      </c>
      <c r="M305" cm="1">
        <f t="array" ref="M305">IF(OR(AND(L305=9,M$1&gt;YEAR($N305))),9,_xlfn.IFNA(INDEX($D$2:$D$4001,_xlfn.XMATCH(M$1&amp;"-"&amp;$F305,YEAR($B$2:$B$4001)&amp;"-"&amp;$A$2:$A$4001,0,-1)),L305))</f>
        <v>2</v>
      </c>
      <c r="N305" s="1">
        <f t="shared" si="4"/>
        <v>37225</v>
      </c>
    </row>
    <row r="306" spans="1:14" x14ac:dyDescent="0.35">
      <c r="A306">
        <v>161</v>
      </c>
      <c r="B306" s="2">
        <v>36308</v>
      </c>
      <c r="C306">
        <v>6</v>
      </c>
      <c r="D306">
        <v>6</v>
      </c>
      <c r="F306">
        <v>305</v>
      </c>
      <c r="G306" cm="1">
        <f t="array" ref="G306">_xlfn.IFNA(INDEX($D$2:$D$4001,_xlfn.XMATCH(G$1&amp;"-"&amp;$F306,YEAR($B$2:$B$4001)&amp;"-"&amp;$A$2:$A$4001,0,-1)),9)</f>
        <v>9</v>
      </c>
      <c r="H306" cm="1">
        <f t="array" ref="H306">IF(OR(AND(G306=9,H$1&gt;YEAR($N306))),9,_xlfn.IFNA(INDEX($D$2:$D$4001,_xlfn.XMATCH(H$1&amp;"-"&amp;$F306,YEAR($B$2:$B$4001)&amp;"-"&amp;$A$2:$A$4001,0,-1)),G306))</f>
        <v>9</v>
      </c>
      <c r="I306" cm="1">
        <f t="array" ref="I306">IF(OR(AND(H306=9,I$1&gt;YEAR($N306))),9,_xlfn.IFNA(INDEX($D$2:$D$4001,_xlfn.XMATCH(I$1&amp;"-"&amp;$F306,YEAR($B$2:$B$4001)&amp;"-"&amp;$A$2:$A$4001,0,-1)),H306))</f>
        <v>5</v>
      </c>
      <c r="J306" cm="1">
        <f t="array" ref="J306">IF(OR(AND(I306=9,J$1&gt;YEAR($N306))),9,_xlfn.IFNA(INDEX($D$2:$D$4001,_xlfn.XMATCH(J$1&amp;"-"&amp;$F306,YEAR($B$2:$B$4001)&amp;"-"&amp;$A$2:$A$4001,0,-1)),I306))</f>
        <v>5</v>
      </c>
      <c r="K306" cm="1">
        <f t="array" ref="K306">IF(OR(AND(J306=9,K$1&gt;YEAR($N306))),9,_xlfn.IFNA(INDEX($D$2:$D$4001,_xlfn.XMATCH(K$1&amp;"-"&amp;$F306,YEAR($B$2:$B$4001)&amp;"-"&amp;$A$2:$A$4001,0,-1)),J306))</f>
        <v>5</v>
      </c>
      <c r="L306" cm="1">
        <f t="array" ref="L306">IF(OR(AND(K306=9,L$1&gt;YEAR($N306))),9,_xlfn.IFNA(INDEX($D$2:$D$4001,_xlfn.XMATCH(L$1&amp;"-"&amp;$F306,YEAR($B$2:$B$4001)&amp;"-"&amp;$A$2:$A$4001,0,-1)),K306))</f>
        <v>5</v>
      </c>
      <c r="M306" cm="1">
        <f t="array" ref="M306">IF(OR(AND(L306=9,M$1&gt;YEAR($N306))),9,_xlfn.IFNA(INDEX($D$2:$D$4001,_xlfn.XMATCH(M$1&amp;"-"&amp;$F306,YEAR($B$2:$B$4001)&amp;"-"&amp;$A$2:$A$4001,0,-1)),L306))</f>
        <v>5</v>
      </c>
      <c r="N306" s="1">
        <f t="shared" si="4"/>
        <v>37072</v>
      </c>
    </row>
    <row r="307" spans="1:14" x14ac:dyDescent="0.35">
      <c r="A307">
        <v>161</v>
      </c>
      <c r="B307" s="2">
        <v>36728</v>
      </c>
      <c r="C307">
        <v>6</v>
      </c>
      <c r="D307">
        <v>6</v>
      </c>
      <c r="F307">
        <v>306</v>
      </c>
      <c r="G307" cm="1">
        <f t="array" ref="G307">_xlfn.IFNA(INDEX($D$2:$D$4001,_xlfn.XMATCH(G$1&amp;"-"&amp;$F307,YEAR($B$2:$B$4001)&amp;"-"&amp;$A$2:$A$4001,0,-1)),9)</f>
        <v>4</v>
      </c>
      <c r="H307" cm="1">
        <f t="array" ref="H307">IF(OR(AND(G307=9,H$1&gt;YEAR($N307))),9,_xlfn.IFNA(INDEX($D$2:$D$4001,_xlfn.XMATCH(H$1&amp;"-"&amp;$F307,YEAR($B$2:$B$4001)&amp;"-"&amp;$A$2:$A$4001,0,-1)),G307))</f>
        <v>4</v>
      </c>
      <c r="I307" cm="1">
        <f t="array" ref="I307">IF(OR(AND(H307=9,I$1&gt;YEAR($N307))),9,_xlfn.IFNA(INDEX($D$2:$D$4001,_xlfn.XMATCH(I$1&amp;"-"&amp;$F307,YEAR($B$2:$B$4001)&amp;"-"&amp;$A$2:$A$4001,0,-1)),H307))</f>
        <v>4</v>
      </c>
      <c r="J307" cm="1">
        <f t="array" ref="J307">IF(OR(AND(I307=9,J$1&gt;YEAR($N307))),9,_xlfn.IFNA(INDEX($D$2:$D$4001,_xlfn.XMATCH(J$1&amp;"-"&amp;$F307,YEAR($B$2:$B$4001)&amp;"-"&amp;$A$2:$A$4001,0,-1)),I307))</f>
        <v>4</v>
      </c>
      <c r="K307" cm="1">
        <f t="array" ref="K307">IF(OR(AND(J307=9,K$1&gt;YEAR($N307))),9,_xlfn.IFNA(INDEX($D$2:$D$4001,_xlfn.XMATCH(K$1&amp;"-"&amp;$F307,YEAR($B$2:$B$4001)&amp;"-"&amp;$A$2:$A$4001,0,-1)),J307))</f>
        <v>4</v>
      </c>
      <c r="L307" cm="1">
        <f t="array" ref="L307">IF(OR(AND(K307=9,L$1&gt;YEAR($N307))),9,_xlfn.IFNA(INDEX($D$2:$D$4001,_xlfn.XMATCH(L$1&amp;"-"&amp;$F307,YEAR($B$2:$B$4001)&amp;"-"&amp;$A$2:$A$4001,0,-1)),K307))</f>
        <v>4</v>
      </c>
      <c r="M307" cm="1">
        <f t="array" ref="M307">IF(OR(AND(L307=9,M$1&gt;YEAR($N307))),9,_xlfn.IFNA(INDEX($D$2:$D$4001,_xlfn.XMATCH(M$1&amp;"-"&amp;$F307,YEAR($B$2:$B$4001)&amp;"-"&amp;$A$2:$A$4001,0,-1)),L307))</f>
        <v>4</v>
      </c>
      <c r="N307" s="1">
        <f t="shared" si="4"/>
        <v>36310</v>
      </c>
    </row>
    <row r="308" spans="1:14" x14ac:dyDescent="0.35">
      <c r="A308">
        <v>161</v>
      </c>
      <c r="B308" s="2">
        <v>37397</v>
      </c>
      <c r="C308">
        <v>7</v>
      </c>
      <c r="D308">
        <v>7</v>
      </c>
      <c r="F308">
        <v>307</v>
      </c>
      <c r="G308" cm="1">
        <f t="array" ref="G308">_xlfn.IFNA(INDEX($D$2:$D$4001,_xlfn.XMATCH(G$1&amp;"-"&amp;$F308,YEAR($B$2:$B$4001)&amp;"-"&amp;$A$2:$A$4001,0,-1)),9)</f>
        <v>9</v>
      </c>
      <c r="H308" cm="1">
        <f t="array" ref="H308">IF(OR(AND(G308=9,H$1&gt;YEAR($N308))),9,_xlfn.IFNA(INDEX($D$2:$D$4001,_xlfn.XMATCH(H$1&amp;"-"&amp;$F308,YEAR($B$2:$B$4001)&amp;"-"&amp;$A$2:$A$4001,0,-1)),G308))</f>
        <v>9</v>
      </c>
      <c r="I308" cm="1">
        <f t="array" ref="I308">IF(OR(AND(H308=9,I$1&gt;YEAR($N308))),9,_xlfn.IFNA(INDEX($D$2:$D$4001,_xlfn.XMATCH(I$1&amp;"-"&amp;$F308,YEAR($B$2:$B$4001)&amp;"-"&amp;$A$2:$A$4001,0,-1)),H308))</f>
        <v>9</v>
      </c>
      <c r="J308" cm="1">
        <f t="array" ref="J308">IF(OR(AND(I308=9,J$1&gt;YEAR($N308))),9,_xlfn.IFNA(INDEX($D$2:$D$4001,_xlfn.XMATCH(J$1&amp;"-"&amp;$F308,YEAR($B$2:$B$4001)&amp;"-"&amp;$A$2:$A$4001,0,-1)),I308))</f>
        <v>9</v>
      </c>
      <c r="K308" cm="1">
        <f t="array" ref="K308">IF(OR(AND(J308=9,K$1&gt;YEAR($N308))),9,_xlfn.IFNA(INDEX($D$2:$D$4001,_xlfn.XMATCH(K$1&amp;"-"&amp;$F308,YEAR($B$2:$B$4001)&amp;"-"&amp;$A$2:$A$4001,0,-1)),J308))</f>
        <v>3</v>
      </c>
      <c r="L308" cm="1">
        <f t="array" ref="L308">IF(OR(AND(K308=9,L$1&gt;YEAR($N308))),9,_xlfn.IFNA(INDEX($D$2:$D$4001,_xlfn.XMATCH(L$1&amp;"-"&amp;$F308,YEAR($B$2:$B$4001)&amp;"-"&amp;$A$2:$A$4001,0,-1)),K308))</f>
        <v>3</v>
      </c>
      <c r="M308" cm="1">
        <f t="array" ref="M308">IF(OR(AND(L308=9,M$1&gt;YEAR($N308))),9,_xlfn.IFNA(INDEX($D$2:$D$4001,_xlfn.XMATCH(M$1&amp;"-"&amp;$F308,YEAR($B$2:$B$4001)&amp;"-"&amp;$A$2:$A$4001,0,-1)),L308))</f>
        <v>3</v>
      </c>
      <c r="N308" s="1">
        <f t="shared" si="4"/>
        <v>37771</v>
      </c>
    </row>
    <row r="309" spans="1:14" x14ac:dyDescent="0.35">
      <c r="A309">
        <v>161</v>
      </c>
      <c r="B309" s="2">
        <v>37458</v>
      </c>
      <c r="C309">
        <v>0</v>
      </c>
      <c r="D309">
        <v>0</v>
      </c>
      <c r="F309">
        <v>308</v>
      </c>
      <c r="G309" cm="1">
        <f t="array" ref="G309">_xlfn.IFNA(INDEX($D$2:$D$4001,_xlfn.XMATCH(G$1&amp;"-"&amp;$F309,YEAR($B$2:$B$4001)&amp;"-"&amp;$A$2:$A$4001,0,-1)),9)</f>
        <v>9</v>
      </c>
      <c r="H309" cm="1">
        <f t="array" ref="H309">IF(OR(AND(G309=9,H$1&gt;YEAR($N309))),9,_xlfn.IFNA(INDEX($D$2:$D$4001,_xlfn.XMATCH(H$1&amp;"-"&amp;$F309,YEAR($B$2:$B$4001)&amp;"-"&amp;$A$2:$A$4001,0,-1)),G309))</f>
        <v>9</v>
      </c>
      <c r="I309" cm="1">
        <f t="array" ref="I309">IF(OR(AND(H309=9,I$1&gt;YEAR($N309))),9,_xlfn.IFNA(INDEX($D$2:$D$4001,_xlfn.XMATCH(I$1&amp;"-"&amp;$F309,YEAR($B$2:$B$4001)&amp;"-"&amp;$A$2:$A$4001,0,-1)),H309))</f>
        <v>9</v>
      </c>
      <c r="J309" cm="1">
        <f t="array" ref="J309">IF(OR(AND(I309=9,J$1&gt;YEAR($N309))),9,_xlfn.IFNA(INDEX($D$2:$D$4001,_xlfn.XMATCH(J$1&amp;"-"&amp;$F309,YEAR($B$2:$B$4001)&amp;"-"&amp;$A$2:$A$4001,0,-1)),I309))</f>
        <v>9</v>
      </c>
      <c r="K309" cm="1">
        <f t="array" ref="K309">IF(OR(AND(J309=9,K$1&gt;YEAR($N309))),9,_xlfn.IFNA(INDEX($D$2:$D$4001,_xlfn.XMATCH(K$1&amp;"-"&amp;$F309,YEAR($B$2:$B$4001)&amp;"-"&amp;$A$2:$A$4001,0,-1)),J309))</f>
        <v>9</v>
      </c>
      <c r="L309" cm="1">
        <f t="array" ref="L309">IF(OR(AND(K309=9,L$1&gt;YEAR($N309))),9,_xlfn.IFNA(INDEX($D$2:$D$4001,_xlfn.XMATCH(L$1&amp;"-"&amp;$F309,YEAR($B$2:$B$4001)&amp;"-"&amp;$A$2:$A$4001,0,-1)),K309))</f>
        <v>9</v>
      </c>
      <c r="M309" cm="1">
        <f t="array" ref="M309">IF(OR(AND(L309=9,M$1&gt;YEAR($N309))),9,_xlfn.IFNA(INDEX($D$2:$D$4001,_xlfn.XMATCH(M$1&amp;"-"&amp;$F309,YEAR($B$2:$B$4001)&amp;"-"&amp;$A$2:$A$4001,0,-1)),L309))</f>
        <v>2</v>
      </c>
      <c r="N309" s="1">
        <f t="shared" si="4"/>
        <v>38502</v>
      </c>
    </row>
    <row r="310" spans="1:14" x14ac:dyDescent="0.35">
      <c r="A310">
        <v>161</v>
      </c>
      <c r="B310" s="2">
        <v>37620</v>
      </c>
      <c r="C310">
        <v>6</v>
      </c>
      <c r="D310">
        <v>6</v>
      </c>
      <c r="F310">
        <v>309</v>
      </c>
      <c r="G310" cm="1">
        <f t="array" ref="G310">_xlfn.IFNA(INDEX($D$2:$D$4001,_xlfn.XMATCH(G$1&amp;"-"&amp;$F310,YEAR($B$2:$B$4001)&amp;"-"&amp;$A$2:$A$4001,0,-1)),9)</f>
        <v>4</v>
      </c>
      <c r="H310" cm="1">
        <f t="array" ref="H310">IF(OR(AND(G310=9,H$1&gt;YEAR($N310))),9,_xlfn.IFNA(INDEX($D$2:$D$4001,_xlfn.XMATCH(H$1&amp;"-"&amp;$F310,YEAR($B$2:$B$4001)&amp;"-"&amp;$A$2:$A$4001,0,-1)),G310))</f>
        <v>4</v>
      </c>
      <c r="I310" cm="1">
        <f t="array" ref="I310">IF(OR(AND(H310=9,I$1&gt;YEAR($N310))),9,_xlfn.IFNA(INDEX($D$2:$D$4001,_xlfn.XMATCH(I$1&amp;"-"&amp;$F310,YEAR($B$2:$B$4001)&amp;"-"&amp;$A$2:$A$4001,0,-1)),H310))</f>
        <v>0</v>
      </c>
      <c r="J310" cm="1">
        <f t="array" ref="J310">IF(OR(AND(I310=9,J$1&gt;YEAR($N310))),9,_xlfn.IFNA(INDEX($D$2:$D$4001,_xlfn.XMATCH(J$1&amp;"-"&amp;$F310,YEAR($B$2:$B$4001)&amp;"-"&amp;$A$2:$A$4001,0,-1)),I310))</f>
        <v>0</v>
      </c>
      <c r="K310" cm="1">
        <f t="array" ref="K310">IF(OR(AND(J310=9,K$1&gt;YEAR($N310))),9,_xlfn.IFNA(INDEX($D$2:$D$4001,_xlfn.XMATCH(K$1&amp;"-"&amp;$F310,YEAR($B$2:$B$4001)&amp;"-"&amp;$A$2:$A$4001,0,-1)),J310))</f>
        <v>0</v>
      </c>
      <c r="L310" cm="1">
        <f t="array" ref="L310">IF(OR(AND(K310=9,L$1&gt;YEAR($N310))),9,_xlfn.IFNA(INDEX($D$2:$D$4001,_xlfn.XMATCH(L$1&amp;"-"&amp;$F310,YEAR($B$2:$B$4001)&amp;"-"&amp;$A$2:$A$4001,0,-1)),K310))</f>
        <v>0</v>
      </c>
      <c r="M310" cm="1">
        <f t="array" ref="M310">IF(OR(AND(L310=9,M$1&gt;YEAR($N310))),9,_xlfn.IFNA(INDEX($D$2:$D$4001,_xlfn.XMATCH(M$1&amp;"-"&amp;$F310,YEAR($B$2:$B$4001)&amp;"-"&amp;$A$2:$A$4001,0,-1)),L310))</f>
        <v>0</v>
      </c>
      <c r="N310" s="1">
        <f t="shared" si="4"/>
        <v>36310</v>
      </c>
    </row>
    <row r="311" spans="1:14" x14ac:dyDescent="0.35">
      <c r="A311">
        <v>161</v>
      </c>
      <c r="B311" s="2">
        <v>37620</v>
      </c>
      <c r="C311">
        <v>7</v>
      </c>
      <c r="D311">
        <v>7</v>
      </c>
      <c r="F311">
        <v>310</v>
      </c>
      <c r="G311" cm="1">
        <f t="array" ref="G311">_xlfn.IFNA(INDEX($D$2:$D$4001,_xlfn.XMATCH(G$1&amp;"-"&amp;$F311,YEAR($B$2:$B$4001)&amp;"-"&amp;$A$2:$A$4001,0,-1)),9)</f>
        <v>9</v>
      </c>
      <c r="H311" cm="1">
        <f t="array" ref="H311">IF(OR(AND(G311=9,H$1&gt;YEAR($N311))),9,_xlfn.IFNA(INDEX($D$2:$D$4001,_xlfn.XMATCH(H$1&amp;"-"&amp;$F311,YEAR($B$2:$B$4001)&amp;"-"&amp;$A$2:$A$4001,0,-1)),G311))</f>
        <v>9</v>
      </c>
      <c r="I311" cm="1">
        <f t="array" ref="I311">IF(OR(AND(H311=9,I$1&gt;YEAR($N311))),9,_xlfn.IFNA(INDEX($D$2:$D$4001,_xlfn.XMATCH(I$1&amp;"-"&amp;$F311,YEAR($B$2:$B$4001)&amp;"-"&amp;$A$2:$A$4001,0,-1)),H311))</f>
        <v>4</v>
      </c>
      <c r="J311" cm="1">
        <f t="array" ref="J311">IF(OR(AND(I311=9,J$1&gt;YEAR($N311))),9,_xlfn.IFNA(INDEX($D$2:$D$4001,_xlfn.XMATCH(J$1&amp;"-"&amp;$F311,YEAR($B$2:$B$4001)&amp;"-"&amp;$A$2:$A$4001,0,-1)),I311))</f>
        <v>0</v>
      </c>
      <c r="K311" cm="1">
        <f t="array" ref="K311">IF(OR(AND(J311=9,K$1&gt;YEAR($N311))),9,_xlfn.IFNA(INDEX($D$2:$D$4001,_xlfn.XMATCH(K$1&amp;"-"&amp;$F311,YEAR($B$2:$B$4001)&amp;"-"&amp;$A$2:$A$4001,0,-1)),J311))</f>
        <v>0</v>
      </c>
      <c r="L311" cm="1">
        <f t="array" ref="L311">IF(OR(AND(K311=9,L$1&gt;YEAR($N311))),9,_xlfn.IFNA(INDEX($D$2:$D$4001,_xlfn.XMATCH(L$1&amp;"-"&amp;$F311,YEAR($B$2:$B$4001)&amp;"-"&amp;$A$2:$A$4001,0,-1)),K311))</f>
        <v>0</v>
      </c>
      <c r="M311" cm="1">
        <f t="array" ref="M311">IF(OR(AND(L311=9,M$1&gt;YEAR($N311))),9,_xlfn.IFNA(INDEX($D$2:$D$4001,_xlfn.XMATCH(M$1&amp;"-"&amp;$F311,YEAR($B$2:$B$4001)&amp;"-"&amp;$A$2:$A$4001,0,-1)),L311))</f>
        <v>0</v>
      </c>
      <c r="N311" s="1">
        <f t="shared" si="4"/>
        <v>37155</v>
      </c>
    </row>
    <row r="312" spans="1:14" x14ac:dyDescent="0.35">
      <c r="A312">
        <v>162</v>
      </c>
      <c r="B312" s="2">
        <v>36310</v>
      </c>
      <c r="C312">
        <v>6</v>
      </c>
      <c r="D312">
        <v>6</v>
      </c>
      <c r="F312">
        <v>311</v>
      </c>
      <c r="G312" cm="1">
        <f t="array" ref="G312">_xlfn.IFNA(INDEX($D$2:$D$4001,_xlfn.XMATCH(G$1&amp;"-"&amp;$F312,YEAR($B$2:$B$4001)&amp;"-"&amp;$A$2:$A$4001,0,-1)),9)</f>
        <v>9</v>
      </c>
      <c r="H312" cm="1">
        <f t="array" ref="H312">IF(OR(AND(G312=9,H$1&gt;YEAR($N312))),9,_xlfn.IFNA(INDEX($D$2:$D$4001,_xlfn.XMATCH(H$1&amp;"-"&amp;$F312,YEAR($B$2:$B$4001)&amp;"-"&amp;$A$2:$A$4001,0,-1)),G312))</f>
        <v>9</v>
      </c>
      <c r="I312" cm="1">
        <f t="array" ref="I312">IF(OR(AND(H312=9,I$1&gt;YEAR($N312))),9,_xlfn.IFNA(INDEX($D$2:$D$4001,_xlfn.XMATCH(I$1&amp;"-"&amp;$F312,YEAR($B$2:$B$4001)&amp;"-"&amp;$A$2:$A$4001,0,-1)),H312))</f>
        <v>4</v>
      </c>
      <c r="J312" cm="1">
        <f t="array" ref="J312">IF(OR(AND(I312=9,J$1&gt;YEAR($N312))),9,_xlfn.IFNA(INDEX($D$2:$D$4001,_xlfn.XMATCH(J$1&amp;"-"&amp;$F312,YEAR($B$2:$B$4001)&amp;"-"&amp;$A$2:$A$4001,0,-1)),I312))</f>
        <v>0</v>
      </c>
      <c r="K312" cm="1">
        <f t="array" ref="K312">IF(OR(AND(J312=9,K$1&gt;YEAR($N312))),9,_xlfn.IFNA(INDEX($D$2:$D$4001,_xlfn.XMATCH(K$1&amp;"-"&amp;$F312,YEAR($B$2:$B$4001)&amp;"-"&amp;$A$2:$A$4001,0,-1)),J312))</f>
        <v>0</v>
      </c>
      <c r="L312" cm="1">
        <f t="array" ref="L312">IF(OR(AND(K312=9,L$1&gt;YEAR($N312))),9,_xlfn.IFNA(INDEX($D$2:$D$4001,_xlfn.XMATCH(L$1&amp;"-"&amp;$F312,YEAR($B$2:$B$4001)&amp;"-"&amp;$A$2:$A$4001,0,-1)),K312))</f>
        <v>0</v>
      </c>
      <c r="M312" cm="1">
        <f t="array" ref="M312">IF(OR(AND(L312=9,M$1&gt;YEAR($N312))),9,_xlfn.IFNA(INDEX($D$2:$D$4001,_xlfn.XMATCH(M$1&amp;"-"&amp;$F312,YEAR($B$2:$B$4001)&amp;"-"&amp;$A$2:$A$4001,0,-1)),L312))</f>
        <v>0</v>
      </c>
      <c r="N312" s="1">
        <f t="shared" si="4"/>
        <v>37255</v>
      </c>
    </row>
    <row r="313" spans="1:14" x14ac:dyDescent="0.35">
      <c r="A313">
        <v>162</v>
      </c>
      <c r="B313" s="2">
        <v>36457</v>
      </c>
      <c r="C313">
        <v>6</v>
      </c>
      <c r="D313">
        <v>6</v>
      </c>
      <c r="F313">
        <v>312</v>
      </c>
      <c r="G313" cm="1">
        <f t="array" ref="G313">_xlfn.IFNA(INDEX($D$2:$D$4001,_xlfn.XMATCH(G$1&amp;"-"&amp;$F313,YEAR($B$2:$B$4001)&amp;"-"&amp;$A$2:$A$4001,0,-1)),9)</f>
        <v>6</v>
      </c>
      <c r="H313" cm="1">
        <f t="array" ref="H313">IF(OR(AND(G313=9,H$1&gt;YEAR($N313))),9,_xlfn.IFNA(INDEX($D$2:$D$4001,_xlfn.XMATCH(H$1&amp;"-"&amp;$F313,YEAR($B$2:$B$4001)&amp;"-"&amp;$A$2:$A$4001,0,-1)),G313))</f>
        <v>6</v>
      </c>
      <c r="I313" cm="1">
        <f t="array" ref="I313">IF(OR(AND(H313=9,I$1&gt;YEAR($N313))),9,_xlfn.IFNA(INDEX($D$2:$D$4001,_xlfn.XMATCH(I$1&amp;"-"&amp;$F313,YEAR($B$2:$B$4001)&amp;"-"&amp;$A$2:$A$4001,0,-1)),H313))</f>
        <v>6</v>
      </c>
      <c r="J313" cm="1">
        <f t="array" ref="J313">IF(OR(AND(I313=9,J$1&gt;YEAR($N313))),9,_xlfn.IFNA(INDEX($D$2:$D$4001,_xlfn.XMATCH(J$1&amp;"-"&amp;$F313,YEAR($B$2:$B$4001)&amp;"-"&amp;$A$2:$A$4001,0,-1)),I313))</f>
        <v>6</v>
      </c>
      <c r="K313" cm="1">
        <f t="array" ref="K313">IF(OR(AND(J313=9,K$1&gt;YEAR($N313))),9,_xlfn.IFNA(INDEX($D$2:$D$4001,_xlfn.XMATCH(K$1&amp;"-"&amp;$F313,YEAR($B$2:$B$4001)&amp;"-"&amp;$A$2:$A$4001,0,-1)),J313))</f>
        <v>6</v>
      </c>
      <c r="L313" cm="1">
        <f t="array" ref="L313">IF(OR(AND(K313=9,L$1&gt;YEAR($N313))),9,_xlfn.IFNA(INDEX($D$2:$D$4001,_xlfn.XMATCH(L$1&amp;"-"&amp;$F313,YEAR($B$2:$B$4001)&amp;"-"&amp;$A$2:$A$4001,0,-1)),K313))</f>
        <v>6</v>
      </c>
      <c r="M313" cm="1">
        <f t="array" ref="M313">IF(OR(AND(L313=9,M$1&gt;YEAR($N313))),9,_xlfn.IFNA(INDEX($D$2:$D$4001,_xlfn.XMATCH(M$1&amp;"-"&amp;$F313,YEAR($B$2:$B$4001)&amp;"-"&amp;$A$2:$A$4001,0,-1)),L313))</f>
        <v>6</v>
      </c>
      <c r="N313" s="1">
        <f t="shared" si="4"/>
        <v>36304</v>
      </c>
    </row>
    <row r="314" spans="1:14" x14ac:dyDescent="0.35">
      <c r="A314">
        <v>163</v>
      </c>
      <c r="B314" s="2">
        <v>37620</v>
      </c>
      <c r="C314">
        <v>3</v>
      </c>
      <c r="D314">
        <v>3</v>
      </c>
      <c r="F314">
        <v>313</v>
      </c>
      <c r="G314" cm="1">
        <f t="array" ref="G314">_xlfn.IFNA(INDEX($D$2:$D$4001,_xlfn.XMATCH(G$1&amp;"-"&amp;$F314,YEAR($B$2:$B$4001)&amp;"-"&amp;$A$2:$A$4001,0,-1)),9)</f>
        <v>9</v>
      </c>
      <c r="H314" cm="1">
        <f t="array" ref="H314">IF(OR(AND(G314=9,H$1&gt;YEAR($N314))),9,_xlfn.IFNA(INDEX($D$2:$D$4001,_xlfn.XMATCH(H$1&amp;"-"&amp;$F314,YEAR($B$2:$B$4001)&amp;"-"&amp;$A$2:$A$4001,0,-1)),G314))</f>
        <v>9</v>
      </c>
      <c r="I314" cm="1">
        <f t="array" ref="I314">IF(OR(AND(H314=9,I$1&gt;YEAR($N314))),9,_xlfn.IFNA(INDEX($D$2:$D$4001,_xlfn.XMATCH(I$1&amp;"-"&amp;$F314,YEAR($B$2:$B$4001)&amp;"-"&amp;$A$2:$A$4001,0,-1)),H314))</f>
        <v>9</v>
      </c>
      <c r="J314" cm="1">
        <f t="array" ref="J314">IF(OR(AND(I314=9,J$1&gt;YEAR($N314))),9,_xlfn.IFNA(INDEX($D$2:$D$4001,_xlfn.XMATCH(J$1&amp;"-"&amp;$F314,YEAR($B$2:$B$4001)&amp;"-"&amp;$A$2:$A$4001,0,-1)),I314))</f>
        <v>2</v>
      </c>
      <c r="K314" cm="1">
        <f t="array" ref="K314">IF(OR(AND(J314=9,K$1&gt;YEAR($N314))),9,_xlfn.IFNA(INDEX($D$2:$D$4001,_xlfn.XMATCH(K$1&amp;"-"&amp;$F314,YEAR($B$2:$B$4001)&amp;"-"&amp;$A$2:$A$4001,0,-1)),J314))</f>
        <v>3</v>
      </c>
      <c r="L314" cm="1">
        <f t="array" ref="L314">IF(OR(AND(K314=9,L$1&gt;YEAR($N314))),9,_xlfn.IFNA(INDEX($D$2:$D$4001,_xlfn.XMATCH(L$1&amp;"-"&amp;$F314,YEAR($B$2:$B$4001)&amp;"-"&amp;$A$2:$A$4001,0,-1)),K314))</f>
        <v>3</v>
      </c>
      <c r="M314" cm="1">
        <f t="array" ref="M314">IF(OR(AND(L314=9,M$1&gt;YEAR($N314))),9,_xlfn.IFNA(INDEX($D$2:$D$4001,_xlfn.XMATCH(M$1&amp;"-"&amp;$F314,YEAR($B$2:$B$4001)&amp;"-"&amp;$A$2:$A$4001,0,-1)),L314))</f>
        <v>3</v>
      </c>
      <c r="N314" s="1">
        <f t="shared" si="4"/>
        <v>37458</v>
      </c>
    </row>
    <row r="315" spans="1:14" x14ac:dyDescent="0.35">
      <c r="A315">
        <v>164</v>
      </c>
      <c r="B315" s="2">
        <v>36524</v>
      </c>
      <c r="C315">
        <v>0</v>
      </c>
      <c r="D315">
        <v>0</v>
      </c>
      <c r="F315">
        <v>314</v>
      </c>
      <c r="G315" cm="1">
        <f t="array" ref="G315">_xlfn.IFNA(INDEX($D$2:$D$4001,_xlfn.XMATCH(G$1&amp;"-"&amp;$F315,YEAR($B$2:$B$4001)&amp;"-"&amp;$A$2:$A$4001,0,-1)),9)</f>
        <v>7</v>
      </c>
      <c r="H315" cm="1">
        <f t="array" ref="H315">IF(OR(AND(G315=9,H$1&gt;YEAR($N315))),9,_xlfn.IFNA(INDEX($D$2:$D$4001,_xlfn.XMATCH(H$1&amp;"-"&amp;$F315,YEAR($B$2:$B$4001)&amp;"-"&amp;$A$2:$A$4001,0,-1)),G315))</f>
        <v>7</v>
      </c>
      <c r="I315" cm="1">
        <f t="array" ref="I315">IF(OR(AND(H315=9,I$1&gt;YEAR($N315))),9,_xlfn.IFNA(INDEX($D$2:$D$4001,_xlfn.XMATCH(I$1&amp;"-"&amp;$F315,YEAR($B$2:$B$4001)&amp;"-"&amp;$A$2:$A$4001,0,-1)),H315))</f>
        <v>7</v>
      </c>
      <c r="J315" cm="1">
        <f t="array" ref="J315">IF(OR(AND(I315=9,J$1&gt;YEAR($N315))),9,_xlfn.IFNA(INDEX($D$2:$D$4001,_xlfn.XMATCH(J$1&amp;"-"&amp;$F315,YEAR($B$2:$B$4001)&amp;"-"&amp;$A$2:$A$4001,0,-1)),I315))</f>
        <v>7</v>
      </c>
      <c r="K315" cm="1">
        <f t="array" ref="K315">IF(OR(AND(J315=9,K$1&gt;YEAR($N315))),9,_xlfn.IFNA(INDEX($D$2:$D$4001,_xlfn.XMATCH(K$1&amp;"-"&amp;$F315,YEAR($B$2:$B$4001)&amp;"-"&amp;$A$2:$A$4001,0,-1)),J315))</f>
        <v>7</v>
      </c>
      <c r="L315" cm="1">
        <f t="array" ref="L315">IF(OR(AND(K315=9,L$1&gt;YEAR($N315))),9,_xlfn.IFNA(INDEX($D$2:$D$4001,_xlfn.XMATCH(L$1&amp;"-"&amp;$F315,YEAR($B$2:$B$4001)&amp;"-"&amp;$A$2:$A$4001,0,-1)),K315))</f>
        <v>7</v>
      </c>
      <c r="M315" cm="1">
        <f t="array" ref="M315">IF(OR(AND(L315=9,M$1&gt;YEAR($N315))),9,_xlfn.IFNA(INDEX($D$2:$D$4001,_xlfn.XMATCH(M$1&amp;"-"&amp;$F315,YEAR($B$2:$B$4001)&amp;"-"&amp;$A$2:$A$4001,0,-1)),L315))</f>
        <v>7</v>
      </c>
      <c r="N315" s="1">
        <f t="shared" si="4"/>
        <v>36457</v>
      </c>
    </row>
    <row r="316" spans="1:14" x14ac:dyDescent="0.35">
      <c r="A316">
        <v>165</v>
      </c>
      <c r="B316" s="2">
        <v>37406</v>
      </c>
      <c r="C316">
        <v>6</v>
      </c>
      <c r="D316">
        <v>6</v>
      </c>
      <c r="F316">
        <v>315</v>
      </c>
      <c r="G316" cm="1">
        <f t="array" ref="G316">_xlfn.IFNA(INDEX($D$2:$D$4001,_xlfn.XMATCH(G$1&amp;"-"&amp;$F316,YEAR($B$2:$B$4001)&amp;"-"&amp;$A$2:$A$4001,0,-1)),9)</f>
        <v>9</v>
      </c>
      <c r="H316" cm="1">
        <f t="array" ref="H316">IF(OR(AND(G316=9,H$1&gt;YEAR($N316))),9,_xlfn.IFNA(INDEX($D$2:$D$4001,_xlfn.XMATCH(H$1&amp;"-"&amp;$F316,YEAR($B$2:$B$4001)&amp;"-"&amp;$A$2:$A$4001,0,-1)),G316))</f>
        <v>9</v>
      </c>
      <c r="I316" cm="1">
        <f t="array" ref="I316">IF(OR(AND(H316=9,I$1&gt;YEAR($N316))),9,_xlfn.IFNA(INDEX($D$2:$D$4001,_xlfn.XMATCH(I$1&amp;"-"&amp;$F316,YEAR($B$2:$B$4001)&amp;"-"&amp;$A$2:$A$4001,0,-1)),H316))</f>
        <v>9</v>
      </c>
      <c r="J316" cm="1">
        <f t="array" ref="J316">IF(OR(AND(I316=9,J$1&gt;YEAR($N316))),9,_xlfn.IFNA(INDEX($D$2:$D$4001,_xlfn.XMATCH(J$1&amp;"-"&amp;$F316,YEAR($B$2:$B$4001)&amp;"-"&amp;$A$2:$A$4001,0,-1)),I316))</f>
        <v>9</v>
      </c>
      <c r="K316" cm="1">
        <f t="array" ref="K316">IF(OR(AND(J316=9,K$1&gt;YEAR($N316))),9,_xlfn.IFNA(INDEX($D$2:$D$4001,_xlfn.XMATCH(K$1&amp;"-"&amp;$F316,YEAR($B$2:$B$4001)&amp;"-"&amp;$A$2:$A$4001,0,-1)),J316))</f>
        <v>9</v>
      </c>
      <c r="L316" cm="1">
        <f t="array" ref="L316">IF(OR(AND(K316=9,L$1&gt;YEAR($N316))),9,_xlfn.IFNA(INDEX($D$2:$D$4001,_xlfn.XMATCH(L$1&amp;"-"&amp;$F316,YEAR($B$2:$B$4001)&amp;"-"&amp;$A$2:$A$4001,0,-1)),K316))</f>
        <v>9</v>
      </c>
      <c r="M316" cm="1">
        <f t="array" ref="M316">IF(OR(AND(L316=9,M$1&gt;YEAR($N316))),9,_xlfn.IFNA(INDEX($D$2:$D$4001,_xlfn.XMATCH(M$1&amp;"-"&amp;$F316,YEAR($B$2:$B$4001)&amp;"-"&amp;$A$2:$A$4001,0,-1)),L316))</f>
        <v>5</v>
      </c>
      <c r="N316" s="1">
        <f t="shared" si="4"/>
        <v>38493</v>
      </c>
    </row>
    <row r="317" spans="1:14" x14ac:dyDescent="0.35">
      <c r="A317">
        <v>165</v>
      </c>
      <c r="B317" s="2">
        <v>37863</v>
      </c>
      <c r="C317">
        <v>7</v>
      </c>
      <c r="D317">
        <v>7</v>
      </c>
      <c r="F317">
        <v>316</v>
      </c>
      <c r="G317" cm="1">
        <f t="array" ref="G317">_xlfn.IFNA(INDEX($D$2:$D$4001,_xlfn.XMATCH(G$1&amp;"-"&amp;$F317,YEAR($B$2:$B$4001)&amp;"-"&amp;$A$2:$A$4001,0,-1)),9)</f>
        <v>9</v>
      </c>
      <c r="H317" cm="1">
        <f t="array" ref="H317">IF(OR(AND(G317=9,H$1&gt;YEAR($N317))),9,_xlfn.IFNA(INDEX($D$2:$D$4001,_xlfn.XMATCH(H$1&amp;"-"&amp;$F317,YEAR($B$2:$B$4001)&amp;"-"&amp;$A$2:$A$4001,0,-1)),G317))</f>
        <v>9</v>
      </c>
      <c r="I317" cm="1">
        <f t="array" ref="I317">IF(OR(AND(H317=9,I$1&gt;YEAR($N317))),9,_xlfn.IFNA(INDEX($D$2:$D$4001,_xlfn.XMATCH(I$1&amp;"-"&amp;$F317,YEAR($B$2:$B$4001)&amp;"-"&amp;$A$2:$A$4001,0,-1)),H317))</f>
        <v>9</v>
      </c>
      <c r="J317" cm="1">
        <f t="array" ref="J317">IF(OR(AND(I317=9,J$1&gt;YEAR($N317))),9,_xlfn.IFNA(INDEX($D$2:$D$4001,_xlfn.XMATCH(J$1&amp;"-"&amp;$F317,YEAR($B$2:$B$4001)&amp;"-"&amp;$A$2:$A$4001,0,-1)),I317))</f>
        <v>9</v>
      </c>
      <c r="K317" cm="1">
        <f t="array" ref="K317">IF(OR(AND(J317=9,K$1&gt;YEAR($N317))),9,_xlfn.IFNA(INDEX($D$2:$D$4001,_xlfn.XMATCH(K$1&amp;"-"&amp;$F317,YEAR($B$2:$B$4001)&amp;"-"&amp;$A$2:$A$4001,0,-1)),J317))</f>
        <v>9</v>
      </c>
      <c r="L317" cm="1">
        <f t="array" ref="L317">IF(OR(AND(K317=9,L$1&gt;YEAR($N317))),9,_xlfn.IFNA(INDEX($D$2:$D$4001,_xlfn.XMATCH(L$1&amp;"-"&amp;$F317,YEAR($B$2:$B$4001)&amp;"-"&amp;$A$2:$A$4001,0,-1)),K317))</f>
        <v>4</v>
      </c>
      <c r="M317" cm="1">
        <f t="array" ref="M317">IF(OR(AND(L317=9,M$1&gt;YEAR($N317))),9,_xlfn.IFNA(INDEX($D$2:$D$4001,_xlfn.XMATCH(M$1&amp;"-"&amp;$F317,YEAR($B$2:$B$4001)&amp;"-"&amp;$A$2:$A$4001,0,-1)),L317))</f>
        <v>4</v>
      </c>
      <c r="N317" s="1">
        <f t="shared" si="4"/>
        <v>38312</v>
      </c>
    </row>
    <row r="318" spans="1:14" x14ac:dyDescent="0.35">
      <c r="A318">
        <v>165</v>
      </c>
      <c r="B318" s="2">
        <v>38137</v>
      </c>
      <c r="C318">
        <v>6</v>
      </c>
      <c r="D318">
        <v>6</v>
      </c>
      <c r="F318">
        <v>317</v>
      </c>
      <c r="G318" cm="1">
        <f t="array" ref="G318">_xlfn.IFNA(INDEX($D$2:$D$4001,_xlfn.XMATCH(G$1&amp;"-"&amp;$F318,YEAR($B$2:$B$4001)&amp;"-"&amp;$A$2:$A$4001,0,-1)),9)</f>
        <v>9</v>
      </c>
      <c r="H318" cm="1">
        <f t="array" ref="H318">IF(OR(AND(G318=9,H$1&gt;YEAR($N318))),9,_xlfn.IFNA(INDEX($D$2:$D$4001,_xlfn.XMATCH(H$1&amp;"-"&amp;$F318,YEAR($B$2:$B$4001)&amp;"-"&amp;$A$2:$A$4001,0,-1)),G318))</f>
        <v>9</v>
      </c>
      <c r="I318" cm="1">
        <f t="array" ref="I318">IF(OR(AND(H318=9,I$1&gt;YEAR($N318))),9,_xlfn.IFNA(INDEX($D$2:$D$4001,_xlfn.XMATCH(I$1&amp;"-"&amp;$F318,YEAR($B$2:$B$4001)&amp;"-"&amp;$A$2:$A$4001,0,-1)),H318))</f>
        <v>8</v>
      </c>
      <c r="J318" cm="1">
        <f t="array" ref="J318">IF(OR(AND(I318=9,J$1&gt;YEAR($N318))),9,_xlfn.IFNA(INDEX($D$2:$D$4001,_xlfn.XMATCH(J$1&amp;"-"&amp;$F318,YEAR($B$2:$B$4001)&amp;"-"&amp;$A$2:$A$4001,0,-1)),I318))</f>
        <v>8</v>
      </c>
      <c r="K318" cm="1">
        <f t="array" ref="K318">IF(OR(AND(J318=9,K$1&gt;YEAR($N318))),9,_xlfn.IFNA(INDEX($D$2:$D$4001,_xlfn.XMATCH(K$1&amp;"-"&amp;$F318,YEAR($B$2:$B$4001)&amp;"-"&amp;$A$2:$A$4001,0,-1)),J318))</f>
        <v>8</v>
      </c>
      <c r="L318" cm="1">
        <f t="array" ref="L318">IF(OR(AND(K318=9,L$1&gt;YEAR($N318))),9,_xlfn.IFNA(INDEX($D$2:$D$4001,_xlfn.XMATCH(L$1&amp;"-"&amp;$F318,YEAR($B$2:$B$4001)&amp;"-"&amp;$A$2:$A$4001,0,-1)),K318))</f>
        <v>8</v>
      </c>
      <c r="M318" cm="1">
        <f t="array" ref="M318">IF(OR(AND(L318=9,M$1&gt;YEAR($N318))),9,_xlfn.IFNA(INDEX($D$2:$D$4001,_xlfn.XMATCH(M$1&amp;"-"&amp;$F318,YEAR($B$2:$B$4001)&amp;"-"&amp;$A$2:$A$4001,0,-1)),L318))</f>
        <v>8</v>
      </c>
      <c r="N318" s="1">
        <f t="shared" si="4"/>
        <v>37041</v>
      </c>
    </row>
    <row r="319" spans="1:14" x14ac:dyDescent="0.35">
      <c r="A319">
        <v>166</v>
      </c>
      <c r="B319" s="2">
        <v>36799</v>
      </c>
      <c r="C319">
        <v>3</v>
      </c>
      <c r="D319">
        <v>3</v>
      </c>
      <c r="F319">
        <v>318</v>
      </c>
      <c r="G319" cm="1">
        <f t="array" ref="G319">_xlfn.IFNA(INDEX($D$2:$D$4001,_xlfn.XMATCH(G$1&amp;"-"&amp;$F319,YEAR($B$2:$B$4001)&amp;"-"&amp;$A$2:$A$4001,0,-1)),9)</f>
        <v>9</v>
      </c>
      <c r="H319" cm="1">
        <f t="array" ref="H319">IF(OR(AND(G319=9,H$1&gt;YEAR($N319))),9,_xlfn.IFNA(INDEX($D$2:$D$4001,_xlfn.XMATCH(H$1&amp;"-"&amp;$F319,YEAR($B$2:$B$4001)&amp;"-"&amp;$A$2:$A$4001,0,-1)),G319))</f>
        <v>5</v>
      </c>
      <c r="I319" cm="1">
        <f t="array" ref="I319">IF(OR(AND(H319=9,I$1&gt;YEAR($N319))),9,_xlfn.IFNA(INDEX($D$2:$D$4001,_xlfn.XMATCH(I$1&amp;"-"&amp;$F319,YEAR($B$2:$B$4001)&amp;"-"&amp;$A$2:$A$4001,0,-1)),H319))</f>
        <v>5</v>
      </c>
      <c r="J319" cm="1">
        <f t="array" ref="J319">IF(OR(AND(I319=9,J$1&gt;YEAR($N319))),9,_xlfn.IFNA(INDEX($D$2:$D$4001,_xlfn.XMATCH(J$1&amp;"-"&amp;$F319,YEAR($B$2:$B$4001)&amp;"-"&amp;$A$2:$A$4001,0,-1)),I319))</f>
        <v>5</v>
      </c>
      <c r="K319" cm="1">
        <f t="array" ref="K319">IF(OR(AND(J319=9,K$1&gt;YEAR($N319))),9,_xlfn.IFNA(INDEX($D$2:$D$4001,_xlfn.XMATCH(K$1&amp;"-"&amp;$F319,YEAR($B$2:$B$4001)&amp;"-"&amp;$A$2:$A$4001,0,-1)),J319))</f>
        <v>5</v>
      </c>
      <c r="L319" cm="1">
        <f t="array" ref="L319">IF(OR(AND(K319=9,L$1&gt;YEAR($N319))),9,_xlfn.IFNA(INDEX($D$2:$D$4001,_xlfn.XMATCH(L$1&amp;"-"&amp;$F319,YEAR($B$2:$B$4001)&amp;"-"&amp;$A$2:$A$4001,0,-1)),K319))</f>
        <v>4</v>
      </c>
      <c r="M319" cm="1">
        <f t="array" ref="M319">IF(OR(AND(L319=9,M$1&gt;YEAR($N319))),9,_xlfn.IFNA(INDEX($D$2:$D$4001,_xlfn.XMATCH(M$1&amp;"-"&amp;$F319,YEAR($B$2:$B$4001)&amp;"-"&amp;$A$2:$A$4001,0,-1)),L319))</f>
        <v>4</v>
      </c>
      <c r="N319" s="1">
        <f t="shared" si="4"/>
        <v>36890</v>
      </c>
    </row>
    <row r="320" spans="1:14" x14ac:dyDescent="0.35">
      <c r="A320">
        <v>166</v>
      </c>
      <c r="B320" s="2">
        <v>37620</v>
      </c>
      <c r="C320">
        <v>3</v>
      </c>
      <c r="D320">
        <v>3</v>
      </c>
      <c r="F320">
        <v>319</v>
      </c>
      <c r="G320" cm="1">
        <f t="array" ref="G320">_xlfn.IFNA(INDEX($D$2:$D$4001,_xlfn.XMATCH(G$1&amp;"-"&amp;$F320,YEAR($B$2:$B$4001)&amp;"-"&amp;$A$2:$A$4001,0,-1)),9)</f>
        <v>9</v>
      </c>
      <c r="H320" cm="1">
        <f t="array" ref="H320">IF(OR(AND(G320=9,H$1&gt;YEAR($N320))),9,_xlfn.IFNA(INDEX($D$2:$D$4001,_xlfn.XMATCH(H$1&amp;"-"&amp;$F320,YEAR($B$2:$B$4001)&amp;"-"&amp;$A$2:$A$4001,0,-1)),G320))</f>
        <v>9</v>
      </c>
      <c r="I320" cm="1">
        <f t="array" ref="I320">IF(OR(AND(H320=9,I$1&gt;YEAR($N320))),9,_xlfn.IFNA(INDEX($D$2:$D$4001,_xlfn.XMATCH(I$1&amp;"-"&amp;$F320,YEAR($B$2:$B$4001)&amp;"-"&amp;$A$2:$A$4001,0,-1)),H320))</f>
        <v>9</v>
      </c>
      <c r="J320" cm="1">
        <f t="array" ref="J320">IF(OR(AND(I320=9,J$1&gt;YEAR($N320))),9,_xlfn.IFNA(INDEX($D$2:$D$4001,_xlfn.XMATCH(J$1&amp;"-"&amp;$F320,YEAR($B$2:$B$4001)&amp;"-"&amp;$A$2:$A$4001,0,-1)),I320))</f>
        <v>9</v>
      </c>
      <c r="K320" cm="1">
        <f t="array" ref="K320">IF(OR(AND(J320=9,K$1&gt;YEAR($N320))),9,_xlfn.IFNA(INDEX($D$2:$D$4001,_xlfn.XMATCH(K$1&amp;"-"&amp;$F320,YEAR($B$2:$B$4001)&amp;"-"&amp;$A$2:$A$4001,0,-1)),J320))</f>
        <v>4</v>
      </c>
      <c r="L320" cm="1">
        <f t="array" ref="L320">IF(OR(AND(K320=9,L$1&gt;YEAR($N320))),9,_xlfn.IFNA(INDEX($D$2:$D$4001,_xlfn.XMATCH(L$1&amp;"-"&amp;$F320,YEAR($B$2:$B$4001)&amp;"-"&amp;$A$2:$A$4001,0,-1)),K320))</f>
        <v>4</v>
      </c>
      <c r="M320" cm="1">
        <f t="array" ref="M320">IF(OR(AND(L320=9,M$1&gt;YEAR($N320))),9,_xlfn.IFNA(INDEX($D$2:$D$4001,_xlfn.XMATCH(M$1&amp;"-"&amp;$F320,YEAR($B$2:$B$4001)&amp;"-"&amp;$A$2:$A$4001,0,-1)),L320))</f>
        <v>4</v>
      </c>
      <c r="N320" s="1">
        <f t="shared" si="4"/>
        <v>37863</v>
      </c>
    </row>
    <row r="321" spans="1:14" x14ac:dyDescent="0.35">
      <c r="A321">
        <v>166</v>
      </c>
      <c r="B321" s="2">
        <v>37620</v>
      </c>
      <c r="C321">
        <v>4</v>
      </c>
      <c r="D321">
        <v>4</v>
      </c>
      <c r="F321">
        <v>320</v>
      </c>
      <c r="G321" cm="1">
        <f t="array" ref="G321">_xlfn.IFNA(INDEX($D$2:$D$4001,_xlfn.XMATCH(G$1&amp;"-"&amp;$F321,YEAR($B$2:$B$4001)&amp;"-"&amp;$A$2:$A$4001,0,-1)),9)</f>
        <v>7</v>
      </c>
      <c r="H321" cm="1">
        <f t="array" ref="H321">IF(OR(AND(G321=9,H$1&gt;YEAR($N321))),9,_xlfn.IFNA(INDEX($D$2:$D$4001,_xlfn.XMATCH(H$1&amp;"-"&amp;$F321,YEAR($B$2:$B$4001)&amp;"-"&amp;$A$2:$A$4001,0,-1)),G321))</f>
        <v>0</v>
      </c>
      <c r="I321" cm="1">
        <f t="array" ref="I321">IF(OR(AND(H321=9,I$1&gt;YEAR($N321))),9,_xlfn.IFNA(INDEX($D$2:$D$4001,_xlfn.XMATCH(I$1&amp;"-"&amp;$F321,YEAR($B$2:$B$4001)&amp;"-"&amp;$A$2:$A$4001,0,-1)),H321))</f>
        <v>0</v>
      </c>
      <c r="J321" cm="1">
        <f t="array" ref="J321">IF(OR(AND(I321=9,J$1&gt;YEAR($N321))),9,_xlfn.IFNA(INDEX($D$2:$D$4001,_xlfn.XMATCH(J$1&amp;"-"&amp;$F321,YEAR($B$2:$B$4001)&amp;"-"&amp;$A$2:$A$4001,0,-1)),I321))</f>
        <v>0</v>
      </c>
      <c r="K321" cm="1">
        <f t="array" ref="K321">IF(OR(AND(J321=9,K$1&gt;YEAR($N321))),9,_xlfn.IFNA(INDEX($D$2:$D$4001,_xlfn.XMATCH(K$1&amp;"-"&amp;$F321,YEAR($B$2:$B$4001)&amp;"-"&amp;$A$2:$A$4001,0,-1)),J321))</f>
        <v>0</v>
      </c>
      <c r="L321" cm="1">
        <f t="array" ref="L321">IF(OR(AND(K321=9,L$1&gt;YEAR($N321))),9,_xlfn.IFNA(INDEX($D$2:$D$4001,_xlfn.XMATCH(L$1&amp;"-"&amp;$F321,YEAR($B$2:$B$4001)&amp;"-"&amp;$A$2:$A$4001,0,-1)),K321))</f>
        <v>0</v>
      </c>
      <c r="M321" cm="1">
        <f t="array" ref="M321">IF(OR(AND(L321=9,M$1&gt;YEAR($N321))),9,_xlfn.IFNA(INDEX($D$2:$D$4001,_xlfn.XMATCH(M$1&amp;"-"&amp;$F321,YEAR($B$2:$B$4001)&amp;"-"&amp;$A$2:$A$4001,0,-1)),L321))</f>
        <v>0</v>
      </c>
      <c r="N321" s="1">
        <f t="shared" si="4"/>
        <v>36371</v>
      </c>
    </row>
    <row r="322" spans="1:14" x14ac:dyDescent="0.35">
      <c r="A322">
        <v>166</v>
      </c>
      <c r="B322" s="2">
        <v>37620</v>
      </c>
      <c r="C322">
        <v>5</v>
      </c>
      <c r="D322">
        <v>5</v>
      </c>
      <c r="F322">
        <v>321</v>
      </c>
      <c r="G322" cm="1">
        <f t="array" ref="G322">_xlfn.IFNA(INDEX($D$2:$D$4001,_xlfn.XMATCH(G$1&amp;"-"&amp;$F322,YEAR($B$2:$B$4001)&amp;"-"&amp;$A$2:$A$4001,0,-1)),9)</f>
        <v>9</v>
      </c>
      <c r="H322" cm="1">
        <f t="array" ref="H322">IF(OR(AND(G322=9,H$1&gt;YEAR($N322))),9,_xlfn.IFNA(INDEX($D$2:$D$4001,_xlfn.XMATCH(H$1&amp;"-"&amp;$F322,YEAR($B$2:$B$4001)&amp;"-"&amp;$A$2:$A$4001,0,-1)),G322))</f>
        <v>3</v>
      </c>
      <c r="I322" cm="1">
        <f t="array" ref="I322">IF(OR(AND(H322=9,I$1&gt;YEAR($N322))),9,_xlfn.IFNA(INDEX($D$2:$D$4001,_xlfn.XMATCH(I$1&amp;"-"&amp;$F322,YEAR($B$2:$B$4001)&amp;"-"&amp;$A$2:$A$4001,0,-1)),H322))</f>
        <v>3</v>
      </c>
      <c r="J322" cm="1">
        <f t="array" ref="J322">IF(OR(AND(I322=9,J$1&gt;YEAR($N322))),9,_xlfn.IFNA(INDEX($D$2:$D$4001,_xlfn.XMATCH(J$1&amp;"-"&amp;$F322,YEAR($B$2:$B$4001)&amp;"-"&amp;$A$2:$A$4001,0,-1)),I322))</f>
        <v>3</v>
      </c>
      <c r="K322" cm="1">
        <f t="array" ref="K322">IF(OR(AND(J322=9,K$1&gt;YEAR($N322))),9,_xlfn.IFNA(INDEX($D$2:$D$4001,_xlfn.XMATCH(K$1&amp;"-"&amp;$F322,YEAR($B$2:$B$4001)&amp;"-"&amp;$A$2:$A$4001,0,-1)),J322))</f>
        <v>3</v>
      </c>
      <c r="L322" cm="1">
        <f t="array" ref="L322">IF(OR(AND(K322=9,L$1&gt;YEAR($N322))),9,_xlfn.IFNA(INDEX($D$2:$D$4001,_xlfn.XMATCH(L$1&amp;"-"&amp;$F322,YEAR($B$2:$B$4001)&amp;"-"&amp;$A$2:$A$4001,0,-1)),K322))</f>
        <v>3</v>
      </c>
      <c r="M322" cm="1">
        <f t="array" ref="M322">IF(OR(AND(L322=9,M$1&gt;YEAR($N322))),9,_xlfn.IFNA(INDEX($D$2:$D$4001,_xlfn.XMATCH(M$1&amp;"-"&amp;$F322,YEAR($B$2:$B$4001)&amp;"-"&amp;$A$2:$A$4001,0,-1)),L322))</f>
        <v>0</v>
      </c>
      <c r="N322" s="1">
        <f t="shared" si="4"/>
        <v>36790</v>
      </c>
    </row>
    <row r="323" spans="1:14" x14ac:dyDescent="0.35">
      <c r="A323">
        <v>166</v>
      </c>
      <c r="B323" s="2">
        <v>37985</v>
      </c>
      <c r="C323">
        <v>5</v>
      </c>
      <c r="D323">
        <v>5</v>
      </c>
      <c r="F323">
        <v>322</v>
      </c>
      <c r="G323" cm="1">
        <f t="array" ref="G323">_xlfn.IFNA(INDEX($D$2:$D$4001,_xlfn.XMATCH(G$1&amp;"-"&amp;$F323,YEAR($B$2:$B$4001)&amp;"-"&amp;$A$2:$A$4001,0,-1)),9)</f>
        <v>3</v>
      </c>
      <c r="H323" cm="1">
        <f t="array" ref="H323">IF(OR(AND(G323=9,H$1&gt;YEAR($N323))),9,_xlfn.IFNA(INDEX($D$2:$D$4001,_xlfn.XMATCH(H$1&amp;"-"&amp;$F323,YEAR($B$2:$B$4001)&amp;"-"&amp;$A$2:$A$4001,0,-1)),G323))</f>
        <v>3</v>
      </c>
      <c r="I323" cm="1">
        <f t="array" ref="I323">IF(OR(AND(H323=9,I$1&gt;YEAR($N323))),9,_xlfn.IFNA(INDEX($D$2:$D$4001,_xlfn.XMATCH(I$1&amp;"-"&amp;$F323,YEAR($B$2:$B$4001)&amp;"-"&amp;$A$2:$A$4001,0,-1)),H323))</f>
        <v>4</v>
      </c>
      <c r="J323" cm="1">
        <f t="array" ref="J323">IF(OR(AND(I323=9,J$1&gt;YEAR($N323))),9,_xlfn.IFNA(INDEX($D$2:$D$4001,_xlfn.XMATCH(J$1&amp;"-"&amp;$F323,YEAR($B$2:$B$4001)&amp;"-"&amp;$A$2:$A$4001,0,-1)),I323))</f>
        <v>4</v>
      </c>
      <c r="K323" cm="1">
        <f t="array" ref="K323">IF(OR(AND(J323=9,K$1&gt;YEAR($N323))),9,_xlfn.IFNA(INDEX($D$2:$D$4001,_xlfn.XMATCH(K$1&amp;"-"&amp;$F323,YEAR($B$2:$B$4001)&amp;"-"&amp;$A$2:$A$4001,0,-1)),J323))</f>
        <v>4</v>
      </c>
      <c r="L323" cm="1">
        <f t="array" ref="L323">IF(OR(AND(K323=9,L$1&gt;YEAR($N323))),9,_xlfn.IFNA(INDEX($D$2:$D$4001,_xlfn.XMATCH(L$1&amp;"-"&amp;$F323,YEAR($B$2:$B$4001)&amp;"-"&amp;$A$2:$A$4001,0,-1)),K323))</f>
        <v>4</v>
      </c>
      <c r="M323" cm="1">
        <f t="array" ref="M323">IF(OR(AND(L323=9,M$1&gt;YEAR($N323))),9,_xlfn.IFNA(INDEX($D$2:$D$4001,_xlfn.XMATCH(M$1&amp;"-"&amp;$F323,YEAR($B$2:$B$4001)&amp;"-"&amp;$A$2:$A$4001,0,-1)),L323))</f>
        <v>4</v>
      </c>
      <c r="N323" s="1">
        <f t="shared" ref="N323:N386" si="5">_xlfn.MINIFS($B$2:$B$4001,$A$2:$A$4001,F323)</f>
        <v>36301</v>
      </c>
    </row>
    <row r="324" spans="1:14" x14ac:dyDescent="0.35">
      <c r="A324">
        <v>167</v>
      </c>
      <c r="B324" s="2">
        <v>36301</v>
      </c>
      <c r="C324">
        <v>4</v>
      </c>
      <c r="D324">
        <v>4</v>
      </c>
      <c r="F324">
        <v>323</v>
      </c>
      <c r="G324" cm="1">
        <f t="array" ref="G324">_xlfn.IFNA(INDEX($D$2:$D$4001,_xlfn.XMATCH(G$1&amp;"-"&amp;$F324,YEAR($B$2:$B$4001)&amp;"-"&amp;$A$2:$A$4001,0,-1)),9)</f>
        <v>3</v>
      </c>
      <c r="H324" cm="1">
        <f t="array" ref="H324">IF(OR(AND(G324=9,H$1&gt;YEAR($N324))),9,_xlfn.IFNA(INDEX($D$2:$D$4001,_xlfn.XMATCH(H$1&amp;"-"&amp;$F324,YEAR($B$2:$B$4001)&amp;"-"&amp;$A$2:$A$4001,0,-1)),G324))</f>
        <v>3</v>
      </c>
      <c r="I324" cm="1">
        <f t="array" ref="I324">IF(OR(AND(H324=9,I$1&gt;YEAR($N324))),9,_xlfn.IFNA(INDEX($D$2:$D$4001,_xlfn.XMATCH(I$1&amp;"-"&amp;$F324,YEAR($B$2:$B$4001)&amp;"-"&amp;$A$2:$A$4001,0,-1)),H324))</f>
        <v>3</v>
      </c>
      <c r="J324" cm="1">
        <f t="array" ref="J324">IF(OR(AND(I324=9,J$1&gt;YEAR($N324))),9,_xlfn.IFNA(INDEX($D$2:$D$4001,_xlfn.XMATCH(J$1&amp;"-"&amp;$F324,YEAR($B$2:$B$4001)&amp;"-"&amp;$A$2:$A$4001,0,-1)),I324))</f>
        <v>3</v>
      </c>
      <c r="K324" cm="1">
        <f t="array" ref="K324">IF(OR(AND(J324=9,K$1&gt;YEAR($N324))),9,_xlfn.IFNA(INDEX($D$2:$D$4001,_xlfn.XMATCH(K$1&amp;"-"&amp;$F324,YEAR($B$2:$B$4001)&amp;"-"&amp;$A$2:$A$4001,0,-1)),J324))</f>
        <v>3</v>
      </c>
      <c r="L324" cm="1">
        <f t="array" ref="L324">IF(OR(AND(K324=9,L$1&gt;YEAR($N324))),9,_xlfn.IFNA(INDEX($D$2:$D$4001,_xlfn.XMATCH(L$1&amp;"-"&amp;$F324,YEAR($B$2:$B$4001)&amp;"-"&amp;$A$2:$A$4001,0,-1)),K324))</f>
        <v>5</v>
      </c>
      <c r="M324" cm="1">
        <f t="array" ref="M324">IF(OR(AND(L324=9,M$1&gt;YEAR($N324))),9,_xlfn.IFNA(INDEX($D$2:$D$4001,_xlfn.XMATCH(M$1&amp;"-"&amp;$F324,YEAR($B$2:$B$4001)&amp;"-"&amp;$A$2:$A$4001,0,-1)),L324))</f>
        <v>5</v>
      </c>
      <c r="N324" s="1">
        <f t="shared" si="5"/>
        <v>36494</v>
      </c>
    </row>
    <row r="325" spans="1:14" x14ac:dyDescent="0.35">
      <c r="A325">
        <v>167</v>
      </c>
      <c r="B325" s="2">
        <v>38168</v>
      </c>
      <c r="C325">
        <v>3</v>
      </c>
      <c r="D325">
        <v>3</v>
      </c>
      <c r="F325">
        <v>324</v>
      </c>
      <c r="G325" cm="1">
        <f t="array" ref="G325">_xlfn.IFNA(INDEX($D$2:$D$4001,_xlfn.XMATCH(G$1&amp;"-"&amp;$F325,YEAR($B$2:$B$4001)&amp;"-"&amp;$A$2:$A$4001,0,-1)),9)</f>
        <v>9</v>
      </c>
      <c r="H325" cm="1">
        <f t="array" ref="H325">IF(OR(AND(G325=9,H$1&gt;YEAR($N325))),9,_xlfn.IFNA(INDEX($D$2:$D$4001,_xlfn.XMATCH(H$1&amp;"-"&amp;$F325,YEAR($B$2:$B$4001)&amp;"-"&amp;$A$2:$A$4001,0,-1)),G325))</f>
        <v>9</v>
      </c>
      <c r="I325" cm="1">
        <f t="array" ref="I325">IF(OR(AND(H325=9,I$1&gt;YEAR($N325))),9,_xlfn.IFNA(INDEX($D$2:$D$4001,_xlfn.XMATCH(I$1&amp;"-"&amp;$F325,YEAR($B$2:$B$4001)&amp;"-"&amp;$A$2:$A$4001,0,-1)),H325))</f>
        <v>9</v>
      </c>
      <c r="J325" cm="1">
        <f t="array" ref="J325">IF(OR(AND(I325=9,J$1&gt;YEAR($N325))),9,_xlfn.IFNA(INDEX($D$2:$D$4001,_xlfn.XMATCH(J$1&amp;"-"&amp;$F325,YEAR($B$2:$B$4001)&amp;"-"&amp;$A$2:$A$4001,0,-1)),I325))</f>
        <v>9</v>
      </c>
      <c r="K325" cm="1">
        <f t="array" ref="K325">IF(OR(AND(J325=9,K$1&gt;YEAR($N325))),9,_xlfn.IFNA(INDEX($D$2:$D$4001,_xlfn.XMATCH(K$1&amp;"-"&amp;$F325,YEAR($B$2:$B$4001)&amp;"-"&amp;$A$2:$A$4001,0,-1)),J325))</f>
        <v>9</v>
      </c>
      <c r="L325" cm="1">
        <f t="array" ref="L325">IF(OR(AND(K325=9,L$1&gt;YEAR($N325))),9,_xlfn.IFNA(INDEX($D$2:$D$4001,_xlfn.XMATCH(L$1&amp;"-"&amp;$F325,YEAR($B$2:$B$4001)&amp;"-"&amp;$A$2:$A$4001,0,-1)),K325))</f>
        <v>3</v>
      </c>
      <c r="M325" cm="1">
        <f t="array" ref="M325">IF(OR(AND(L325=9,M$1&gt;YEAR($N325))),9,_xlfn.IFNA(INDEX($D$2:$D$4001,_xlfn.XMATCH(M$1&amp;"-"&amp;$F325,YEAR($B$2:$B$4001)&amp;"-"&amp;$A$2:$A$4001,0,-1)),L325))</f>
        <v>3</v>
      </c>
      <c r="N325" s="1">
        <f t="shared" si="5"/>
        <v>38137</v>
      </c>
    </row>
    <row r="326" spans="1:14" x14ac:dyDescent="0.35">
      <c r="A326">
        <v>168</v>
      </c>
      <c r="B326" s="2">
        <v>38220</v>
      </c>
      <c r="C326">
        <v>4</v>
      </c>
      <c r="D326">
        <v>4</v>
      </c>
      <c r="F326">
        <v>325</v>
      </c>
      <c r="G326" cm="1">
        <f t="array" ref="G326">_xlfn.IFNA(INDEX($D$2:$D$4001,_xlfn.XMATCH(G$1&amp;"-"&amp;$F326,YEAR($B$2:$B$4001)&amp;"-"&amp;$A$2:$A$4001,0,-1)),9)</f>
        <v>6</v>
      </c>
      <c r="H326" cm="1">
        <f t="array" ref="H326">IF(OR(AND(G326=9,H$1&gt;YEAR($N326))),9,_xlfn.IFNA(INDEX($D$2:$D$4001,_xlfn.XMATCH(H$1&amp;"-"&amp;$F326,YEAR($B$2:$B$4001)&amp;"-"&amp;$A$2:$A$4001,0,-1)),G326))</f>
        <v>6</v>
      </c>
      <c r="I326" cm="1">
        <f t="array" ref="I326">IF(OR(AND(H326=9,I$1&gt;YEAR($N326))),9,_xlfn.IFNA(INDEX($D$2:$D$4001,_xlfn.XMATCH(I$1&amp;"-"&amp;$F326,YEAR($B$2:$B$4001)&amp;"-"&amp;$A$2:$A$4001,0,-1)),H326))</f>
        <v>0</v>
      </c>
      <c r="J326" cm="1">
        <f t="array" ref="J326">IF(OR(AND(I326=9,J$1&gt;YEAR($N326))),9,_xlfn.IFNA(INDEX($D$2:$D$4001,_xlfn.XMATCH(J$1&amp;"-"&amp;$F326,YEAR($B$2:$B$4001)&amp;"-"&amp;$A$2:$A$4001,0,-1)),I326))</f>
        <v>0</v>
      </c>
      <c r="K326" cm="1">
        <f t="array" ref="K326">IF(OR(AND(J326=9,K$1&gt;YEAR($N326))),9,_xlfn.IFNA(INDEX($D$2:$D$4001,_xlfn.XMATCH(K$1&amp;"-"&amp;$F326,YEAR($B$2:$B$4001)&amp;"-"&amp;$A$2:$A$4001,0,-1)),J326))</f>
        <v>0</v>
      </c>
      <c r="L326" cm="1">
        <f t="array" ref="L326">IF(OR(AND(K326=9,L$1&gt;YEAR($N326))),9,_xlfn.IFNA(INDEX($D$2:$D$4001,_xlfn.XMATCH(L$1&amp;"-"&amp;$F326,YEAR($B$2:$B$4001)&amp;"-"&amp;$A$2:$A$4001,0,-1)),K326))</f>
        <v>0</v>
      </c>
      <c r="M326" cm="1">
        <f t="array" ref="M326">IF(OR(AND(L326=9,M$1&gt;YEAR($N326))),9,_xlfn.IFNA(INDEX($D$2:$D$4001,_xlfn.XMATCH(M$1&amp;"-"&amp;$F326,YEAR($B$2:$B$4001)&amp;"-"&amp;$A$2:$A$4001,0,-1)),L326))</f>
        <v>0</v>
      </c>
      <c r="N326" s="1">
        <f t="shared" si="5"/>
        <v>36463</v>
      </c>
    </row>
    <row r="327" spans="1:14" x14ac:dyDescent="0.35">
      <c r="A327">
        <v>169</v>
      </c>
      <c r="B327" s="2">
        <v>36676</v>
      </c>
      <c r="C327">
        <v>2</v>
      </c>
      <c r="D327">
        <v>2</v>
      </c>
      <c r="F327">
        <v>326</v>
      </c>
      <c r="G327" cm="1">
        <f t="array" ref="G327">_xlfn.IFNA(INDEX($D$2:$D$4001,_xlfn.XMATCH(G$1&amp;"-"&amp;$F327,YEAR($B$2:$B$4001)&amp;"-"&amp;$A$2:$A$4001,0,-1)),9)</f>
        <v>9</v>
      </c>
      <c r="H327" cm="1">
        <f t="array" ref="H327">IF(OR(AND(G327=9,H$1&gt;YEAR($N327))),9,_xlfn.IFNA(INDEX($D$2:$D$4001,_xlfn.XMATCH(H$1&amp;"-"&amp;$F327,YEAR($B$2:$B$4001)&amp;"-"&amp;$A$2:$A$4001,0,-1)),G327))</f>
        <v>9</v>
      </c>
      <c r="I327" cm="1">
        <f t="array" ref="I327">IF(OR(AND(H327=9,I$1&gt;YEAR($N327))),9,_xlfn.IFNA(INDEX($D$2:$D$4001,_xlfn.XMATCH(I$1&amp;"-"&amp;$F327,YEAR($B$2:$B$4001)&amp;"-"&amp;$A$2:$A$4001,0,-1)),H327))</f>
        <v>9</v>
      </c>
      <c r="J327" cm="1">
        <f t="array" ref="J327">IF(OR(AND(I327=9,J$1&gt;YEAR($N327))),9,_xlfn.IFNA(INDEX($D$2:$D$4001,_xlfn.XMATCH(J$1&amp;"-"&amp;$F327,YEAR($B$2:$B$4001)&amp;"-"&amp;$A$2:$A$4001,0,-1)),I327))</f>
        <v>9</v>
      </c>
      <c r="K327" cm="1">
        <f t="array" ref="K327">IF(OR(AND(J327=9,K$1&gt;YEAR($N327))),9,_xlfn.IFNA(INDEX($D$2:$D$4001,_xlfn.XMATCH(K$1&amp;"-"&amp;$F327,YEAR($B$2:$B$4001)&amp;"-"&amp;$A$2:$A$4001,0,-1)),J327))</f>
        <v>9</v>
      </c>
      <c r="L327" cm="1">
        <f t="array" ref="L327">IF(OR(AND(K327=9,L$1&gt;YEAR($N327))),9,_xlfn.IFNA(INDEX($D$2:$D$4001,_xlfn.XMATCH(L$1&amp;"-"&amp;$F327,YEAR($B$2:$B$4001)&amp;"-"&amp;$A$2:$A$4001,0,-1)),K327))</f>
        <v>3</v>
      </c>
      <c r="M327" cm="1">
        <f t="array" ref="M327">IF(OR(AND(L327=9,M$1&gt;YEAR($N327))),9,_xlfn.IFNA(INDEX($D$2:$D$4001,_xlfn.XMATCH(M$1&amp;"-"&amp;$F327,YEAR($B$2:$B$4001)&amp;"-"&amp;$A$2:$A$4001,0,-1)),L327))</f>
        <v>3</v>
      </c>
      <c r="N327" s="1">
        <f t="shared" si="5"/>
        <v>38189</v>
      </c>
    </row>
    <row r="328" spans="1:14" x14ac:dyDescent="0.35">
      <c r="A328">
        <v>169</v>
      </c>
      <c r="B328" s="2">
        <v>36799</v>
      </c>
      <c r="C328">
        <v>2</v>
      </c>
      <c r="D328">
        <v>2</v>
      </c>
      <c r="F328">
        <v>327</v>
      </c>
      <c r="G328" cm="1">
        <f t="array" ref="G328">_xlfn.IFNA(INDEX($D$2:$D$4001,_xlfn.XMATCH(G$1&amp;"-"&amp;$F328,YEAR($B$2:$B$4001)&amp;"-"&amp;$A$2:$A$4001,0,-1)),9)</f>
        <v>9</v>
      </c>
      <c r="H328" cm="1">
        <f t="array" ref="H328">IF(OR(AND(G328=9,H$1&gt;YEAR($N328))),9,_xlfn.IFNA(INDEX($D$2:$D$4001,_xlfn.XMATCH(H$1&amp;"-"&amp;$F328,YEAR($B$2:$B$4001)&amp;"-"&amp;$A$2:$A$4001,0,-1)),G328))</f>
        <v>9</v>
      </c>
      <c r="I328" cm="1">
        <f t="array" ref="I328">IF(OR(AND(H328=9,I$1&gt;YEAR($N328))),9,_xlfn.IFNA(INDEX($D$2:$D$4001,_xlfn.XMATCH(I$1&amp;"-"&amp;$F328,YEAR($B$2:$B$4001)&amp;"-"&amp;$A$2:$A$4001,0,-1)),H328))</f>
        <v>3</v>
      </c>
      <c r="J328" cm="1">
        <f t="array" ref="J328">IF(OR(AND(I328=9,J$1&gt;YEAR($N328))),9,_xlfn.IFNA(INDEX($D$2:$D$4001,_xlfn.XMATCH(J$1&amp;"-"&amp;$F328,YEAR($B$2:$B$4001)&amp;"-"&amp;$A$2:$A$4001,0,-1)),I328))</f>
        <v>3</v>
      </c>
      <c r="K328" cm="1">
        <f t="array" ref="K328">IF(OR(AND(J328=9,K$1&gt;YEAR($N328))),9,_xlfn.IFNA(INDEX($D$2:$D$4001,_xlfn.XMATCH(K$1&amp;"-"&amp;$F328,YEAR($B$2:$B$4001)&amp;"-"&amp;$A$2:$A$4001,0,-1)),J328))</f>
        <v>3</v>
      </c>
      <c r="L328" cm="1">
        <f t="array" ref="L328">IF(OR(AND(K328=9,L$1&gt;YEAR($N328))),9,_xlfn.IFNA(INDEX($D$2:$D$4001,_xlfn.XMATCH(L$1&amp;"-"&amp;$F328,YEAR($B$2:$B$4001)&amp;"-"&amp;$A$2:$A$4001,0,-1)),K328))</f>
        <v>3</v>
      </c>
      <c r="M328" cm="1">
        <f t="array" ref="M328">IF(OR(AND(L328=9,M$1&gt;YEAR($N328))),9,_xlfn.IFNA(INDEX($D$2:$D$4001,_xlfn.XMATCH(M$1&amp;"-"&amp;$F328,YEAR($B$2:$B$4001)&amp;"-"&amp;$A$2:$A$4001,0,-1)),L328))</f>
        <v>0</v>
      </c>
      <c r="N328" s="1">
        <f t="shared" si="5"/>
        <v>37032</v>
      </c>
    </row>
    <row r="329" spans="1:14" x14ac:dyDescent="0.35">
      <c r="A329">
        <v>170</v>
      </c>
      <c r="B329" s="2">
        <v>37041</v>
      </c>
      <c r="C329">
        <v>3</v>
      </c>
      <c r="D329">
        <v>3</v>
      </c>
      <c r="F329">
        <v>328</v>
      </c>
      <c r="G329" cm="1">
        <f t="array" ref="G329">_xlfn.IFNA(INDEX($D$2:$D$4001,_xlfn.XMATCH(G$1&amp;"-"&amp;$F329,YEAR($B$2:$B$4001)&amp;"-"&amp;$A$2:$A$4001,0,-1)),9)</f>
        <v>6</v>
      </c>
      <c r="H329" cm="1">
        <f t="array" ref="H329">IF(OR(AND(G329=9,H$1&gt;YEAR($N329))),9,_xlfn.IFNA(INDEX($D$2:$D$4001,_xlfn.XMATCH(H$1&amp;"-"&amp;$F329,YEAR($B$2:$B$4001)&amp;"-"&amp;$A$2:$A$4001,0,-1)),G329))</f>
        <v>5</v>
      </c>
      <c r="I329" cm="1">
        <f t="array" ref="I329">IF(OR(AND(H329=9,I$1&gt;YEAR($N329))),9,_xlfn.IFNA(INDEX($D$2:$D$4001,_xlfn.XMATCH(I$1&amp;"-"&amp;$F329,YEAR($B$2:$B$4001)&amp;"-"&amp;$A$2:$A$4001,0,-1)),H329))</f>
        <v>5</v>
      </c>
      <c r="J329" cm="1">
        <f t="array" ref="J329">IF(OR(AND(I329=9,J$1&gt;YEAR($N329))),9,_xlfn.IFNA(INDEX($D$2:$D$4001,_xlfn.XMATCH(J$1&amp;"-"&amp;$F329,YEAR($B$2:$B$4001)&amp;"-"&amp;$A$2:$A$4001,0,-1)),I329))</f>
        <v>5</v>
      </c>
      <c r="K329" cm="1">
        <f t="array" ref="K329">IF(OR(AND(J329=9,K$1&gt;YEAR($N329))),9,_xlfn.IFNA(INDEX($D$2:$D$4001,_xlfn.XMATCH(K$1&amp;"-"&amp;$F329,YEAR($B$2:$B$4001)&amp;"-"&amp;$A$2:$A$4001,0,-1)),J329))</f>
        <v>5</v>
      </c>
      <c r="L329" cm="1">
        <f t="array" ref="L329">IF(OR(AND(K329=9,L$1&gt;YEAR($N329))),9,_xlfn.IFNA(INDEX($D$2:$D$4001,_xlfn.XMATCH(L$1&amp;"-"&amp;$F329,YEAR($B$2:$B$4001)&amp;"-"&amp;$A$2:$A$4001,0,-1)),K329))</f>
        <v>5</v>
      </c>
      <c r="M329" cm="1">
        <f t="array" ref="M329">IF(OR(AND(L329=9,M$1&gt;YEAR($N329))),9,_xlfn.IFNA(INDEX($D$2:$D$4001,_xlfn.XMATCH(M$1&amp;"-"&amp;$F329,YEAR($B$2:$B$4001)&amp;"-"&amp;$A$2:$A$4001,0,-1)),L329))</f>
        <v>5</v>
      </c>
      <c r="N329" s="1">
        <f t="shared" si="5"/>
        <v>36310</v>
      </c>
    </row>
    <row r="330" spans="1:14" x14ac:dyDescent="0.35">
      <c r="A330">
        <v>170</v>
      </c>
      <c r="B330" s="2">
        <v>37255</v>
      </c>
      <c r="C330">
        <v>3</v>
      </c>
      <c r="D330">
        <v>3</v>
      </c>
      <c r="F330">
        <v>329</v>
      </c>
      <c r="G330" cm="1">
        <f t="array" ref="G330">_xlfn.IFNA(INDEX($D$2:$D$4001,_xlfn.XMATCH(G$1&amp;"-"&amp;$F330,YEAR($B$2:$B$4001)&amp;"-"&amp;$A$2:$A$4001,0,-1)),9)</f>
        <v>9</v>
      </c>
      <c r="H330" cm="1">
        <f t="array" ref="H330">IF(OR(AND(G330=9,H$1&gt;YEAR($N330))),9,_xlfn.IFNA(INDEX($D$2:$D$4001,_xlfn.XMATCH(H$1&amp;"-"&amp;$F330,YEAR($B$2:$B$4001)&amp;"-"&amp;$A$2:$A$4001,0,-1)),G330))</f>
        <v>9</v>
      </c>
      <c r="I330" cm="1">
        <f t="array" ref="I330">IF(OR(AND(H330=9,I$1&gt;YEAR($N330))),9,_xlfn.IFNA(INDEX($D$2:$D$4001,_xlfn.XMATCH(I$1&amp;"-"&amp;$F330,YEAR($B$2:$B$4001)&amp;"-"&amp;$A$2:$A$4001,0,-1)),H330))</f>
        <v>6</v>
      </c>
      <c r="J330" cm="1">
        <f t="array" ref="J330">IF(OR(AND(I330=9,J$1&gt;YEAR($N330))),9,_xlfn.IFNA(INDEX($D$2:$D$4001,_xlfn.XMATCH(J$1&amp;"-"&amp;$F330,YEAR($B$2:$B$4001)&amp;"-"&amp;$A$2:$A$4001,0,-1)),I330))</f>
        <v>6</v>
      </c>
      <c r="K330" cm="1">
        <f t="array" ref="K330">IF(OR(AND(J330=9,K$1&gt;YEAR($N330))),9,_xlfn.IFNA(INDEX($D$2:$D$4001,_xlfn.XMATCH(K$1&amp;"-"&amp;$F330,YEAR($B$2:$B$4001)&amp;"-"&amp;$A$2:$A$4001,0,-1)),J330))</f>
        <v>7</v>
      </c>
      <c r="L330" cm="1">
        <f t="array" ref="L330">IF(OR(AND(K330=9,L$1&gt;YEAR($N330))),9,_xlfn.IFNA(INDEX($D$2:$D$4001,_xlfn.XMATCH(L$1&amp;"-"&amp;$F330,YEAR($B$2:$B$4001)&amp;"-"&amp;$A$2:$A$4001,0,-1)),K330))</f>
        <v>7</v>
      </c>
      <c r="M330" cm="1">
        <f t="array" ref="M330">IF(OR(AND(L330=9,M$1&gt;YEAR($N330))),9,_xlfn.IFNA(INDEX($D$2:$D$4001,_xlfn.XMATCH(M$1&amp;"-"&amp;$F330,YEAR($B$2:$B$4001)&amp;"-"&amp;$A$2:$A$4001,0,-1)),L330))</f>
        <v>7</v>
      </c>
      <c r="N330" s="1">
        <f t="shared" si="5"/>
        <v>37225</v>
      </c>
    </row>
    <row r="331" spans="1:14" x14ac:dyDescent="0.35">
      <c r="A331">
        <v>170</v>
      </c>
      <c r="B331" s="2">
        <v>37793</v>
      </c>
      <c r="C331">
        <v>4</v>
      </c>
      <c r="D331">
        <v>4</v>
      </c>
      <c r="F331">
        <v>330</v>
      </c>
      <c r="G331" cm="1">
        <f t="array" ref="G331">_xlfn.IFNA(INDEX($D$2:$D$4001,_xlfn.XMATCH(G$1&amp;"-"&amp;$F331,YEAR($B$2:$B$4001)&amp;"-"&amp;$A$2:$A$4001,0,-1)),9)</f>
        <v>9</v>
      </c>
      <c r="H331" cm="1">
        <f t="array" ref="H331">IF(OR(AND(G331=9,H$1&gt;YEAR($N331))),9,_xlfn.IFNA(INDEX($D$2:$D$4001,_xlfn.XMATCH(H$1&amp;"-"&amp;$F331,YEAR($B$2:$B$4001)&amp;"-"&amp;$A$2:$A$4001,0,-1)),G331))</f>
        <v>9</v>
      </c>
      <c r="I331" cm="1">
        <f t="array" ref="I331">IF(OR(AND(H331=9,I$1&gt;YEAR($N331))),9,_xlfn.IFNA(INDEX($D$2:$D$4001,_xlfn.XMATCH(I$1&amp;"-"&amp;$F331,YEAR($B$2:$B$4001)&amp;"-"&amp;$A$2:$A$4001,0,-1)),H331))</f>
        <v>9</v>
      </c>
      <c r="J331" cm="1">
        <f t="array" ref="J331">IF(OR(AND(I331=9,J$1&gt;YEAR($N331))),9,_xlfn.IFNA(INDEX($D$2:$D$4001,_xlfn.XMATCH(J$1&amp;"-"&amp;$F331,YEAR($B$2:$B$4001)&amp;"-"&amp;$A$2:$A$4001,0,-1)),I331))</f>
        <v>9</v>
      </c>
      <c r="K331" cm="1">
        <f t="array" ref="K331">IF(OR(AND(J331=9,K$1&gt;YEAR($N331))),9,_xlfn.IFNA(INDEX($D$2:$D$4001,_xlfn.XMATCH(K$1&amp;"-"&amp;$F331,YEAR($B$2:$B$4001)&amp;"-"&amp;$A$2:$A$4001,0,-1)),J331))</f>
        <v>6</v>
      </c>
      <c r="L331" cm="1">
        <f t="array" ref="L331">IF(OR(AND(K331=9,L$1&gt;YEAR($N331))),9,_xlfn.IFNA(INDEX($D$2:$D$4001,_xlfn.XMATCH(L$1&amp;"-"&amp;$F331,YEAR($B$2:$B$4001)&amp;"-"&amp;$A$2:$A$4001,0,-1)),K331))</f>
        <v>6</v>
      </c>
      <c r="M331" cm="1">
        <f t="array" ref="M331">IF(OR(AND(L331=9,M$1&gt;YEAR($N331))),9,_xlfn.IFNA(INDEX($D$2:$D$4001,_xlfn.XMATCH(M$1&amp;"-"&amp;$F331,YEAR($B$2:$B$4001)&amp;"-"&amp;$A$2:$A$4001,0,-1)),L331))</f>
        <v>6</v>
      </c>
      <c r="N331" s="1">
        <f t="shared" si="5"/>
        <v>37793</v>
      </c>
    </row>
    <row r="332" spans="1:14" x14ac:dyDescent="0.35">
      <c r="A332">
        <v>170</v>
      </c>
      <c r="B332" s="2">
        <v>38351</v>
      </c>
      <c r="C332">
        <v>5</v>
      </c>
      <c r="D332">
        <v>5</v>
      </c>
      <c r="F332">
        <v>331</v>
      </c>
      <c r="G332" cm="1">
        <f t="array" ref="G332">_xlfn.IFNA(INDEX($D$2:$D$4001,_xlfn.XMATCH(G$1&amp;"-"&amp;$F332,YEAR($B$2:$B$4001)&amp;"-"&amp;$A$2:$A$4001,0,-1)),9)</f>
        <v>6</v>
      </c>
      <c r="H332" cm="1">
        <f t="array" ref="H332">IF(OR(AND(G332=9,H$1&gt;YEAR($N332))),9,_xlfn.IFNA(INDEX($D$2:$D$4001,_xlfn.XMATCH(H$1&amp;"-"&amp;$F332,YEAR($B$2:$B$4001)&amp;"-"&amp;$A$2:$A$4001,0,-1)),G332))</f>
        <v>7</v>
      </c>
      <c r="I332" cm="1">
        <f t="array" ref="I332">IF(OR(AND(H332=9,I$1&gt;YEAR($N332))),9,_xlfn.IFNA(INDEX($D$2:$D$4001,_xlfn.XMATCH(I$1&amp;"-"&amp;$F332,YEAR($B$2:$B$4001)&amp;"-"&amp;$A$2:$A$4001,0,-1)),H332))</f>
        <v>7</v>
      </c>
      <c r="J332" cm="1">
        <f t="array" ref="J332">IF(OR(AND(I332=9,J$1&gt;YEAR($N332))),9,_xlfn.IFNA(INDEX($D$2:$D$4001,_xlfn.XMATCH(J$1&amp;"-"&amp;$F332,YEAR($B$2:$B$4001)&amp;"-"&amp;$A$2:$A$4001,0,-1)),I332))</f>
        <v>7</v>
      </c>
      <c r="K332" cm="1">
        <f t="array" ref="K332">IF(OR(AND(J332=9,K$1&gt;YEAR($N332))),9,_xlfn.IFNA(INDEX($D$2:$D$4001,_xlfn.XMATCH(K$1&amp;"-"&amp;$F332,YEAR($B$2:$B$4001)&amp;"-"&amp;$A$2:$A$4001,0,-1)),J332))</f>
        <v>7</v>
      </c>
      <c r="L332" cm="1">
        <f t="array" ref="L332">IF(OR(AND(K332=9,L$1&gt;YEAR($N332))),9,_xlfn.IFNA(INDEX($D$2:$D$4001,_xlfn.XMATCH(L$1&amp;"-"&amp;$F332,YEAR($B$2:$B$4001)&amp;"-"&amp;$A$2:$A$4001,0,-1)),K332))</f>
        <v>7</v>
      </c>
      <c r="M332" cm="1">
        <f t="array" ref="M332">IF(OR(AND(L332=9,M$1&gt;YEAR($N332))),9,_xlfn.IFNA(INDEX($D$2:$D$4001,_xlfn.XMATCH(M$1&amp;"-"&amp;$F332,YEAR($B$2:$B$4001)&amp;"-"&amp;$A$2:$A$4001,0,-1)),L332))</f>
        <v>7</v>
      </c>
      <c r="N332" s="1">
        <f t="shared" si="5"/>
        <v>36494</v>
      </c>
    </row>
    <row r="333" spans="1:14" x14ac:dyDescent="0.35">
      <c r="A333">
        <v>170</v>
      </c>
      <c r="B333" s="2">
        <v>38351</v>
      </c>
      <c r="C333">
        <v>0</v>
      </c>
      <c r="D333">
        <v>0</v>
      </c>
      <c r="F333">
        <v>332</v>
      </c>
      <c r="G333" cm="1">
        <f t="array" ref="G333">_xlfn.IFNA(INDEX($D$2:$D$4001,_xlfn.XMATCH(G$1&amp;"-"&amp;$F333,YEAR($B$2:$B$4001)&amp;"-"&amp;$A$2:$A$4001,0,-1)),9)</f>
        <v>9</v>
      </c>
      <c r="H333" cm="1">
        <f t="array" ref="H333">IF(OR(AND(G333=9,H$1&gt;YEAR($N333))),9,_xlfn.IFNA(INDEX($D$2:$D$4001,_xlfn.XMATCH(H$1&amp;"-"&amp;$F333,YEAR($B$2:$B$4001)&amp;"-"&amp;$A$2:$A$4001,0,-1)),G333))</f>
        <v>3</v>
      </c>
      <c r="I333" cm="1">
        <f t="array" ref="I333">IF(OR(AND(H333=9,I$1&gt;YEAR($N333))),9,_xlfn.IFNA(INDEX($D$2:$D$4001,_xlfn.XMATCH(I$1&amp;"-"&amp;$F333,YEAR($B$2:$B$4001)&amp;"-"&amp;$A$2:$A$4001,0,-1)),H333))</f>
        <v>3</v>
      </c>
      <c r="J333" cm="1">
        <f t="array" ref="J333">IF(OR(AND(I333=9,J$1&gt;YEAR($N333))),9,_xlfn.IFNA(INDEX($D$2:$D$4001,_xlfn.XMATCH(J$1&amp;"-"&amp;$F333,YEAR($B$2:$B$4001)&amp;"-"&amp;$A$2:$A$4001,0,-1)),I333))</f>
        <v>3</v>
      </c>
      <c r="K333" cm="1">
        <f t="array" ref="K333">IF(OR(AND(J333=9,K$1&gt;YEAR($N333))),9,_xlfn.IFNA(INDEX($D$2:$D$4001,_xlfn.XMATCH(K$1&amp;"-"&amp;$F333,YEAR($B$2:$B$4001)&amp;"-"&amp;$A$2:$A$4001,0,-1)),J333))</f>
        <v>3</v>
      </c>
      <c r="L333" cm="1">
        <f t="array" ref="L333">IF(OR(AND(K333=9,L$1&gt;YEAR($N333))),9,_xlfn.IFNA(INDEX($D$2:$D$4001,_xlfn.XMATCH(L$1&amp;"-"&amp;$F333,YEAR($B$2:$B$4001)&amp;"-"&amp;$A$2:$A$4001,0,-1)),K333))</f>
        <v>0</v>
      </c>
      <c r="M333" cm="1">
        <f t="array" ref="M333">IF(OR(AND(L333=9,M$1&gt;YEAR($N333))),9,_xlfn.IFNA(INDEX($D$2:$D$4001,_xlfn.XMATCH(M$1&amp;"-"&amp;$F333,YEAR($B$2:$B$4001)&amp;"-"&amp;$A$2:$A$4001,0,-1)),L333))</f>
        <v>0</v>
      </c>
      <c r="N333" s="1">
        <f t="shared" si="5"/>
        <v>36768</v>
      </c>
    </row>
    <row r="334" spans="1:14" x14ac:dyDescent="0.35">
      <c r="A334">
        <v>171</v>
      </c>
      <c r="B334" s="2">
        <v>36676</v>
      </c>
      <c r="C334">
        <v>3</v>
      </c>
      <c r="D334">
        <v>3</v>
      </c>
      <c r="F334">
        <v>333</v>
      </c>
      <c r="G334" cm="1">
        <f t="array" ref="G334">_xlfn.IFNA(INDEX($D$2:$D$4001,_xlfn.XMATCH(G$1&amp;"-"&amp;$F334,YEAR($B$2:$B$4001)&amp;"-"&amp;$A$2:$A$4001,0,-1)),9)</f>
        <v>0</v>
      </c>
      <c r="H334" cm="1">
        <f t="array" ref="H334">IF(OR(AND(G334=9,H$1&gt;YEAR($N334))),9,_xlfn.IFNA(INDEX($D$2:$D$4001,_xlfn.XMATCH(H$1&amp;"-"&amp;$F334,YEAR($B$2:$B$4001)&amp;"-"&amp;$A$2:$A$4001,0,-1)),G334))</f>
        <v>0</v>
      </c>
      <c r="I334" cm="1">
        <f t="array" ref="I334">IF(OR(AND(H334=9,I$1&gt;YEAR($N334))),9,_xlfn.IFNA(INDEX($D$2:$D$4001,_xlfn.XMATCH(I$1&amp;"-"&amp;$F334,YEAR($B$2:$B$4001)&amp;"-"&amp;$A$2:$A$4001,0,-1)),H334))</f>
        <v>0</v>
      </c>
      <c r="J334" cm="1">
        <f t="array" ref="J334">IF(OR(AND(I334=9,J$1&gt;YEAR($N334))),9,_xlfn.IFNA(INDEX($D$2:$D$4001,_xlfn.XMATCH(J$1&amp;"-"&amp;$F334,YEAR($B$2:$B$4001)&amp;"-"&amp;$A$2:$A$4001,0,-1)),I334))</f>
        <v>0</v>
      </c>
      <c r="K334" cm="1">
        <f t="array" ref="K334">IF(OR(AND(J334=9,K$1&gt;YEAR($N334))),9,_xlfn.IFNA(INDEX($D$2:$D$4001,_xlfn.XMATCH(K$1&amp;"-"&amp;$F334,YEAR($B$2:$B$4001)&amp;"-"&amp;$A$2:$A$4001,0,-1)),J334))</f>
        <v>0</v>
      </c>
      <c r="L334" cm="1">
        <f t="array" ref="L334">IF(OR(AND(K334=9,L$1&gt;YEAR($N334))),9,_xlfn.IFNA(INDEX($D$2:$D$4001,_xlfn.XMATCH(L$1&amp;"-"&amp;$F334,YEAR($B$2:$B$4001)&amp;"-"&amp;$A$2:$A$4001,0,-1)),K334))</f>
        <v>0</v>
      </c>
      <c r="M334" cm="1">
        <f t="array" ref="M334">IF(OR(AND(L334=9,M$1&gt;YEAR($N334))),9,_xlfn.IFNA(INDEX($D$2:$D$4001,_xlfn.XMATCH(M$1&amp;"-"&amp;$F334,YEAR($B$2:$B$4001)&amp;"-"&amp;$A$2:$A$4001,0,-1)),L334))</f>
        <v>0</v>
      </c>
      <c r="N334" s="1">
        <f t="shared" si="5"/>
        <v>36301</v>
      </c>
    </row>
    <row r="335" spans="1:14" x14ac:dyDescent="0.35">
      <c r="A335">
        <v>171</v>
      </c>
      <c r="B335" s="2">
        <v>38351</v>
      </c>
      <c r="C335">
        <v>3</v>
      </c>
      <c r="D335">
        <v>3</v>
      </c>
      <c r="F335">
        <v>334</v>
      </c>
      <c r="G335" cm="1">
        <f t="array" ref="G335">_xlfn.IFNA(INDEX($D$2:$D$4001,_xlfn.XMATCH(G$1&amp;"-"&amp;$F335,YEAR($B$2:$B$4001)&amp;"-"&amp;$A$2:$A$4001,0,-1)),9)</f>
        <v>8</v>
      </c>
      <c r="H335" cm="1">
        <f t="array" ref="H335">IF(OR(AND(G335=9,H$1&gt;YEAR($N335))),9,_xlfn.IFNA(INDEX($D$2:$D$4001,_xlfn.XMATCH(H$1&amp;"-"&amp;$F335,YEAR($B$2:$B$4001)&amp;"-"&amp;$A$2:$A$4001,0,-1)),G335))</f>
        <v>8</v>
      </c>
      <c r="I335" cm="1">
        <f t="array" ref="I335">IF(OR(AND(H335=9,I$1&gt;YEAR($N335))),9,_xlfn.IFNA(INDEX($D$2:$D$4001,_xlfn.XMATCH(I$1&amp;"-"&amp;$F335,YEAR($B$2:$B$4001)&amp;"-"&amp;$A$2:$A$4001,0,-1)),H335))</f>
        <v>8</v>
      </c>
      <c r="J335" cm="1">
        <f t="array" ref="J335">IF(OR(AND(I335=9,J$1&gt;YEAR($N335))),9,_xlfn.IFNA(INDEX($D$2:$D$4001,_xlfn.XMATCH(J$1&amp;"-"&amp;$F335,YEAR($B$2:$B$4001)&amp;"-"&amp;$A$2:$A$4001,0,-1)),I335))</f>
        <v>8</v>
      </c>
      <c r="K335" cm="1">
        <f t="array" ref="K335">IF(OR(AND(J335=9,K$1&gt;YEAR($N335))),9,_xlfn.IFNA(INDEX($D$2:$D$4001,_xlfn.XMATCH(K$1&amp;"-"&amp;$F335,YEAR($B$2:$B$4001)&amp;"-"&amp;$A$2:$A$4001,0,-1)),J335))</f>
        <v>8</v>
      </c>
      <c r="L335" cm="1">
        <f t="array" ref="L335">IF(OR(AND(K335=9,L$1&gt;YEAR($N335))),9,_xlfn.IFNA(INDEX($D$2:$D$4001,_xlfn.XMATCH(L$1&amp;"-"&amp;$F335,YEAR($B$2:$B$4001)&amp;"-"&amp;$A$2:$A$4001,0,-1)),K335))</f>
        <v>8</v>
      </c>
      <c r="M335" cm="1">
        <f t="array" ref="M335">IF(OR(AND(L335=9,M$1&gt;YEAR($N335))),9,_xlfn.IFNA(INDEX($D$2:$D$4001,_xlfn.XMATCH(M$1&amp;"-"&amp;$F335,YEAR($B$2:$B$4001)&amp;"-"&amp;$A$2:$A$4001,0,-1)),L335))</f>
        <v>8</v>
      </c>
      <c r="N335" s="1">
        <f t="shared" si="5"/>
        <v>36310</v>
      </c>
    </row>
    <row r="336" spans="1:14" x14ac:dyDescent="0.35">
      <c r="A336">
        <v>172</v>
      </c>
      <c r="B336" s="2">
        <v>37915</v>
      </c>
      <c r="C336">
        <v>3</v>
      </c>
      <c r="D336">
        <v>3</v>
      </c>
      <c r="F336">
        <v>335</v>
      </c>
      <c r="G336" cm="1">
        <f t="array" ref="G336">_xlfn.IFNA(INDEX($D$2:$D$4001,_xlfn.XMATCH(G$1&amp;"-"&amp;$F336,YEAR($B$2:$B$4001)&amp;"-"&amp;$A$2:$A$4001,0,-1)),9)</f>
        <v>9</v>
      </c>
      <c r="H336" cm="1">
        <f t="array" ref="H336">IF(OR(AND(G336=9,H$1&gt;YEAR($N336))),9,_xlfn.IFNA(INDEX($D$2:$D$4001,_xlfn.XMATCH(H$1&amp;"-"&amp;$F336,YEAR($B$2:$B$4001)&amp;"-"&amp;$A$2:$A$4001,0,-1)),G336))</f>
        <v>9</v>
      </c>
      <c r="I336" cm="1">
        <f t="array" ref="I336">IF(OR(AND(H336=9,I$1&gt;YEAR($N336))),9,_xlfn.IFNA(INDEX($D$2:$D$4001,_xlfn.XMATCH(I$1&amp;"-"&amp;$F336,YEAR($B$2:$B$4001)&amp;"-"&amp;$A$2:$A$4001,0,-1)),H336))</f>
        <v>4</v>
      </c>
      <c r="J336" cm="1">
        <f t="array" ref="J336">IF(OR(AND(I336=9,J$1&gt;YEAR($N336))),9,_xlfn.IFNA(INDEX($D$2:$D$4001,_xlfn.XMATCH(J$1&amp;"-"&amp;$F336,YEAR($B$2:$B$4001)&amp;"-"&amp;$A$2:$A$4001,0,-1)),I336))</f>
        <v>4</v>
      </c>
      <c r="K336" cm="1">
        <f t="array" ref="K336">IF(OR(AND(J336=9,K$1&gt;YEAR($N336))),9,_xlfn.IFNA(INDEX($D$2:$D$4001,_xlfn.XMATCH(K$1&amp;"-"&amp;$F336,YEAR($B$2:$B$4001)&amp;"-"&amp;$A$2:$A$4001,0,-1)),J336))</f>
        <v>3</v>
      </c>
      <c r="L336" cm="1">
        <f t="array" ref="L336">IF(OR(AND(K336=9,L$1&gt;YEAR($N336))),9,_xlfn.IFNA(INDEX($D$2:$D$4001,_xlfn.XMATCH(L$1&amp;"-"&amp;$F336,YEAR($B$2:$B$4001)&amp;"-"&amp;$A$2:$A$4001,0,-1)),K336))</f>
        <v>3</v>
      </c>
      <c r="M336" cm="1">
        <f t="array" ref="M336">IF(OR(AND(L336=9,M$1&gt;YEAR($N336))),9,_xlfn.IFNA(INDEX($D$2:$D$4001,_xlfn.XMATCH(M$1&amp;"-"&amp;$F336,YEAR($B$2:$B$4001)&amp;"-"&amp;$A$2:$A$4001,0,-1)),L336))</f>
        <v>3</v>
      </c>
      <c r="N336" s="1">
        <f t="shared" si="5"/>
        <v>37133</v>
      </c>
    </row>
    <row r="337" spans="1:14" x14ac:dyDescent="0.35">
      <c r="A337">
        <v>173</v>
      </c>
      <c r="B337" s="2">
        <v>37255</v>
      </c>
      <c r="C337">
        <v>2</v>
      </c>
      <c r="D337">
        <v>2</v>
      </c>
      <c r="F337">
        <v>336</v>
      </c>
      <c r="G337" cm="1">
        <f t="array" ref="G337">_xlfn.IFNA(INDEX($D$2:$D$4001,_xlfn.XMATCH(G$1&amp;"-"&amp;$F337,YEAR($B$2:$B$4001)&amp;"-"&amp;$A$2:$A$4001,0,-1)),9)</f>
        <v>9</v>
      </c>
      <c r="H337" cm="1">
        <f t="array" ref="H337">IF(OR(AND(G337=9,H$1&gt;YEAR($N337))),9,_xlfn.IFNA(INDEX($D$2:$D$4001,_xlfn.XMATCH(H$1&amp;"-"&amp;$F337,YEAR($B$2:$B$4001)&amp;"-"&amp;$A$2:$A$4001,0,-1)),G337))</f>
        <v>9</v>
      </c>
      <c r="I337" cm="1">
        <f t="array" ref="I337">IF(OR(AND(H337=9,I$1&gt;YEAR($N337))),9,_xlfn.IFNA(INDEX($D$2:$D$4001,_xlfn.XMATCH(I$1&amp;"-"&amp;$F337,YEAR($B$2:$B$4001)&amp;"-"&amp;$A$2:$A$4001,0,-1)),H337))</f>
        <v>9</v>
      </c>
      <c r="J337" cm="1">
        <f t="array" ref="J337">IF(OR(AND(I337=9,J$1&gt;YEAR($N337))),9,_xlfn.IFNA(INDEX($D$2:$D$4001,_xlfn.XMATCH(J$1&amp;"-"&amp;$F337,YEAR($B$2:$B$4001)&amp;"-"&amp;$A$2:$A$4001,0,-1)),I337))</f>
        <v>9</v>
      </c>
      <c r="K337" cm="1">
        <f t="array" ref="K337">IF(OR(AND(J337=9,K$1&gt;YEAR($N337))),9,_xlfn.IFNA(INDEX($D$2:$D$4001,_xlfn.XMATCH(K$1&amp;"-"&amp;$F337,YEAR($B$2:$B$4001)&amp;"-"&amp;$A$2:$A$4001,0,-1)),J337))</f>
        <v>4</v>
      </c>
      <c r="L337" cm="1">
        <f t="array" ref="L337">IF(OR(AND(K337=9,L$1&gt;YEAR($N337))),9,_xlfn.IFNA(INDEX($D$2:$D$4001,_xlfn.XMATCH(L$1&amp;"-"&amp;$F337,YEAR($B$2:$B$4001)&amp;"-"&amp;$A$2:$A$4001,0,-1)),K337))</f>
        <v>4</v>
      </c>
      <c r="M337" cm="1">
        <f t="array" ref="M337">IF(OR(AND(L337=9,M$1&gt;YEAR($N337))),9,_xlfn.IFNA(INDEX($D$2:$D$4001,_xlfn.XMATCH(M$1&amp;"-"&amp;$F337,YEAR($B$2:$B$4001)&amp;"-"&amp;$A$2:$A$4001,0,-1)),L337))</f>
        <v>4</v>
      </c>
      <c r="N337" s="1">
        <f t="shared" si="5"/>
        <v>37771</v>
      </c>
    </row>
    <row r="338" spans="1:14" x14ac:dyDescent="0.35">
      <c r="A338">
        <v>173</v>
      </c>
      <c r="B338" s="2">
        <v>37406</v>
      </c>
      <c r="C338">
        <v>3</v>
      </c>
      <c r="D338">
        <v>3</v>
      </c>
      <c r="F338">
        <v>337</v>
      </c>
      <c r="G338" cm="1">
        <f t="array" ref="G338">_xlfn.IFNA(INDEX($D$2:$D$4001,_xlfn.XMATCH(G$1&amp;"-"&amp;$F338,YEAR($B$2:$B$4001)&amp;"-"&amp;$A$2:$A$4001,0,-1)),9)</f>
        <v>9</v>
      </c>
      <c r="H338" cm="1">
        <f t="array" ref="H338">IF(OR(AND(G338=9,H$1&gt;YEAR($N338))),9,_xlfn.IFNA(INDEX($D$2:$D$4001,_xlfn.XMATCH(H$1&amp;"-"&amp;$F338,YEAR($B$2:$B$4001)&amp;"-"&amp;$A$2:$A$4001,0,-1)),G338))</f>
        <v>9</v>
      </c>
      <c r="I338" cm="1">
        <f t="array" ref="I338">IF(OR(AND(H338=9,I$1&gt;YEAR($N338))),9,_xlfn.IFNA(INDEX($D$2:$D$4001,_xlfn.XMATCH(I$1&amp;"-"&amp;$F338,YEAR($B$2:$B$4001)&amp;"-"&amp;$A$2:$A$4001,0,-1)),H338))</f>
        <v>9</v>
      </c>
      <c r="J338" cm="1">
        <f t="array" ref="J338">IF(OR(AND(I338=9,J$1&gt;YEAR($N338))),9,_xlfn.IFNA(INDEX($D$2:$D$4001,_xlfn.XMATCH(J$1&amp;"-"&amp;$F338,YEAR($B$2:$B$4001)&amp;"-"&amp;$A$2:$A$4001,0,-1)),I338))</f>
        <v>4</v>
      </c>
      <c r="K338" cm="1">
        <f t="array" ref="K338">IF(OR(AND(J338=9,K$1&gt;YEAR($N338))),9,_xlfn.IFNA(INDEX($D$2:$D$4001,_xlfn.XMATCH(K$1&amp;"-"&amp;$F338,YEAR($B$2:$B$4001)&amp;"-"&amp;$A$2:$A$4001,0,-1)),J338))</f>
        <v>4</v>
      </c>
      <c r="L338" cm="1">
        <f t="array" ref="L338">IF(OR(AND(K338=9,L$1&gt;YEAR($N338))),9,_xlfn.IFNA(INDEX($D$2:$D$4001,_xlfn.XMATCH(L$1&amp;"-"&amp;$F338,YEAR($B$2:$B$4001)&amp;"-"&amp;$A$2:$A$4001,0,-1)),K338))</f>
        <v>4</v>
      </c>
      <c r="M338" cm="1">
        <f t="array" ref="M338">IF(OR(AND(L338=9,M$1&gt;YEAR($N338))),9,_xlfn.IFNA(INDEX($D$2:$D$4001,_xlfn.XMATCH(M$1&amp;"-"&amp;$F338,YEAR($B$2:$B$4001)&amp;"-"&amp;$A$2:$A$4001,0,-1)),L338))</f>
        <v>4</v>
      </c>
      <c r="N338" s="1">
        <f t="shared" si="5"/>
        <v>37590</v>
      </c>
    </row>
    <row r="339" spans="1:14" x14ac:dyDescent="0.35">
      <c r="A339">
        <v>173</v>
      </c>
      <c r="B339" s="2">
        <v>37762</v>
      </c>
      <c r="C339">
        <v>0</v>
      </c>
      <c r="D339">
        <v>0</v>
      </c>
      <c r="F339">
        <v>338</v>
      </c>
      <c r="G339" cm="1">
        <f t="array" ref="G339">_xlfn.IFNA(INDEX($D$2:$D$4001,_xlfn.XMATCH(G$1&amp;"-"&amp;$F339,YEAR($B$2:$B$4001)&amp;"-"&amp;$A$2:$A$4001,0,-1)),9)</f>
        <v>9</v>
      </c>
      <c r="H339" cm="1">
        <f t="array" ref="H339">IF(OR(AND(G339=9,H$1&gt;YEAR($N339))),9,_xlfn.IFNA(INDEX($D$2:$D$4001,_xlfn.XMATCH(H$1&amp;"-"&amp;$F339,YEAR($B$2:$B$4001)&amp;"-"&amp;$A$2:$A$4001,0,-1)),G339))</f>
        <v>3</v>
      </c>
      <c r="I339" cm="1">
        <f t="array" ref="I339">IF(OR(AND(H339=9,I$1&gt;YEAR($N339))),9,_xlfn.IFNA(INDEX($D$2:$D$4001,_xlfn.XMATCH(I$1&amp;"-"&amp;$F339,YEAR($B$2:$B$4001)&amp;"-"&amp;$A$2:$A$4001,0,-1)),H339))</f>
        <v>3</v>
      </c>
      <c r="J339" cm="1">
        <f t="array" ref="J339">IF(OR(AND(I339=9,J$1&gt;YEAR($N339))),9,_xlfn.IFNA(INDEX($D$2:$D$4001,_xlfn.XMATCH(J$1&amp;"-"&amp;$F339,YEAR($B$2:$B$4001)&amp;"-"&amp;$A$2:$A$4001,0,-1)),I339))</f>
        <v>3</v>
      </c>
      <c r="K339" cm="1">
        <f t="array" ref="K339">IF(OR(AND(J339=9,K$1&gt;YEAR($N339))),9,_xlfn.IFNA(INDEX($D$2:$D$4001,_xlfn.XMATCH(K$1&amp;"-"&amp;$F339,YEAR($B$2:$B$4001)&amp;"-"&amp;$A$2:$A$4001,0,-1)),J339))</f>
        <v>3</v>
      </c>
      <c r="L339" cm="1">
        <f t="array" ref="L339">IF(OR(AND(K339=9,L$1&gt;YEAR($N339))),9,_xlfn.IFNA(INDEX($D$2:$D$4001,_xlfn.XMATCH(L$1&amp;"-"&amp;$F339,YEAR($B$2:$B$4001)&amp;"-"&amp;$A$2:$A$4001,0,-1)),K339))</f>
        <v>3</v>
      </c>
      <c r="M339" cm="1">
        <f t="array" ref="M339">IF(OR(AND(L339=9,M$1&gt;YEAR($N339))),9,_xlfn.IFNA(INDEX($D$2:$D$4001,_xlfn.XMATCH(M$1&amp;"-"&amp;$F339,YEAR($B$2:$B$4001)&amp;"-"&amp;$A$2:$A$4001,0,-1)),L339))</f>
        <v>3</v>
      </c>
      <c r="N339" s="1">
        <f t="shared" si="5"/>
        <v>36672</v>
      </c>
    </row>
    <row r="340" spans="1:14" x14ac:dyDescent="0.35">
      <c r="A340">
        <v>173</v>
      </c>
      <c r="B340" s="2">
        <v>38168</v>
      </c>
      <c r="C340">
        <v>2</v>
      </c>
      <c r="D340">
        <v>2</v>
      </c>
      <c r="F340">
        <v>339</v>
      </c>
      <c r="G340" cm="1">
        <f t="array" ref="G340">_xlfn.IFNA(INDEX($D$2:$D$4001,_xlfn.XMATCH(G$1&amp;"-"&amp;$F340,YEAR($B$2:$B$4001)&amp;"-"&amp;$A$2:$A$4001,0,-1)),9)</f>
        <v>4</v>
      </c>
      <c r="H340" cm="1">
        <f t="array" ref="H340">IF(OR(AND(G340=9,H$1&gt;YEAR($N340))),9,_xlfn.IFNA(INDEX($D$2:$D$4001,_xlfn.XMATCH(H$1&amp;"-"&amp;$F340,YEAR($B$2:$B$4001)&amp;"-"&amp;$A$2:$A$4001,0,-1)),G340))</f>
        <v>4</v>
      </c>
      <c r="I340" cm="1">
        <f t="array" ref="I340">IF(OR(AND(H340=9,I$1&gt;YEAR($N340))),9,_xlfn.IFNA(INDEX($D$2:$D$4001,_xlfn.XMATCH(I$1&amp;"-"&amp;$F340,YEAR($B$2:$B$4001)&amp;"-"&amp;$A$2:$A$4001,0,-1)),H340))</f>
        <v>4</v>
      </c>
      <c r="J340" cm="1">
        <f t="array" ref="J340">IF(OR(AND(I340=9,J$1&gt;YEAR($N340))),9,_xlfn.IFNA(INDEX($D$2:$D$4001,_xlfn.XMATCH(J$1&amp;"-"&amp;$F340,YEAR($B$2:$B$4001)&amp;"-"&amp;$A$2:$A$4001,0,-1)),I340))</f>
        <v>4</v>
      </c>
      <c r="K340" cm="1">
        <f t="array" ref="K340">IF(OR(AND(J340=9,K$1&gt;YEAR($N340))),9,_xlfn.IFNA(INDEX($D$2:$D$4001,_xlfn.XMATCH(K$1&amp;"-"&amp;$F340,YEAR($B$2:$B$4001)&amp;"-"&amp;$A$2:$A$4001,0,-1)),J340))</f>
        <v>4</v>
      </c>
      <c r="L340" cm="1">
        <f t="array" ref="L340">IF(OR(AND(K340=9,L$1&gt;YEAR($N340))),9,_xlfn.IFNA(INDEX($D$2:$D$4001,_xlfn.XMATCH(L$1&amp;"-"&amp;$F340,YEAR($B$2:$B$4001)&amp;"-"&amp;$A$2:$A$4001,0,-1)),K340))</f>
        <v>4</v>
      </c>
      <c r="M340" cm="1">
        <f t="array" ref="M340">IF(OR(AND(L340=9,M$1&gt;YEAR($N340))),9,_xlfn.IFNA(INDEX($D$2:$D$4001,_xlfn.XMATCH(M$1&amp;"-"&amp;$F340,YEAR($B$2:$B$4001)&amp;"-"&amp;$A$2:$A$4001,0,-1)),L340))</f>
        <v>4</v>
      </c>
      <c r="N340" s="1">
        <f t="shared" si="5"/>
        <v>36371</v>
      </c>
    </row>
    <row r="341" spans="1:14" x14ac:dyDescent="0.35">
      <c r="A341">
        <v>174</v>
      </c>
      <c r="B341" s="2">
        <v>36524</v>
      </c>
      <c r="C341">
        <v>0</v>
      </c>
      <c r="D341">
        <v>0</v>
      </c>
      <c r="F341">
        <v>340</v>
      </c>
      <c r="G341" cm="1">
        <f t="array" ref="G341">_xlfn.IFNA(INDEX($D$2:$D$4001,_xlfn.XMATCH(G$1&amp;"-"&amp;$F341,YEAR($B$2:$B$4001)&amp;"-"&amp;$A$2:$A$4001,0,-1)),9)</f>
        <v>5</v>
      </c>
      <c r="H341" cm="1">
        <f t="array" ref="H341">IF(OR(AND(G341=9,H$1&gt;YEAR($N341))),9,_xlfn.IFNA(INDEX($D$2:$D$4001,_xlfn.XMATCH(H$1&amp;"-"&amp;$F341,YEAR($B$2:$B$4001)&amp;"-"&amp;$A$2:$A$4001,0,-1)),G341))</f>
        <v>5</v>
      </c>
      <c r="I341" cm="1">
        <f t="array" ref="I341">IF(OR(AND(H341=9,I$1&gt;YEAR($N341))),9,_xlfn.IFNA(INDEX($D$2:$D$4001,_xlfn.XMATCH(I$1&amp;"-"&amp;$F341,YEAR($B$2:$B$4001)&amp;"-"&amp;$A$2:$A$4001,0,-1)),H341))</f>
        <v>5</v>
      </c>
      <c r="J341" cm="1">
        <f t="array" ref="J341">IF(OR(AND(I341=9,J$1&gt;YEAR($N341))),9,_xlfn.IFNA(INDEX($D$2:$D$4001,_xlfn.XMATCH(J$1&amp;"-"&amp;$F341,YEAR($B$2:$B$4001)&amp;"-"&amp;$A$2:$A$4001,0,-1)),I341))</f>
        <v>5</v>
      </c>
      <c r="K341" cm="1">
        <f t="array" ref="K341">IF(OR(AND(J341=9,K$1&gt;YEAR($N341))),9,_xlfn.IFNA(INDEX($D$2:$D$4001,_xlfn.XMATCH(K$1&amp;"-"&amp;$F341,YEAR($B$2:$B$4001)&amp;"-"&amp;$A$2:$A$4001,0,-1)),J341))</f>
        <v>6</v>
      </c>
      <c r="L341" cm="1">
        <f t="array" ref="L341">IF(OR(AND(K341=9,L$1&gt;YEAR($N341))),9,_xlfn.IFNA(INDEX($D$2:$D$4001,_xlfn.XMATCH(L$1&amp;"-"&amp;$F341,YEAR($B$2:$B$4001)&amp;"-"&amp;$A$2:$A$4001,0,-1)),K341))</f>
        <v>6</v>
      </c>
      <c r="M341" cm="1">
        <f t="array" ref="M341">IF(OR(AND(L341=9,M$1&gt;YEAR($N341))),9,_xlfn.IFNA(INDEX($D$2:$D$4001,_xlfn.XMATCH(M$1&amp;"-"&amp;$F341,YEAR($B$2:$B$4001)&amp;"-"&amp;$A$2:$A$4001,0,-1)),L341))</f>
        <v>6</v>
      </c>
      <c r="N341" s="1">
        <f t="shared" si="5"/>
        <v>36310</v>
      </c>
    </row>
    <row r="342" spans="1:14" x14ac:dyDescent="0.35">
      <c r="A342">
        <v>175</v>
      </c>
      <c r="B342" s="2">
        <v>38351</v>
      </c>
      <c r="C342">
        <v>4</v>
      </c>
      <c r="D342">
        <v>4</v>
      </c>
      <c r="F342">
        <v>341</v>
      </c>
      <c r="G342" cm="1">
        <f t="array" ref="G342">_xlfn.IFNA(INDEX($D$2:$D$4001,_xlfn.XMATCH(G$1&amp;"-"&amp;$F342,YEAR($B$2:$B$4001)&amp;"-"&amp;$A$2:$A$4001,0,-1)),9)</f>
        <v>9</v>
      </c>
      <c r="H342" cm="1">
        <f t="array" ref="H342">IF(OR(AND(G342=9,H$1&gt;YEAR($N342))),9,_xlfn.IFNA(INDEX($D$2:$D$4001,_xlfn.XMATCH(H$1&amp;"-"&amp;$F342,YEAR($B$2:$B$4001)&amp;"-"&amp;$A$2:$A$4001,0,-1)),G342))</f>
        <v>9</v>
      </c>
      <c r="I342" cm="1">
        <f t="array" ref="I342">IF(OR(AND(H342=9,I$1&gt;YEAR($N342))),9,_xlfn.IFNA(INDEX($D$2:$D$4001,_xlfn.XMATCH(I$1&amp;"-"&amp;$F342,YEAR($B$2:$B$4001)&amp;"-"&amp;$A$2:$A$4001,0,-1)),H342))</f>
        <v>9</v>
      </c>
      <c r="J342" cm="1">
        <f t="array" ref="J342">IF(OR(AND(I342=9,J$1&gt;YEAR($N342))),9,_xlfn.IFNA(INDEX($D$2:$D$4001,_xlfn.XMATCH(J$1&amp;"-"&amp;$F342,YEAR($B$2:$B$4001)&amp;"-"&amp;$A$2:$A$4001,0,-1)),I342))</f>
        <v>9</v>
      </c>
      <c r="K342" cm="1">
        <f t="array" ref="K342">IF(OR(AND(J342=9,K$1&gt;YEAR($N342))),9,_xlfn.IFNA(INDEX($D$2:$D$4001,_xlfn.XMATCH(K$1&amp;"-"&amp;$F342,YEAR($B$2:$B$4001)&amp;"-"&amp;$A$2:$A$4001,0,-1)),J342))</f>
        <v>9</v>
      </c>
      <c r="L342" cm="1">
        <f t="array" ref="L342">IF(OR(AND(K342=9,L$1&gt;YEAR($N342))),9,_xlfn.IFNA(INDEX($D$2:$D$4001,_xlfn.XMATCH(L$1&amp;"-"&amp;$F342,YEAR($B$2:$B$4001)&amp;"-"&amp;$A$2:$A$4001,0,-1)),K342))</f>
        <v>2</v>
      </c>
      <c r="M342" cm="1">
        <f t="array" ref="M342">IF(OR(AND(L342=9,M$1&gt;YEAR($N342))),9,_xlfn.IFNA(INDEX($D$2:$D$4001,_xlfn.XMATCH(M$1&amp;"-"&amp;$F342,YEAR($B$2:$B$4001)&amp;"-"&amp;$A$2:$A$4001,0,-1)),L342))</f>
        <v>2</v>
      </c>
      <c r="N342" s="1">
        <f t="shared" si="5"/>
        <v>38128</v>
      </c>
    </row>
    <row r="343" spans="1:14" x14ac:dyDescent="0.35">
      <c r="A343">
        <v>176</v>
      </c>
      <c r="B343" s="2">
        <v>36341</v>
      </c>
      <c r="C343">
        <v>5</v>
      </c>
      <c r="D343">
        <v>5</v>
      </c>
      <c r="F343">
        <v>342</v>
      </c>
      <c r="G343" cm="1">
        <f t="array" ref="G343">_xlfn.IFNA(INDEX($D$2:$D$4001,_xlfn.XMATCH(G$1&amp;"-"&amp;$F343,YEAR($B$2:$B$4001)&amp;"-"&amp;$A$2:$A$4001,0,-1)),9)</f>
        <v>6</v>
      </c>
      <c r="H343" cm="1">
        <f t="array" ref="H343">IF(OR(AND(G343=9,H$1&gt;YEAR($N343))),9,_xlfn.IFNA(INDEX($D$2:$D$4001,_xlfn.XMATCH(H$1&amp;"-"&amp;$F343,YEAR($B$2:$B$4001)&amp;"-"&amp;$A$2:$A$4001,0,-1)),G343))</f>
        <v>6</v>
      </c>
      <c r="I343" cm="1">
        <f t="array" ref="I343">IF(OR(AND(H343=9,I$1&gt;YEAR($N343))),9,_xlfn.IFNA(INDEX($D$2:$D$4001,_xlfn.XMATCH(I$1&amp;"-"&amp;$F343,YEAR($B$2:$B$4001)&amp;"-"&amp;$A$2:$A$4001,0,-1)),H343))</f>
        <v>8</v>
      </c>
      <c r="J343" cm="1">
        <f t="array" ref="J343">IF(OR(AND(I343=9,J$1&gt;YEAR($N343))),9,_xlfn.IFNA(INDEX($D$2:$D$4001,_xlfn.XMATCH(J$1&amp;"-"&amp;$F343,YEAR($B$2:$B$4001)&amp;"-"&amp;$A$2:$A$4001,0,-1)),I343))</f>
        <v>8</v>
      </c>
      <c r="K343" cm="1">
        <f t="array" ref="K343">IF(OR(AND(J343=9,K$1&gt;YEAR($N343))),9,_xlfn.IFNA(INDEX($D$2:$D$4001,_xlfn.XMATCH(K$1&amp;"-"&amp;$F343,YEAR($B$2:$B$4001)&amp;"-"&amp;$A$2:$A$4001,0,-1)),J343))</f>
        <v>8</v>
      </c>
      <c r="L343" cm="1">
        <f t="array" ref="L343">IF(OR(AND(K343=9,L$1&gt;YEAR($N343))),9,_xlfn.IFNA(INDEX($D$2:$D$4001,_xlfn.XMATCH(L$1&amp;"-"&amp;$F343,YEAR($B$2:$B$4001)&amp;"-"&amp;$A$2:$A$4001,0,-1)),K343))</f>
        <v>8</v>
      </c>
      <c r="M343" cm="1">
        <f t="array" ref="M343">IF(OR(AND(L343=9,M$1&gt;YEAR($N343))),9,_xlfn.IFNA(INDEX($D$2:$D$4001,_xlfn.XMATCH(M$1&amp;"-"&amp;$F343,YEAR($B$2:$B$4001)&amp;"-"&amp;$A$2:$A$4001,0,-1)),L343))</f>
        <v>8</v>
      </c>
      <c r="N343" s="1">
        <f t="shared" si="5"/>
        <v>36524</v>
      </c>
    </row>
    <row r="344" spans="1:14" x14ac:dyDescent="0.35">
      <c r="A344">
        <v>176</v>
      </c>
      <c r="B344" s="2">
        <v>36667</v>
      </c>
      <c r="C344">
        <v>5</v>
      </c>
      <c r="D344">
        <v>5</v>
      </c>
      <c r="F344">
        <v>343</v>
      </c>
      <c r="G344" cm="1">
        <f t="array" ref="G344">_xlfn.IFNA(INDEX($D$2:$D$4001,_xlfn.XMATCH(G$1&amp;"-"&amp;$F344,YEAR($B$2:$B$4001)&amp;"-"&amp;$A$2:$A$4001,0,-1)),9)</f>
        <v>9</v>
      </c>
      <c r="H344" cm="1">
        <f t="array" ref="H344">IF(OR(AND(G344=9,H$1&gt;YEAR($N344))),9,_xlfn.IFNA(INDEX($D$2:$D$4001,_xlfn.XMATCH(H$1&amp;"-"&amp;$F344,YEAR($B$2:$B$4001)&amp;"-"&amp;$A$2:$A$4001,0,-1)),G344))</f>
        <v>9</v>
      </c>
      <c r="I344" cm="1">
        <f t="array" ref="I344">IF(OR(AND(H344=9,I$1&gt;YEAR($N344))),9,_xlfn.IFNA(INDEX($D$2:$D$4001,_xlfn.XMATCH(I$1&amp;"-"&amp;$F344,YEAR($B$2:$B$4001)&amp;"-"&amp;$A$2:$A$4001,0,-1)),H344))</f>
        <v>9</v>
      </c>
      <c r="J344" cm="1">
        <f t="array" ref="J344">IF(OR(AND(I344=9,J$1&gt;YEAR($N344))),9,_xlfn.IFNA(INDEX($D$2:$D$4001,_xlfn.XMATCH(J$1&amp;"-"&amp;$F344,YEAR($B$2:$B$4001)&amp;"-"&amp;$A$2:$A$4001,0,-1)),I344))</f>
        <v>4</v>
      </c>
      <c r="K344" cm="1">
        <f t="array" ref="K344">IF(OR(AND(J344=9,K$1&gt;YEAR($N344))),9,_xlfn.IFNA(INDEX($D$2:$D$4001,_xlfn.XMATCH(K$1&amp;"-"&amp;$F344,YEAR($B$2:$B$4001)&amp;"-"&amp;$A$2:$A$4001,0,-1)),J344))</f>
        <v>4</v>
      </c>
      <c r="L344" cm="1">
        <f t="array" ref="L344">IF(OR(AND(K344=9,L$1&gt;YEAR($N344))),9,_xlfn.IFNA(INDEX($D$2:$D$4001,_xlfn.XMATCH(L$1&amp;"-"&amp;$F344,YEAR($B$2:$B$4001)&amp;"-"&amp;$A$2:$A$4001,0,-1)),K344))</f>
        <v>3</v>
      </c>
      <c r="M344" cm="1">
        <f t="array" ref="M344">IF(OR(AND(L344=9,M$1&gt;YEAR($N344))),9,_xlfn.IFNA(INDEX($D$2:$D$4001,_xlfn.XMATCH(M$1&amp;"-"&amp;$F344,YEAR($B$2:$B$4001)&amp;"-"&amp;$A$2:$A$4001,0,-1)),L344))</f>
        <v>3</v>
      </c>
      <c r="N344" s="1">
        <f t="shared" si="5"/>
        <v>37529</v>
      </c>
    </row>
    <row r="345" spans="1:14" x14ac:dyDescent="0.35">
      <c r="A345">
        <v>176</v>
      </c>
      <c r="B345" s="2">
        <v>37406</v>
      </c>
      <c r="C345">
        <v>4</v>
      </c>
      <c r="D345">
        <v>4</v>
      </c>
      <c r="F345">
        <v>344</v>
      </c>
      <c r="G345" cm="1">
        <f t="array" ref="G345">_xlfn.IFNA(INDEX($D$2:$D$4001,_xlfn.XMATCH(G$1&amp;"-"&amp;$F345,YEAR($B$2:$B$4001)&amp;"-"&amp;$A$2:$A$4001,0,-1)),9)</f>
        <v>9</v>
      </c>
      <c r="H345" cm="1">
        <f t="array" ref="H345">IF(OR(AND(G345=9,H$1&gt;YEAR($N345))),9,_xlfn.IFNA(INDEX($D$2:$D$4001,_xlfn.XMATCH(H$1&amp;"-"&amp;$F345,YEAR($B$2:$B$4001)&amp;"-"&amp;$A$2:$A$4001,0,-1)),G345))</f>
        <v>9</v>
      </c>
      <c r="I345" cm="1">
        <f t="array" ref="I345">IF(OR(AND(H345=9,I$1&gt;YEAR($N345))),9,_xlfn.IFNA(INDEX($D$2:$D$4001,_xlfn.XMATCH(I$1&amp;"-"&amp;$F345,YEAR($B$2:$B$4001)&amp;"-"&amp;$A$2:$A$4001,0,-1)),H345))</f>
        <v>4</v>
      </c>
      <c r="J345" cm="1">
        <f t="array" ref="J345">IF(OR(AND(I345=9,J$1&gt;YEAR($N345))),9,_xlfn.IFNA(INDEX($D$2:$D$4001,_xlfn.XMATCH(J$1&amp;"-"&amp;$F345,YEAR($B$2:$B$4001)&amp;"-"&amp;$A$2:$A$4001,0,-1)),I345))</f>
        <v>4</v>
      </c>
      <c r="K345" cm="1">
        <f t="array" ref="K345">IF(OR(AND(J345=9,K$1&gt;YEAR($N345))),9,_xlfn.IFNA(INDEX($D$2:$D$4001,_xlfn.XMATCH(K$1&amp;"-"&amp;$F345,YEAR($B$2:$B$4001)&amp;"-"&amp;$A$2:$A$4001,0,-1)),J345))</f>
        <v>4</v>
      </c>
      <c r="L345" cm="1">
        <f t="array" ref="L345">IF(OR(AND(K345=9,L$1&gt;YEAR($N345))),9,_xlfn.IFNA(INDEX($D$2:$D$4001,_xlfn.XMATCH(L$1&amp;"-"&amp;$F345,YEAR($B$2:$B$4001)&amp;"-"&amp;$A$2:$A$4001,0,-1)),K345))</f>
        <v>4</v>
      </c>
      <c r="M345" cm="1">
        <f t="array" ref="M345">IF(OR(AND(L345=9,M$1&gt;YEAR($N345))),9,_xlfn.IFNA(INDEX($D$2:$D$4001,_xlfn.XMATCH(M$1&amp;"-"&amp;$F345,YEAR($B$2:$B$4001)&amp;"-"&amp;$A$2:$A$4001,0,-1)),L345))</f>
        <v>4</v>
      </c>
      <c r="N345" s="1">
        <f t="shared" si="5"/>
        <v>37041</v>
      </c>
    </row>
    <row r="346" spans="1:14" x14ac:dyDescent="0.35">
      <c r="A346">
        <v>176</v>
      </c>
      <c r="B346" s="2">
        <v>37467</v>
      </c>
      <c r="C346">
        <v>0</v>
      </c>
      <c r="D346">
        <v>0</v>
      </c>
      <c r="F346">
        <v>345</v>
      </c>
      <c r="G346" cm="1">
        <f t="array" ref="G346">_xlfn.IFNA(INDEX($D$2:$D$4001,_xlfn.XMATCH(G$1&amp;"-"&amp;$F346,YEAR($B$2:$B$4001)&amp;"-"&amp;$A$2:$A$4001,0,-1)),9)</f>
        <v>5</v>
      </c>
      <c r="H346" cm="1">
        <f t="array" ref="H346">IF(OR(AND(G346=9,H$1&gt;YEAR($N346))),9,_xlfn.IFNA(INDEX($D$2:$D$4001,_xlfn.XMATCH(H$1&amp;"-"&amp;$F346,YEAR($B$2:$B$4001)&amp;"-"&amp;$A$2:$A$4001,0,-1)),G346))</f>
        <v>0</v>
      </c>
      <c r="I346" cm="1">
        <f t="array" ref="I346">IF(OR(AND(H346=9,I$1&gt;YEAR($N346))),9,_xlfn.IFNA(INDEX($D$2:$D$4001,_xlfn.XMATCH(I$1&amp;"-"&amp;$F346,YEAR($B$2:$B$4001)&amp;"-"&amp;$A$2:$A$4001,0,-1)),H346))</f>
        <v>0</v>
      </c>
      <c r="J346" cm="1">
        <f t="array" ref="J346">IF(OR(AND(I346=9,J$1&gt;YEAR($N346))),9,_xlfn.IFNA(INDEX($D$2:$D$4001,_xlfn.XMATCH(J$1&amp;"-"&amp;$F346,YEAR($B$2:$B$4001)&amp;"-"&amp;$A$2:$A$4001,0,-1)),I346))</f>
        <v>5</v>
      </c>
      <c r="K346" cm="1">
        <f t="array" ref="K346">IF(OR(AND(J346=9,K$1&gt;YEAR($N346))),9,_xlfn.IFNA(INDEX($D$2:$D$4001,_xlfn.XMATCH(K$1&amp;"-"&amp;$F346,YEAR($B$2:$B$4001)&amp;"-"&amp;$A$2:$A$4001,0,-1)),J346))</f>
        <v>5</v>
      </c>
      <c r="L346" cm="1">
        <f t="array" ref="L346">IF(OR(AND(K346=9,L$1&gt;YEAR($N346))),9,_xlfn.IFNA(INDEX($D$2:$D$4001,_xlfn.XMATCH(L$1&amp;"-"&amp;$F346,YEAR($B$2:$B$4001)&amp;"-"&amp;$A$2:$A$4001,0,-1)),K346))</f>
        <v>5</v>
      </c>
      <c r="M346" cm="1">
        <f t="array" ref="M346">IF(OR(AND(L346=9,M$1&gt;YEAR($N346))),9,_xlfn.IFNA(INDEX($D$2:$D$4001,_xlfn.XMATCH(M$1&amp;"-"&amp;$F346,YEAR($B$2:$B$4001)&amp;"-"&amp;$A$2:$A$4001,0,-1)),L346))</f>
        <v>0</v>
      </c>
      <c r="N346" s="1">
        <f t="shared" si="5"/>
        <v>36310</v>
      </c>
    </row>
    <row r="347" spans="1:14" x14ac:dyDescent="0.35">
      <c r="A347">
        <v>177</v>
      </c>
      <c r="B347" s="2">
        <v>38493</v>
      </c>
      <c r="C347">
        <v>2</v>
      </c>
      <c r="D347">
        <v>2</v>
      </c>
      <c r="F347">
        <v>346</v>
      </c>
      <c r="G347" cm="1">
        <f t="array" ref="G347">_xlfn.IFNA(INDEX($D$2:$D$4001,_xlfn.XMATCH(G$1&amp;"-"&amp;$F347,YEAR($B$2:$B$4001)&amp;"-"&amp;$A$2:$A$4001,0,-1)),9)</f>
        <v>9</v>
      </c>
      <c r="H347" cm="1">
        <f t="array" ref="H347">IF(OR(AND(G347=9,H$1&gt;YEAR($N347))),9,_xlfn.IFNA(INDEX($D$2:$D$4001,_xlfn.XMATCH(H$1&amp;"-"&amp;$F347,YEAR($B$2:$B$4001)&amp;"-"&amp;$A$2:$A$4001,0,-1)),G347))</f>
        <v>9</v>
      </c>
      <c r="I347" cm="1">
        <f t="array" ref="I347">IF(OR(AND(H347=9,I$1&gt;YEAR($N347))),9,_xlfn.IFNA(INDEX($D$2:$D$4001,_xlfn.XMATCH(I$1&amp;"-"&amp;$F347,YEAR($B$2:$B$4001)&amp;"-"&amp;$A$2:$A$4001,0,-1)),H347))</f>
        <v>4</v>
      </c>
      <c r="J347" cm="1">
        <f t="array" ref="J347">IF(OR(AND(I347=9,J$1&gt;YEAR($N347))),9,_xlfn.IFNA(INDEX($D$2:$D$4001,_xlfn.XMATCH(J$1&amp;"-"&amp;$F347,YEAR($B$2:$B$4001)&amp;"-"&amp;$A$2:$A$4001,0,-1)),I347))</f>
        <v>5</v>
      </c>
      <c r="K347" cm="1">
        <f t="array" ref="K347">IF(OR(AND(J347=9,K$1&gt;YEAR($N347))),9,_xlfn.IFNA(INDEX($D$2:$D$4001,_xlfn.XMATCH(K$1&amp;"-"&amp;$F347,YEAR($B$2:$B$4001)&amp;"-"&amp;$A$2:$A$4001,0,-1)),J347))</f>
        <v>5</v>
      </c>
      <c r="L347" cm="1">
        <f t="array" ref="L347">IF(OR(AND(K347=9,L$1&gt;YEAR($N347))),9,_xlfn.IFNA(INDEX($D$2:$D$4001,_xlfn.XMATCH(L$1&amp;"-"&amp;$F347,YEAR($B$2:$B$4001)&amp;"-"&amp;$A$2:$A$4001,0,-1)),K347))</f>
        <v>5</v>
      </c>
      <c r="M347" cm="1">
        <f t="array" ref="M347">IF(OR(AND(L347=9,M$1&gt;YEAR($N347))),9,_xlfn.IFNA(INDEX($D$2:$D$4001,_xlfn.XMATCH(M$1&amp;"-"&amp;$F347,YEAR($B$2:$B$4001)&amp;"-"&amp;$A$2:$A$4001,0,-1)),L347))</f>
        <v>5</v>
      </c>
      <c r="N347" s="1">
        <f t="shared" si="5"/>
        <v>37255</v>
      </c>
    </row>
    <row r="348" spans="1:14" x14ac:dyDescent="0.35">
      <c r="A348">
        <v>177</v>
      </c>
      <c r="B348" s="2">
        <v>38502</v>
      </c>
      <c r="C348">
        <v>2</v>
      </c>
      <c r="D348">
        <v>2</v>
      </c>
      <c r="F348">
        <v>347</v>
      </c>
      <c r="G348" cm="1">
        <f t="array" ref="G348">_xlfn.IFNA(INDEX($D$2:$D$4001,_xlfn.XMATCH(G$1&amp;"-"&amp;$F348,YEAR($B$2:$B$4001)&amp;"-"&amp;$A$2:$A$4001,0,-1)),9)</f>
        <v>9</v>
      </c>
      <c r="H348" cm="1">
        <f t="array" ref="H348">IF(OR(AND(G348=9,H$1&gt;YEAR($N348))),9,_xlfn.IFNA(INDEX($D$2:$D$4001,_xlfn.XMATCH(H$1&amp;"-"&amp;$F348,YEAR($B$2:$B$4001)&amp;"-"&amp;$A$2:$A$4001,0,-1)),G348))</f>
        <v>9</v>
      </c>
      <c r="I348" cm="1">
        <f t="array" ref="I348">IF(OR(AND(H348=9,I$1&gt;YEAR($N348))),9,_xlfn.IFNA(INDEX($D$2:$D$4001,_xlfn.XMATCH(I$1&amp;"-"&amp;$F348,YEAR($B$2:$B$4001)&amp;"-"&amp;$A$2:$A$4001,0,-1)),H348))</f>
        <v>9</v>
      </c>
      <c r="J348" cm="1">
        <f t="array" ref="J348">IF(OR(AND(I348=9,J$1&gt;YEAR($N348))),9,_xlfn.IFNA(INDEX($D$2:$D$4001,_xlfn.XMATCH(J$1&amp;"-"&amp;$F348,YEAR($B$2:$B$4001)&amp;"-"&amp;$A$2:$A$4001,0,-1)),I348))</f>
        <v>9</v>
      </c>
      <c r="K348" cm="1">
        <f t="array" ref="K348">IF(OR(AND(J348=9,K$1&gt;YEAR($N348))),9,_xlfn.IFNA(INDEX($D$2:$D$4001,_xlfn.XMATCH(K$1&amp;"-"&amp;$F348,YEAR($B$2:$B$4001)&amp;"-"&amp;$A$2:$A$4001,0,-1)),J348))</f>
        <v>9</v>
      </c>
      <c r="L348" cm="1">
        <f t="array" ref="L348">IF(OR(AND(K348=9,L$1&gt;YEAR($N348))),9,_xlfn.IFNA(INDEX($D$2:$D$4001,_xlfn.XMATCH(L$1&amp;"-"&amp;$F348,YEAR($B$2:$B$4001)&amp;"-"&amp;$A$2:$A$4001,0,-1)),K348))</f>
        <v>4</v>
      </c>
      <c r="M348" cm="1">
        <f t="array" ref="M348">IF(OR(AND(L348=9,M$1&gt;YEAR($N348))),9,_xlfn.IFNA(INDEX($D$2:$D$4001,_xlfn.XMATCH(M$1&amp;"-"&amp;$F348,YEAR($B$2:$B$4001)&amp;"-"&amp;$A$2:$A$4001,0,-1)),L348))</f>
        <v>4</v>
      </c>
      <c r="N348" s="1">
        <f t="shared" si="5"/>
        <v>38351</v>
      </c>
    </row>
    <row r="349" spans="1:14" x14ac:dyDescent="0.35">
      <c r="A349">
        <v>178</v>
      </c>
      <c r="B349" s="2">
        <v>37255</v>
      </c>
      <c r="C349">
        <v>0</v>
      </c>
      <c r="D349">
        <v>0</v>
      </c>
      <c r="F349">
        <v>348</v>
      </c>
      <c r="G349" cm="1">
        <f t="array" ref="G349">_xlfn.IFNA(INDEX($D$2:$D$4001,_xlfn.XMATCH(G$1&amp;"-"&amp;$F349,YEAR($B$2:$B$4001)&amp;"-"&amp;$A$2:$A$4001,0,-1)),9)</f>
        <v>3</v>
      </c>
      <c r="H349" cm="1">
        <f t="array" ref="H349">IF(OR(AND(G349=9,H$1&gt;YEAR($N349))),9,_xlfn.IFNA(INDEX($D$2:$D$4001,_xlfn.XMATCH(H$1&amp;"-"&amp;$F349,YEAR($B$2:$B$4001)&amp;"-"&amp;$A$2:$A$4001,0,-1)),G349))</f>
        <v>3</v>
      </c>
      <c r="I349" cm="1">
        <f t="array" ref="I349">IF(OR(AND(H349=9,I$1&gt;YEAR($N349))),9,_xlfn.IFNA(INDEX($D$2:$D$4001,_xlfn.XMATCH(I$1&amp;"-"&amp;$F349,YEAR($B$2:$B$4001)&amp;"-"&amp;$A$2:$A$4001,0,-1)),H349))</f>
        <v>3</v>
      </c>
      <c r="J349" cm="1">
        <f t="array" ref="J349">IF(OR(AND(I349=9,J$1&gt;YEAR($N349))),9,_xlfn.IFNA(INDEX($D$2:$D$4001,_xlfn.XMATCH(J$1&amp;"-"&amp;$F349,YEAR($B$2:$B$4001)&amp;"-"&amp;$A$2:$A$4001,0,-1)),I349))</f>
        <v>3</v>
      </c>
      <c r="K349" cm="1">
        <f t="array" ref="K349">IF(OR(AND(J349=9,K$1&gt;YEAR($N349))),9,_xlfn.IFNA(INDEX($D$2:$D$4001,_xlfn.XMATCH(K$1&amp;"-"&amp;$F349,YEAR($B$2:$B$4001)&amp;"-"&amp;$A$2:$A$4001,0,-1)),J349))</f>
        <v>3</v>
      </c>
      <c r="L349" cm="1">
        <f t="array" ref="L349">IF(OR(AND(K349=9,L$1&gt;YEAR($N349))),9,_xlfn.IFNA(INDEX($D$2:$D$4001,_xlfn.XMATCH(L$1&amp;"-"&amp;$F349,YEAR($B$2:$B$4001)&amp;"-"&amp;$A$2:$A$4001,0,-1)),K349))</f>
        <v>3</v>
      </c>
      <c r="M349" cm="1">
        <f t="array" ref="M349">IF(OR(AND(L349=9,M$1&gt;YEAR($N349))),9,_xlfn.IFNA(INDEX($D$2:$D$4001,_xlfn.XMATCH(M$1&amp;"-"&amp;$F349,YEAR($B$2:$B$4001)&amp;"-"&amp;$A$2:$A$4001,0,-1)),L349))</f>
        <v>3</v>
      </c>
      <c r="N349" s="1">
        <f t="shared" si="5"/>
        <v>36301</v>
      </c>
    </row>
    <row r="350" spans="1:14" x14ac:dyDescent="0.35">
      <c r="A350">
        <v>179</v>
      </c>
      <c r="B350" s="2">
        <v>37255</v>
      </c>
      <c r="C350">
        <v>0</v>
      </c>
      <c r="D350">
        <v>0</v>
      </c>
      <c r="F350">
        <v>349</v>
      </c>
      <c r="G350" cm="1">
        <f t="array" ref="G350">_xlfn.IFNA(INDEX($D$2:$D$4001,_xlfn.XMATCH(G$1&amp;"-"&amp;$F350,YEAR($B$2:$B$4001)&amp;"-"&amp;$A$2:$A$4001,0,-1)),9)</f>
        <v>0</v>
      </c>
      <c r="H350" cm="1">
        <f t="array" ref="H350">IF(OR(AND(G350=9,H$1&gt;YEAR($N350))),9,_xlfn.IFNA(INDEX($D$2:$D$4001,_xlfn.XMATCH(H$1&amp;"-"&amp;$F350,YEAR($B$2:$B$4001)&amp;"-"&amp;$A$2:$A$4001,0,-1)),G350))</f>
        <v>0</v>
      </c>
      <c r="I350" cm="1">
        <f t="array" ref="I350">IF(OR(AND(H350=9,I$1&gt;YEAR($N350))),9,_xlfn.IFNA(INDEX($D$2:$D$4001,_xlfn.XMATCH(I$1&amp;"-"&amp;$F350,YEAR($B$2:$B$4001)&amp;"-"&amp;$A$2:$A$4001,0,-1)),H350))</f>
        <v>0</v>
      </c>
      <c r="J350" cm="1">
        <f t="array" ref="J350">IF(OR(AND(I350=9,J$1&gt;YEAR($N350))),9,_xlfn.IFNA(INDEX($D$2:$D$4001,_xlfn.XMATCH(J$1&amp;"-"&amp;$F350,YEAR($B$2:$B$4001)&amp;"-"&amp;$A$2:$A$4001,0,-1)),I350))</f>
        <v>0</v>
      </c>
      <c r="K350" cm="1">
        <f t="array" ref="K350">IF(OR(AND(J350=9,K$1&gt;YEAR($N350))),9,_xlfn.IFNA(INDEX($D$2:$D$4001,_xlfn.XMATCH(K$1&amp;"-"&amp;$F350,YEAR($B$2:$B$4001)&amp;"-"&amp;$A$2:$A$4001,0,-1)),J350))</f>
        <v>0</v>
      </c>
      <c r="L350" cm="1">
        <f t="array" ref="L350">IF(OR(AND(K350=9,L$1&gt;YEAR($N350))),9,_xlfn.IFNA(INDEX($D$2:$D$4001,_xlfn.XMATCH(L$1&amp;"-"&amp;$F350,YEAR($B$2:$B$4001)&amp;"-"&amp;$A$2:$A$4001,0,-1)),K350))</f>
        <v>0</v>
      </c>
      <c r="M350" cm="1">
        <f t="array" ref="M350">IF(OR(AND(L350=9,M$1&gt;YEAR($N350))),9,_xlfn.IFNA(INDEX($D$2:$D$4001,_xlfn.XMATCH(M$1&amp;"-"&amp;$F350,YEAR($B$2:$B$4001)&amp;"-"&amp;$A$2:$A$4001,0,-1)),L350))</f>
        <v>0</v>
      </c>
      <c r="N350" s="1">
        <f t="shared" si="5"/>
        <v>36524</v>
      </c>
    </row>
    <row r="351" spans="1:14" x14ac:dyDescent="0.35">
      <c r="A351">
        <v>180</v>
      </c>
      <c r="B351" s="2">
        <v>38497</v>
      </c>
      <c r="C351">
        <v>2</v>
      </c>
      <c r="D351">
        <v>2</v>
      </c>
      <c r="F351">
        <v>350</v>
      </c>
      <c r="G351" cm="1">
        <f t="array" ref="G351">_xlfn.IFNA(INDEX($D$2:$D$4001,_xlfn.XMATCH(G$1&amp;"-"&amp;$F351,YEAR($B$2:$B$4001)&amp;"-"&amp;$A$2:$A$4001,0,-1)),9)</f>
        <v>5</v>
      </c>
      <c r="H351" cm="1">
        <f t="array" ref="H351">IF(OR(AND(G351=9,H$1&gt;YEAR($N351))),9,_xlfn.IFNA(INDEX($D$2:$D$4001,_xlfn.XMATCH(H$1&amp;"-"&amp;$F351,YEAR($B$2:$B$4001)&amp;"-"&amp;$A$2:$A$4001,0,-1)),G351))</f>
        <v>5</v>
      </c>
      <c r="I351" cm="1">
        <f t="array" ref="I351">IF(OR(AND(H351=9,I$1&gt;YEAR($N351))),9,_xlfn.IFNA(INDEX($D$2:$D$4001,_xlfn.XMATCH(I$1&amp;"-"&amp;$F351,YEAR($B$2:$B$4001)&amp;"-"&amp;$A$2:$A$4001,0,-1)),H351))</f>
        <v>6</v>
      </c>
      <c r="J351" cm="1">
        <f t="array" ref="J351">IF(OR(AND(I351=9,J$1&gt;YEAR($N351))),9,_xlfn.IFNA(INDEX($D$2:$D$4001,_xlfn.XMATCH(J$1&amp;"-"&amp;$F351,YEAR($B$2:$B$4001)&amp;"-"&amp;$A$2:$A$4001,0,-1)),I351))</f>
        <v>6</v>
      </c>
      <c r="K351" cm="1">
        <f t="array" ref="K351">IF(OR(AND(J351=9,K$1&gt;YEAR($N351))),9,_xlfn.IFNA(INDEX($D$2:$D$4001,_xlfn.XMATCH(K$1&amp;"-"&amp;$F351,YEAR($B$2:$B$4001)&amp;"-"&amp;$A$2:$A$4001,0,-1)),J351))</f>
        <v>6</v>
      </c>
      <c r="L351" cm="1">
        <f t="array" ref="L351">IF(OR(AND(K351=9,L$1&gt;YEAR($N351))),9,_xlfn.IFNA(INDEX($D$2:$D$4001,_xlfn.XMATCH(L$1&amp;"-"&amp;$F351,YEAR($B$2:$B$4001)&amp;"-"&amp;$A$2:$A$4001,0,-1)),K351))</f>
        <v>0</v>
      </c>
      <c r="M351" cm="1">
        <f t="array" ref="M351">IF(OR(AND(L351=9,M$1&gt;YEAR($N351))),9,_xlfn.IFNA(INDEX($D$2:$D$4001,_xlfn.XMATCH(M$1&amp;"-"&amp;$F351,YEAR($B$2:$B$4001)&amp;"-"&amp;$A$2:$A$4001,0,-1)),L351))</f>
        <v>0</v>
      </c>
      <c r="N351" s="1">
        <f t="shared" si="5"/>
        <v>36371</v>
      </c>
    </row>
    <row r="352" spans="1:14" x14ac:dyDescent="0.35">
      <c r="A352">
        <v>181</v>
      </c>
      <c r="B352" s="2">
        <v>38198</v>
      </c>
      <c r="C352">
        <v>4</v>
      </c>
      <c r="D352">
        <v>4</v>
      </c>
      <c r="F352">
        <v>351</v>
      </c>
      <c r="G352" cm="1">
        <f t="array" ref="G352">_xlfn.IFNA(INDEX($D$2:$D$4001,_xlfn.XMATCH(G$1&amp;"-"&amp;$F352,YEAR($B$2:$B$4001)&amp;"-"&amp;$A$2:$A$4001,0,-1)),9)</f>
        <v>9</v>
      </c>
      <c r="H352" cm="1">
        <f t="array" ref="H352">IF(OR(AND(G352=9,H$1&gt;YEAR($N352))),9,_xlfn.IFNA(INDEX($D$2:$D$4001,_xlfn.XMATCH(H$1&amp;"-"&amp;$F352,YEAR($B$2:$B$4001)&amp;"-"&amp;$A$2:$A$4001,0,-1)),G352))</f>
        <v>8</v>
      </c>
      <c r="I352" cm="1">
        <f t="array" ref="I352">IF(OR(AND(H352=9,I$1&gt;YEAR($N352))),9,_xlfn.IFNA(INDEX($D$2:$D$4001,_xlfn.XMATCH(I$1&amp;"-"&amp;$F352,YEAR($B$2:$B$4001)&amp;"-"&amp;$A$2:$A$4001,0,-1)),H352))</f>
        <v>8</v>
      </c>
      <c r="J352" cm="1">
        <f t="array" ref="J352">IF(OR(AND(I352=9,J$1&gt;YEAR($N352))),9,_xlfn.IFNA(INDEX($D$2:$D$4001,_xlfn.XMATCH(J$1&amp;"-"&amp;$F352,YEAR($B$2:$B$4001)&amp;"-"&amp;$A$2:$A$4001,0,-1)),I352))</f>
        <v>8</v>
      </c>
      <c r="K352" cm="1">
        <f t="array" ref="K352">IF(OR(AND(J352=9,K$1&gt;YEAR($N352))),9,_xlfn.IFNA(INDEX($D$2:$D$4001,_xlfn.XMATCH(K$1&amp;"-"&amp;$F352,YEAR($B$2:$B$4001)&amp;"-"&amp;$A$2:$A$4001,0,-1)),J352))</f>
        <v>8</v>
      </c>
      <c r="L352" cm="1">
        <f t="array" ref="L352">IF(OR(AND(K352=9,L$1&gt;YEAR($N352))),9,_xlfn.IFNA(INDEX($D$2:$D$4001,_xlfn.XMATCH(L$1&amp;"-"&amp;$F352,YEAR($B$2:$B$4001)&amp;"-"&amp;$A$2:$A$4001,0,-1)),K352))</f>
        <v>8</v>
      </c>
      <c r="M352" cm="1">
        <f t="array" ref="M352">IF(OR(AND(L352=9,M$1&gt;YEAR($N352))),9,_xlfn.IFNA(INDEX($D$2:$D$4001,_xlfn.XMATCH(M$1&amp;"-"&amp;$F352,YEAR($B$2:$B$4001)&amp;"-"&amp;$A$2:$A$4001,0,-1)),L352))</f>
        <v>8</v>
      </c>
      <c r="N352" s="1">
        <f t="shared" si="5"/>
        <v>36676</v>
      </c>
    </row>
    <row r="353" spans="1:14" x14ac:dyDescent="0.35">
      <c r="A353">
        <v>181</v>
      </c>
      <c r="B353" s="2">
        <v>38493</v>
      </c>
      <c r="C353">
        <v>3</v>
      </c>
      <c r="D353">
        <v>3</v>
      </c>
      <c r="F353">
        <v>352</v>
      </c>
      <c r="G353" cm="1">
        <f t="array" ref="G353">_xlfn.IFNA(INDEX($D$2:$D$4001,_xlfn.XMATCH(G$1&amp;"-"&amp;$F353,YEAR($B$2:$B$4001)&amp;"-"&amp;$A$2:$A$4001,0,-1)),9)</f>
        <v>9</v>
      </c>
      <c r="H353" cm="1">
        <f t="array" ref="H353">IF(OR(AND(G353=9,H$1&gt;YEAR($N353))),9,_xlfn.IFNA(INDEX($D$2:$D$4001,_xlfn.XMATCH(H$1&amp;"-"&amp;$F353,YEAR($B$2:$B$4001)&amp;"-"&amp;$A$2:$A$4001,0,-1)),G353))</f>
        <v>9</v>
      </c>
      <c r="I353" cm="1">
        <f t="array" ref="I353">IF(OR(AND(H353=9,I$1&gt;YEAR($N353))),9,_xlfn.IFNA(INDEX($D$2:$D$4001,_xlfn.XMATCH(I$1&amp;"-"&amp;$F353,YEAR($B$2:$B$4001)&amp;"-"&amp;$A$2:$A$4001,0,-1)),H353))</f>
        <v>4</v>
      </c>
      <c r="J353" cm="1">
        <f t="array" ref="J353">IF(OR(AND(I353=9,J$1&gt;YEAR($N353))),9,_xlfn.IFNA(INDEX($D$2:$D$4001,_xlfn.XMATCH(J$1&amp;"-"&amp;$F353,YEAR($B$2:$B$4001)&amp;"-"&amp;$A$2:$A$4001,0,-1)),I353))</f>
        <v>4</v>
      </c>
      <c r="K353" cm="1">
        <f t="array" ref="K353">IF(OR(AND(J353=9,K$1&gt;YEAR($N353))),9,_xlfn.IFNA(INDEX($D$2:$D$4001,_xlfn.XMATCH(K$1&amp;"-"&amp;$F353,YEAR($B$2:$B$4001)&amp;"-"&amp;$A$2:$A$4001,0,-1)),J353))</f>
        <v>4</v>
      </c>
      <c r="L353" cm="1">
        <f t="array" ref="L353">IF(OR(AND(K353=9,L$1&gt;YEAR($N353))),9,_xlfn.IFNA(INDEX($D$2:$D$4001,_xlfn.XMATCH(L$1&amp;"-"&amp;$F353,YEAR($B$2:$B$4001)&amp;"-"&amp;$A$2:$A$4001,0,-1)),K353))</f>
        <v>4</v>
      </c>
      <c r="M353" cm="1">
        <f t="array" ref="M353">IF(OR(AND(L353=9,M$1&gt;YEAR($N353))),9,_xlfn.IFNA(INDEX($D$2:$D$4001,_xlfn.XMATCH(M$1&amp;"-"&amp;$F353,YEAR($B$2:$B$4001)&amp;"-"&amp;$A$2:$A$4001,0,-1)),L353))</f>
        <v>4</v>
      </c>
      <c r="N353" s="1">
        <f t="shared" si="5"/>
        <v>37041</v>
      </c>
    </row>
    <row r="354" spans="1:14" x14ac:dyDescent="0.35">
      <c r="A354">
        <v>182</v>
      </c>
      <c r="B354" s="2">
        <v>37032</v>
      </c>
      <c r="C354">
        <v>3</v>
      </c>
      <c r="D354">
        <v>3</v>
      </c>
      <c r="F354">
        <v>353</v>
      </c>
      <c r="G354" cm="1">
        <f t="array" ref="G354">_xlfn.IFNA(INDEX($D$2:$D$4001,_xlfn.XMATCH(G$1&amp;"-"&amp;$F354,YEAR($B$2:$B$4001)&amp;"-"&amp;$A$2:$A$4001,0,-1)),9)</f>
        <v>9</v>
      </c>
      <c r="H354" cm="1">
        <f t="array" ref="H354">IF(OR(AND(G354=9,H$1&gt;YEAR($N354))),9,_xlfn.IFNA(INDEX($D$2:$D$4001,_xlfn.XMATCH(H$1&amp;"-"&amp;$F354,YEAR($B$2:$B$4001)&amp;"-"&amp;$A$2:$A$4001,0,-1)),G354))</f>
        <v>3</v>
      </c>
      <c r="I354" cm="1">
        <f t="array" ref="I354">IF(OR(AND(H354=9,I$1&gt;YEAR($N354))),9,_xlfn.IFNA(INDEX($D$2:$D$4001,_xlfn.XMATCH(I$1&amp;"-"&amp;$F354,YEAR($B$2:$B$4001)&amp;"-"&amp;$A$2:$A$4001,0,-1)),H354))</f>
        <v>3</v>
      </c>
      <c r="J354" cm="1">
        <f t="array" ref="J354">IF(OR(AND(I354=9,J$1&gt;YEAR($N354))),9,_xlfn.IFNA(INDEX($D$2:$D$4001,_xlfn.XMATCH(J$1&amp;"-"&amp;$F354,YEAR($B$2:$B$4001)&amp;"-"&amp;$A$2:$A$4001,0,-1)),I354))</f>
        <v>3</v>
      </c>
      <c r="K354" cm="1">
        <f t="array" ref="K354">IF(OR(AND(J354=9,K$1&gt;YEAR($N354))),9,_xlfn.IFNA(INDEX($D$2:$D$4001,_xlfn.XMATCH(K$1&amp;"-"&amp;$F354,YEAR($B$2:$B$4001)&amp;"-"&amp;$A$2:$A$4001,0,-1)),J354))</f>
        <v>3</v>
      </c>
      <c r="L354" cm="1">
        <f t="array" ref="L354">IF(OR(AND(K354=9,L$1&gt;YEAR($N354))),9,_xlfn.IFNA(INDEX($D$2:$D$4001,_xlfn.XMATCH(L$1&amp;"-"&amp;$F354,YEAR($B$2:$B$4001)&amp;"-"&amp;$A$2:$A$4001,0,-1)),K354))</f>
        <v>0</v>
      </c>
      <c r="M354" cm="1">
        <f t="array" ref="M354">IF(OR(AND(L354=9,M$1&gt;YEAR($N354))),9,_xlfn.IFNA(INDEX($D$2:$D$4001,_xlfn.XMATCH(M$1&amp;"-"&amp;$F354,YEAR($B$2:$B$4001)&amp;"-"&amp;$A$2:$A$4001,0,-1)),L354))</f>
        <v>0</v>
      </c>
      <c r="N354" s="1">
        <f t="shared" si="5"/>
        <v>36674</v>
      </c>
    </row>
    <row r="355" spans="1:14" x14ac:dyDescent="0.35">
      <c r="A355">
        <v>182</v>
      </c>
      <c r="B355" s="2">
        <v>37985</v>
      </c>
      <c r="C355">
        <v>3</v>
      </c>
      <c r="D355">
        <v>3</v>
      </c>
      <c r="F355">
        <v>354</v>
      </c>
      <c r="G355" cm="1">
        <f t="array" ref="G355">_xlfn.IFNA(INDEX($D$2:$D$4001,_xlfn.XMATCH(G$1&amp;"-"&amp;$F355,YEAR($B$2:$B$4001)&amp;"-"&amp;$A$2:$A$4001,0,-1)),9)</f>
        <v>9</v>
      </c>
      <c r="H355" cm="1">
        <f t="array" ref="H355">IF(OR(AND(G355=9,H$1&gt;YEAR($N355))),9,_xlfn.IFNA(INDEX($D$2:$D$4001,_xlfn.XMATCH(H$1&amp;"-"&amp;$F355,YEAR($B$2:$B$4001)&amp;"-"&amp;$A$2:$A$4001,0,-1)),G355))</f>
        <v>4</v>
      </c>
      <c r="I355" cm="1">
        <f t="array" ref="I355">IF(OR(AND(H355=9,I$1&gt;YEAR($N355))),9,_xlfn.IFNA(INDEX($D$2:$D$4001,_xlfn.XMATCH(I$1&amp;"-"&amp;$F355,YEAR($B$2:$B$4001)&amp;"-"&amp;$A$2:$A$4001,0,-1)),H355))</f>
        <v>4</v>
      </c>
      <c r="J355" cm="1">
        <f t="array" ref="J355">IF(OR(AND(I355=9,J$1&gt;YEAR($N355))),9,_xlfn.IFNA(INDEX($D$2:$D$4001,_xlfn.XMATCH(J$1&amp;"-"&amp;$F355,YEAR($B$2:$B$4001)&amp;"-"&amp;$A$2:$A$4001,0,-1)),I355))</f>
        <v>4</v>
      </c>
      <c r="K355" cm="1">
        <f t="array" ref="K355">IF(OR(AND(J355=9,K$1&gt;YEAR($N355))),9,_xlfn.IFNA(INDEX($D$2:$D$4001,_xlfn.XMATCH(K$1&amp;"-"&amp;$F355,YEAR($B$2:$B$4001)&amp;"-"&amp;$A$2:$A$4001,0,-1)),J355))</f>
        <v>4</v>
      </c>
      <c r="L355" cm="1">
        <f t="array" ref="L355">IF(OR(AND(K355=9,L$1&gt;YEAR($N355))),9,_xlfn.IFNA(INDEX($D$2:$D$4001,_xlfn.XMATCH(L$1&amp;"-"&amp;$F355,YEAR($B$2:$B$4001)&amp;"-"&amp;$A$2:$A$4001,0,-1)),K355))</f>
        <v>5</v>
      </c>
      <c r="M355" cm="1">
        <f t="array" ref="M355">IF(OR(AND(L355=9,M$1&gt;YEAR($N355))),9,_xlfn.IFNA(INDEX($D$2:$D$4001,_xlfn.XMATCH(M$1&amp;"-"&amp;$F355,YEAR($B$2:$B$4001)&amp;"-"&amp;$A$2:$A$4001,0,-1)),L355))</f>
        <v>5</v>
      </c>
      <c r="N355" s="1">
        <f t="shared" si="5"/>
        <v>36698</v>
      </c>
    </row>
    <row r="356" spans="1:14" x14ac:dyDescent="0.35">
      <c r="A356">
        <v>183</v>
      </c>
      <c r="B356" s="2">
        <v>38137</v>
      </c>
      <c r="C356">
        <v>0</v>
      </c>
      <c r="D356">
        <v>0</v>
      </c>
      <c r="F356">
        <v>355</v>
      </c>
      <c r="G356" cm="1">
        <f t="array" ref="G356">_xlfn.IFNA(INDEX($D$2:$D$4001,_xlfn.XMATCH(G$1&amp;"-"&amp;$F356,YEAR($B$2:$B$4001)&amp;"-"&amp;$A$2:$A$4001,0,-1)),9)</f>
        <v>6</v>
      </c>
      <c r="H356" cm="1">
        <f t="array" ref="H356">IF(OR(AND(G356=9,H$1&gt;YEAR($N356))),9,_xlfn.IFNA(INDEX($D$2:$D$4001,_xlfn.XMATCH(H$1&amp;"-"&amp;$F356,YEAR($B$2:$B$4001)&amp;"-"&amp;$A$2:$A$4001,0,-1)),G356))</f>
        <v>6</v>
      </c>
      <c r="I356" cm="1">
        <f t="array" ref="I356">IF(OR(AND(H356=9,I$1&gt;YEAR($N356))),9,_xlfn.IFNA(INDEX($D$2:$D$4001,_xlfn.XMATCH(I$1&amp;"-"&amp;$F356,YEAR($B$2:$B$4001)&amp;"-"&amp;$A$2:$A$4001,0,-1)),H356))</f>
        <v>8</v>
      </c>
      <c r="J356" cm="1">
        <f t="array" ref="J356">IF(OR(AND(I356=9,J$1&gt;YEAR($N356))),9,_xlfn.IFNA(INDEX($D$2:$D$4001,_xlfn.XMATCH(J$1&amp;"-"&amp;$F356,YEAR($B$2:$B$4001)&amp;"-"&amp;$A$2:$A$4001,0,-1)),I356))</f>
        <v>8</v>
      </c>
      <c r="K356" cm="1">
        <f t="array" ref="K356">IF(OR(AND(J356=9,K$1&gt;YEAR($N356))),9,_xlfn.IFNA(INDEX($D$2:$D$4001,_xlfn.XMATCH(K$1&amp;"-"&amp;$F356,YEAR($B$2:$B$4001)&amp;"-"&amp;$A$2:$A$4001,0,-1)),J356))</f>
        <v>8</v>
      </c>
      <c r="L356" cm="1">
        <f t="array" ref="L356">IF(OR(AND(K356=9,L$1&gt;YEAR($N356))),9,_xlfn.IFNA(INDEX($D$2:$D$4001,_xlfn.XMATCH(L$1&amp;"-"&amp;$F356,YEAR($B$2:$B$4001)&amp;"-"&amp;$A$2:$A$4001,0,-1)),K356))</f>
        <v>8</v>
      </c>
      <c r="M356" cm="1">
        <f t="array" ref="M356">IF(OR(AND(L356=9,M$1&gt;YEAR($N356))),9,_xlfn.IFNA(INDEX($D$2:$D$4001,_xlfn.XMATCH(M$1&amp;"-"&amp;$F356,YEAR($B$2:$B$4001)&amp;"-"&amp;$A$2:$A$4001,0,-1)),L356))</f>
        <v>8</v>
      </c>
      <c r="N356" s="1">
        <f t="shared" si="5"/>
        <v>36524</v>
      </c>
    </row>
    <row r="357" spans="1:14" x14ac:dyDescent="0.35">
      <c r="A357">
        <v>184</v>
      </c>
      <c r="B357" s="2">
        <v>37771</v>
      </c>
      <c r="C357">
        <v>3</v>
      </c>
      <c r="D357">
        <v>3</v>
      </c>
      <c r="F357">
        <v>356</v>
      </c>
      <c r="G357" cm="1">
        <f t="array" ref="G357">_xlfn.IFNA(INDEX($D$2:$D$4001,_xlfn.XMATCH(G$1&amp;"-"&amp;$F357,YEAR($B$2:$B$4001)&amp;"-"&amp;$A$2:$A$4001,0,-1)),9)</f>
        <v>9</v>
      </c>
      <c r="H357" cm="1">
        <f t="array" ref="H357">IF(OR(AND(G357=9,H$1&gt;YEAR($N357))),9,_xlfn.IFNA(INDEX($D$2:$D$4001,_xlfn.XMATCH(H$1&amp;"-"&amp;$F357,YEAR($B$2:$B$4001)&amp;"-"&amp;$A$2:$A$4001,0,-1)),G357))</f>
        <v>9</v>
      </c>
      <c r="I357" cm="1">
        <f t="array" ref="I357">IF(OR(AND(H357=9,I$1&gt;YEAR($N357))),9,_xlfn.IFNA(INDEX($D$2:$D$4001,_xlfn.XMATCH(I$1&amp;"-"&amp;$F357,YEAR($B$2:$B$4001)&amp;"-"&amp;$A$2:$A$4001,0,-1)),H357))</f>
        <v>9</v>
      </c>
      <c r="J357" cm="1">
        <f t="array" ref="J357">IF(OR(AND(I357=9,J$1&gt;YEAR($N357))),9,_xlfn.IFNA(INDEX($D$2:$D$4001,_xlfn.XMATCH(J$1&amp;"-"&amp;$F357,YEAR($B$2:$B$4001)&amp;"-"&amp;$A$2:$A$4001,0,-1)),I357))</f>
        <v>3</v>
      </c>
      <c r="K357" cm="1">
        <f t="array" ref="K357">IF(OR(AND(J357=9,K$1&gt;YEAR($N357))),9,_xlfn.IFNA(INDEX($D$2:$D$4001,_xlfn.XMATCH(K$1&amp;"-"&amp;$F357,YEAR($B$2:$B$4001)&amp;"-"&amp;$A$2:$A$4001,0,-1)),J357))</f>
        <v>4</v>
      </c>
      <c r="L357" cm="1">
        <f t="array" ref="L357">IF(OR(AND(K357=9,L$1&gt;YEAR($N357))),9,_xlfn.IFNA(INDEX($D$2:$D$4001,_xlfn.XMATCH(L$1&amp;"-"&amp;$F357,YEAR($B$2:$B$4001)&amp;"-"&amp;$A$2:$A$4001,0,-1)),K357))</f>
        <v>4</v>
      </c>
      <c r="M357" cm="1">
        <f t="array" ref="M357">IF(OR(AND(L357=9,M$1&gt;YEAR($N357))),9,_xlfn.IFNA(INDEX($D$2:$D$4001,_xlfn.XMATCH(M$1&amp;"-"&amp;$F357,YEAR($B$2:$B$4001)&amp;"-"&amp;$A$2:$A$4001,0,-1)),L357))</f>
        <v>4</v>
      </c>
      <c r="N357" s="1">
        <f t="shared" si="5"/>
        <v>37397</v>
      </c>
    </row>
    <row r="358" spans="1:14" x14ac:dyDescent="0.35">
      <c r="A358">
        <v>185</v>
      </c>
      <c r="B358" s="2">
        <v>38189</v>
      </c>
      <c r="C358">
        <v>3</v>
      </c>
      <c r="D358">
        <v>3</v>
      </c>
      <c r="F358">
        <v>357</v>
      </c>
      <c r="G358" cm="1">
        <f t="array" ref="G358">_xlfn.IFNA(INDEX($D$2:$D$4001,_xlfn.XMATCH(G$1&amp;"-"&amp;$F358,YEAR($B$2:$B$4001)&amp;"-"&amp;$A$2:$A$4001,0,-1)),9)</f>
        <v>9</v>
      </c>
      <c r="H358" cm="1">
        <f t="array" ref="H358">IF(OR(AND(G358=9,H$1&gt;YEAR($N358))),9,_xlfn.IFNA(INDEX($D$2:$D$4001,_xlfn.XMATCH(H$1&amp;"-"&amp;$F358,YEAR($B$2:$B$4001)&amp;"-"&amp;$A$2:$A$4001,0,-1)),G358))</f>
        <v>3</v>
      </c>
      <c r="I358" cm="1">
        <f t="array" ref="I358">IF(OR(AND(H358=9,I$1&gt;YEAR($N358))),9,_xlfn.IFNA(INDEX($D$2:$D$4001,_xlfn.XMATCH(I$1&amp;"-"&amp;$F358,YEAR($B$2:$B$4001)&amp;"-"&amp;$A$2:$A$4001,0,-1)),H358))</f>
        <v>2</v>
      </c>
      <c r="J358" cm="1">
        <f t="array" ref="J358">IF(OR(AND(I358=9,J$1&gt;YEAR($N358))),9,_xlfn.IFNA(INDEX($D$2:$D$4001,_xlfn.XMATCH(J$1&amp;"-"&amp;$F358,YEAR($B$2:$B$4001)&amp;"-"&amp;$A$2:$A$4001,0,-1)),I358))</f>
        <v>2</v>
      </c>
      <c r="K358" cm="1">
        <f t="array" ref="K358">IF(OR(AND(J358=9,K$1&gt;YEAR($N358))),9,_xlfn.IFNA(INDEX($D$2:$D$4001,_xlfn.XMATCH(K$1&amp;"-"&amp;$F358,YEAR($B$2:$B$4001)&amp;"-"&amp;$A$2:$A$4001,0,-1)),J358))</f>
        <v>2</v>
      </c>
      <c r="L358" cm="1">
        <f t="array" ref="L358">IF(OR(AND(K358=9,L$1&gt;YEAR($N358))),9,_xlfn.IFNA(INDEX($D$2:$D$4001,_xlfn.XMATCH(L$1&amp;"-"&amp;$F358,YEAR($B$2:$B$4001)&amp;"-"&amp;$A$2:$A$4001,0,-1)),K358))</f>
        <v>2</v>
      </c>
      <c r="M358" cm="1">
        <f t="array" ref="M358">IF(OR(AND(L358=9,M$1&gt;YEAR($N358))),9,_xlfn.IFNA(INDEX($D$2:$D$4001,_xlfn.XMATCH(M$1&amp;"-"&amp;$F358,YEAR($B$2:$B$4001)&amp;"-"&amp;$A$2:$A$4001,0,-1)),L358))</f>
        <v>2</v>
      </c>
      <c r="N358" s="1">
        <f t="shared" si="5"/>
        <v>36768</v>
      </c>
    </row>
    <row r="359" spans="1:14" x14ac:dyDescent="0.35">
      <c r="A359">
        <v>186</v>
      </c>
      <c r="B359" s="2">
        <v>36371</v>
      </c>
      <c r="C359">
        <v>1</v>
      </c>
      <c r="D359">
        <v>1</v>
      </c>
      <c r="F359">
        <v>358</v>
      </c>
      <c r="G359" cm="1">
        <f t="array" ref="G359">_xlfn.IFNA(INDEX($D$2:$D$4001,_xlfn.XMATCH(G$1&amp;"-"&amp;$F359,YEAR($B$2:$B$4001)&amp;"-"&amp;$A$2:$A$4001,0,-1)),9)</f>
        <v>4</v>
      </c>
      <c r="H359" cm="1">
        <f t="array" ref="H359">IF(OR(AND(G359=9,H$1&gt;YEAR($N359))),9,_xlfn.IFNA(INDEX($D$2:$D$4001,_xlfn.XMATCH(H$1&amp;"-"&amp;$F359,YEAR($B$2:$B$4001)&amp;"-"&amp;$A$2:$A$4001,0,-1)),G359))</f>
        <v>4</v>
      </c>
      <c r="I359" cm="1">
        <f t="array" ref="I359">IF(OR(AND(H359=9,I$1&gt;YEAR($N359))),9,_xlfn.IFNA(INDEX($D$2:$D$4001,_xlfn.XMATCH(I$1&amp;"-"&amp;$F359,YEAR($B$2:$B$4001)&amp;"-"&amp;$A$2:$A$4001,0,-1)),H359))</f>
        <v>4</v>
      </c>
      <c r="J359" cm="1">
        <f t="array" ref="J359">IF(OR(AND(I359=9,J$1&gt;YEAR($N359))),9,_xlfn.IFNA(INDEX($D$2:$D$4001,_xlfn.XMATCH(J$1&amp;"-"&amp;$F359,YEAR($B$2:$B$4001)&amp;"-"&amp;$A$2:$A$4001,0,-1)),I359))</f>
        <v>4</v>
      </c>
      <c r="K359" cm="1">
        <f t="array" ref="K359">IF(OR(AND(J359=9,K$1&gt;YEAR($N359))),9,_xlfn.IFNA(INDEX($D$2:$D$4001,_xlfn.XMATCH(K$1&amp;"-"&amp;$F359,YEAR($B$2:$B$4001)&amp;"-"&amp;$A$2:$A$4001,0,-1)),J359))</f>
        <v>4</v>
      </c>
      <c r="L359" cm="1">
        <f t="array" ref="L359">IF(OR(AND(K359=9,L$1&gt;YEAR($N359))),9,_xlfn.IFNA(INDEX($D$2:$D$4001,_xlfn.XMATCH(L$1&amp;"-"&amp;$F359,YEAR($B$2:$B$4001)&amp;"-"&amp;$A$2:$A$4001,0,-1)),K359))</f>
        <v>4</v>
      </c>
      <c r="M359" cm="1">
        <f t="array" ref="M359">IF(OR(AND(L359=9,M$1&gt;YEAR($N359))),9,_xlfn.IFNA(INDEX($D$2:$D$4001,_xlfn.XMATCH(M$1&amp;"-"&amp;$F359,YEAR($B$2:$B$4001)&amp;"-"&amp;$A$2:$A$4001,0,-1)),L359))</f>
        <v>4</v>
      </c>
      <c r="N359" s="1">
        <f t="shared" si="5"/>
        <v>36524</v>
      </c>
    </row>
    <row r="360" spans="1:14" x14ac:dyDescent="0.35">
      <c r="A360">
        <v>186</v>
      </c>
      <c r="B360" s="2">
        <v>37032</v>
      </c>
      <c r="C360">
        <v>0</v>
      </c>
      <c r="D360">
        <v>0</v>
      </c>
      <c r="F360">
        <v>359</v>
      </c>
      <c r="G360" cm="1">
        <f t="array" ref="G360">_xlfn.IFNA(INDEX($D$2:$D$4001,_xlfn.XMATCH(G$1&amp;"-"&amp;$F360,YEAR($B$2:$B$4001)&amp;"-"&amp;$A$2:$A$4001,0,-1)),9)</f>
        <v>0</v>
      </c>
      <c r="H360" cm="1">
        <f t="array" ref="H360">IF(OR(AND(G360=9,H$1&gt;YEAR($N360))),9,_xlfn.IFNA(INDEX($D$2:$D$4001,_xlfn.XMATCH(H$1&amp;"-"&amp;$F360,YEAR($B$2:$B$4001)&amp;"-"&amp;$A$2:$A$4001,0,-1)),G360))</f>
        <v>0</v>
      </c>
      <c r="I360" cm="1">
        <f t="array" ref="I360">IF(OR(AND(H360=9,I$1&gt;YEAR($N360))),9,_xlfn.IFNA(INDEX($D$2:$D$4001,_xlfn.XMATCH(I$1&amp;"-"&amp;$F360,YEAR($B$2:$B$4001)&amp;"-"&amp;$A$2:$A$4001,0,-1)),H360))</f>
        <v>0</v>
      </c>
      <c r="J360" cm="1">
        <f t="array" ref="J360">IF(OR(AND(I360=9,J$1&gt;YEAR($N360))),9,_xlfn.IFNA(INDEX($D$2:$D$4001,_xlfn.XMATCH(J$1&amp;"-"&amp;$F360,YEAR($B$2:$B$4001)&amp;"-"&amp;$A$2:$A$4001,0,-1)),I360))</f>
        <v>0</v>
      </c>
      <c r="K360" cm="1">
        <f t="array" ref="K360">IF(OR(AND(J360=9,K$1&gt;YEAR($N360))),9,_xlfn.IFNA(INDEX($D$2:$D$4001,_xlfn.XMATCH(K$1&amp;"-"&amp;$F360,YEAR($B$2:$B$4001)&amp;"-"&amp;$A$2:$A$4001,0,-1)),J360))</f>
        <v>0</v>
      </c>
      <c r="L360" cm="1">
        <f t="array" ref="L360">IF(OR(AND(K360=9,L$1&gt;YEAR($N360))),9,_xlfn.IFNA(INDEX($D$2:$D$4001,_xlfn.XMATCH(L$1&amp;"-"&amp;$F360,YEAR($B$2:$B$4001)&amp;"-"&amp;$A$2:$A$4001,0,-1)),K360))</f>
        <v>0</v>
      </c>
      <c r="M360" cm="1">
        <f t="array" ref="M360">IF(OR(AND(L360=9,M$1&gt;YEAR($N360))),9,_xlfn.IFNA(INDEX($D$2:$D$4001,_xlfn.XMATCH(M$1&amp;"-"&amp;$F360,YEAR($B$2:$B$4001)&amp;"-"&amp;$A$2:$A$4001,0,-1)),L360))</f>
        <v>0</v>
      </c>
      <c r="N360" s="1">
        <f t="shared" si="5"/>
        <v>36524</v>
      </c>
    </row>
    <row r="361" spans="1:14" x14ac:dyDescent="0.35">
      <c r="A361">
        <v>187</v>
      </c>
      <c r="B361" s="2">
        <v>36762</v>
      </c>
      <c r="C361">
        <v>2</v>
      </c>
      <c r="D361">
        <v>2</v>
      </c>
      <c r="F361">
        <v>360</v>
      </c>
      <c r="G361" cm="1">
        <f t="array" ref="G361">_xlfn.IFNA(INDEX($D$2:$D$4001,_xlfn.XMATCH(G$1&amp;"-"&amp;$F361,YEAR($B$2:$B$4001)&amp;"-"&amp;$A$2:$A$4001,0,-1)),9)</f>
        <v>9</v>
      </c>
      <c r="H361" cm="1">
        <f t="array" ref="H361">IF(OR(AND(G361=9,H$1&gt;YEAR($N361))),9,_xlfn.IFNA(INDEX($D$2:$D$4001,_xlfn.XMATCH(H$1&amp;"-"&amp;$F361,YEAR($B$2:$B$4001)&amp;"-"&amp;$A$2:$A$4001,0,-1)),G361))</f>
        <v>9</v>
      </c>
      <c r="I361" cm="1">
        <f t="array" ref="I361">IF(OR(AND(H361=9,I$1&gt;YEAR($N361))),9,_xlfn.IFNA(INDEX($D$2:$D$4001,_xlfn.XMATCH(I$1&amp;"-"&amp;$F361,YEAR($B$2:$B$4001)&amp;"-"&amp;$A$2:$A$4001,0,-1)),H361))</f>
        <v>2</v>
      </c>
      <c r="J361" cm="1">
        <f t="array" ref="J361">IF(OR(AND(I361=9,J$1&gt;YEAR($N361))),9,_xlfn.IFNA(INDEX($D$2:$D$4001,_xlfn.XMATCH(J$1&amp;"-"&amp;$F361,YEAR($B$2:$B$4001)&amp;"-"&amp;$A$2:$A$4001,0,-1)),I361))</f>
        <v>2</v>
      </c>
      <c r="K361" cm="1">
        <f t="array" ref="K361">IF(OR(AND(J361=9,K$1&gt;YEAR($N361))),9,_xlfn.IFNA(INDEX($D$2:$D$4001,_xlfn.XMATCH(K$1&amp;"-"&amp;$F361,YEAR($B$2:$B$4001)&amp;"-"&amp;$A$2:$A$4001,0,-1)),J361))</f>
        <v>2</v>
      </c>
      <c r="L361" cm="1">
        <f t="array" ref="L361">IF(OR(AND(K361=9,L$1&gt;YEAR($N361))),9,_xlfn.IFNA(INDEX($D$2:$D$4001,_xlfn.XMATCH(L$1&amp;"-"&amp;$F361,YEAR($B$2:$B$4001)&amp;"-"&amp;$A$2:$A$4001,0,-1)),K361))</f>
        <v>2</v>
      </c>
      <c r="M361" cm="1">
        <f t="array" ref="M361">IF(OR(AND(L361=9,M$1&gt;YEAR($N361))),9,_xlfn.IFNA(INDEX($D$2:$D$4001,_xlfn.XMATCH(M$1&amp;"-"&amp;$F361,YEAR($B$2:$B$4001)&amp;"-"&amp;$A$2:$A$4001,0,-1)),L361))</f>
        <v>2</v>
      </c>
      <c r="N361" s="1">
        <f t="shared" si="5"/>
        <v>37255</v>
      </c>
    </row>
    <row r="362" spans="1:14" x14ac:dyDescent="0.35">
      <c r="A362">
        <v>187</v>
      </c>
      <c r="B362" s="2">
        <v>37924</v>
      </c>
      <c r="C362">
        <v>2</v>
      </c>
      <c r="D362">
        <v>2</v>
      </c>
      <c r="F362">
        <v>361</v>
      </c>
      <c r="G362" cm="1">
        <f t="array" ref="G362">_xlfn.IFNA(INDEX($D$2:$D$4001,_xlfn.XMATCH(G$1&amp;"-"&amp;$F362,YEAR($B$2:$B$4001)&amp;"-"&amp;$A$2:$A$4001,0,-1)),9)</f>
        <v>9</v>
      </c>
      <c r="H362" cm="1">
        <f t="array" ref="H362">IF(OR(AND(G362=9,H$1&gt;YEAR($N362))),9,_xlfn.IFNA(INDEX($D$2:$D$4001,_xlfn.XMATCH(H$1&amp;"-"&amp;$F362,YEAR($B$2:$B$4001)&amp;"-"&amp;$A$2:$A$4001,0,-1)),G362))</f>
        <v>9</v>
      </c>
      <c r="I362" cm="1">
        <f t="array" ref="I362">IF(OR(AND(H362=9,I$1&gt;YEAR($N362))),9,_xlfn.IFNA(INDEX($D$2:$D$4001,_xlfn.XMATCH(I$1&amp;"-"&amp;$F362,YEAR($B$2:$B$4001)&amp;"-"&amp;$A$2:$A$4001,0,-1)),H362))</f>
        <v>9</v>
      </c>
      <c r="J362" cm="1">
        <f t="array" ref="J362">IF(OR(AND(I362=9,J$1&gt;YEAR($N362))),9,_xlfn.IFNA(INDEX($D$2:$D$4001,_xlfn.XMATCH(J$1&amp;"-"&amp;$F362,YEAR($B$2:$B$4001)&amp;"-"&amp;$A$2:$A$4001,0,-1)),I362))</f>
        <v>9</v>
      </c>
      <c r="K362" cm="1">
        <f t="array" ref="K362">IF(OR(AND(J362=9,K$1&gt;YEAR($N362))),9,_xlfn.IFNA(INDEX($D$2:$D$4001,_xlfn.XMATCH(K$1&amp;"-"&amp;$F362,YEAR($B$2:$B$4001)&amp;"-"&amp;$A$2:$A$4001,0,-1)),J362))</f>
        <v>4</v>
      </c>
      <c r="L362" cm="1">
        <f t="array" ref="L362">IF(OR(AND(K362=9,L$1&gt;YEAR($N362))),9,_xlfn.IFNA(INDEX($D$2:$D$4001,_xlfn.XMATCH(L$1&amp;"-"&amp;$F362,YEAR($B$2:$B$4001)&amp;"-"&amp;$A$2:$A$4001,0,-1)),K362))</f>
        <v>4</v>
      </c>
      <c r="M362" cm="1">
        <f t="array" ref="M362">IF(OR(AND(L362=9,M$1&gt;YEAR($N362))),9,_xlfn.IFNA(INDEX($D$2:$D$4001,_xlfn.XMATCH(M$1&amp;"-"&amp;$F362,YEAR($B$2:$B$4001)&amp;"-"&amp;$A$2:$A$4001,0,-1)),L362))</f>
        <v>4</v>
      </c>
      <c r="N362" s="1">
        <f t="shared" si="5"/>
        <v>37832</v>
      </c>
    </row>
    <row r="363" spans="1:14" x14ac:dyDescent="0.35">
      <c r="A363">
        <v>188</v>
      </c>
      <c r="B363" s="2">
        <v>36890</v>
      </c>
      <c r="C363">
        <v>3</v>
      </c>
      <c r="D363">
        <v>3</v>
      </c>
      <c r="F363">
        <v>362</v>
      </c>
      <c r="G363" cm="1">
        <f t="array" ref="G363">_xlfn.IFNA(INDEX($D$2:$D$4001,_xlfn.XMATCH(G$1&amp;"-"&amp;$F363,YEAR($B$2:$B$4001)&amp;"-"&amp;$A$2:$A$4001,0,-1)),9)</f>
        <v>9</v>
      </c>
      <c r="H363" cm="1">
        <f t="array" ref="H363">IF(OR(AND(G363=9,H$1&gt;YEAR($N363))),9,_xlfn.IFNA(INDEX($D$2:$D$4001,_xlfn.XMATCH(H$1&amp;"-"&amp;$F363,YEAR($B$2:$B$4001)&amp;"-"&amp;$A$2:$A$4001,0,-1)),G363))</f>
        <v>3</v>
      </c>
      <c r="I363" cm="1">
        <f t="array" ref="I363">IF(OR(AND(H363=9,I$1&gt;YEAR($N363))),9,_xlfn.IFNA(INDEX($D$2:$D$4001,_xlfn.XMATCH(I$1&amp;"-"&amp;$F363,YEAR($B$2:$B$4001)&amp;"-"&amp;$A$2:$A$4001,0,-1)),H363))</f>
        <v>3</v>
      </c>
      <c r="J363" cm="1">
        <f t="array" ref="J363">IF(OR(AND(I363=9,J$1&gt;YEAR($N363))),9,_xlfn.IFNA(INDEX($D$2:$D$4001,_xlfn.XMATCH(J$1&amp;"-"&amp;$F363,YEAR($B$2:$B$4001)&amp;"-"&amp;$A$2:$A$4001,0,-1)),I363))</f>
        <v>3</v>
      </c>
      <c r="K363" cm="1">
        <f t="array" ref="K363">IF(OR(AND(J363=9,K$1&gt;YEAR($N363))),9,_xlfn.IFNA(INDEX($D$2:$D$4001,_xlfn.XMATCH(K$1&amp;"-"&amp;$F363,YEAR($B$2:$B$4001)&amp;"-"&amp;$A$2:$A$4001,0,-1)),J363))</f>
        <v>3</v>
      </c>
      <c r="L363" cm="1">
        <f t="array" ref="L363">IF(OR(AND(K363=9,L$1&gt;YEAR($N363))),9,_xlfn.IFNA(INDEX($D$2:$D$4001,_xlfn.XMATCH(L$1&amp;"-"&amp;$F363,YEAR($B$2:$B$4001)&amp;"-"&amp;$A$2:$A$4001,0,-1)),K363))</f>
        <v>3</v>
      </c>
      <c r="M363" cm="1">
        <f t="array" ref="M363">IF(OR(AND(L363=9,M$1&gt;YEAR($N363))),9,_xlfn.IFNA(INDEX($D$2:$D$4001,_xlfn.XMATCH(M$1&amp;"-"&amp;$F363,YEAR($B$2:$B$4001)&amp;"-"&amp;$A$2:$A$4001,0,-1)),L363))</f>
        <v>3</v>
      </c>
      <c r="N363" s="1">
        <f t="shared" si="5"/>
        <v>36728</v>
      </c>
    </row>
    <row r="364" spans="1:14" x14ac:dyDescent="0.35">
      <c r="A364">
        <v>189</v>
      </c>
      <c r="B364" s="2">
        <v>37467</v>
      </c>
      <c r="C364">
        <v>4</v>
      </c>
      <c r="D364">
        <v>4</v>
      </c>
      <c r="F364">
        <v>363</v>
      </c>
      <c r="G364" cm="1">
        <f t="array" ref="G364">_xlfn.IFNA(INDEX($D$2:$D$4001,_xlfn.XMATCH(G$1&amp;"-"&amp;$F364,YEAR($B$2:$B$4001)&amp;"-"&amp;$A$2:$A$4001,0,-1)),9)</f>
        <v>9</v>
      </c>
      <c r="H364" cm="1">
        <f t="array" ref="H364">IF(OR(AND(G364=9,H$1&gt;YEAR($N364))),9,_xlfn.IFNA(INDEX($D$2:$D$4001,_xlfn.XMATCH(H$1&amp;"-"&amp;$F364,YEAR($B$2:$B$4001)&amp;"-"&amp;$A$2:$A$4001,0,-1)),G364))</f>
        <v>9</v>
      </c>
      <c r="I364" cm="1">
        <f t="array" ref="I364">IF(OR(AND(H364=9,I$1&gt;YEAR($N364))),9,_xlfn.IFNA(INDEX($D$2:$D$4001,_xlfn.XMATCH(I$1&amp;"-"&amp;$F364,YEAR($B$2:$B$4001)&amp;"-"&amp;$A$2:$A$4001,0,-1)),H364))</f>
        <v>9</v>
      </c>
      <c r="J364" cm="1">
        <f t="array" ref="J364">IF(OR(AND(I364=9,J$1&gt;YEAR($N364))),9,_xlfn.IFNA(INDEX($D$2:$D$4001,_xlfn.XMATCH(J$1&amp;"-"&amp;$F364,YEAR($B$2:$B$4001)&amp;"-"&amp;$A$2:$A$4001,0,-1)),I364))</f>
        <v>9</v>
      </c>
      <c r="K364" cm="1">
        <f t="array" ref="K364">IF(OR(AND(J364=9,K$1&gt;YEAR($N364))),9,_xlfn.IFNA(INDEX($D$2:$D$4001,_xlfn.XMATCH(K$1&amp;"-"&amp;$F364,YEAR($B$2:$B$4001)&amp;"-"&amp;$A$2:$A$4001,0,-1)),J364))</f>
        <v>0</v>
      </c>
      <c r="L364" cm="1">
        <f t="array" ref="L364">IF(OR(AND(K364=9,L$1&gt;YEAR($N364))),9,_xlfn.IFNA(INDEX($D$2:$D$4001,_xlfn.XMATCH(L$1&amp;"-"&amp;$F364,YEAR($B$2:$B$4001)&amp;"-"&amp;$A$2:$A$4001,0,-1)),K364))</f>
        <v>0</v>
      </c>
      <c r="M364" cm="1">
        <f t="array" ref="M364">IF(OR(AND(L364=9,M$1&gt;YEAR($N364))),9,_xlfn.IFNA(INDEX($D$2:$D$4001,_xlfn.XMATCH(M$1&amp;"-"&amp;$F364,YEAR($B$2:$B$4001)&amp;"-"&amp;$A$2:$A$4001,0,-1)),L364))</f>
        <v>0</v>
      </c>
      <c r="N364" s="1">
        <f t="shared" si="5"/>
        <v>37924</v>
      </c>
    </row>
    <row r="365" spans="1:14" x14ac:dyDescent="0.35">
      <c r="A365">
        <v>190</v>
      </c>
      <c r="B365" s="2">
        <v>37924</v>
      </c>
      <c r="C365">
        <v>3</v>
      </c>
      <c r="D365">
        <v>3</v>
      </c>
      <c r="F365">
        <v>364</v>
      </c>
      <c r="G365" cm="1">
        <f t="array" ref="G365">_xlfn.IFNA(INDEX($D$2:$D$4001,_xlfn.XMATCH(G$1&amp;"-"&amp;$F365,YEAR($B$2:$B$4001)&amp;"-"&amp;$A$2:$A$4001,0,-1)),9)</f>
        <v>9</v>
      </c>
      <c r="H365" cm="1">
        <f t="array" ref="H365">IF(OR(AND(G365=9,H$1&gt;YEAR($N365))),9,_xlfn.IFNA(INDEX($D$2:$D$4001,_xlfn.XMATCH(H$1&amp;"-"&amp;$F365,YEAR($B$2:$B$4001)&amp;"-"&amp;$A$2:$A$4001,0,-1)),G365))</f>
        <v>9</v>
      </c>
      <c r="I365" cm="1">
        <f t="array" ref="I365">IF(OR(AND(H365=9,I$1&gt;YEAR($N365))),9,_xlfn.IFNA(INDEX($D$2:$D$4001,_xlfn.XMATCH(I$1&amp;"-"&amp;$F365,YEAR($B$2:$B$4001)&amp;"-"&amp;$A$2:$A$4001,0,-1)),H365))</f>
        <v>3</v>
      </c>
      <c r="J365" cm="1">
        <f t="array" ref="J365">IF(OR(AND(I365=9,J$1&gt;YEAR($N365))),9,_xlfn.IFNA(INDEX($D$2:$D$4001,_xlfn.XMATCH(J$1&amp;"-"&amp;$F365,YEAR($B$2:$B$4001)&amp;"-"&amp;$A$2:$A$4001,0,-1)),I365))</f>
        <v>3</v>
      </c>
      <c r="K365" cm="1">
        <f t="array" ref="K365">IF(OR(AND(J365=9,K$1&gt;YEAR($N365))),9,_xlfn.IFNA(INDEX($D$2:$D$4001,_xlfn.XMATCH(K$1&amp;"-"&amp;$F365,YEAR($B$2:$B$4001)&amp;"-"&amp;$A$2:$A$4001,0,-1)),J365))</f>
        <v>4</v>
      </c>
      <c r="L365" cm="1">
        <f t="array" ref="L365">IF(OR(AND(K365=9,L$1&gt;YEAR($N365))),9,_xlfn.IFNA(INDEX($D$2:$D$4001,_xlfn.XMATCH(L$1&amp;"-"&amp;$F365,YEAR($B$2:$B$4001)&amp;"-"&amp;$A$2:$A$4001,0,-1)),K365))</f>
        <v>4</v>
      </c>
      <c r="M365" cm="1">
        <f t="array" ref="M365">IF(OR(AND(L365=9,M$1&gt;YEAR($N365))),9,_xlfn.IFNA(INDEX($D$2:$D$4001,_xlfn.XMATCH(M$1&amp;"-"&amp;$F365,YEAR($B$2:$B$4001)&amp;"-"&amp;$A$2:$A$4001,0,-1)),L365))</f>
        <v>4</v>
      </c>
      <c r="N365" s="1">
        <f t="shared" si="5"/>
        <v>37041</v>
      </c>
    </row>
    <row r="366" spans="1:14" x14ac:dyDescent="0.35">
      <c r="A366">
        <v>190</v>
      </c>
      <c r="B366" s="2">
        <v>38189</v>
      </c>
      <c r="C366">
        <v>0</v>
      </c>
      <c r="D366">
        <v>0</v>
      </c>
      <c r="F366">
        <v>365</v>
      </c>
      <c r="G366" cm="1">
        <f t="array" ref="G366">_xlfn.IFNA(INDEX($D$2:$D$4001,_xlfn.XMATCH(G$1&amp;"-"&amp;$F366,YEAR($B$2:$B$4001)&amp;"-"&amp;$A$2:$A$4001,0,-1)),9)</f>
        <v>9</v>
      </c>
      <c r="H366" cm="1">
        <f t="array" ref="H366">IF(OR(AND(G366=9,H$1&gt;YEAR($N366))),9,_xlfn.IFNA(INDEX($D$2:$D$4001,_xlfn.XMATCH(H$1&amp;"-"&amp;$F366,YEAR($B$2:$B$4001)&amp;"-"&amp;$A$2:$A$4001,0,-1)),G366))</f>
        <v>9</v>
      </c>
      <c r="I366" cm="1">
        <f t="array" ref="I366">IF(OR(AND(H366=9,I$1&gt;YEAR($N366))),9,_xlfn.IFNA(INDEX($D$2:$D$4001,_xlfn.XMATCH(I$1&amp;"-"&amp;$F366,YEAR($B$2:$B$4001)&amp;"-"&amp;$A$2:$A$4001,0,-1)),H366))</f>
        <v>9</v>
      </c>
      <c r="J366" cm="1">
        <f t="array" ref="J366">IF(OR(AND(I366=9,J$1&gt;YEAR($N366))),9,_xlfn.IFNA(INDEX($D$2:$D$4001,_xlfn.XMATCH(J$1&amp;"-"&amp;$F366,YEAR($B$2:$B$4001)&amp;"-"&amp;$A$2:$A$4001,0,-1)),I366))</f>
        <v>2</v>
      </c>
      <c r="K366" cm="1">
        <f t="array" ref="K366">IF(OR(AND(J366=9,K$1&gt;YEAR($N366))),9,_xlfn.IFNA(INDEX($D$2:$D$4001,_xlfn.XMATCH(K$1&amp;"-"&amp;$F366,YEAR($B$2:$B$4001)&amp;"-"&amp;$A$2:$A$4001,0,-1)),J366))</f>
        <v>2</v>
      </c>
      <c r="L366" cm="1">
        <f t="array" ref="L366">IF(OR(AND(K366=9,L$1&gt;YEAR($N366))),9,_xlfn.IFNA(INDEX($D$2:$D$4001,_xlfn.XMATCH(L$1&amp;"-"&amp;$F366,YEAR($B$2:$B$4001)&amp;"-"&amp;$A$2:$A$4001,0,-1)),K366))</f>
        <v>2</v>
      </c>
      <c r="M366" cm="1">
        <f t="array" ref="M366">IF(OR(AND(L366=9,M$1&gt;YEAR($N366))),9,_xlfn.IFNA(INDEX($D$2:$D$4001,_xlfn.XMATCH(M$1&amp;"-"&amp;$F366,YEAR($B$2:$B$4001)&amp;"-"&amp;$A$2:$A$4001,0,-1)),L366))</f>
        <v>2</v>
      </c>
      <c r="N366" s="1">
        <f t="shared" si="5"/>
        <v>37581</v>
      </c>
    </row>
    <row r="367" spans="1:14" x14ac:dyDescent="0.35">
      <c r="A367">
        <v>191</v>
      </c>
      <c r="B367" s="2">
        <v>37406</v>
      </c>
      <c r="C367">
        <v>3</v>
      </c>
      <c r="D367">
        <v>3</v>
      </c>
      <c r="F367">
        <v>366</v>
      </c>
      <c r="G367" cm="1">
        <f t="array" ref="G367">_xlfn.IFNA(INDEX($D$2:$D$4001,_xlfn.XMATCH(G$1&amp;"-"&amp;$F367,YEAR($B$2:$B$4001)&amp;"-"&amp;$A$2:$A$4001,0,-1)),9)</f>
        <v>9</v>
      </c>
      <c r="H367" cm="1">
        <f t="array" ref="H367">IF(OR(AND(G367=9,H$1&gt;YEAR($N367))),9,_xlfn.IFNA(INDEX($D$2:$D$4001,_xlfn.XMATCH(H$1&amp;"-"&amp;$F367,YEAR($B$2:$B$4001)&amp;"-"&amp;$A$2:$A$4001,0,-1)),G367))</f>
        <v>0</v>
      </c>
      <c r="I367" cm="1">
        <f t="array" ref="I367">IF(OR(AND(H367=9,I$1&gt;YEAR($N367))),9,_xlfn.IFNA(INDEX($D$2:$D$4001,_xlfn.XMATCH(I$1&amp;"-"&amp;$F367,YEAR($B$2:$B$4001)&amp;"-"&amp;$A$2:$A$4001,0,-1)),H367))</f>
        <v>0</v>
      </c>
      <c r="J367" cm="1">
        <f t="array" ref="J367">IF(OR(AND(I367=9,J$1&gt;YEAR($N367))),9,_xlfn.IFNA(INDEX($D$2:$D$4001,_xlfn.XMATCH(J$1&amp;"-"&amp;$F367,YEAR($B$2:$B$4001)&amp;"-"&amp;$A$2:$A$4001,0,-1)),I367))</f>
        <v>0</v>
      </c>
      <c r="K367" cm="1">
        <f t="array" ref="K367">IF(OR(AND(J367=9,K$1&gt;YEAR($N367))),9,_xlfn.IFNA(INDEX($D$2:$D$4001,_xlfn.XMATCH(K$1&amp;"-"&amp;$F367,YEAR($B$2:$B$4001)&amp;"-"&amp;$A$2:$A$4001,0,-1)),J367))</f>
        <v>0</v>
      </c>
      <c r="L367" cm="1">
        <f t="array" ref="L367">IF(OR(AND(K367=9,L$1&gt;YEAR($N367))),9,_xlfn.IFNA(INDEX($D$2:$D$4001,_xlfn.XMATCH(L$1&amp;"-"&amp;$F367,YEAR($B$2:$B$4001)&amp;"-"&amp;$A$2:$A$4001,0,-1)),K367))</f>
        <v>0</v>
      </c>
      <c r="M367" cm="1">
        <f t="array" ref="M367">IF(OR(AND(L367=9,M$1&gt;YEAR($N367))),9,_xlfn.IFNA(INDEX($D$2:$D$4001,_xlfn.XMATCH(M$1&amp;"-"&amp;$F367,YEAR($B$2:$B$4001)&amp;"-"&amp;$A$2:$A$4001,0,-1)),L367))</f>
        <v>0</v>
      </c>
      <c r="N367" s="1">
        <f t="shared" si="5"/>
        <v>36667</v>
      </c>
    </row>
    <row r="368" spans="1:14" x14ac:dyDescent="0.35">
      <c r="A368">
        <v>191</v>
      </c>
      <c r="B368" s="2">
        <v>37559</v>
      </c>
      <c r="C368">
        <v>4</v>
      </c>
      <c r="D368">
        <v>4</v>
      </c>
      <c r="F368">
        <v>367</v>
      </c>
      <c r="G368" cm="1">
        <f t="array" ref="G368">_xlfn.IFNA(INDEX($D$2:$D$4001,_xlfn.XMATCH(G$1&amp;"-"&amp;$F368,YEAR($B$2:$B$4001)&amp;"-"&amp;$A$2:$A$4001,0,-1)),9)</f>
        <v>9</v>
      </c>
      <c r="H368" cm="1">
        <f t="array" ref="H368">IF(OR(AND(G368=9,H$1&gt;YEAR($N368))),9,_xlfn.IFNA(INDEX($D$2:$D$4001,_xlfn.XMATCH(H$1&amp;"-"&amp;$F368,YEAR($B$2:$B$4001)&amp;"-"&amp;$A$2:$A$4001,0,-1)),G368))</f>
        <v>0</v>
      </c>
      <c r="I368" cm="1">
        <f t="array" ref="I368">IF(OR(AND(H368=9,I$1&gt;YEAR($N368))),9,_xlfn.IFNA(INDEX($D$2:$D$4001,_xlfn.XMATCH(I$1&amp;"-"&amp;$F368,YEAR($B$2:$B$4001)&amp;"-"&amp;$A$2:$A$4001,0,-1)),H368))</f>
        <v>0</v>
      </c>
      <c r="J368" cm="1">
        <f t="array" ref="J368">IF(OR(AND(I368=9,J$1&gt;YEAR($N368))),9,_xlfn.IFNA(INDEX($D$2:$D$4001,_xlfn.XMATCH(J$1&amp;"-"&amp;$F368,YEAR($B$2:$B$4001)&amp;"-"&amp;$A$2:$A$4001,0,-1)),I368))</f>
        <v>0</v>
      </c>
      <c r="K368" cm="1">
        <f t="array" ref="K368">IF(OR(AND(J368=9,K$1&gt;YEAR($N368))),9,_xlfn.IFNA(INDEX($D$2:$D$4001,_xlfn.XMATCH(K$1&amp;"-"&amp;$F368,YEAR($B$2:$B$4001)&amp;"-"&amp;$A$2:$A$4001,0,-1)),J368))</f>
        <v>0</v>
      </c>
      <c r="L368" cm="1">
        <f t="array" ref="L368">IF(OR(AND(K368=9,L$1&gt;YEAR($N368))),9,_xlfn.IFNA(INDEX($D$2:$D$4001,_xlfn.XMATCH(L$1&amp;"-"&amp;$F368,YEAR($B$2:$B$4001)&amp;"-"&amp;$A$2:$A$4001,0,-1)),K368))</f>
        <v>0</v>
      </c>
      <c r="M368" cm="1">
        <f t="array" ref="M368">IF(OR(AND(L368=9,M$1&gt;YEAR($N368))),9,_xlfn.IFNA(INDEX($D$2:$D$4001,_xlfn.XMATCH(M$1&amp;"-"&amp;$F368,YEAR($B$2:$B$4001)&amp;"-"&amp;$A$2:$A$4001,0,-1)),L368))</f>
        <v>0</v>
      </c>
      <c r="N368" s="1">
        <f t="shared" si="5"/>
        <v>36674</v>
      </c>
    </row>
    <row r="369" spans="1:14" x14ac:dyDescent="0.35">
      <c r="A369">
        <v>191</v>
      </c>
      <c r="B369" s="2">
        <v>37620</v>
      </c>
      <c r="C369">
        <v>4</v>
      </c>
      <c r="D369">
        <v>4</v>
      </c>
      <c r="F369">
        <v>368</v>
      </c>
      <c r="G369" cm="1">
        <f t="array" ref="G369">_xlfn.IFNA(INDEX($D$2:$D$4001,_xlfn.XMATCH(G$1&amp;"-"&amp;$F369,YEAR($B$2:$B$4001)&amp;"-"&amp;$A$2:$A$4001,0,-1)),9)</f>
        <v>6</v>
      </c>
      <c r="H369" cm="1">
        <f t="array" ref="H369">IF(OR(AND(G369=9,H$1&gt;YEAR($N369))),9,_xlfn.IFNA(INDEX($D$2:$D$4001,_xlfn.XMATCH(H$1&amp;"-"&amp;$F369,YEAR($B$2:$B$4001)&amp;"-"&amp;$A$2:$A$4001,0,-1)),G369))</f>
        <v>6</v>
      </c>
      <c r="I369" cm="1">
        <f t="array" ref="I369">IF(OR(AND(H369=9,I$1&gt;YEAR($N369))),9,_xlfn.IFNA(INDEX($D$2:$D$4001,_xlfn.XMATCH(I$1&amp;"-"&amp;$F369,YEAR($B$2:$B$4001)&amp;"-"&amp;$A$2:$A$4001,0,-1)),H369))</f>
        <v>6</v>
      </c>
      <c r="J369" cm="1">
        <f t="array" ref="J369">IF(OR(AND(I369=9,J$1&gt;YEAR($N369))),9,_xlfn.IFNA(INDEX($D$2:$D$4001,_xlfn.XMATCH(J$1&amp;"-"&amp;$F369,YEAR($B$2:$B$4001)&amp;"-"&amp;$A$2:$A$4001,0,-1)),I369))</f>
        <v>0</v>
      </c>
      <c r="K369" cm="1">
        <f t="array" ref="K369">IF(OR(AND(J369=9,K$1&gt;YEAR($N369))),9,_xlfn.IFNA(INDEX($D$2:$D$4001,_xlfn.XMATCH(K$1&amp;"-"&amp;$F369,YEAR($B$2:$B$4001)&amp;"-"&amp;$A$2:$A$4001,0,-1)),J369))</f>
        <v>0</v>
      </c>
      <c r="L369" cm="1">
        <f t="array" ref="L369">IF(OR(AND(K369=9,L$1&gt;YEAR($N369))),9,_xlfn.IFNA(INDEX($D$2:$D$4001,_xlfn.XMATCH(L$1&amp;"-"&amp;$F369,YEAR($B$2:$B$4001)&amp;"-"&amp;$A$2:$A$4001,0,-1)),K369))</f>
        <v>0</v>
      </c>
      <c r="M369" cm="1">
        <f t="array" ref="M369">IF(OR(AND(L369=9,M$1&gt;YEAR($N369))),9,_xlfn.IFNA(INDEX($D$2:$D$4001,_xlfn.XMATCH(M$1&amp;"-"&amp;$F369,YEAR($B$2:$B$4001)&amp;"-"&amp;$A$2:$A$4001,0,-1)),L369))</f>
        <v>0</v>
      </c>
      <c r="N369" s="1">
        <f t="shared" si="5"/>
        <v>36524</v>
      </c>
    </row>
    <row r="370" spans="1:14" x14ac:dyDescent="0.35">
      <c r="A370">
        <v>191</v>
      </c>
      <c r="B370" s="2">
        <v>37620</v>
      </c>
      <c r="C370">
        <v>5</v>
      </c>
      <c r="D370">
        <v>5</v>
      </c>
      <c r="F370">
        <v>369</v>
      </c>
      <c r="G370" cm="1">
        <f t="array" ref="G370">_xlfn.IFNA(INDEX($D$2:$D$4001,_xlfn.XMATCH(G$1&amp;"-"&amp;$F370,YEAR($B$2:$B$4001)&amp;"-"&amp;$A$2:$A$4001,0,-1)),9)</f>
        <v>9</v>
      </c>
      <c r="H370" cm="1">
        <f t="array" ref="H370">IF(OR(AND(G370=9,H$1&gt;YEAR($N370))),9,_xlfn.IFNA(INDEX($D$2:$D$4001,_xlfn.XMATCH(H$1&amp;"-"&amp;$F370,YEAR($B$2:$B$4001)&amp;"-"&amp;$A$2:$A$4001,0,-1)),G370))</f>
        <v>9</v>
      </c>
      <c r="I370" cm="1">
        <f t="array" ref="I370">IF(OR(AND(H370=9,I$1&gt;YEAR($N370))),9,_xlfn.IFNA(INDEX($D$2:$D$4001,_xlfn.XMATCH(I$1&amp;"-"&amp;$F370,YEAR($B$2:$B$4001)&amp;"-"&amp;$A$2:$A$4001,0,-1)),H370))</f>
        <v>9</v>
      </c>
      <c r="J370" cm="1">
        <f t="array" ref="J370">IF(OR(AND(I370=9,J$1&gt;YEAR($N370))),9,_xlfn.IFNA(INDEX($D$2:$D$4001,_xlfn.XMATCH(J$1&amp;"-"&amp;$F370,YEAR($B$2:$B$4001)&amp;"-"&amp;$A$2:$A$4001,0,-1)),I370))</f>
        <v>1</v>
      </c>
      <c r="K370" cm="1">
        <f t="array" ref="K370">IF(OR(AND(J370=9,K$1&gt;YEAR($N370))),9,_xlfn.IFNA(INDEX($D$2:$D$4001,_xlfn.XMATCH(K$1&amp;"-"&amp;$F370,YEAR($B$2:$B$4001)&amp;"-"&amp;$A$2:$A$4001,0,-1)),J370))</f>
        <v>1</v>
      </c>
      <c r="L370" cm="1">
        <f t="array" ref="L370">IF(OR(AND(K370=9,L$1&gt;YEAR($N370))),9,_xlfn.IFNA(INDEX($D$2:$D$4001,_xlfn.XMATCH(L$1&amp;"-"&amp;$F370,YEAR($B$2:$B$4001)&amp;"-"&amp;$A$2:$A$4001,0,-1)),K370))</f>
        <v>1</v>
      </c>
      <c r="M370" cm="1">
        <f t="array" ref="M370">IF(OR(AND(L370=9,M$1&gt;YEAR($N370))),9,_xlfn.IFNA(INDEX($D$2:$D$4001,_xlfn.XMATCH(M$1&amp;"-"&amp;$F370,YEAR($B$2:$B$4001)&amp;"-"&amp;$A$2:$A$4001,0,-1)),L370))</f>
        <v>1</v>
      </c>
      <c r="N370" s="1">
        <f t="shared" si="5"/>
        <v>37406</v>
      </c>
    </row>
    <row r="371" spans="1:14" x14ac:dyDescent="0.35">
      <c r="A371">
        <v>192</v>
      </c>
      <c r="B371" s="2">
        <v>36707</v>
      </c>
      <c r="C371">
        <v>3</v>
      </c>
      <c r="D371">
        <v>3</v>
      </c>
      <c r="F371">
        <v>370</v>
      </c>
      <c r="G371" cm="1">
        <f t="array" ref="G371">_xlfn.IFNA(INDEX($D$2:$D$4001,_xlfn.XMATCH(G$1&amp;"-"&amp;$F371,YEAR($B$2:$B$4001)&amp;"-"&amp;$A$2:$A$4001,0,-1)),9)</f>
        <v>0</v>
      </c>
      <c r="H371" cm="1">
        <f t="array" ref="H371">IF(OR(AND(G371=9,H$1&gt;YEAR($N371))),9,_xlfn.IFNA(INDEX($D$2:$D$4001,_xlfn.XMATCH(H$1&amp;"-"&amp;$F371,YEAR($B$2:$B$4001)&amp;"-"&amp;$A$2:$A$4001,0,-1)),G371))</f>
        <v>0</v>
      </c>
      <c r="I371" cm="1">
        <f t="array" ref="I371">IF(OR(AND(H371=9,I$1&gt;YEAR($N371))),9,_xlfn.IFNA(INDEX($D$2:$D$4001,_xlfn.XMATCH(I$1&amp;"-"&amp;$F371,YEAR($B$2:$B$4001)&amp;"-"&amp;$A$2:$A$4001,0,-1)),H371))</f>
        <v>0</v>
      </c>
      <c r="J371" cm="1">
        <f t="array" ref="J371">IF(OR(AND(I371=9,J$1&gt;YEAR($N371))),9,_xlfn.IFNA(INDEX($D$2:$D$4001,_xlfn.XMATCH(J$1&amp;"-"&amp;$F371,YEAR($B$2:$B$4001)&amp;"-"&amp;$A$2:$A$4001,0,-1)),I371))</f>
        <v>0</v>
      </c>
      <c r="K371" cm="1">
        <f t="array" ref="K371">IF(OR(AND(J371=9,K$1&gt;YEAR($N371))),9,_xlfn.IFNA(INDEX($D$2:$D$4001,_xlfn.XMATCH(K$1&amp;"-"&amp;$F371,YEAR($B$2:$B$4001)&amp;"-"&amp;$A$2:$A$4001,0,-1)),J371))</f>
        <v>0</v>
      </c>
      <c r="L371" cm="1">
        <f t="array" ref="L371">IF(OR(AND(K371=9,L$1&gt;YEAR($N371))),9,_xlfn.IFNA(INDEX($D$2:$D$4001,_xlfn.XMATCH(L$1&amp;"-"&amp;$F371,YEAR($B$2:$B$4001)&amp;"-"&amp;$A$2:$A$4001,0,-1)),K371))</f>
        <v>0</v>
      </c>
      <c r="M371" cm="1">
        <f t="array" ref="M371">IF(OR(AND(L371=9,M$1&gt;YEAR($N371))),9,_xlfn.IFNA(INDEX($D$2:$D$4001,_xlfn.XMATCH(M$1&amp;"-"&amp;$F371,YEAR($B$2:$B$4001)&amp;"-"&amp;$A$2:$A$4001,0,-1)),L371))</f>
        <v>0</v>
      </c>
      <c r="N371" s="1">
        <f t="shared" si="5"/>
        <v>36310</v>
      </c>
    </row>
    <row r="372" spans="1:14" x14ac:dyDescent="0.35">
      <c r="A372">
        <v>192</v>
      </c>
      <c r="B372" s="2">
        <v>37032</v>
      </c>
      <c r="C372">
        <v>3</v>
      </c>
      <c r="D372">
        <v>3</v>
      </c>
      <c r="F372">
        <v>371</v>
      </c>
      <c r="G372" cm="1">
        <f t="array" ref="G372">_xlfn.IFNA(INDEX($D$2:$D$4001,_xlfn.XMATCH(G$1&amp;"-"&amp;$F372,YEAR($B$2:$B$4001)&amp;"-"&amp;$A$2:$A$4001,0,-1)),9)</f>
        <v>9</v>
      </c>
      <c r="H372" cm="1">
        <f t="array" ref="H372">IF(OR(AND(G372=9,H$1&gt;YEAR($N372))),9,_xlfn.IFNA(INDEX($D$2:$D$4001,_xlfn.XMATCH(H$1&amp;"-"&amp;$F372,YEAR($B$2:$B$4001)&amp;"-"&amp;$A$2:$A$4001,0,-1)),G372))</f>
        <v>1</v>
      </c>
      <c r="I372" cm="1">
        <f t="array" ref="I372">IF(OR(AND(H372=9,I$1&gt;YEAR($N372))),9,_xlfn.IFNA(INDEX($D$2:$D$4001,_xlfn.XMATCH(I$1&amp;"-"&amp;$F372,YEAR($B$2:$B$4001)&amp;"-"&amp;$A$2:$A$4001,0,-1)),H372))</f>
        <v>1</v>
      </c>
      <c r="J372" cm="1">
        <f t="array" ref="J372">IF(OR(AND(I372=9,J$1&gt;YEAR($N372))),9,_xlfn.IFNA(INDEX($D$2:$D$4001,_xlfn.XMATCH(J$1&amp;"-"&amp;$F372,YEAR($B$2:$B$4001)&amp;"-"&amp;$A$2:$A$4001,0,-1)),I372))</f>
        <v>1</v>
      </c>
      <c r="K372" cm="1">
        <f t="array" ref="K372">IF(OR(AND(J372=9,K$1&gt;YEAR($N372))),9,_xlfn.IFNA(INDEX($D$2:$D$4001,_xlfn.XMATCH(K$1&amp;"-"&amp;$F372,YEAR($B$2:$B$4001)&amp;"-"&amp;$A$2:$A$4001,0,-1)),J372))</f>
        <v>1</v>
      </c>
      <c r="L372" cm="1">
        <f t="array" ref="L372">IF(OR(AND(K372=9,L$1&gt;YEAR($N372))),9,_xlfn.IFNA(INDEX($D$2:$D$4001,_xlfn.XMATCH(L$1&amp;"-"&amp;$F372,YEAR($B$2:$B$4001)&amp;"-"&amp;$A$2:$A$4001,0,-1)),K372))</f>
        <v>1</v>
      </c>
      <c r="M372" cm="1">
        <f t="array" ref="M372">IF(OR(AND(L372=9,M$1&gt;YEAR($N372))),9,_xlfn.IFNA(INDEX($D$2:$D$4001,_xlfn.XMATCH(M$1&amp;"-"&amp;$F372,YEAR($B$2:$B$4001)&amp;"-"&amp;$A$2:$A$4001,0,-1)),L372))</f>
        <v>1</v>
      </c>
      <c r="N372" s="1">
        <f t="shared" si="5"/>
        <v>36890</v>
      </c>
    </row>
    <row r="373" spans="1:14" x14ac:dyDescent="0.35">
      <c r="A373">
        <v>193</v>
      </c>
      <c r="B373" s="2">
        <v>36524</v>
      </c>
      <c r="C373">
        <v>2</v>
      </c>
      <c r="D373">
        <v>2</v>
      </c>
      <c r="F373">
        <v>372</v>
      </c>
      <c r="G373" cm="1">
        <f t="array" ref="G373">_xlfn.IFNA(INDEX($D$2:$D$4001,_xlfn.XMATCH(G$1&amp;"-"&amp;$F373,YEAR($B$2:$B$4001)&amp;"-"&amp;$A$2:$A$4001,0,-1)),9)</f>
        <v>3</v>
      </c>
      <c r="H373" cm="1">
        <f t="array" ref="H373">IF(OR(AND(G373=9,H$1&gt;YEAR($N373))),9,_xlfn.IFNA(INDEX($D$2:$D$4001,_xlfn.XMATCH(H$1&amp;"-"&amp;$F373,YEAR($B$2:$B$4001)&amp;"-"&amp;$A$2:$A$4001,0,-1)),G373))</f>
        <v>2</v>
      </c>
      <c r="I373" cm="1">
        <f t="array" ref="I373">IF(OR(AND(H373=9,I$1&gt;YEAR($N373))),9,_xlfn.IFNA(INDEX($D$2:$D$4001,_xlfn.XMATCH(I$1&amp;"-"&amp;$F373,YEAR($B$2:$B$4001)&amp;"-"&amp;$A$2:$A$4001,0,-1)),H373))</f>
        <v>2</v>
      </c>
      <c r="J373" cm="1">
        <f t="array" ref="J373">IF(OR(AND(I373=9,J$1&gt;YEAR($N373))),9,_xlfn.IFNA(INDEX($D$2:$D$4001,_xlfn.XMATCH(J$1&amp;"-"&amp;$F373,YEAR($B$2:$B$4001)&amp;"-"&amp;$A$2:$A$4001,0,-1)),I373))</f>
        <v>2</v>
      </c>
      <c r="K373" cm="1">
        <f t="array" ref="K373">IF(OR(AND(J373=9,K$1&gt;YEAR($N373))),9,_xlfn.IFNA(INDEX($D$2:$D$4001,_xlfn.XMATCH(K$1&amp;"-"&amp;$F373,YEAR($B$2:$B$4001)&amp;"-"&amp;$A$2:$A$4001,0,-1)),J373))</f>
        <v>0</v>
      </c>
      <c r="L373" cm="1">
        <f t="array" ref="L373">IF(OR(AND(K373=9,L$1&gt;YEAR($N373))),9,_xlfn.IFNA(INDEX($D$2:$D$4001,_xlfn.XMATCH(L$1&amp;"-"&amp;$F373,YEAR($B$2:$B$4001)&amp;"-"&amp;$A$2:$A$4001,0,-1)),K373))</f>
        <v>0</v>
      </c>
      <c r="M373" cm="1">
        <f t="array" ref="M373">IF(OR(AND(L373=9,M$1&gt;YEAR($N373))),9,_xlfn.IFNA(INDEX($D$2:$D$4001,_xlfn.XMATCH(M$1&amp;"-"&amp;$F373,YEAR($B$2:$B$4001)&amp;"-"&amp;$A$2:$A$4001,0,-1)),L373))</f>
        <v>0</v>
      </c>
      <c r="N373" s="1">
        <f t="shared" si="5"/>
        <v>36341</v>
      </c>
    </row>
    <row r="374" spans="1:14" x14ac:dyDescent="0.35">
      <c r="A374">
        <v>193</v>
      </c>
      <c r="B374" s="2">
        <v>37955</v>
      </c>
      <c r="C374">
        <v>0</v>
      </c>
      <c r="D374">
        <v>0</v>
      </c>
      <c r="F374">
        <v>373</v>
      </c>
      <c r="G374" cm="1">
        <f t="array" ref="G374">_xlfn.IFNA(INDEX($D$2:$D$4001,_xlfn.XMATCH(G$1&amp;"-"&amp;$F374,YEAR($B$2:$B$4001)&amp;"-"&amp;$A$2:$A$4001,0,-1)),9)</f>
        <v>3</v>
      </c>
      <c r="H374" cm="1">
        <f t="array" ref="H374">IF(OR(AND(G374=9,H$1&gt;YEAR($N374))),9,_xlfn.IFNA(INDEX($D$2:$D$4001,_xlfn.XMATCH(H$1&amp;"-"&amp;$F374,YEAR($B$2:$B$4001)&amp;"-"&amp;$A$2:$A$4001,0,-1)),G374))</f>
        <v>3</v>
      </c>
      <c r="I374" cm="1">
        <f t="array" ref="I374">IF(OR(AND(H374=9,I$1&gt;YEAR($N374))),9,_xlfn.IFNA(INDEX($D$2:$D$4001,_xlfn.XMATCH(I$1&amp;"-"&amp;$F374,YEAR($B$2:$B$4001)&amp;"-"&amp;$A$2:$A$4001,0,-1)),H374))</f>
        <v>2</v>
      </c>
      <c r="J374" cm="1">
        <f t="array" ref="J374">IF(OR(AND(I374=9,J$1&gt;YEAR($N374))),9,_xlfn.IFNA(INDEX($D$2:$D$4001,_xlfn.XMATCH(J$1&amp;"-"&amp;$F374,YEAR($B$2:$B$4001)&amp;"-"&amp;$A$2:$A$4001,0,-1)),I374))</f>
        <v>2</v>
      </c>
      <c r="K374" cm="1">
        <f t="array" ref="K374">IF(OR(AND(J374=9,K$1&gt;YEAR($N374))),9,_xlfn.IFNA(INDEX($D$2:$D$4001,_xlfn.XMATCH(K$1&amp;"-"&amp;$F374,YEAR($B$2:$B$4001)&amp;"-"&amp;$A$2:$A$4001,0,-1)),J374))</f>
        <v>2</v>
      </c>
      <c r="L374" cm="1">
        <f t="array" ref="L374">IF(OR(AND(K374=9,L$1&gt;YEAR($N374))),9,_xlfn.IFNA(INDEX($D$2:$D$4001,_xlfn.XMATCH(L$1&amp;"-"&amp;$F374,YEAR($B$2:$B$4001)&amp;"-"&amp;$A$2:$A$4001,0,-1)),K374))</f>
        <v>2</v>
      </c>
      <c r="M374" cm="1">
        <f t="array" ref="M374">IF(OR(AND(L374=9,M$1&gt;YEAR($N374))),9,_xlfn.IFNA(INDEX($D$2:$D$4001,_xlfn.XMATCH(M$1&amp;"-"&amp;$F374,YEAR($B$2:$B$4001)&amp;"-"&amp;$A$2:$A$4001,0,-1)),L374))</f>
        <v>2</v>
      </c>
      <c r="N374" s="1">
        <f t="shared" si="5"/>
        <v>36301</v>
      </c>
    </row>
    <row r="375" spans="1:14" x14ac:dyDescent="0.35">
      <c r="A375">
        <v>194</v>
      </c>
      <c r="B375" s="2">
        <v>37559</v>
      </c>
      <c r="C375">
        <v>3</v>
      </c>
      <c r="D375">
        <v>3</v>
      </c>
      <c r="F375">
        <v>374</v>
      </c>
      <c r="G375" cm="1">
        <f t="array" ref="G375">_xlfn.IFNA(INDEX($D$2:$D$4001,_xlfn.XMATCH(G$1&amp;"-"&amp;$F375,YEAR($B$2:$B$4001)&amp;"-"&amp;$A$2:$A$4001,0,-1)),9)</f>
        <v>9</v>
      </c>
      <c r="H375" cm="1">
        <f t="array" ref="H375">IF(OR(AND(G375=9,H$1&gt;YEAR($N375))),9,_xlfn.IFNA(INDEX($D$2:$D$4001,_xlfn.XMATCH(H$1&amp;"-"&amp;$F375,YEAR($B$2:$B$4001)&amp;"-"&amp;$A$2:$A$4001,0,-1)),G375))</f>
        <v>2</v>
      </c>
      <c r="I375" cm="1">
        <f t="array" ref="I375">IF(OR(AND(H375=9,I$1&gt;YEAR($N375))),9,_xlfn.IFNA(INDEX($D$2:$D$4001,_xlfn.XMATCH(I$1&amp;"-"&amp;$F375,YEAR($B$2:$B$4001)&amp;"-"&amp;$A$2:$A$4001,0,-1)),H375))</f>
        <v>2</v>
      </c>
      <c r="J375" cm="1">
        <f t="array" ref="J375">IF(OR(AND(I375=9,J$1&gt;YEAR($N375))),9,_xlfn.IFNA(INDEX($D$2:$D$4001,_xlfn.XMATCH(J$1&amp;"-"&amp;$F375,YEAR($B$2:$B$4001)&amp;"-"&amp;$A$2:$A$4001,0,-1)),I375))</f>
        <v>2</v>
      </c>
      <c r="K375" cm="1">
        <f t="array" ref="K375">IF(OR(AND(J375=9,K$1&gt;YEAR($N375))),9,_xlfn.IFNA(INDEX($D$2:$D$4001,_xlfn.XMATCH(K$1&amp;"-"&amp;$F375,YEAR($B$2:$B$4001)&amp;"-"&amp;$A$2:$A$4001,0,-1)),J375))</f>
        <v>2</v>
      </c>
      <c r="L375" cm="1">
        <f t="array" ref="L375">IF(OR(AND(K375=9,L$1&gt;YEAR($N375))),9,_xlfn.IFNA(INDEX($D$2:$D$4001,_xlfn.XMATCH(L$1&amp;"-"&amp;$F375,YEAR($B$2:$B$4001)&amp;"-"&amp;$A$2:$A$4001,0,-1)),K375))</f>
        <v>2</v>
      </c>
      <c r="M375" cm="1">
        <f t="array" ref="M375">IF(OR(AND(L375=9,M$1&gt;YEAR($N375))),9,_xlfn.IFNA(INDEX($D$2:$D$4001,_xlfn.XMATCH(M$1&amp;"-"&amp;$F375,YEAR($B$2:$B$4001)&amp;"-"&amp;$A$2:$A$4001,0,-1)),L375))</f>
        <v>2</v>
      </c>
      <c r="N375" s="1">
        <f t="shared" si="5"/>
        <v>36890</v>
      </c>
    </row>
    <row r="376" spans="1:14" x14ac:dyDescent="0.35">
      <c r="A376">
        <v>194</v>
      </c>
      <c r="B376" s="2">
        <v>37762</v>
      </c>
      <c r="C376">
        <v>3</v>
      </c>
      <c r="D376">
        <v>3</v>
      </c>
      <c r="F376">
        <v>375</v>
      </c>
      <c r="G376" cm="1">
        <f t="array" ref="G376">_xlfn.IFNA(INDEX($D$2:$D$4001,_xlfn.XMATCH(G$1&amp;"-"&amp;$F376,YEAR($B$2:$B$4001)&amp;"-"&amp;$A$2:$A$4001,0,-1)),9)</f>
        <v>9</v>
      </c>
      <c r="H376" cm="1">
        <f t="array" ref="H376">IF(OR(AND(G376=9,H$1&gt;YEAR($N376))),9,_xlfn.IFNA(INDEX($D$2:$D$4001,_xlfn.XMATCH(H$1&amp;"-"&amp;$F376,YEAR($B$2:$B$4001)&amp;"-"&amp;$A$2:$A$4001,0,-1)),G376))</f>
        <v>9</v>
      </c>
      <c r="I376" cm="1">
        <f t="array" ref="I376">IF(OR(AND(H376=9,I$1&gt;YEAR($N376))),9,_xlfn.IFNA(INDEX($D$2:$D$4001,_xlfn.XMATCH(I$1&amp;"-"&amp;$F376,YEAR($B$2:$B$4001)&amp;"-"&amp;$A$2:$A$4001,0,-1)),H376))</f>
        <v>9</v>
      </c>
      <c r="J376" cm="1">
        <f t="array" ref="J376">IF(OR(AND(I376=9,J$1&gt;YEAR($N376))),9,_xlfn.IFNA(INDEX($D$2:$D$4001,_xlfn.XMATCH(J$1&amp;"-"&amp;$F376,YEAR($B$2:$B$4001)&amp;"-"&amp;$A$2:$A$4001,0,-1)),I376))</f>
        <v>9</v>
      </c>
      <c r="K376" cm="1">
        <f t="array" ref="K376">IF(OR(AND(J376=9,K$1&gt;YEAR($N376))),9,_xlfn.IFNA(INDEX($D$2:$D$4001,_xlfn.XMATCH(K$1&amp;"-"&amp;$F376,YEAR($B$2:$B$4001)&amp;"-"&amp;$A$2:$A$4001,0,-1)),J376))</f>
        <v>9</v>
      </c>
      <c r="L376" cm="1">
        <f t="array" ref="L376">IF(OR(AND(K376=9,L$1&gt;YEAR($N376))),9,_xlfn.IFNA(INDEX($D$2:$D$4001,_xlfn.XMATCH(L$1&amp;"-"&amp;$F376,YEAR($B$2:$B$4001)&amp;"-"&amp;$A$2:$A$4001,0,-1)),K376))</f>
        <v>2</v>
      </c>
      <c r="M376" cm="1">
        <f t="array" ref="M376">IF(OR(AND(L376=9,M$1&gt;YEAR($N376))),9,_xlfn.IFNA(INDEX($D$2:$D$4001,_xlfn.XMATCH(M$1&amp;"-"&amp;$F376,YEAR($B$2:$B$4001)&amp;"-"&amp;$A$2:$A$4001,0,-1)),L376))</f>
        <v>2</v>
      </c>
      <c r="N376" s="1">
        <f t="shared" si="5"/>
        <v>38321</v>
      </c>
    </row>
    <row r="377" spans="1:14" x14ac:dyDescent="0.35">
      <c r="A377">
        <v>195</v>
      </c>
      <c r="B377" s="2">
        <v>36890</v>
      </c>
      <c r="C377">
        <v>4</v>
      </c>
      <c r="D377">
        <v>4</v>
      </c>
      <c r="F377">
        <v>376</v>
      </c>
      <c r="G377" cm="1">
        <f t="array" ref="G377">_xlfn.IFNA(INDEX($D$2:$D$4001,_xlfn.XMATCH(G$1&amp;"-"&amp;$F377,YEAR($B$2:$B$4001)&amp;"-"&amp;$A$2:$A$4001,0,-1)),9)</f>
        <v>3</v>
      </c>
      <c r="H377" cm="1">
        <f t="array" ref="H377">IF(OR(AND(G377=9,H$1&gt;YEAR($N377))),9,_xlfn.IFNA(INDEX($D$2:$D$4001,_xlfn.XMATCH(H$1&amp;"-"&amp;$F377,YEAR($B$2:$B$4001)&amp;"-"&amp;$A$2:$A$4001,0,-1)),G377))</f>
        <v>3</v>
      </c>
      <c r="I377" cm="1">
        <f t="array" ref="I377">IF(OR(AND(H377=9,I$1&gt;YEAR($N377))),9,_xlfn.IFNA(INDEX($D$2:$D$4001,_xlfn.XMATCH(I$1&amp;"-"&amp;$F377,YEAR($B$2:$B$4001)&amp;"-"&amp;$A$2:$A$4001,0,-1)),H377))</f>
        <v>4</v>
      </c>
      <c r="J377" cm="1">
        <f t="array" ref="J377">IF(OR(AND(I377=9,J$1&gt;YEAR($N377))),9,_xlfn.IFNA(INDEX($D$2:$D$4001,_xlfn.XMATCH(J$1&amp;"-"&amp;$F377,YEAR($B$2:$B$4001)&amp;"-"&amp;$A$2:$A$4001,0,-1)),I377))</f>
        <v>4</v>
      </c>
      <c r="K377" cm="1">
        <f t="array" ref="K377">IF(OR(AND(J377=9,K$1&gt;YEAR($N377))),9,_xlfn.IFNA(INDEX($D$2:$D$4001,_xlfn.XMATCH(K$1&amp;"-"&amp;$F377,YEAR($B$2:$B$4001)&amp;"-"&amp;$A$2:$A$4001,0,-1)),J377))</f>
        <v>5</v>
      </c>
      <c r="L377" cm="1">
        <f t="array" ref="L377">IF(OR(AND(K377=9,L$1&gt;YEAR($N377))),9,_xlfn.IFNA(INDEX($D$2:$D$4001,_xlfn.XMATCH(L$1&amp;"-"&amp;$F377,YEAR($B$2:$B$4001)&amp;"-"&amp;$A$2:$A$4001,0,-1)),K377))</f>
        <v>5</v>
      </c>
      <c r="M377" cm="1">
        <f t="array" ref="M377">IF(OR(AND(L377=9,M$1&gt;YEAR($N377))),9,_xlfn.IFNA(INDEX($D$2:$D$4001,_xlfn.XMATCH(M$1&amp;"-"&amp;$F377,YEAR($B$2:$B$4001)&amp;"-"&amp;$A$2:$A$4001,0,-1)),L377))</f>
        <v>5</v>
      </c>
      <c r="N377" s="1">
        <f t="shared" si="5"/>
        <v>36424</v>
      </c>
    </row>
    <row r="378" spans="1:14" x14ac:dyDescent="0.35">
      <c r="A378">
        <v>195</v>
      </c>
      <c r="B378" s="2">
        <v>37559</v>
      </c>
      <c r="C378">
        <v>4</v>
      </c>
      <c r="D378">
        <v>4</v>
      </c>
      <c r="F378">
        <v>377</v>
      </c>
      <c r="G378" cm="1">
        <f t="array" ref="G378">_xlfn.IFNA(INDEX($D$2:$D$4001,_xlfn.XMATCH(G$1&amp;"-"&amp;$F378,YEAR($B$2:$B$4001)&amp;"-"&amp;$A$2:$A$4001,0,-1)),9)</f>
        <v>9</v>
      </c>
      <c r="H378" cm="1">
        <f t="array" ref="H378">IF(OR(AND(G378=9,H$1&gt;YEAR($N378))),9,_xlfn.IFNA(INDEX($D$2:$D$4001,_xlfn.XMATCH(H$1&amp;"-"&amp;$F378,YEAR($B$2:$B$4001)&amp;"-"&amp;$A$2:$A$4001,0,-1)),G378))</f>
        <v>9</v>
      </c>
      <c r="I378" cm="1">
        <f t="array" ref="I378">IF(OR(AND(H378=9,I$1&gt;YEAR($N378))),9,_xlfn.IFNA(INDEX($D$2:$D$4001,_xlfn.XMATCH(I$1&amp;"-"&amp;$F378,YEAR($B$2:$B$4001)&amp;"-"&amp;$A$2:$A$4001,0,-1)),H378))</f>
        <v>9</v>
      </c>
      <c r="J378" cm="1">
        <f t="array" ref="J378">IF(OR(AND(I378=9,J$1&gt;YEAR($N378))),9,_xlfn.IFNA(INDEX($D$2:$D$4001,_xlfn.XMATCH(J$1&amp;"-"&amp;$F378,YEAR($B$2:$B$4001)&amp;"-"&amp;$A$2:$A$4001,0,-1)),I378))</f>
        <v>9</v>
      </c>
      <c r="K378" cm="1">
        <f t="array" ref="K378">IF(OR(AND(J378=9,K$1&gt;YEAR($N378))),9,_xlfn.IFNA(INDEX($D$2:$D$4001,_xlfn.XMATCH(K$1&amp;"-"&amp;$F378,YEAR($B$2:$B$4001)&amp;"-"&amp;$A$2:$A$4001,0,-1)),J378))</f>
        <v>4</v>
      </c>
      <c r="L378" cm="1">
        <f t="array" ref="L378">IF(OR(AND(K378=9,L$1&gt;YEAR($N378))),9,_xlfn.IFNA(INDEX($D$2:$D$4001,_xlfn.XMATCH(L$1&amp;"-"&amp;$F378,YEAR($B$2:$B$4001)&amp;"-"&amp;$A$2:$A$4001,0,-1)),K378))</f>
        <v>4</v>
      </c>
      <c r="M378" cm="1">
        <f t="array" ref="M378">IF(OR(AND(L378=9,M$1&gt;YEAR($N378))),9,_xlfn.IFNA(INDEX($D$2:$D$4001,_xlfn.XMATCH(M$1&amp;"-"&amp;$F378,YEAR($B$2:$B$4001)&amp;"-"&amp;$A$2:$A$4001,0,-1)),L378))</f>
        <v>4</v>
      </c>
      <c r="N378" s="1">
        <f t="shared" si="5"/>
        <v>37762</v>
      </c>
    </row>
    <row r="379" spans="1:14" x14ac:dyDescent="0.35">
      <c r="A379">
        <v>195</v>
      </c>
      <c r="B379" s="2">
        <v>38502</v>
      </c>
      <c r="C379">
        <v>4</v>
      </c>
      <c r="D379">
        <v>4</v>
      </c>
      <c r="F379">
        <v>378</v>
      </c>
      <c r="G379" cm="1">
        <f t="array" ref="G379">_xlfn.IFNA(INDEX($D$2:$D$4001,_xlfn.XMATCH(G$1&amp;"-"&amp;$F379,YEAR($B$2:$B$4001)&amp;"-"&amp;$A$2:$A$4001,0,-1)),9)</f>
        <v>9</v>
      </c>
      <c r="H379" cm="1">
        <f t="array" ref="H379">IF(OR(AND(G379=9,H$1&gt;YEAR($N379))),9,_xlfn.IFNA(INDEX($D$2:$D$4001,_xlfn.XMATCH(H$1&amp;"-"&amp;$F379,YEAR($B$2:$B$4001)&amp;"-"&amp;$A$2:$A$4001,0,-1)),G379))</f>
        <v>9</v>
      </c>
      <c r="I379" cm="1">
        <f t="array" ref="I379">IF(OR(AND(H379=9,I$1&gt;YEAR($N379))),9,_xlfn.IFNA(INDEX($D$2:$D$4001,_xlfn.XMATCH(I$1&amp;"-"&amp;$F379,YEAR($B$2:$B$4001)&amp;"-"&amp;$A$2:$A$4001,0,-1)),H379))</f>
        <v>9</v>
      </c>
      <c r="J379" cm="1">
        <f t="array" ref="J379">IF(OR(AND(I379=9,J$1&gt;YEAR($N379))),9,_xlfn.IFNA(INDEX($D$2:$D$4001,_xlfn.XMATCH(J$1&amp;"-"&amp;$F379,YEAR($B$2:$B$4001)&amp;"-"&amp;$A$2:$A$4001,0,-1)),I379))</f>
        <v>9</v>
      </c>
      <c r="K379" cm="1">
        <f t="array" ref="K379">IF(OR(AND(J379=9,K$1&gt;YEAR($N379))),9,_xlfn.IFNA(INDEX($D$2:$D$4001,_xlfn.XMATCH(K$1&amp;"-"&amp;$F379,YEAR($B$2:$B$4001)&amp;"-"&amp;$A$2:$A$4001,0,-1)),J379))</f>
        <v>4</v>
      </c>
      <c r="L379" cm="1">
        <f t="array" ref="L379">IF(OR(AND(K379=9,L$1&gt;YEAR($N379))),9,_xlfn.IFNA(INDEX($D$2:$D$4001,_xlfn.XMATCH(L$1&amp;"-"&amp;$F379,YEAR($B$2:$B$4001)&amp;"-"&amp;$A$2:$A$4001,0,-1)),K379))</f>
        <v>4</v>
      </c>
      <c r="M379" cm="1">
        <f t="array" ref="M379">IF(OR(AND(L379=9,M$1&gt;YEAR($N379))),9,_xlfn.IFNA(INDEX($D$2:$D$4001,_xlfn.XMATCH(M$1&amp;"-"&amp;$F379,YEAR($B$2:$B$4001)&amp;"-"&amp;$A$2:$A$4001,0,-1)),L379))</f>
        <v>4</v>
      </c>
      <c r="N379" s="1">
        <f t="shared" si="5"/>
        <v>37985</v>
      </c>
    </row>
    <row r="380" spans="1:14" x14ac:dyDescent="0.35">
      <c r="A380">
        <v>196</v>
      </c>
      <c r="B380" s="2">
        <v>36306</v>
      </c>
      <c r="C380">
        <v>5</v>
      </c>
      <c r="D380">
        <v>5</v>
      </c>
      <c r="F380">
        <v>379</v>
      </c>
      <c r="G380" cm="1">
        <f t="array" ref="G380">_xlfn.IFNA(INDEX($D$2:$D$4001,_xlfn.XMATCH(G$1&amp;"-"&amp;$F380,YEAR($B$2:$B$4001)&amp;"-"&amp;$A$2:$A$4001,0,-1)),9)</f>
        <v>9</v>
      </c>
      <c r="H380" cm="1">
        <f t="array" ref="H380">IF(OR(AND(G380=9,H$1&gt;YEAR($N380))),9,_xlfn.IFNA(INDEX($D$2:$D$4001,_xlfn.XMATCH(H$1&amp;"-"&amp;$F380,YEAR($B$2:$B$4001)&amp;"-"&amp;$A$2:$A$4001,0,-1)),G380))</f>
        <v>9</v>
      </c>
      <c r="I380" cm="1">
        <f t="array" ref="I380">IF(OR(AND(H380=9,I$1&gt;YEAR($N380))),9,_xlfn.IFNA(INDEX($D$2:$D$4001,_xlfn.XMATCH(I$1&amp;"-"&amp;$F380,YEAR($B$2:$B$4001)&amp;"-"&amp;$A$2:$A$4001,0,-1)),H380))</f>
        <v>9</v>
      </c>
      <c r="J380" cm="1">
        <f t="array" ref="J380">IF(OR(AND(I380=9,J$1&gt;YEAR($N380))),9,_xlfn.IFNA(INDEX($D$2:$D$4001,_xlfn.XMATCH(J$1&amp;"-"&amp;$F380,YEAR($B$2:$B$4001)&amp;"-"&amp;$A$2:$A$4001,0,-1)),I380))</f>
        <v>9</v>
      </c>
      <c r="K380" cm="1">
        <f t="array" ref="K380">IF(OR(AND(J380=9,K$1&gt;YEAR($N380))),9,_xlfn.IFNA(INDEX($D$2:$D$4001,_xlfn.XMATCH(K$1&amp;"-"&amp;$F380,YEAR($B$2:$B$4001)&amp;"-"&amp;$A$2:$A$4001,0,-1)),J380))</f>
        <v>2</v>
      </c>
      <c r="L380" cm="1">
        <f t="array" ref="L380">IF(OR(AND(K380=9,L$1&gt;YEAR($N380))),9,_xlfn.IFNA(INDEX($D$2:$D$4001,_xlfn.XMATCH(L$1&amp;"-"&amp;$F380,YEAR($B$2:$B$4001)&amp;"-"&amp;$A$2:$A$4001,0,-1)),K380))</f>
        <v>2</v>
      </c>
      <c r="M380" cm="1">
        <f t="array" ref="M380">IF(OR(AND(L380=9,M$1&gt;YEAR($N380))),9,_xlfn.IFNA(INDEX($D$2:$D$4001,_xlfn.XMATCH(M$1&amp;"-"&amp;$F380,YEAR($B$2:$B$4001)&amp;"-"&amp;$A$2:$A$4001,0,-1)),L380))</f>
        <v>2</v>
      </c>
      <c r="N380" s="1">
        <f t="shared" si="5"/>
        <v>37952</v>
      </c>
    </row>
    <row r="381" spans="1:14" x14ac:dyDescent="0.35">
      <c r="A381">
        <v>196</v>
      </c>
      <c r="B381" s="2">
        <v>37133</v>
      </c>
      <c r="C381">
        <v>0</v>
      </c>
      <c r="D381">
        <v>0</v>
      </c>
      <c r="F381">
        <v>380</v>
      </c>
      <c r="G381" cm="1">
        <f t="array" ref="G381">_xlfn.IFNA(INDEX($D$2:$D$4001,_xlfn.XMATCH(G$1&amp;"-"&amp;$F381,YEAR($B$2:$B$4001)&amp;"-"&amp;$A$2:$A$4001,0,-1)),9)</f>
        <v>9</v>
      </c>
      <c r="H381" cm="1">
        <f t="array" ref="H381">IF(OR(AND(G381=9,H$1&gt;YEAR($N381))),9,_xlfn.IFNA(INDEX($D$2:$D$4001,_xlfn.XMATCH(H$1&amp;"-"&amp;$F381,YEAR($B$2:$B$4001)&amp;"-"&amp;$A$2:$A$4001,0,-1)),G381))</f>
        <v>3</v>
      </c>
      <c r="I381" cm="1">
        <f t="array" ref="I381">IF(OR(AND(H381=9,I$1&gt;YEAR($N381))),9,_xlfn.IFNA(INDEX($D$2:$D$4001,_xlfn.XMATCH(I$1&amp;"-"&amp;$F381,YEAR($B$2:$B$4001)&amp;"-"&amp;$A$2:$A$4001,0,-1)),H381))</f>
        <v>3</v>
      </c>
      <c r="J381" cm="1">
        <f t="array" ref="J381">IF(OR(AND(I381=9,J$1&gt;YEAR($N381))),9,_xlfn.IFNA(INDEX($D$2:$D$4001,_xlfn.XMATCH(J$1&amp;"-"&amp;$F381,YEAR($B$2:$B$4001)&amp;"-"&amp;$A$2:$A$4001,0,-1)),I381))</f>
        <v>3</v>
      </c>
      <c r="K381" cm="1">
        <f t="array" ref="K381">IF(OR(AND(J381=9,K$1&gt;YEAR($N381))),9,_xlfn.IFNA(INDEX($D$2:$D$4001,_xlfn.XMATCH(K$1&amp;"-"&amp;$F381,YEAR($B$2:$B$4001)&amp;"-"&amp;$A$2:$A$4001,0,-1)),J381))</f>
        <v>3</v>
      </c>
      <c r="L381" cm="1">
        <f t="array" ref="L381">IF(OR(AND(K381=9,L$1&gt;YEAR($N381))),9,_xlfn.IFNA(INDEX($D$2:$D$4001,_xlfn.XMATCH(L$1&amp;"-"&amp;$F381,YEAR($B$2:$B$4001)&amp;"-"&amp;$A$2:$A$4001,0,-1)),K381))</f>
        <v>3</v>
      </c>
      <c r="M381" cm="1">
        <f t="array" ref="M381">IF(OR(AND(L381=9,M$1&gt;YEAR($N381))),9,_xlfn.IFNA(INDEX($D$2:$D$4001,_xlfn.XMATCH(M$1&amp;"-"&amp;$F381,YEAR($B$2:$B$4001)&amp;"-"&amp;$A$2:$A$4001,0,-1)),L381))</f>
        <v>3</v>
      </c>
      <c r="N381" s="1">
        <f t="shared" si="5"/>
        <v>36701</v>
      </c>
    </row>
    <row r="382" spans="1:14" x14ac:dyDescent="0.35">
      <c r="A382">
        <v>197</v>
      </c>
      <c r="B382" s="2">
        <v>37985</v>
      </c>
      <c r="C382">
        <v>2</v>
      </c>
      <c r="D382">
        <v>2</v>
      </c>
      <c r="F382">
        <v>381</v>
      </c>
      <c r="G382" cm="1">
        <f t="array" ref="G382">_xlfn.IFNA(INDEX($D$2:$D$4001,_xlfn.XMATCH(G$1&amp;"-"&amp;$F382,YEAR($B$2:$B$4001)&amp;"-"&amp;$A$2:$A$4001,0,-1)),9)</f>
        <v>9</v>
      </c>
      <c r="H382" cm="1">
        <f t="array" ref="H382">IF(OR(AND(G382=9,H$1&gt;YEAR($N382))),9,_xlfn.IFNA(INDEX($D$2:$D$4001,_xlfn.XMATCH(H$1&amp;"-"&amp;$F382,YEAR($B$2:$B$4001)&amp;"-"&amp;$A$2:$A$4001,0,-1)),G382))</f>
        <v>9</v>
      </c>
      <c r="I382" cm="1">
        <f t="array" ref="I382">IF(OR(AND(H382=9,I$1&gt;YEAR($N382))),9,_xlfn.IFNA(INDEX($D$2:$D$4001,_xlfn.XMATCH(I$1&amp;"-"&amp;$F382,YEAR($B$2:$B$4001)&amp;"-"&amp;$A$2:$A$4001,0,-1)),H382))</f>
        <v>9</v>
      </c>
      <c r="J382" cm="1">
        <f t="array" ref="J382">IF(OR(AND(I382=9,J$1&gt;YEAR($N382))),9,_xlfn.IFNA(INDEX($D$2:$D$4001,_xlfn.XMATCH(J$1&amp;"-"&amp;$F382,YEAR($B$2:$B$4001)&amp;"-"&amp;$A$2:$A$4001,0,-1)),I382))</f>
        <v>9</v>
      </c>
      <c r="K382" cm="1">
        <f t="array" ref="K382">IF(OR(AND(J382=9,K$1&gt;YEAR($N382))),9,_xlfn.IFNA(INDEX($D$2:$D$4001,_xlfn.XMATCH(K$1&amp;"-"&amp;$F382,YEAR($B$2:$B$4001)&amp;"-"&amp;$A$2:$A$4001,0,-1)),J382))</f>
        <v>2</v>
      </c>
      <c r="L382" cm="1">
        <f t="array" ref="L382">IF(OR(AND(K382=9,L$1&gt;YEAR($N382))),9,_xlfn.IFNA(INDEX($D$2:$D$4001,_xlfn.XMATCH(L$1&amp;"-"&amp;$F382,YEAR($B$2:$B$4001)&amp;"-"&amp;$A$2:$A$4001,0,-1)),K382))</f>
        <v>0</v>
      </c>
      <c r="M382" cm="1">
        <f t="array" ref="M382">IF(OR(AND(L382=9,M$1&gt;YEAR($N382))),9,_xlfn.IFNA(INDEX($D$2:$D$4001,_xlfn.XMATCH(M$1&amp;"-"&amp;$F382,YEAR($B$2:$B$4001)&amp;"-"&amp;$A$2:$A$4001,0,-1)),L382))</f>
        <v>0</v>
      </c>
      <c r="N382" s="1">
        <f t="shared" si="5"/>
        <v>37946</v>
      </c>
    </row>
    <row r="383" spans="1:14" x14ac:dyDescent="0.35">
      <c r="A383">
        <v>198</v>
      </c>
      <c r="B383" s="2">
        <v>36523</v>
      </c>
      <c r="C383">
        <v>4</v>
      </c>
      <c r="D383">
        <v>4</v>
      </c>
      <c r="F383">
        <v>382</v>
      </c>
      <c r="G383" cm="1">
        <f t="array" ref="G383">_xlfn.IFNA(INDEX($D$2:$D$4001,_xlfn.XMATCH(G$1&amp;"-"&amp;$F383,YEAR($B$2:$B$4001)&amp;"-"&amp;$A$2:$A$4001,0,-1)),9)</f>
        <v>9</v>
      </c>
      <c r="H383" cm="1">
        <f t="array" ref="H383">IF(OR(AND(G383=9,H$1&gt;YEAR($N383))),9,_xlfn.IFNA(INDEX($D$2:$D$4001,_xlfn.XMATCH(H$1&amp;"-"&amp;$F383,YEAR($B$2:$B$4001)&amp;"-"&amp;$A$2:$A$4001,0,-1)),G383))</f>
        <v>3</v>
      </c>
      <c r="I383" cm="1">
        <f t="array" ref="I383">IF(OR(AND(H383=9,I$1&gt;YEAR($N383))),9,_xlfn.IFNA(INDEX($D$2:$D$4001,_xlfn.XMATCH(I$1&amp;"-"&amp;$F383,YEAR($B$2:$B$4001)&amp;"-"&amp;$A$2:$A$4001,0,-1)),H383))</f>
        <v>2</v>
      </c>
      <c r="J383" cm="1">
        <f t="array" ref="J383">IF(OR(AND(I383=9,J$1&gt;YEAR($N383))),9,_xlfn.IFNA(INDEX($D$2:$D$4001,_xlfn.XMATCH(J$1&amp;"-"&amp;$F383,YEAR($B$2:$B$4001)&amp;"-"&amp;$A$2:$A$4001,0,-1)),I383))</f>
        <v>2</v>
      </c>
      <c r="K383" cm="1">
        <f t="array" ref="K383">IF(OR(AND(J383=9,K$1&gt;YEAR($N383))),9,_xlfn.IFNA(INDEX($D$2:$D$4001,_xlfn.XMATCH(K$1&amp;"-"&amp;$F383,YEAR($B$2:$B$4001)&amp;"-"&amp;$A$2:$A$4001,0,-1)),J383))</f>
        <v>2</v>
      </c>
      <c r="L383" cm="1">
        <f t="array" ref="L383">IF(OR(AND(K383=9,L$1&gt;YEAR($N383))),9,_xlfn.IFNA(INDEX($D$2:$D$4001,_xlfn.XMATCH(L$1&amp;"-"&amp;$F383,YEAR($B$2:$B$4001)&amp;"-"&amp;$A$2:$A$4001,0,-1)),K383))</f>
        <v>2</v>
      </c>
      <c r="M383" cm="1">
        <f t="array" ref="M383">IF(OR(AND(L383=9,M$1&gt;YEAR($N383))),9,_xlfn.IFNA(INDEX($D$2:$D$4001,_xlfn.XMATCH(M$1&amp;"-"&amp;$F383,YEAR($B$2:$B$4001)&amp;"-"&amp;$A$2:$A$4001,0,-1)),L383))</f>
        <v>2</v>
      </c>
      <c r="N383" s="1">
        <f t="shared" si="5"/>
        <v>36676</v>
      </c>
    </row>
    <row r="384" spans="1:14" x14ac:dyDescent="0.35">
      <c r="A384">
        <v>198</v>
      </c>
      <c r="B384" s="2">
        <v>37771</v>
      </c>
      <c r="C384">
        <v>5</v>
      </c>
      <c r="D384">
        <v>5</v>
      </c>
      <c r="F384">
        <v>383</v>
      </c>
      <c r="G384" cm="1">
        <f t="array" ref="G384">_xlfn.IFNA(INDEX($D$2:$D$4001,_xlfn.XMATCH(G$1&amp;"-"&amp;$F384,YEAR($B$2:$B$4001)&amp;"-"&amp;$A$2:$A$4001,0,-1)),9)</f>
        <v>9</v>
      </c>
      <c r="H384" cm="1">
        <f t="array" ref="H384">IF(OR(AND(G384=9,H$1&gt;YEAR($N384))),9,_xlfn.IFNA(INDEX($D$2:$D$4001,_xlfn.XMATCH(H$1&amp;"-"&amp;$F384,YEAR($B$2:$B$4001)&amp;"-"&amp;$A$2:$A$4001,0,-1)),G384))</f>
        <v>0</v>
      </c>
      <c r="I384" cm="1">
        <f t="array" ref="I384">IF(OR(AND(H384=9,I$1&gt;YEAR($N384))),9,_xlfn.IFNA(INDEX($D$2:$D$4001,_xlfn.XMATCH(I$1&amp;"-"&amp;$F384,YEAR($B$2:$B$4001)&amp;"-"&amp;$A$2:$A$4001,0,-1)),H384))</f>
        <v>0</v>
      </c>
      <c r="J384" cm="1">
        <f t="array" ref="J384">IF(OR(AND(I384=9,J$1&gt;YEAR($N384))),9,_xlfn.IFNA(INDEX($D$2:$D$4001,_xlfn.XMATCH(J$1&amp;"-"&amp;$F384,YEAR($B$2:$B$4001)&amp;"-"&amp;$A$2:$A$4001,0,-1)),I384))</f>
        <v>0</v>
      </c>
      <c r="K384" cm="1">
        <f t="array" ref="K384">IF(OR(AND(J384=9,K$1&gt;YEAR($N384))),9,_xlfn.IFNA(INDEX($D$2:$D$4001,_xlfn.XMATCH(K$1&amp;"-"&amp;$F384,YEAR($B$2:$B$4001)&amp;"-"&amp;$A$2:$A$4001,0,-1)),J384))</f>
        <v>0</v>
      </c>
      <c r="L384" cm="1">
        <f t="array" ref="L384">IF(OR(AND(K384=9,L$1&gt;YEAR($N384))),9,_xlfn.IFNA(INDEX($D$2:$D$4001,_xlfn.XMATCH(L$1&amp;"-"&amp;$F384,YEAR($B$2:$B$4001)&amp;"-"&amp;$A$2:$A$4001,0,-1)),K384))</f>
        <v>0</v>
      </c>
      <c r="M384" cm="1">
        <f t="array" ref="M384">IF(OR(AND(L384=9,M$1&gt;YEAR($N384))),9,_xlfn.IFNA(INDEX($D$2:$D$4001,_xlfn.XMATCH(M$1&amp;"-"&amp;$F384,YEAR($B$2:$B$4001)&amp;"-"&amp;$A$2:$A$4001,0,-1)),L384))</f>
        <v>0</v>
      </c>
      <c r="N384" s="1">
        <f t="shared" si="5"/>
        <v>36728</v>
      </c>
    </row>
    <row r="385" spans="1:14" x14ac:dyDescent="0.35">
      <c r="A385">
        <v>199</v>
      </c>
      <c r="B385" s="2">
        <v>37559</v>
      </c>
      <c r="C385">
        <v>2</v>
      </c>
      <c r="D385">
        <v>2</v>
      </c>
      <c r="F385">
        <v>384</v>
      </c>
      <c r="G385" cm="1">
        <f t="array" ref="G385">_xlfn.IFNA(INDEX($D$2:$D$4001,_xlfn.XMATCH(G$1&amp;"-"&amp;$F385,YEAR($B$2:$B$4001)&amp;"-"&amp;$A$2:$A$4001,0,-1)),9)</f>
        <v>9</v>
      </c>
      <c r="H385" cm="1">
        <f t="array" ref="H385">IF(OR(AND(G385=9,H$1&gt;YEAR($N385))),9,_xlfn.IFNA(INDEX($D$2:$D$4001,_xlfn.XMATCH(H$1&amp;"-"&amp;$F385,YEAR($B$2:$B$4001)&amp;"-"&amp;$A$2:$A$4001,0,-1)),G385))</f>
        <v>9</v>
      </c>
      <c r="I385" cm="1">
        <f t="array" ref="I385">IF(OR(AND(H385=9,I$1&gt;YEAR($N385))),9,_xlfn.IFNA(INDEX($D$2:$D$4001,_xlfn.XMATCH(I$1&amp;"-"&amp;$F385,YEAR($B$2:$B$4001)&amp;"-"&amp;$A$2:$A$4001,0,-1)),H385))</f>
        <v>9</v>
      </c>
      <c r="J385" cm="1">
        <f t="array" ref="J385">IF(OR(AND(I385=9,J$1&gt;YEAR($N385))),9,_xlfn.IFNA(INDEX($D$2:$D$4001,_xlfn.XMATCH(J$1&amp;"-"&amp;$F385,YEAR($B$2:$B$4001)&amp;"-"&amp;$A$2:$A$4001,0,-1)),I385))</f>
        <v>0</v>
      </c>
      <c r="K385" cm="1">
        <f t="array" ref="K385">IF(OR(AND(J385=9,K$1&gt;YEAR($N385))),9,_xlfn.IFNA(INDEX($D$2:$D$4001,_xlfn.XMATCH(K$1&amp;"-"&amp;$F385,YEAR($B$2:$B$4001)&amp;"-"&amp;$A$2:$A$4001,0,-1)),J385))</f>
        <v>0</v>
      </c>
      <c r="L385" cm="1">
        <f t="array" ref="L385">IF(OR(AND(K385=9,L$1&gt;YEAR($N385))),9,_xlfn.IFNA(INDEX($D$2:$D$4001,_xlfn.XMATCH(L$1&amp;"-"&amp;$F385,YEAR($B$2:$B$4001)&amp;"-"&amp;$A$2:$A$4001,0,-1)),K385))</f>
        <v>0</v>
      </c>
      <c r="M385" cm="1">
        <f t="array" ref="M385">IF(OR(AND(L385=9,M$1&gt;YEAR($N385))),9,_xlfn.IFNA(INDEX($D$2:$D$4001,_xlfn.XMATCH(M$1&amp;"-"&amp;$F385,YEAR($B$2:$B$4001)&amp;"-"&amp;$A$2:$A$4001,0,-1)),L385))</f>
        <v>0</v>
      </c>
      <c r="N385" s="1">
        <f t="shared" si="5"/>
        <v>37467</v>
      </c>
    </row>
    <row r="386" spans="1:14" x14ac:dyDescent="0.35">
      <c r="A386">
        <v>199</v>
      </c>
      <c r="B386" s="2">
        <v>37620</v>
      </c>
      <c r="C386">
        <v>0</v>
      </c>
      <c r="D386">
        <v>0</v>
      </c>
      <c r="F386">
        <v>385</v>
      </c>
      <c r="G386" cm="1">
        <f t="array" ref="G386">_xlfn.IFNA(INDEX($D$2:$D$4001,_xlfn.XMATCH(G$1&amp;"-"&amp;$F386,YEAR($B$2:$B$4001)&amp;"-"&amp;$A$2:$A$4001,0,-1)),9)</f>
        <v>9</v>
      </c>
      <c r="H386" cm="1">
        <f t="array" ref="H386">IF(OR(AND(G386=9,H$1&gt;YEAR($N386))),9,_xlfn.IFNA(INDEX($D$2:$D$4001,_xlfn.XMATCH(H$1&amp;"-"&amp;$F386,YEAR($B$2:$B$4001)&amp;"-"&amp;$A$2:$A$4001,0,-1)),G386))</f>
        <v>9</v>
      </c>
      <c r="I386" cm="1">
        <f t="array" ref="I386">IF(OR(AND(H386=9,I$1&gt;YEAR($N386))),9,_xlfn.IFNA(INDEX($D$2:$D$4001,_xlfn.XMATCH(I$1&amp;"-"&amp;$F386,YEAR($B$2:$B$4001)&amp;"-"&amp;$A$2:$A$4001,0,-1)),H386))</f>
        <v>9</v>
      </c>
      <c r="J386" cm="1">
        <f t="array" ref="J386">IF(OR(AND(I386=9,J$1&gt;YEAR($N386))),9,_xlfn.IFNA(INDEX($D$2:$D$4001,_xlfn.XMATCH(J$1&amp;"-"&amp;$F386,YEAR($B$2:$B$4001)&amp;"-"&amp;$A$2:$A$4001,0,-1)),I386))</f>
        <v>9</v>
      </c>
      <c r="K386" cm="1">
        <f t="array" ref="K386">IF(OR(AND(J386=9,K$1&gt;YEAR($N386))),9,_xlfn.IFNA(INDEX($D$2:$D$4001,_xlfn.XMATCH(K$1&amp;"-"&amp;$F386,YEAR($B$2:$B$4001)&amp;"-"&amp;$A$2:$A$4001,0,-1)),J386))</f>
        <v>9</v>
      </c>
      <c r="L386" cm="1">
        <f t="array" ref="L386">IF(OR(AND(K386=9,L$1&gt;YEAR($N386))),9,_xlfn.IFNA(INDEX($D$2:$D$4001,_xlfn.XMATCH(L$1&amp;"-"&amp;$F386,YEAR($B$2:$B$4001)&amp;"-"&amp;$A$2:$A$4001,0,-1)),K386))</f>
        <v>9</v>
      </c>
      <c r="M386" cm="1">
        <f t="array" ref="M386">IF(OR(AND(L386=9,M$1&gt;YEAR($N386))),9,_xlfn.IFNA(INDEX($D$2:$D$4001,_xlfn.XMATCH(M$1&amp;"-"&amp;$F386,YEAR($B$2:$B$4001)&amp;"-"&amp;$A$2:$A$4001,0,-1)),L386))</f>
        <v>5</v>
      </c>
      <c r="N386" s="1">
        <f t="shared" si="5"/>
        <v>38502</v>
      </c>
    </row>
    <row r="387" spans="1:14" x14ac:dyDescent="0.35">
      <c r="A387">
        <v>200</v>
      </c>
      <c r="B387" s="2">
        <v>36310</v>
      </c>
      <c r="C387">
        <v>4</v>
      </c>
      <c r="D387">
        <v>4</v>
      </c>
      <c r="F387">
        <v>386</v>
      </c>
      <c r="G387" cm="1">
        <f t="array" ref="G387">_xlfn.IFNA(INDEX($D$2:$D$4001,_xlfn.XMATCH(G$1&amp;"-"&amp;$F387,YEAR($B$2:$B$4001)&amp;"-"&amp;$A$2:$A$4001,0,-1)),9)</f>
        <v>6</v>
      </c>
      <c r="H387" cm="1">
        <f t="array" ref="H387">IF(OR(AND(G387=9,H$1&gt;YEAR($N387))),9,_xlfn.IFNA(INDEX($D$2:$D$4001,_xlfn.XMATCH(H$1&amp;"-"&amp;$F387,YEAR($B$2:$B$4001)&amp;"-"&amp;$A$2:$A$4001,0,-1)),G387))</f>
        <v>6</v>
      </c>
      <c r="I387" cm="1">
        <f t="array" ref="I387">IF(OR(AND(H387=9,I$1&gt;YEAR($N387))),9,_xlfn.IFNA(INDEX($D$2:$D$4001,_xlfn.XMATCH(I$1&amp;"-"&amp;$F387,YEAR($B$2:$B$4001)&amp;"-"&amp;$A$2:$A$4001,0,-1)),H387))</f>
        <v>6</v>
      </c>
      <c r="J387" cm="1">
        <f t="array" ref="J387">IF(OR(AND(I387=9,J$1&gt;YEAR($N387))),9,_xlfn.IFNA(INDEX($D$2:$D$4001,_xlfn.XMATCH(J$1&amp;"-"&amp;$F387,YEAR($B$2:$B$4001)&amp;"-"&amp;$A$2:$A$4001,0,-1)),I387))</f>
        <v>6</v>
      </c>
      <c r="K387" cm="1">
        <f t="array" ref="K387">IF(OR(AND(J387=9,K$1&gt;YEAR($N387))),9,_xlfn.IFNA(INDEX($D$2:$D$4001,_xlfn.XMATCH(K$1&amp;"-"&amp;$F387,YEAR($B$2:$B$4001)&amp;"-"&amp;$A$2:$A$4001,0,-1)),J387))</f>
        <v>6</v>
      </c>
      <c r="L387" cm="1">
        <f t="array" ref="L387">IF(OR(AND(K387=9,L$1&gt;YEAR($N387))),9,_xlfn.IFNA(INDEX($D$2:$D$4001,_xlfn.XMATCH(L$1&amp;"-"&amp;$F387,YEAR($B$2:$B$4001)&amp;"-"&amp;$A$2:$A$4001,0,-1)),K387))</f>
        <v>6</v>
      </c>
      <c r="M387" cm="1">
        <f t="array" ref="M387">IF(OR(AND(L387=9,M$1&gt;YEAR($N387))),9,_xlfn.IFNA(INDEX($D$2:$D$4001,_xlfn.XMATCH(M$1&amp;"-"&amp;$F387,YEAR($B$2:$B$4001)&amp;"-"&amp;$A$2:$A$4001,0,-1)),L387))</f>
        <v>7</v>
      </c>
      <c r="N387" s="1">
        <f t="shared" ref="N387:N450" si="6">_xlfn.MINIFS($B$2:$B$4001,$A$2:$A$4001,F387)</f>
        <v>36524</v>
      </c>
    </row>
    <row r="388" spans="1:14" x14ac:dyDescent="0.35">
      <c r="A388">
        <v>201</v>
      </c>
      <c r="B388" s="2">
        <v>38351</v>
      </c>
      <c r="C388">
        <v>4</v>
      </c>
      <c r="D388">
        <v>4</v>
      </c>
      <c r="F388">
        <v>387</v>
      </c>
      <c r="G388" cm="1">
        <f t="array" ref="G388">_xlfn.IFNA(INDEX($D$2:$D$4001,_xlfn.XMATCH(G$1&amp;"-"&amp;$F388,YEAR($B$2:$B$4001)&amp;"-"&amp;$A$2:$A$4001,0,-1)),9)</f>
        <v>3</v>
      </c>
      <c r="H388" cm="1">
        <f t="array" ref="H388">IF(OR(AND(G388=9,H$1&gt;YEAR($N388))),9,_xlfn.IFNA(INDEX($D$2:$D$4001,_xlfn.XMATCH(H$1&amp;"-"&amp;$F388,YEAR($B$2:$B$4001)&amp;"-"&amp;$A$2:$A$4001,0,-1)),G388))</f>
        <v>3</v>
      </c>
      <c r="I388" cm="1">
        <f t="array" ref="I388">IF(OR(AND(H388=9,I$1&gt;YEAR($N388))),9,_xlfn.IFNA(INDEX($D$2:$D$4001,_xlfn.XMATCH(I$1&amp;"-"&amp;$F388,YEAR($B$2:$B$4001)&amp;"-"&amp;$A$2:$A$4001,0,-1)),H388))</f>
        <v>3</v>
      </c>
      <c r="J388" cm="1">
        <f t="array" ref="J388">IF(OR(AND(I388=9,J$1&gt;YEAR($N388))),9,_xlfn.IFNA(INDEX($D$2:$D$4001,_xlfn.XMATCH(J$1&amp;"-"&amp;$F388,YEAR($B$2:$B$4001)&amp;"-"&amp;$A$2:$A$4001,0,-1)),I388))</f>
        <v>3</v>
      </c>
      <c r="K388" cm="1">
        <f t="array" ref="K388">IF(OR(AND(J388=9,K$1&gt;YEAR($N388))),9,_xlfn.IFNA(INDEX($D$2:$D$4001,_xlfn.XMATCH(K$1&amp;"-"&amp;$F388,YEAR($B$2:$B$4001)&amp;"-"&amp;$A$2:$A$4001,0,-1)),J388))</f>
        <v>3</v>
      </c>
      <c r="L388" cm="1">
        <f t="array" ref="L388">IF(OR(AND(K388=9,L$1&gt;YEAR($N388))),9,_xlfn.IFNA(INDEX($D$2:$D$4001,_xlfn.XMATCH(L$1&amp;"-"&amp;$F388,YEAR($B$2:$B$4001)&amp;"-"&amp;$A$2:$A$4001,0,-1)),K388))</f>
        <v>3</v>
      </c>
      <c r="M388" cm="1">
        <f t="array" ref="M388">IF(OR(AND(L388=9,M$1&gt;YEAR($N388))),9,_xlfn.IFNA(INDEX($D$2:$D$4001,_xlfn.XMATCH(M$1&amp;"-"&amp;$F388,YEAR($B$2:$B$4001)&amp;"-"&amp;$A$2:$A$4001,0,-1)),L388))</f>
        <v>3</v>
      </c>
      <c r="N388" s="1">
        <f t="shared" si="6"/>
        <v>36524</v>
      </c>
    </row>
    <row r="389" spans="1:14" x14ac:dyDescent="0.35">
      <c r="A389">
        <v>202</v>
      </c>
      <c r="B389" s="2">
        <v>36332</v>
      </c>
      <c r="C389">
        <v>5</v>
      </c>
      <c r="D389">
        <v>5</v>
      </c>
      <c r="F389">
        <v>388</v>
      </c>
      <c r="G389" cm="1">
        <f t="array" ref="G389">_xlfn.IFNA(INDEX($D$2:$D$4001,_xlfn.XMATCH(G$1&amp;"-"&amp;$F389,YEAR($B$2:$B$4001)&amp;"-"&amp;$A$2:$A$4001,0,-1)),9)</f>
        <v>9</v>
      </c>
      <c r="H389" cm="1">
        <f t="array" ref="H389">IF(OR(AND(G389=9,H$1&gt;YEAR($N389))),9,_xlfn.IFNA(INDEX($D$2:$D$4001,_xlfn.XMATCH(H$1&amp;"-"&amp;$F389,YEAR($B$2:$B$4001)&amp;"-"&amp;$A$2:$A$4001,0,-1)),G389))</f>
        <v>9</v>
      </c>
      <c r="I389" cm="1">
        <f t="array" ref="I389">IF(OR(AND(H389=9,I$1&gt;YEAR($N389))),9,_xlfn.IFNA(INDEX($D$2:$D$4001,_xlfn.XMATCH(I$1&amp;"-"&amp;$F389,YEAR($B$2:$B$4001)&amp;"-"&amp;$A$2:$A$4001,0,-1)),H389))</f>
        <v>9</v>
      </c>
      <c r="J389" cm="1">
        <f t="array" ref="J389">IF(OR(AND(I389=9,J$1&gt;YEAR($N389))),9,_xlfn.IFNA(INDEX($D$2:$D$4001,_xlfn.XMATCH(J$1&amp;"-"&amp;$F389,YEAR($B$2:$B$4001)&amp;"-"&amp;$A$2:$A$4001,0,-1)),I389))</f>
        <v>3</v>
      </c>
      <c r="K389" cm="1">
        <f t="array" ref="K389">IF(OR(AND(J389=9,K$1&gt;YEAR($N389))),9,_xlfn.IFNA(INDEX($D$2:$D$4001,_xlfn.XMATCH(K$1&amp;"-"&amp;$F389,YEAR($B$2:$B$4001)&amp;"-"&amp;$A$2:$A$4001,0,-1)),J389))</f>
        <v>3</v>
      </c>
      <c r="L389" cm="1">
        <f t="array" ref="L389">IF(OR(AND(K389=9,L$1&gt;YEAR($N389))),9,_xlfn.IFNA(INDEX($D$2:$D$4001,_xlfn.XMATCH(L$1&amp;"-"&amp;$F389,YEAR($B$2:$B$4001)&amp;"-"&amp;$A$2:$A$4001,0,-1)),K389))</f>
        <v>3</v>
      </c>
      <c r="M389" cm="1">
        <f t="array" ref="M389">IF(OR(AND(L389=9,M$1&gt;YEAR($N389))),9,_xlfn.IFNA(INDEX($D$2:$D$4001,_xlfn.XMATCH(M$1&amp;"-"&amp;$F389,YEAR($B$2:$B$4001)&amp;"-"&amp;$A$2:$A$4001,0,-1)),L389))</f>
        <v>3</v>
      </c>
      <c r="N389" s="1">
        <f t="shared" si="6"/>
        <v>37458</v>
      </c>
    </row>
    <row r="390" spans="1:14" x14ac:dyDescent="0.35">
      <c r="A390">
        <v>202</v>
      </c>
      <c r="B390" s="2">
        <v>36424</v>
      </c>
      <c r="C390">
        <v>5</v>
      </c>
      <c r="D390">
        <v>5</v>
      </c>
      <c r="F390">
        <v>389</v>
      </c>
      <c r="G390" cm="1">
        <f t="array" ref="G390">_xlfn.IFNA(INDEX($D$2:$D$4001,_xlfn.XMATCH(G$1&amp;"-"&amp;$F390,YEAR($B$2:$B$4001)&amp;"-"&amp;$A$2:$A$4001,0,-1)),9)</f>
        <v>3</v>
      </c>
      <c r="H390" cm="1">
        <f t="array" ref="H390">IF(OR(AND(G390=9,H$1&gt;YEAR($N390))),9,_xlfn.IFNA(INDEX($D$2:$D$4001,_xlfn.XMATCH(H$1&amp;"-"&amp;$F390,YEAR($B$2:$B$4001)&amp;"-"&amp;$A$2:$A$4001,0,-1)),G390))</f>
        <v>3</v>
      </c>
      <c r="I390" cm="1">
        <f t="array" ref="I390">IF(OR(AND(H390=9,I$1&gt;YEAR($N390))),9,_xlfn.IFNA(INDEX($D$2:$D$4001,_xlfn.XMATCH(I$1&amp;"-"&amp;$F390,YEAR($B$2:$B$4001)&amp;"-"&amp;$A$2:$A$4001,0,-1)),H390))</f>
        <v>3</v>
      </c>
      <c r="J390" cm="1">
        <f t="array" ref="J390">IF(OR(AND(I390=9,J$1&gt;YEAR($N390))),9,_xlfn.IFNA(INDEX($D$2:$D$4001,_xlfn.XMATCH(J$1&amp;"-"&amp;$F390,YEAR($B$2:$B$4001)&amp;"-"&amp;$A$2:$A$4001,0,-1)),I390))</f>
        <v>3</v>
      </c>
      <c r="K390" cm="1">
        <f t="array" ref="K390">IF(OR(AND(J390=9,K$1&gt;YEAR($N390))),9,_xlfn.IFNA(INDEX($D$2:$D$4001,_xlfn.XMATCH(K$1&amp;"-"&amp;$F390,YEAR($B$2:$B$4001)&amp;"-"&amp;$A$2:$A$4001,0,-1)),J390))</f>
        <v>3</v>
      </c>
      <c r="L390" cm="1">
        <f t="array" ref="L390">IF(OR(AND(K390=9,L$1&gt;YEAR($N390))),9,_xlfn.IFNA(INDEX($D$2:$D$4001,_xlfn.XMATCH(L$1&amp;"-"&amp;$F390,YEAR($B$2:$B$4001)&amp;"-"&amp;$A$2:$A$4001,0,-1)),K390))</f>
        <v>3</v>
      </c>
      <c r="M390" cm="1">
        <f t="array" ref="M390">IF(OR(AND(L390=9,M$1&gt;YEAR($N390))),9,_xlfn.IFNA(INDEX($D$2:$D$4001,_xlfn.XMATCH(M$1&amp;"-"&amp;$F390,YEAR($B$2:$B$4001)&amp;"-"&amp;$A$2:$A$4001,0,-1)),L390))</f>
        <v>3</v>
      </c>
      <c r="N390" s="1">
        <f t="shared" si="6"/>
        <v>36310</v>
      </c>
    </row>
    <row r="391" spans="1:14" x14ac:dyDescent="0.35">
      <c r="A391">
        <v>202</v>
      </c>
      <c r="B391" s="2">
        <v>37255</v>
      </c>
      <c r="C391">
        <v>5</v>
      </c>
      <c r="D391">
        <v>5</v>
      </c>
      <c r="F391">
        <v>390</v>
      </c>
      <c r="G391" cm="1">
        <f t="array" ref="G391">_xlfn.IFNA(INDEX($D$2:$D$4001,_xlfn.XMATCH(G$1&amp;"-"&amp;$F391,YEAR($B$2:$B$4001)&amp;"-"&amp;$A$2:$A$4001,0,-1)),9)</f>
        <v>2</v>
      </c>
      <c r="H391" cm="1">
        <f t="array" ref="H391">IF(OR(AND(G391=9,H$1&gt;YEAR($N391))),9,_xlfn.IFNA(INDEX($D$2:$D$4001,_xlfn.XMATCH(H$1&amp;"-"&amp;$F391,YEAR($B$2:$B$4001)&amp;"-"&amp;$A$2:$A$4001,0,-1)),G391))</f>
        <v>2</v>
      </c>
      <c r="I391" cm="1">
        <f t="array" ref="I391">IF(OR(AND(H391=9,I$1&gt;YEAR($N391))),9,_xlfn.IFNA(INDEX($D$2:$D$4001,_xlfn.XMATCH(I$1&amp;"-"&amp;$F391,YEAR($B$2:$B$4001)&amp;"-"&amp;$A$2:$A$4001,0,-1)),H391))</f>
        <v>2</v>
      </c>
      <c r="J391" cm="1">
        <f t="array" ref="J391">IF(OR(AND(I391=9,J$1&gt;YEAR($N391))),9,_xlfn.IFNA(INDEX($D$2:$D$4001,_xlfn.XMATCH(J$1&amp;"-"&amp;$F391,YEAR($B$2:$B$4001)&amp;"-"&amp;$A$2:$A$4001,0,-1)),I391))</f>
        <v>3</v>
      </c>
      <c r="K391" cm="1">
        <f t="array" ref="K391">IF(OR(AND(J391=9,K$1&gt;YEAR($N391))),9,_xlfn.IFNA(INDEX($D$2:$D$4001,_xlfn.XMATCH(K$1&amp;"-"&amp;$F391,YEAR($B$2:$B$4001)&amp;"-"&amp;$A$2:$A$4001,0,-1)),J391))</f>
        <v>2</v>
      </c>
      <c r="L391" cm="1">
        <f t="array" ref="L391">IF(OR(AND(K391=9,L$1&gt;YEAR($N391))),9,_xlfn.IFNA(INDEX($D$2:$D$4001,_xlfn.XMATCH(L$1&amp;"-"&amp;$F391,YEAR($B$2:$B$4001)&amp;"-"&amp;$A$2:$A$4001,0,-1)),K391))</f>
        <v>2</v>
      </c>
      <c r="M391" cm="1">
        <f t="array" ref="M391">IF(OR(AND(L391=9,M$1&gt;YEAR($N391))),9,_xlfn.IFNA(INDEX($D$2:$D$4001,_xlfn.XMATCH(M$1&amp;"-"&amp;$F391,YEAR($B$2:$B$4001)&amp;"-"&amp;$A$2:$A$4001,0,-1)),L391))</f>
        <v>2</v>
      </c>
      <c r="N391" s="1">
        <f t="shared" si="6"/>
        <v>36301</v>
      </c>
    </row>
    <row r="392" spans="1:14" x14ac:dyDescent="0.35">
      <c r="A392">
        <v>203</v>
      </c>
      <c r="B392" s="2">
        <v>37771</v>
      </c>
      <c r="C392">
        <v>6</v>
      </c>
      <c r="D392">
        <v>6</v>
      </c>
      <c r="F392">
        <v>391</v>
      </c>
      <c r="G392" cm="1">
        <f t="array" ref="G392">_xlfn.IFNA(INDEX($D$2:$D$4001,_xlfn.XMATCH(G$1&amp;"-"&amp;$F392,YEAR($B$2:$B$4001)&amp;"-"&amp;$A$2:$A$4001,0,-1)),9)</f>
        <v>9</v>
      </c>
      <c r="H392" cm="1">
        <f t="array" ref="H392">IF(OR(AND(G392=9,H$1&gt;YEAR($N392))),9,_xlfn.IFNA(INDEX($D$2:$D$4001,_xlfn.XMATCH(H$1&amp;"-"&amp;$F392,YEAR($B$2:$B$4001)&amp;"-"&amp;$A$2:$A$4001,0,-1)),G392))</f>
        <v>3</v>
      </c>
      <c r="I392" cm="1">
        <f t="array" ref="I392">IF(OR(AND(H392=9,I$1&gt;YEAR($N392))),9,_xlfn.IFNA(INDEX($D$2:$D$4001,_xlfn.XMATCH(I$1&amp;"-"&amp;$F392,YEAR($B$2:$B$4001)&amp;"-"&amp;$A$2:$A$4001,0,-1)),H392))</f>
        <v>3</v>
      </c>
      <c r="J392" cm="1">
        <f t="array" ref="J392">IF(OR(AND(I392=9,J$1&gt;YEAR($N392))),9,_xlfn.IFNA(INDEX($D$2:$D$4001,_xlfn.XMATCH(J$1&amp;"-"&amp;$F392,YEAR($B$2:$B$4001)&amp;"-"&amp;$A$2:$A$4001,0,-1)),I392))</f>
        <v>2</v>
      </c>
      <c r="K392" cm="1">
        <f t="array" ref="K392">IF(OR(AND(J392=9,K$1&gt;YEAR($N392))),9,_xlfn.IFNA(INDEX($D$2:$D$4001,_xlfn.XMATCH(K$1&amp;"-"&amp;$F392,YEAR($B$2:$B$4001)&amp;"-"&amp;$A$2:$A$4001,0,-1)),J392))</f>
        <v>2</v>
      </c>
      <c r="L392" cm="1">
        <f t="array" ref="L392">IF(OR(AND(K392=9,L$1&gt;YEAR($N392))),9,_xlfn.IFNA(INDEX($D$2:$D$4001,_xlfn.XMATCH(L$1&amp;"-"&amp;$F392,YEAR($B$2:$B$4001)&amp;"-"&amp;$A$2:$A$4001,0,-1)),K392))</f>
        <v>0</v>
      </c>
      <c r="M392" cm="1">
        <f t="array" ref="M392">IF(OR(AND(L392=9,M$1&gt;YEAR($N392))),9,_xlfn.IFNA(INDEX($D$2:$D$4001,_xlfn.XMATCH(M$1&amp;"-"&amp;$F392,YEAR($B$2:$B$4001)&amp;"-"&amp;$A$2:$A$4001,0,-1)),L392))</f>
        <v>0</v>
      </c>
      <c r="N392" s="1">
        <f t="shared" si="6"/>
        <v>36790</v>
      </c>
    </row>
    <row r="393" spans="1:14" x14ac:dyDescent="0.35">
      <c r="A393">
        <v>203</v>
      </c>
      <c r="B393" s="2">
        <v>38137</v>
      </c>
      <c r="C393">
        <v>6</v>
      </c>
      <c r="D393">
        <v>6</v>
      </c>
      <c r="F393">
        <v>392</v>
      </c>
      <c r="G393" cm="1">
        <f t="array" ref="G393">_xlfn.IFNA(INDEX($D$2:$D$4001,_xlfn.XMATCH(G$1&amp;"-"&amp;$F393,YEAR($B$2:$B$4001)&amp;"-"&amp;$A$2:$A$4001,0,-1)),9)</f>
        <v>9</v>
      </c>
      <c r="H393" cm="1">
        <f t="array" ref="H393">IF(OR(AND(G393=9,H$1&gt;YEAR($N393))),9,_xlfn.IFNA(INDEX($D$2:$D$4001,_xlfn.XMATCH(H$1&amp;"-"&amp;$F393,YEAR($B$2:$B$4001)&amp;"-"&amp;$A$2:$A$4001,0,-1)),G393))</f>
        <v>3</v>
      </c>
      <c r="I393" cm="1">
        <f t="array" ref="I393">IF(OR(AND(H393=9,I$1&gt;YEAR($N393))),9,_xlfn.IFNA(INDEX($D$2:$D$4001,_xlfn.XMATCH(I$1&amp;"-"&amp;$F393,YEAR($B$2:$B$4001)&amp;"-"&amp;$A$2:$A$4001,0,-1)),H393))</f>
        <v>3</v>
      </c>
      <c r="J393" cm="1">
        <f t="array" ref="J393">IF(OR(AND(I393=9,J$1&gt;YEAR($N393))),9,_xlfn.IFNA(INDEX($D$2:$D$4001,_xlfn.XMATCH(J$1&amp;"-"&amp;$F393,YEAR($B$2:$B$4001)&amp;"-"&amp;$A$2:$A$4001,0,-1)),I393))</f>
        <v>3</v>
      </c>
      <c r="K393" cm="1">
        <f t="array" ref="K393">IF(OR(AND(J393=9,K$1&gt;YEAR($N393))),9,_xlfn.IFNA(INDEX($D$2:$D$4001,_xlfn.XMATCH(K$1&amp;"-"&amp;$F393,YEAR($B$2:$B$4001)&amp;"-"&amp;$A$2:$A$4001,0,-1)),J393))</f>
        <v>3</v>
      </c>
      <c r="L393" cm="1">
        <f t="array" ref="L393">IF(OR(AND(K393=9,L$1&gt;YEAR($N393))),9,_xlfn.IFNA(INDEX($D$2:$D$4001,_xlfn.XMATCH(L$1&amp;"-"&amp;$F393,YEAR($B$2:$B$4001)&amp;"-"&amp;$A$2:$A$4001,0,-1)),K393))</f>
        <v>3</v>
      </c>
      <c r="M393" cm="1">
        <f t="array" ref="M393">IF(OR(AND(L393=9,M$1&gt;YEAR($N393))),9,_xlfn.IFNA(INDEX($D$2:$D$4001,_xlfn.XMATCH(M$1&amp;"-"&amp;$F393,YEAR($B$2:$B$4001)&amp;"-"&amp;$A$2:$A$4001,0,-1)),L393))</f>
        <v>3</v>
      </c>
      <c r="N393" s="1">
        <f t="shared" si="6"/>
        <v>36890</v>
      </c>
    </row>
    <row r="394" spans="1:14" x14ac:dyDescent="0.35">
      <c r="A394">
        <v>204</v>
      </c>
      <c r="B394" s="2">
        <v>37124</v>
      </c>
      <c r="C394">
        <v>3</v>
      </c>
      <c r="D394">
        <v>3</v>
      </c>
      <c r="F394">
        <v>393</v>
      </c>
      <c r="G394" cm="1">
        <f t="array" ref="G394">_xlfn.IFNA(INDEX($D$2:$D$4001,_xlfn.XMATCH(G$1&amp;"-"&amp;$F394,YEAR($B$2:$B$4001)&amp;"-"&amp;$A$2:$A$4001,0,-1)),9)</f>
        <v>9</v>
      </c>
      <c r="H394" cm="1">
        <f t="array" ref="H394">IF(OR(AND(G394=9,H$1&gt;YEAR($N394))),9,_xlfn.IFNA(INDEX($D$2:$D$4001,_xlfn.XMATCH(H$1&amp;"-"&amp;$F394,YEAR($B$2:$B$4001)&amp;"-"&amp;$A$2:$A$4001,0,-1)),G394))</f>
        <v>6</v>
      </c>
      <c r="I394" cm="1">
        <f t="array" ref="I394">IF(OR(AND(H394=9,I$1&gt;YEAR($N394))),9,_xlfn.IFNA(INDEX($D$2:$D$4001,_xlfn.XMATCH(I$1&amp;"-"&amp;$F394,YEAR($B$2:$B$4001)&amp;"-"&amp;$A$2:$A$4001,0,-1)),H394))</f>
        <v>5</v>
      </c>
      <c r="J394" cm="1">
        <f t="array" ref="J394">IF(OR(AND(I394=9,J$1&gt;YEAR($N394))),9,_xlfn.IFNA(INDEX($D$2:$D$4001,_xlfn.XMATCH(J$1&amp;"-"&amp;$F394,YEAR($B$2:$B$4001)&amp;"-"&amp;$A$2:$A$4001,0,-1)),I394))</f>
        <v>5</v>
      </c>
      <c r="K394" cm="1">
        <f t="array" ref="K394">IF(OR(AND(J394=9,K$1&gt;YEAR($N394))),9,_xlfn.IFNA(INDEX($D$2:$D$4001,_xlfn.XMATCH(K$1&amp;"-"&amp;$F394,YEAR($B$2:$B$4001)&amp;"-"&amp;$A$2:$A$4001,0,-1)),J394))</f>
        <v>5</v>
      </c>
      <c r="L394" cm="1">
        <f t="array" ref="L394">IF(OR(AND(K394=9,L$1&gt;YEAR($N394))),9,_xlfn.IFNA(INDEX($D$2:$D$4001,_xlfn.XMATCH(L$1&amp;"-"&amp;$F394,YEAR($B$2:$B$4001)&amp;"-"&amp;$A$2:$A$4001,0,-1)),K394))</f>
        <v>5</v>
      </c>
      <c r="M394" cm="1">
        <f t="array" ref="M394">IF(OR(AND(L394=9,M$1&gt;YEAR($N394))),9,_xlfn.IFNA(INDEX($D$2:$D$4001,_xlfn.XMATCH(M$1&amp;"-"&amp;$F394,YEAR($B$2:$B$4001)&amp;"-"&amp;$A$2:$A$4001,0,-1)),L394))</f>
        <v>5</v>
      </c>
      <c r="N394" s="1">
        <f t="shared" si="6"/>
        <v>36890</v>
      </c>
    </row>
    <row r="395" spans="1:14" x14ac:dyDescent="0.35">
      <c r="A395">
        <v>204</v>
      </c>
      <c r="B395" s="2">
        <v>37406</v>
      </c>
      <c r="C395">
        <v>3</v>
      </c>
      <c r="D395">
        <v>3</v>
      </c>
      <c r="F395">
        <v>394</v>
      </c>
      <c r="G395" cm="1">
        <f t="array" ref="G395">_xlfn.IFNA(INDEX($D$2:$D$4001,_xlfn.XMATCH(G$1&amp;"-"&amp;$F395,YEAR($B$2:$B$4001)&amp;"-"&amp;$A$2:$A$4001,0,-1)),9)</f>
        <v>9</v>
      </c>
      <c r="H395" cm="1">
        <f t="array" ref="H395">IF(OR(AND(G395=9,H$1&gt;YEAR($N395))),9,_xlfn.IFNA(INDEX($D$2:$D$4001,_xlfn.XMATCH(H$1&amp;"-"&amp;$F395,YEAR($B$2:$B$4001)&amp;"-"&amp;$A$2:$A$4001,0,-1)),G395))</f>
        <v>9</v>
      </c>
      <c r="I395" cm="1">
        <f t="array" ref="I395">IF(OR(AND(H395=9,I$1&gt;YEAR($N395))),9,_xlfn.IFNA(INDEX($D$2:$D$4001,_xlfn.XMATCH(I$1&amp;"-"&amp;$F395,YEAR($B$2:$B$4001)&amp;"-"&amp;$A$2:$A$4001,0,-1)),H395))</f>
        <v>9</v>
      </c>
      <c r="J395" cm="1">
        <f t="array" ref="J395">IF(OR(AND(I395=9,J$1&gt;YEAR($N395))),9,_xlfn.IFNA(INDEX($D$2:$D$4001,_xlfn.XMATCH(J$1&amp;"-"&amp;$F395,YEAR($B$2:$B$4001)&amp;"-"&amp;$A$2:$A$4001,0,-1)),I395))</f>
        <v>9</v>
      </c>
      <c r="K395" cm="1">
        <f t="array" ref="K395">IF(OR(AND(J395=9,K$1&gt;YEAR($N395))),9,_xlfn.IFNA(INDEX($D$2:$D$4001,_xlfn.XMATCH(K$1&amp;"-"&amp;$F395,YEAR($B$2:$B$4001)&amp;"-"&amp;$A$2:$A$4001,0,-1)),J395))</f>
        <v>9</v>
      </c>
      <c r="L395" cm="1">
        <f t="array" ref="L395">IF(OR(AND(K395=9,L$1&gt;YEAR($N395))),9,_xlfn.IFNA(INDEX($D$2:$D$4001,_xlfn.XMATCH(L$1&amp;"-"&amp;$F395,YEAR($B$2:$B$4001)&amp;"-"&amp;$A$2:$A$4001,0,-1)),K395))</f>
        <v>5</v>
      </c>
      <c r="M395" cm="1">
        <f t="array" ref="M395">IF(OR(AND(L395=9,M$1&gt;YEAR($N395))),9,_xlfn.IFNA(INDEX($D$2:$D$4001,_xlfn.XMATCH(M$1&amp;"-"&amp;$F395,YEAR($B$2:$B$4001)&amp;"-"&amp;$A$2:$A$4001,0,-1)),L395))</f>
        <v>5</v>
      </c>
      <c r="N395" s="1">
        <f t="shared" si="6"/>
        <v>38189</v>
      </c>
    </row>
    <row r="396" spans="1:14" x14ac:dyDescent="0.35">
      <c r="A396">
        <v>204</v>
      </c>
      <c r="B396" s="2">
        <v>37406</v>
      </c>
      <c r="C396">
        <v>4</v>
      </c>
      <c r="D396">
        <v>4</v>
      </c>
      <c r="F396">
        <v>395</v>
      </c>
      <c r="G396" cm="1">
        <f t="array" ref="G396">_xlfn.IFNA(INDEX($D$2:$D$4001,_xlfn.XMATCH(G$1&amp;"-"&amp;$F396,YEAR($B$2:$B$4001)&amp;"-"&amp;$A$2:$A$4001,0,-1)),9)</f>
        <v>0</v>
      </c>
      <c r="H396" cm="1">
        <f t="array" ref="H396">IF(OR(AND(G396=9,H$1&gt;YEAR($N396))),9,_xlfn.IFNA(INDEX($D$2:$D$4001,_xlfn.XMATCH(H$1&amp;"-"&amp;$F396,YEAR($B$2:$B$4001)&amp;"-"&amp;$A$2:$A$4001,0,-1)),G396))</f>
        <v>0</v>
      </c>
      <c r="I396" cm="1">
        <f t="array" ref="I396">IF(OR(AND(H396=9,I$1&gt;YEAR($N396))),9,_xlfn.IFNA(INDEX($D$2:$D$4001,_xlfn.XMATCH(I$1&amp;"-"&amp;$F396,YEAR($B$2:$B$4001)&amp;"-"&amp;$A$2:$A$4001,0,-1)),H396))</f>
        <v>0</v>
      </c>
      <c r="J396" cm="1">
        <f t="array" ref="J396">IF(OR(AND(I396=9,J$1&gt;YEAR($N396))),9,_xlfn.IFNA(INDEX($D$2:$D$4001,_xlfn.XMATCH(J$1&amp;"-"&amp;$F396,YEAR($B$2:$B$4001)&amp;"-"&amp;$A$2:$A$4001,0,-1)),I396))</f>
        <v>0</v>
      </c>
      <c r="K396" cm="1">
        <f t="array" ref="K396">IF(OR(AND(J396=9,K$1&gt;YEAR($N396))),9,_xlfn.IFNA(INDEX($D$2:$D$4001,_xlfn.XMATCH(K$1&amp;"-"&amp;$F396,YEAR($B$2:$B$4001)&amp;"-"&amp;$A$2:$A$4001,0,-1)),J396))</f>
        <v>0</v>
      </c>
      <c r="L396" cm="1">
        <f t="array" ref="L396">IF(OR(AND(K396=9,L$1&gt;YEAR($N396))),9,_xlfn.IFNA(INDEX($D$2:$D$4001,_xlfn.XMATCH(L$1&amp;"-"&amp;$F396,YEAR($B$2:$B$4001)&amp;"-"&amp;$A$2:$A$4001,0,-1)),K396))</f>
        <v>0</v>
      </c>
      <c r="M396" cm="1">
        <f t="array" ref="M396">IF(OR(AND(L396=9,M$1&gt;YEAR($N396))),9,_xlfn.IFNA(INDEX($D$2:$D$4001,_xlfn.XMATCH(M$1&amp;"-"&amp;$F396,YEAR($B$2:$B$4001)&amp;"-"&amp;$A$2:$A$4001,0,-1)),L396))</f>
        <v>0</v>
      </c>
      <c r="N396" s="1">
        <f t="shared" si="6"/>
        <v>36332</v>
      </c>
    </row>
    <row r="397" spans="1:14" x14ac:dyDescent="0.35">
      <c r="A397">
        <v>204</v>
      </c>
      <c r="B397" s="2">
        <v>37489</v>
      </c>
      <c r="C397">
        <v>6</v>
      </c>
      <c r="D397">
        <v>6</v>
      </c>
      <c r="F397">
        <v>396</v>
      </c>
      <c r="G397" cm="1">
        <f t="array" ref="G397">_xlfn.IFNA(INDEX($D$2:$D$4001,_xlfn.XMATCH(G$1&amp;"-"&amp;$F397,YEAR($B$2:$B$4001)&amp;"-"&amp;$A$2:$A$4001,0,-1)),9)</f>
        <v>9</v>
      </c>
      <c r="H397" cm="1">
        <f t="array" ref="H397">IF(OR(AND(G397=9,H$1&gt;YEAR($N397))),9,_xlfn.IFNA(INDEX($D$2:$D$4001,_xlfn.XMATCH(H$1&amp;"-"&amp;$F397,YEAR($B$2:$B$4001)&amp;"-"&amp;$A$2:$A$4001,0,-1)),G397))</f>
        <v>4</v>
      </c>
      <c r="I397" cm="1">
        <f t="array" ref="I397">IF(OR(AND(H397=9,I$1&gt;YEAR($N397))),9,_xlfn.IFNA(INDEX($D$2:$D$4001,_xlfn.XMATCH(I$1&amp;"-"&amp;$F397,YEAR($B$2:$B$4001)&amp;"-"&amp;$A$2:$A$4001,0,-1)),H397))</f>
        <v>3</v>
      </c>
      <c r="J397" cm="1">
        <f t="array" ref="J397">IF(OR(AND(I397=9,J$1&gt;YEAR($N397))),9,_xlfn.IFNA(INDEX($D$2:$D$4001,_xlfn.XMATCH(J$1&amp;"-"&amp;$F397,YEAR($B$2:$B$4001)&amp;"-"&amp;$A$2:$A$4001,0,-1)),I397))</f>
        <v>3</v>
      </c>
      <c r="K397" cm="1">
        <f t="array" ref="K397">IF(OR(AND(J397=9,K$1&gt;YEAR($N397))),9,_xlfn.IFNA(INDEX($D$2:$D$4001,_xlfn.XMATCH(K$1&amp;"-"&amp;$F397,YEAR($B$2:$B$4001)&amp;"-"&amp;$A$2:$A$4001,0,-1)),J397))</f>
        <v>3</v>
      </c>
      <c r="L397" cm="1">
        <f t="array" ref="L397">IF(OR(AND(K397=9,L$1&gt;YEAR($N397))),9,_xlfn.IFNA(INDEX($D$2:$D$4001,_xlfn.XMATCH(L$1&amp;"-"&amp;$F397,YEAR($B$2:$B$4001)&amp;"-"&amp;$A$2:$A$4001,0,-1)),K397))</f>
        <v>3</v>
      </c>
      <c r="M397" cm="1">
        <f t="array" ref="M397">IF(OR(AND(L397=9,M$1&gt;YEAR($N397))),9,_xlfn.IFNA(INDEX($D$2:$D$4001,_xlfn.XMATCH(M$1&amp;"-"&amp;$F397,YEAR($B$2:$B$4001)&amp;"-"&amp;$A$2:$A$4001,0,-1)),L397))</f>
        <v>3</v>
      </c>
      <c r="N397" s="1">
        <f t="shared" si="6"/>
        <v>36890</v>
      </c>
    </row>
    <row r="398" spans="1:14" x14ac:dyDescent="0.35">
      <c r="A398">
        <v>204</v>
      </c>
      <c r="B398" s="2">
        <v>37520</v>
      </c>
      <c r="C398">
        <v>5</v>
      </c>
      <c r="D398">
        <v>5</v>
      </c>
      <c r="F398">
        <v>397</v>
      </c>
      <c r="G398" cm="1">
        <f t="array" ref="G398">_xlfn.IFNA(INDEX($D$2:$D$4001,_xlfn.XMATCH(G$1&amp;"-"&amp;$F398,YEAR($B$2:$B$4001)&amp;"-"&amp;$A$2:$A$4001,0,-1)),9)</f>
        <v>9</v>
      </c>
      <c r="H398" cm="1">
        <f t="array" ref="H398">IF(OR(AND(G398=9,H$1&gt;YEAR($N398))),9,_xlfn.IFNA(INDEX($D$2:$D$4001,_xlfn.XMATCH(H$1&amp;"-"&amp;$F398,YEAR($B$2:$B$4001)&amp;"-"&amp;$A$2:$A$4001,0,-1)),G398))</f>
        <v>9</v>
      </c>
      <c r="I398" cm="1">
        <f t="array" ref="I398">IF(OR(AND(H398=9,I$1&gt;YEAR($N398))),9,_xlfn.IFNA(INDEX($D$2:$D$4001,_xlfn.XMATCH(I$1&amp;"-"&amp;$F398,YEAR($B$2:$B$4001)&amp;"-"&amp;$A$2:$A$4001,0,-1)),H398))</f>
        <v>9</v>
      </c>
      <c r="J398" cm="1">
        <f t="array" ref="J398">IF(OR(AND(I398=9,J$1&gt;YEAR($N398))),9,_xlfn.IFNA(INDEX($D$2:$D$4001,_xlfn.XMATCH(J$1&amp;"-"&amp;$F398,YEAR($B$2:$B$4001)&amp;"-"&amp;$A$2:$A$4001,0,-1)),I398))</f>
        <v>3</v>
      </c>
      <c r="K398" cm="1">
        <f t="array" ref="K398">IF(OR(AND(J398=9,K$1&gt;YEAR($N398))),9,_xlfn.IFNA(INDEX($D$2:$D$4001,_xlfn.XMATCH(K$1&amp;"-"&amp;$F398,YEAR($B$2:$B$4001)&amp;"-"&amp;$A$2:$A$4001,0,-1)),J398))</f>
        <v>3</v>
      </c>
      <c r="L398" cm="1">
        <f t="array" ref="L398">IF(OR(AND(K398=9,L$1&gt;YEAR($N398))),9,_xlfn.IFNA(INDEX($D$2:$D$4001,_xlfn.XMATCH(L$1&amp;"-"&amp;$F398,YEAR($B$2:$B$4001)&amp;"-"&amp;$A$2:$A$4001,0,-1)),K398))</f>
        <v>3</v>
      </c>
      <c r="M398" cm="1">
        <f t="array" ref="M398">IF(OR(AND(L398=9,M$1&gt;YEAR($N398))),9,_xlfn.IFNA(INDEX($D$2:$D$4001,_xlfn.XMATCH(M$1&amp;"-"&amp;$F398,YEAR($B$2:$B$4001)&amp;"-"&amp;$A$2:$A$4001,0,-1)),L398))</f>
        <v>3</v>
      </c>
      <c r="N398" s="1">
        <f t="shared" si="6"/>
        <v>37397</v>
      </c>
    </row>
    <row r="399" spans="1:14" x14ac:dyDescent="0.35">
      <c r="A399">
        <v>204</v>
      </c>
      <c r="B399" s="2">
        <v>37620</v>
      </c>
      <c r="C399">
        <v>4</v>
      </c>
      <c r="D399">
        <v>4</v>
      </c>
      <c r="F399">
        <v>398</v>
      </c>
      <c r="G399" cm="1">
        <f t="array" ref="G399">_xlfn.IFNA(INDEX($D$2:$D$4001,_xlfn.XMATCH(G$1&amp;"-"&amp;$F399,YEAR($B$2:$B$4001)&amp;"-"&amp;$A$2:$A$4001,0,-1)),9)</f>
        <v>9</v>
      </c>
      <c r="H399" cm="1">
        <f t="array" ref="H399">IF(OR(AND(G399=9,H$1&gt;YEAR($N399))),9,_xlfn.IFNA(INDEX($D$2:$D$4001,_xlfn.XMATCH(H$1&amp;"-"&amp;$F399,YEAR($B$2:$B$4001)&amp;"-"&amp;$A$2:$A$4001,0,-1)),G399))</f>
        <v>9</v>
      </c>
      <c r="I399" cm="1">
        <f t="array" ref="I399">IF(OR(AND(H399=9,I$1&gt;YEAR($N399))),9,_xlfn.IFNA(INDEX($D$2:$D$4001,_xlfn.XMATCH(I$1&amp;"-"&amp;$F399,YEAR($B$2:$B$4001)&amp;"-"&amp;$A$2:$A$4001,0,-1)),H399))</f>
        <v>2</v>
      </c>
      <c r="J399" cm="1">
        <f t="array" ref="J399">IF(OR(AND(I399=9,J$1&gt;YEAR($N399))),9,_xlfn.IFNA(INDEX($D$2:$D$4001,_xlfn.XMATCH(J$1&amp;"-"&amp;$F399,YEAR($B$2:$B$4001)&amp;"-"&amp;$A$2:$A$4001,0,-1)),I399))</f>
        <v>2</v>
      </c>
      <c r="K399" cm="1">
        <f t="array" ref="K399">IF(OR(AND(J399=9,K$1&gt;YEAR($N399))),9,_xlfn.IFNA(INDEX($D$2:$D$4001,_xlfn.XMATCH(K$1&amp;"-"&amp;$F399,YEAR($B$2:$B$4001)&amp;"-"&amp;$A$2:$A$4001,0,-1)),J399))</f>
        <v>2</v>
      </c>
      <c r="L399" cm="1">
        <f t="array" ref="L399">IF(OR(AND(K399=9,L$1&gt;YEAR($N399))),9,_xlfn.IFNA(INDEX($D$2:$D$4001,_xlfn.XMATCH(L$1&amp;"-"&amp;$F399,YEAR($B$2:$B$4001)&amp;"-"&amp;$A$2:$A$4001,0,-1)),K399))</f>
        <v>2</v>
      </c>
      <c r="M399" cm="1">
        <f t="array" ref="M399">IF(OR(AND(L399=9,M$1&gt;YEAR($N399))),9,_xlfn.IFNA(INDEX($D$2:$D$4001,_xlfn.XMATCH(M$1&amp;"-"&amp;$F399,YEAR($B$2:$B$4001)&amp;"-"&amp;$A$2:$A$4001,0,-1)),L399))</f>
        <v>2</v>
      </c>
      <c r="N399" s="1">
        <f t="shared" si="6"/>
        <v>37063</v>
      </c>
    </row>
    <row r="400" spans="1:14" x14ac:dyDescent="0.35">
      <c r="A400">
        <v>204</v>
      </c>
      <c r="B400" s="2">
        <v>38159</v>
      </c>
      <c r="C400">
        <v>0</v>
      </c>
      <c r="D400">
        <v>0</v>
      </c>
      <c r="F400">
        <v>399</v>
      </c>
      <c r="G400" cm="1">
        <f t="array" ref="G400">_xlfn.IFNA(INDEX($D$2:$D$4001,_xlfn.XMATCH(G$1&amp;"-"&amp;$F400,YEAR($B$2:$B$4001)&amp;"-"&amp;$A$2:$A$4001,0,-1)),9)</f>
        <v>3</v>
      </c>
      <c r="H400" cm="1">
        <f t="array" ref="H400">IF(OR(AND(G400=9,H$1&gt;YEAR($N400))),9,_xlfn.IFNA(INDEX($D$2:$D$4001,_xlfn.XMATCH(H$1&amp;"-"&amp;$F400,YEAR($B$2:$B$4001)&amp;"-"&amp;$A$2:$A$4001,0,-1)),G400))</f>
        <v>3</v>
      </c>
      <c r="I400" cm="1">
        <f t="array" ref="I400">IF(OR(AND(H400=9,I$1&gt;YEAR($N400))),9,_xlfn.IFNA(INDEX($D$2:$D$4001,_xlfn.XMATCH(I$1&amp;"-"&amp;$F400,YEAR($B$2:$B$4001)&amp;"-"&amp;$A$2:$A$4001,0,-1)),H400))</f>
        <v>3</v>
      </c>
      <c r="J400" cm="1">
        <f t="array" ref="J400">IF(OR(AND(I400=9,J$1&gt;YEAR($N400))),9,_xlfn.IFNA(INDEX($D$2:$D$4001,_xlfn.XMATCH(J$1&amp;"-"&amp;$F400,YEAR($B$2:$B$4001)&amp;"-"&amp;$A$2:$A$4001,0,-1)),I400))</f>
        <v>3</v>
      </c>
      <c r="K400" cm="1">
        <f t="array" ref="K400">IF(OR(AND(J400=9,K$1&gt;YEAR($N400))),9,_xlfn.IFNA(INDEX($D$2:$D$4001,_xlfn.XMATCH(K$1&amp;"-"&amp;$F400,YEAR($B$2:$B$4001)&amp;"-"&amp;$A$2:$A$4001,0,-1)),J400))</f>
        <v>3</v>
      </c>
      <c r="L400" cm="1">
        <f t="array" ref="L400">IF(OR(AND(K400=9,L$1&gt;YEAR($N400))),9,_xlfn.IFNA(INDEX($D$2:$D$4001,_xlfn.XMATCH(L$1&amp;"-"&amp;$F400,YEAR($B$2:$B$4001)&amp;"-"&amp;$A$2:$A$4001,0,-1)),K400))</f>
        <v>0</v>
      </c>
      <c r="M400" cm="1">
        <f t="array" ref="M400">IF(OR(AND(L400=9,M$1&gt;YEAR($N400))),9,_xlfn.IFNA(INDEX($D$2:$D$4001,_xlfn.XMATCH(M$1&amp;"-"&amp;$F400,YEAR($B$2:$B$4001)&amp;"-"&amp;$A$2:$A$4001,0,-1)),L400))</f>
        <v>0</v>
      </c>
      <c r="N400" s="1">
        <f t="shared" si="6"/>
        <v>36307</v>
      </c>
    </row>
    <row r="401" spans="1:14" x14ac:dyDescent="0.35">
      <c r="A401">
        <v>205</v>
      </c>
      <c r="B401" s="2">
        <v>37437</v>
      </c>
      <c r="C401">
        <v>0</v>
      </c>
      <c r="D401">
        <v>0</v>
      </c>
      <c r="F401">
        <v>400</v>
      </c>
      <c r="G401" cm="1">
        <f t="array" ref="G401">_xlfn.IFNA(INDEX($D$2:$D$4001,_xlfn.XMATCH(G$1&amp;"-"&amp;$F401,YEAR($B$2:$B$4001)&amp;"-"&amp;$A$2:$A$4001,0,-1)),9)</f>
        <v>9</v>
      </c>
      <c r="H401" cm="1">
        <f t="array" ref="H401">IF(OR(AND(G401=9,H$1&gt;YEAR($N401))),9,_xlfn.IFNA(INDEX($D$2:$D$4001,_xlfn.XMATCH(H$1&amp;"-"&amp;$F401,YEAR($B$2:$B$4001)&amp;"-"&amp;$A$2:$A$4001,0,-1)),G401))</f>
        <v>9</v>
      </c>
      <c r="I401" cm="1">
        <f t="array" ref="I401">IF(OR(AND(H401=9,I$1&gt;YEAR($N401))),9,_xlfn.IFNA(INDEX($D$2:$D$4001,_xlfn.XMATCH(I$1&amp;"-"&amp;$F401,YEAR($B$2:$B$4001)&amp;"-"&amp;$A$2:$A$4001,0,-1)),H401))</f>
        <v>9</v>
      </c>
      <c r="J401" cm="1">
        <f t="array" ref="J401">IF(OR(AND(I401=9,J$1&gt;YEAR($N401))),9,_xlfn.IFNA(INDEX($D$2:$D$4001,_xlfn.XMATCH(J$1&amp;"-"&amp;$F401,YEAR($B$2:$B$4001)&amp;"-"&amp;$A$2:$A$4001,0,-1)),I401))</f>
        <v>0</v>
      </c>
      <c r="K401" cm="1">
        <f t="array" ref="K401">IF(OR(AND(J401=9,K$1&gt;YEAR($N401))),9,_xlfn.IFNA(INDEX($D$2:$D$4001,_xlfn.XMATCH(K$1&amp;"-"&amp;$F401,YEAR($B$2:$B$4001)&amp;"-"&amp;$A$2:$A$4001,0,-1)),J401))</f>
        <v>0</v>
      </c>
      <c r="L401" cm="1">
        <f t="array" ref="L401">IF(OR(AND(K401=9,L$1&gt;YEAR($N401))),9,_xlfn.IFNA(INDEX($D$2:$D$4001,_xlfn.XMATCH(L$1&amp;"-"&amp;$F401,YEAR($B$2:$B$4001)&amp;"-"&amp;$A$2:$A$4001,0,-1)),K401))</f>
        <v>0</v>
      </c>
      <c r="M401" cm="1">
        <f t="array" ref="M401">IF(OR(AND(L401=9,M$1&gt;YEAR($N401))),9,_xlfn.IFNA(INDEX($D$2:$D$4001,_xlfn.XMATCH(M$1&amp;"-"&amp;$F401,YEAR($B$2:$B$4001)&amp;"-"&amp;$A$2:$A$4001,0,-1)),L401))</f>
        <v>0</v>
      </c>
      <c r="N401" s="1">
        <f t="shared" si="6"/>
        <v>37397</v>
      </c>
    </row>
    <row r="402" spans="1:14" x14ac:dyDescent="0.35">
      <c r="A402">
        <v>206</v>
      </c>
      <c r="B402" s="2">
        <v>36698</v>
      </c>
      <c r="C402">
        <v>4</v>
      </c>
      <c r="D402">
        <v>4</v>
      </c>
      <c r="F402">
        <v>401</v>
      </c>
      <c r="G402" cm="1">
        <f t="array" ref="G402">_xlfn.IFNA(INDEX($D$2:$D$4001,_xlfn.XMATCH(G$1&amp;"-"&amp;$F402,YEAR($B$2:$B$4001)&amp;"-"&amp;$A$2:$A$4001,0,-1)),9)</f>
        <v>4</v>
      </c>
      <c r="H402" cm="1">
        <f t="array" ref="H402">IF(OR(AND(G402=9,H$1&gt;YEAR($N402))),9,_xlfn.IFNA(INDEX($D$2:$D$4001,_xlfn.XMATCH(H$1&amp;"-"&amp;$F402,YEAR($B$2:$B$4001)&amp;"-"&amp;$A$2:$A$4001,0,-1)),G402))</f>
        <v>4</v>
      </c>
      <c r="I402" cm="1">
        <f t="array" ref="I402">IF(OR(AND(H402=9,I$1&gt;YEAR($N402))),9,_xlfn.IFNA(INDEX($D$2:$D$4001,_xlfn.XMATCH(I$1&amp;"-"&amp;$F402,YEAR($B$2:$B$4001)&amp;"-"&amp;$A$2:$A$4001,0,-1)),H402))</f>
        <v>4</v>
      </c>
      <c r="J402" cm="1">
        <f t="array" ref="J402">IF(OR(AND(I402=9,J$1&gt;YEAR($N402))),9,_xlfn.IFNA(INDEX($D$2:$D$4001,_xlfn.XMATCH(J$1&amp;"-"&amp;$F402,YEAR($B$2:$B$4001)&amp;"-"&amp;$A$2:$A$4001,0,-1)),I402))</f>
        <v>4</v>
      </c>
      <c r="K402" cm="1">
        <f t="array" ref="K402">IF(OR(AND(J402=9,K$1&gt;YEAR($N402))),9,_xlfn.IFNA(INDEX($D$2:$D$4001,_xlfn.XMATCH(K$1&amp;"-"&amp;$F402,YEAR($B$2:$B$4001)&amp;"-"&amp;$A$2:$A$4001,0,-1)),J402))</f>
        <v>4</v>
      </c>
      <c r="L402" cm="1">
        <f t="array" ref="L402">IF(OR(AND(K402=9,L$1&gt;YEAR($N402))),9,_xlfn.IFNA(INDEX($D$2:$D$4001,_xlfn.XMATCH(L$1&amp;"-"&amp;$F402,YEAR($B$2:$B$4001)&amp;"-"&amp;$A$2:$A$4001,0,-1)),K402))</f>
        <v>3</v>
      </c>
      <c r="M402" cm="1">
        <f t="array" ref="M402">IF(OR(AND(L402=9,M$1&gt;YEAR($N402))),9,_xlfn.IFNA(INDEX($D$2:$D$4001,_xlfn.XMATCH(M$1&amp;"-"&amp;$F402,YEAR($B$2:$B$4001)&amp;"-"&amp;$A$2:$A$4001,0,-1)),L402))</f>
        <v>3</v>
      </c>
      <c r="N402" s="1">
        <f t="shared" si="6"/>
        <v>36301</v>
      </c>
    </row>
    <row r="403" spans="1:14" x14ac:dyDescent="0.35">
      <c r="A403">
        <v>206</v>
      </c>
      <c r="B403" s="2">
        <v>37102</v>
      </c>
      <c r="C403">
        <v>4</v>
      </c>
      <c r="D403">
        <v>4</v>
      </c>
      <c r="F403">
        <v>402</v>
      </c>
      <c r="G403" cm="1">
        <f t="array" ref="G403">_xlfn.IFNA(INDEX($D$2:$D$4001,_xlfn.XMATCH(G$1&amp;"-"&amp;$F403,YEAR($B$2:$B$4001)&amp;"-"&amp;$A$2:$A$4001,0,-1)),9)</f>
        <v>0</v>
      </c>
      <c r="H403" cm="1">
        <f t="array" ref="H403">IF(OR(AND(G403=9,H$1&gt;YEAR($N403))),9,_xlfn.IFNA(INDEX($D$2:$D$4001,_xlfn.XMATCH(H$1&amp;"-"&amp;$F403,YEAR($B$2:$B$4001)&amp;"-"&amp;$A$2:$A$4001,0,-1)),G403))</f>
        <v>0</v>
      </c>
      <c r="I403" cm="1">
        <f t="array" ref="I403">IF(OR(AND(H403=9,I$1&gt;YEAR($N403))),9,_xlfn.IFNA(INDEX($D$2:$D$4001,_xlfn.XMATCH(I$1&amp;"-"&amp;$F403,YEAR($B$2:$B$4001)&amp;"-"&amp;$A$2:$A$4001,0,-1)),H403))</f>
        <v>0</v>
      </c>
      <c r="J403" cm="1">
        <f t="array" ref="J403">IF(OR(AND(I403=9,J$1&gt;YEAR($N403))),9,_xlfn.IFNA(INDEX($D$2:$D$4001,_xlfn.XMATCH(J$1&amp;"-"&amp;$F403,YEAR($B$2:$B$4001)&amp;"-"&amp;$A$2:$A$4001,0,-1)),I403))</f>
        <v>0</v>
      </c>
      <c r="K403" cm="1">
        <f t="array" ref="K403">IF(OR(AND(J403=9,K$1&gt;YEAR($N403))),9,_xlfn.IFNA(INDEX($D$2:$D$4001,_xlfn.XMATCH(K$1&amp;"-"&amp;$F403,YEAR($B$2:$B$4001)&amp;"-"&amp;$A$2:$A$4001,0,-1)),J403))</f>
        <v>0</v>
      </c>
      <c r="L403" cm="1">
        <f t="array" ref="L403">IF(OR(AND(K403=9,L$1&gt;YEAR($N403))),9,_xlfn.IFNA(INDEX($D$2:$D$4001,_xlfn.XMATCH(L$1&amp;"-"&amp;$F403,YEAR($B$2:$B$4001)&amp;"-"&amp;$A$2:$A$4001,0,-1)),K403))</f>
        <v>0</v>
      </c>
      <c r="M403" cm="1">
        <f t="array" ref="M403">IF(OR(AND(L403=9,M$1&gt;YEAR($N403))),9,_xlfn.IFNA(INDEX($D$2:$D$4001,_xlfn.XMATCH(M$1&amp;"-"&amp;$F403,YEAR($B$2:$B$4001)&amp;"-"&amp;$A$2:$A$4001,0,-1)),L403))</f>
        <v>0</v>
      </c>
      <c r="N403" s="1">
        <f t="shared" si="6"/>
        <v>36524</v>
      </c>
    </row>
    <row r="404" spans="1:14" x14ac:dyDescent="0.35">
      <c r="A404">
        <v>206</v>
      </c>
      <c r="B404" s="2">
        <v>38290</v>
      </c>
      <c r="C404">
        <v>5</v>
      </c>
      <c r="D404">
        <v>5</v>
      </c>
      <c r="F404">
        <v>403</v>
      </c>
      <c r="G404" cm="1">
        <f t="array" ref="G404">_xlfn.IFNA(INDEX($D$2:$D$4001,_xlfn.XMATCH(G$1&amp;"-"&amp;$F404,YEAR($B$2:$B$4001)&amp;"-"&amp;$A$2:$A$4001,0,-1)),9)</f>
        <v>4</v>
      </c>
      <c r="H404" cm="1">
        <f t="array" ref="H404">IF(OR(AND(G404=9,H$1&gt;YEAR($N404))),9,_xlfn.IFNA(INDEX($D$2:$D$4001,_xlfn.XMATCH(H$1&amp;"-"&amp;$F404,YEAR($B$2:$B$4001)&amp;"-"&amp;$A$2:$A$4001,0,-1)),G404))</f>
        <v>4</v>
      </c>
      <c r="I404" cm="1">
        <f t="array" ref="I404">IF(OR(AND(H404=9,I$1&gt;YEAR($N404))),9,_xlfn.IFNA(INDEX($D$2:$D$4001,_xlfn.XMATCH(I$1&amp;"-"&amp;$F404,YEAR($B$2:$B$4001)&amp;"-"&amp;$A$2:$A$4001,0,-1)),H404))</f>
        <v>4</v>
      </c>
      <c r="J404" cm="1">
        <f t="array" ref="J404">IF(OR(AND(I404=9,J$1&gt;YEAR($N404))),9,_xlfn.IFNA(INDEX($D$2:$D$4001,_xlfn.XMATCH(J$1&amp;"-"&amp;$F404,YEAR($B$2:$B$4001)&amp;"-"&amp;$A$2:$A$4001,0,-1)),I404))</f>
        <v>4</v>
      </c>
      <c r="K404" cm="1">
        <f t="array" ref="K404">IF(OR(AND(J404=9,K$1&gt;YEAR($N404))),9,_xlfn.IFNA(INDEX($D$2:$D$4001,_xlfn.XMATCH(K$1&amp;"-"&amp;$F404,YEAR($B$2:$B$4001)&amp;"-"&amp;$A$2:$A$4001,0,-1)),J404))</f>
        <v>4</v>
      </c>
      <c r="L404" cm="1">
        <f t="array" ref="L404">IF(OR(AND(K404=9,L$1&gt;YEAR($N404))),9,_xlfn.IFNA(INDEX($D$2:$D$4001,_xlfn.XMATCH(L$1&amp;"-"&amp;$F404,YEAR($B$2:$B$4001)&amp;"-"&amp;$A$2:$A$4001,0,-1)),K404))</f>
        <v>4</v>
      </c>
      <c r="M404" cm="1">
        <f t="array" ref="M404">IF(OR(AND(L404=9,M$1&gt;YEAR($N404))),9,_xlfn.IFNA(INDEX($D$2:$D$4001,_xlfn.XMATCH(M$1&amp;"-"&amp;$F404,YEAR($B$2:$B$4001)&amp;"-"&amp;$A$2:$A$4001,0,-1)),L404))</f>
        <v>3</v>
      </c>
      <c r="N404" s="1">
        <f t="shared" si="6"/>
        <v>36463</v>
      </c>
    </row>
    <row r="405" spans="1:14" x14ac:dyDescent="0.35">
      <c r="A405">
        <v>207</v>
      </c>
      <c r="B405" s="2">
        <v>37246</v>
      </c>
      <c r="C405">
        <v>1</v>
      </c>
      <c r="D405">
        <v>1</v>
      </c>
      <c r="F405">
        <v>404</v>
      </c>
      <c r="G405" cm="1">
        <f t="array" ref="G405">_xlfn.IFNA(INDEX($D$2:$D$4001,_xlfn.XMATCH(G$1&amp;"-"&amp;$F405,YEAR($B$2:$B$4001)&amp;"-"&amp;$A$2:$A$4001,0,-1)),9)</f>
        <v>9</v>
      </c>
      <c r="H405" cm="1">
        <f t="array" ref="H405">IF(OR(AND(G405=9,H$1&gt;YEAR($N405))),9,_xlfn.IFNA(INDEX($D$2:$D$4001,_xlfn.XMATCH(H$1&amp;"-"&amp;$F405,YEAR($B$2:$B$4001)&amp;"-"&amp;$A$2:$A$4001,0,-1)),G405))</f>
        <v>2</v>
      </c>
      <c r="I405" cm="1">
        <f t="array" ref="I405">IF(OR(AND(H405=9,I$1&gt;YEAR($N405))),9,_xlfn.IFNA(INDEX($D$2:$D$4001,_xlfn.XMATCH(I$1&amp;"-"&amp;$F405,YEAR($B$2:$B$4001)&amp;"-"&amp;$A$2:$A$4001,0,-1)),H405))</f>
        <v>2</v>
      </c>
      <c r="J405" cm="1">
        <f t="array" ref="J405">IF(OR(AND(I405=9,J$1&gt;YEAR($N405))),9,_xlfn.IFNA(INDEX($D$2:$D$4001,_xlfn.XMATCH(J$1&amp;"-"&amp;$F405,YEAR($B$2:$B$4001)&amp;"-"&amp;$A$2:$A$4001,0,-1)),I405))</f>
        <v>2</v>
      </c>
      <c r="K405" cm="1">
        <f t="array" ref="K405">IF(OR(AND(J405=9,K$1&gt;YEAR($N405))),9,_xlfn.IFNA(INDEX($D$2:$D$4001,_xlfn.XMATCH(K$1&amp;"-"&amp;$F405,YEAR($B$2:$B$4001)&amp;"-"&amp;$A$2:$A$4001,0,-1)),J405))</f>
        <v>2</v>
      </c>
      <c r="L405" cm="1">
        <f t="array" ref="L405">IF(OR(AND(K405=9,L$1&gt;YEAR($N405))),9,_xlfn.IFNA(INDEX($D$2:$D$4001,_xlfn.XMATCH(L$1&amp;"-"&amp;$F405,YEAR($B$2:$B$4001)&amp;"-"&amp;$A$2:$A$4001,0,-1)),K405))</f>
        <v>2</v>
      </c>
      <c r="M405" cm="1">
        <f t="array" ref="M405">IF(OR(AND(L405=9,M$1&gt;YEAR($N405))),9,_xlfn.IFNA(INDEX($D$2:$D$4001,_xlfn.XMATCH(M$1&amp;"-"&amp;$F405,YEAR($B$2:$B$4001)&amp;"-"&amp;$A$2:$A$4001,0,-1)),L405))</f>
        <v>2</v>
      </c>
      <c r="N405" s="1">
        <f t="shared" si="6"/>
        <v>36667</v>
      </c>
    </row>
    <row r="406" spans="1:14" x14ac:dyDescent="0.35">
      <c r="A406">
        <v>207</v>
      </c>
      <c r="B406" s="2">
        <v>37397</v>
      </c>
      <c r="C406">
        <v>0</v>
      </c>
      <c r="D406">
        <v>0</v>
      </c>
      <c r="F406">
        <v>405</v>
      </c>
      <c r="G406" cm="1">
        <f t="array" ref="G406">_xlfn.IFNA(INDEX($D$2:$D$4001,_xlfn.XMATCH(G$1&amp;"-"&amp;$F406,YEAR($B$2:$B$4001)&amp;"-"&amp;$A$2:$A$4001,0,-1)),9)</f>
        <v>9</v>
      </c>
      <c r="H406" cm="1">
        <f t="array" ref="H406">IF(OR(AND(G406=9,H$1&gt;YEAR($N406))),9,_xlfn.IFNA(INDEX($D$2:$D$4001,_xlfn.XMATCH(H$1&amp;"-"&amp;$F406,YEAR($B$2:$B$4001)&amp;"-"&amp;$A$2:$A$4001,0,-1)),G406))</f>
        <v>2</v>
      </c>
      <c r="I406" cm="1">
        <f t="array" ref="I406">IF(OR(AND(H406=9,I$1&gt;YEAR($N406))),9,_xlfn.IFNA(INDEX($D$2:$D$4001,_xlfn.XMATCH(I$1&amp;"-"&amp;$F406,YEAR($B$2:$B$4001)&amp;"-"&amp;$A$2:$A$4001,0,-1)),H406))</f>
        <v>2</v>
      </c>
      <c r="J406" cm="1">
        <f t="array" ref="J406">IF(OR(AND(I406=9,J$1&gt;YEAR($N406))),9,_xlfn.IFNA(INDEX($D$2:$D$4001,_xlfn.XMATCH(J$1&amp;"-"&amp;$F406,YEAR($B$2:$B$4001)&amp;"-"&amp;$A$2:$A$4001,0,-1)),I406))</f>
        <v>2</v>
      </c>
      <c r="K406" cm="1">
        <f t="array" ref="K406">IF(OR(AND(J406=9,K$1&gt;YEAR($N406))),9,_xlfn.IFNA(INDEX($D$2:$D$4001,_xlfn.XMATCH(K$1&amp;"-"&amp;$F406,YEAR($B$2:$B$4001)&amp;"-"&amp;$A$2:$A$4001,0,-1)),J406))</f>
        <v>2</v>
      </c>
      <c r="L406" cm="1">
        <f t="array" ref="L406">IF(OR(AND(K406=9,L$1&gt;YEAR($N406))),9,_xlfn.IFNA(INDEX($D$2:$D$4001,_xlfn.XMATCH(L$1&amp;"-"&amp;$F406,YEAR($B$2:$B$4001)&amp;"-"&amp;$A$2:$A$4001,0,-1)),K406))</f>
        <v>2</v>
      </c>
      <c r="M406" cm="1">
        <f t="array" ref="M406">IF(OR(AND(L406=9,M$1&gt;YEAR($N406))),9,_xlfn.IFNA(INDEX($D$2:$D$4001,_xlfn.XMATCH(M$1&amp;"-"&amp;$F406,YEAR($B$2:$B$4001)&amp;"-"&amp;$A$2:$A$4001,0,-1)),L406))</f>
        <v>2</v>
      </c>
      <c r="N406" s="1">
        <f t="shared" si="6"/>
        <v>36676</v>
      </c>
    </row>
    <row r="407" spans="1:14" x14ac:dyDescent="0.35">
      <c r="A407">
        <v>208</v>
      </c>
      <c r="B407" s="2">
        <v>37428</v>
      </c>
      <c r="C407">
        <v>6</v>
      </c>
      <c r="D407">
        <v>6</v>
      </c>
      <c r="F407">
        <v>406</v>
      </c>
      <c r="G407" cm="1">
        <f t="array" ref="G407">_xlfn.IFNA(INDEX($D$2:$D$4001,_xlfn.XMATCH(G$1&amp;"-"&amp;$F407,YEAR($B$2:$B$4001)&amp;"-"&amp;$A$2:$A$4001,0,-1)),9)</f>
        <v>8</v>
      </c>
      <c r="H407" cm="1">
        <f t="array" ref="H407">IF(OR(AND(G407=9,H$1&gt;YEAR($N407))),9,_xlfn.IFNA(INDEX($D$2:$D$4001,_xlfn.XMATCH(H$1&amp;"-"&amp;$F407,YEAR($B$2:$B$4001)&amp;"-"&amp;$A$2:$A$4001,0,-1)),G407))</f>
        <v>8</v>
      </c>
      <c r="I407" cm="1">
        <f t="array" ref="I407">IF(OR(AND(H407=9,I$1&gt;YEAR($N407))),9,_xlfn.IFNA(INDEX($D$2:$D$4001,_xlfn.XMATCH(I$1&amp;"-"&amp;$F407,YEAR($B$2:$B$4001)&amp;"-"&amp;$A$2:$A$4001,0,-1)),H407))</f>
        <v>8</v>
      </c>
      <c r="J407" cm="1">
        <f t="array" ref="J407">IF(OR(AND(I407=9,J$1&gt;YEAR($N407))),9,_xlfn.IFNA(INDEX($D$2:$D$4001,_xlfn.XMATCH(J$1&amp;"-"&amp;$F407,YEAR($B$2:$B$4001)&amp;"-"&amp;$A$2:$A$4001,0,-1)),I407))</f>
        <v>8</v>
      </c>
      <c r="K407" cm="1">
        <f t="array" ref="K407">IF(OR(AND(J407=9,K$1&gt;YEAR($N407))),9,_xlfn.IFNA(INDEX($D$2:$D$4001,_xlfn.XMATCH(K$1&amp;"-"&amp;$F407,YEAR($B$2:$B$4001)&amp;"-"&amp;$A$2:$A$4001,0,-1)),J407))</f>
        <v>8</v>
      </c>
      <c r="L407" cm="1">
        <f t="array" ref="L407">IF(OR(AND(K407=9,L$1&gt;YEAR($N407))),9,_xlfn.IFNA(INDEX($D$2:$D$4001,_xlfn.XMATCH(L$1&amp;"-"&amp;$F407,YEAR($B$2:$B$4001)&amp;"-"&amp;$A$2:$A$4001,0,-1)),K407))</f>
        <v>8</v>
      </c>
      <c r="M407" cm="1">
        <f t="array" ref="M407">IF(OR(AND(L407=9,M$1&gt;YEAR($N407))),9,_xlfn.IFNA(INDEX($D$2:$D$4001,_xlfn.XMATCH(M$1&amp;"-"&amp;$F407,YEAR($B$2:$B$4001)&amp;"-"&amp;$A$2:$A$4001,0,-1)),L407))</f>
        <v>8</v>
      </c>
      <c r="N407" s="1">
        <f t="shared" si="6"/>
        <v>36310</v>
      </c>
    </row>
    <row r="408" spans="1:14" x14ac:dyDescent="0.35">
      <c r="A408">
        <v>208</v>
      </c>
      <c r="B408" s="2">
        <v>37529</v>
      </c>
      <c r="C408">
        <v>6</v>
      </c>
      <c r="D408">
        <v>6</v>
      </c>
      <c r="F408">
        <v>407</v>
      </c>
      <c r="G408" cm="1">
        <f t="array" ref="G408">_xlfn.IFNA(INDEX($D$2:$D$4001,_xlfn.XMATCH(G$1&amp;"-"&amp;$F408,YEAR($B$2:$B$4001)&amp;"-"&amp;$A$2:$A$4001,0,-1)),9)</f>
        <v>9</v>
      </c>
      <c r="H408" cm="1">
        <f t="array" ref="H408">IF(OR(AND(G408=9,H$1&gt;YEAR($N408))),9,_xlfn.IFNA(INDEX($D$2:$D$4001,_xlfn.XMATCH(H$1&amp;"-"&amp;$F408,YEAR($B$2:$B$4001)&amp;"-"&amp;$A$2:$A$4001,0,-1)),G408))</f>
        <v>9</v>
      </c>
      <c r="I408" cm="1">
        <f t="array" ref="I408">IF(OR(AND(H408=9,I$1&gt;YEAR($N408))),9,_xlfn.IFNA(INDEX($D$2:$D$4001,_xlfn.XMATCH(I$1&amp;"-"&amp;$F408,YEAR($B$2:$B$4001)&amp;"-"&amp;$A$2:$A$4001,0,-1)),H408))</f>
        <v>9</v>
      </c>
      <c r="J408" cm="1">
        <f t="array" ref="J408">IF(OR(AND(I408=9,J$1&gt;YEAR($N408))),9,_xlfn.IFNA(INDEX($D$2:$D$4001,_xlfn.XMATCH(J$1&amp;"-"&amp;$F408,YEAR($B$2:$B$4001)&amp;"-"&amp;$A$2:$A$4001,0,-1)),I408))</f>
        <v>9</v>
      </c>
      <c r="K408" cm="1">
        <f t="array" ref="K408">IF(OR(AND(J408=9,K$1&gt;YEAR($N408))),9,_xlfn.IFNA(INDEX($D$2:$D$4001,_xlfn.XMATCH(K$1&amp;"-"&amp;$F408,YEAR($B$2:$B$4001)&amp;"-"&amp;$A$2:$A$4001,0,-1)),J408))</f>
        <v>0</v>
      </c>
      <c r="L408" cm="1">
        <f t="array" ref="L408">IF(OR(AND(K408=9,L$1&gt;YEAR($N408))),9,_xlfn.IFNA(INDEX($D$2:$D$4001,_xlfn.XMATCH(L$1&amp;"-"&amp;$F408,YEAR($B$2:$B$4001)&amp;"-"&amp;$A$2:$A$4001,0,-1)),K408))</f>
        <v>0</v>
      </c>
      <c r="M408" cm="1">
        <f t="array" ref="M408">IF(OR(AND(L408=9,M$1&gt;YEAR($N408))),9,_xlfn.IFNA(INDEX($D$2:$D$4001,_xlfn.XMATCH(M$1&amp;"-"&amp;$F408,YEAR($B$2:$B$4001)&amp;"-"&amp;$A$2:$A$4001,0,-1)),L408))</f>
        <v>0</v>
      </c>
      <c r="N408" s="1">
        <f t="shared" si="6"/>
        <v>37762</v>
      </c>
    </row>
    <row r="409" spans="1:14" x14ac:dyDescent="0.35">
      <c r="A409">
        <v>208</v>
      </c>
      <c r="B409" s="2">
        <v>37620</v>
      </c>
      <c r="C409">
        <v>5</v>
      </c>
      <c r="D409">
        <v>5</v>
      </c>
      <c r="F409">
        <v>408</v>
      </c>
      <c r="G409" cm="1">
        <f t="array" ref="G409">_xlfn.IFNA(INDEX($D$2:$D$4001,_xlfn.XMATCH(G$1&amp;"-"&amp;$F409,YEAR($B$2:$B$4001)&amp;"-"&amp;$A$2:$A$4001,0,-1)),9)</f>
        <v>9</v>
      </c>
      <c r="H409" cm="1">
        <f t="array" ref="H409">IF(OR(AND(G409=9,H$1&gt;YEAR($N409))),9,_xlfn.IFNA(INDEX($D$2:$D$4001,_xlfn.XMATCH(H$1&amp;"-"&amp;$F409,YEAR($B$2:$B$4001)&amp;"-"&amp;$A$2:$A$4001,0,-1)),G409))</f>
        <v>9</v>
      </c>
      <c r="I409" cm="1">
        <f t="array" ref="I409">IF(OR(AND(H409=9,I$1&gt;YEAR($N409))),9,_xlfn.IFNA(INDEX($D$2:$D$4001,_xlfn.XMATCH(I$1&amp;"-"&amp;$F409,YEAR($B$2:$B$4001)&amp;"-"&amp;$A$2:$A$4001,0,-1)),H409))</f>
        <v>9</v>
      </c>
      <c r="J409" cm="1">
        <f t="array" ref="J409">IF(OR(AND(I409=9,J$1&gt;YEAR($N409))),9,_xlfn.IFNA(INDEX($D$2:$D$4001,_xlfn.XMATCH(J$1&amp;"-"&amp;$F409,YEAR($B$2:$B$4001)&amp;"-"&amp;$A$2:$A$4001,0,-1)),I409))</f>
        <v>9</v>
      </c>
      <c r="K409" cm="1">
        <f t="array" ref="K409">IF(OR(AND(J409=9,K$1&gt;YEAR($N409))),9,_xlfn.IFNA(INDEX($D$2:$D$4001,_xlfn.XMATCH(K$1&amp;"-"&amp;$F409,YEAR($B$2:$B$4001)&amp;"-"&amp;$A$2:$A$4001,0,-1)),J409))</f>
        <v>0</v>
      </c>
      <c r="L409" cm="1">
        <f t="array" ref="L409">IF(OR(AND(K409=9,L$1&gt;YEAR($N409))),9,_xlfn.IFNA(INDEX($D$2:$D$4001,_xlfn.XMATCH(L$1&amp;"-"&amp;$F409,YEAR($B$2:$B$4001)&amp;"-"&amp;$A$2:$A$4001,0,-1)),K409))</f>
        <v>0</v>
      </c>
      <c r="M409" cm="1">
        <f t="array" ref="M409">IF(OR(AND(L409=9,M$1&gt;YEAR($N409))),9,_xlfn.IFNA(INDEX($D$2:$D$4001,_xlfn.XMATCH(M$1&amp;"-"&amp;$F409,YEAR($B$2:$B$4001)&amp;"-"&amp;$A$2:$A$4001,0,-1)),L409))</f>
        <v>0</v>
      </c>
      <c r="N409" s="1">
        <f t="shared" si="6"/>
        <v>37985</v>
      </c>
    </row>
    <row r="410" spans="1:14" x14ac:dyDescent="0.35">
      <c r="A410">
        <v>209</v>
      </c>
      <c r="B410" s="2">
        <v>37032</v>
      </c>
      <c r="C410">
        <v>0</v>
      </c>
      <c r="D410">
        <v>0</v>
      </c>
      <c r="F410">
        <v>409</v>
      </c>
      <c r="G410" cm="1">
        <f t="array" ref="G410">_xlfn.IFNA(INDEX($D$2:$D$4001,_xlfn.XMATCH(G$1&amp;"-"&amp;$F410,YEAR($B$2:$B$4001)&amp;"-"&amp;$A$2:$A$4001,0,-1)),9)</f>
        <v>9</v>
      </c>
      <c r="H410" cm="1">
        <f t="array" ref="H410">IF(OR(AND(G410=9,H$1&gt;YEAR($N410))),9,_xlfn.IFNA(INDEX($D$2:$D$4001,_xlfn.XMATCH(H$1&amp;"-"&amp;$F410,YEAR($B$2:$B$4001)&amp;"-"&amp;$A$2:$A$4001,0,-1)),G410))</f>
        <v>9</v>
      </c>
      <c r="I410" cm="1">
        <f t="array" ref="I410">IF(OR(AND(H410=9,I$1&gt;YEAR($N410))),9,_xlfn.IFNA(INDEX($D$2:$D$4001,_xlfn.XMATCH(I$1&amp;"-"&amp;$F410,YEAR($B$2:$B$4001)&amp;"-"&amp;$A$2:$A$4001,0,-1)),H410))</f>
        <v>9</v>
      </c>
      <c r="J410" cm="1">
        <f t="array" ref="J410">IF(OR(AND(I410=9,J$1&gt;YEAR($N410))),9,_xlfn.IFNA(INDEX($D$2:$D$4001,_xlfn.XMATCH(J$1&amp;"-"&amp;$F410,YEAR($B$2:$B$4001)&amp;"-"&amp;$A$2:$A$4001,0,-1)),I410))</f>
        <v>3</v>
      </c>
      <c r="K410" cm="1">
        <f t="array" ref="K410">IF(OR(AND(J410=9,K$1&gt;YEAR($N410))),9,_xlfn.IFNA(INDEX($D$2:$D$4001,_xlfn.XMATCH(K$1&amp;"-"&amp;$F410,YEAR($B$2:$B$4001)&amp;"-"&amp;$A$2:$A$4001,0,-1)),J410))</f>
        <v>3</v>
      </c>
      <c r="L410" cm="1">
        <f t="array" ref="L410">IF(OR(AND(K410=9,L$1&gt;YEAR($N410))),9,_xlfn.IFNA(INDEX($D$2:$D$4001,_xlfn.XMATCH(L$1&amp;"-"&amp;$F410,YEAR($B$2:$B$4001)&amp;"-"&amp;$A$2:$A$4001,0,-1)),K410))</f>
        <v>2</v>
      </c>
      <c r="M410" cm="1">
        <f t="array" ref="M410">IF(OR(AND(L410=9,M$1&gt;YEAR($N410))),9,_xlfn.IFNA(INDEX($D$2:$D$4001,_xlfn.XMATCH(M$1&amp;"-"&amp;$F410,YEAR($B$2:$B$4001)&amp;"-"&amp;$A$2:$A$4001,0,-1)),L410))</f>
        <v>2</v>
      </c>
      <c r="N410" s="1">
        <f t="shared" si="6"/>
        <v>37620</v>
      </c>
    </row>
    <row r="411" spans="1:14" x14ac:dyDescent="0.35">
      <c r="A411">
        <v>210</v>
      </c>
      <c r="B411" s="2">
        <v>38164</v>
      </c>
      <c r="C411">
        <v>0</v>
      </c>
      <c r="D411">
        <v>0</v>
      </c>
      <c r="F411">
        <v>410</v>
      </c>
      <c r="G411" cm="1">
        <f t="array" ref="G411">_xlfn.IFNA(INDEX($D$2:$D$4001,_xlfn.XMATCH(G$1&amp;"-"&amp;$F411,YEAR($B$2:$B$4001)&amp;"-"&amp;$A$2:$A$4001,0,-1)),9)</f>
        <v>0</v>
      </c>
      <c r="H411" cm="1">
        <f t="array" ref="H411">IF(OR(AND(G411=9,H$1&gt;YEAR($N411))),9,_xlfn.IFNA(INDEX($D$2:$D$4001,_xlfn.XMATCH(H$1&amp;"-"&amp;$F411,YEAR($B$2:$B$4001)&amp;"-"&amp;$A$2:$A$4001,0,-1)),G411))</f>
        <v>0</v>
      </c>
      <c r="I411" cm="1">
        <f t="array" ref="I411">IF(OR(AND(H411=9,I$1&gt;YEAR($N411))),9,_xlfn.IFNA(INDEX($D$2:$D$4001,_xlfn.XMATCH(I$1&amp;"-"&amp;$F411,YEAR($B$2:$B$4001)&amp;"-"&amp;$A$2:$A$4001,0,-1)),H411))</f>
        <v>0</v>
      </c>
      <c r="J411" cm="1">
        <f t="array" ref="J411">IF(OR(AND(I411=9,J$1&gt;YEAR($N411))),9,_xlfn.IFNA(INDEX($D$2:$D$4001,_xlfn.XMATCH(J$1&amp;"-"&amp;$F411,YEAR($B$2:$B$4001)&amp;"-"&amp;$A$2:$A$4001,0,-1)),I411))</f>
        <v>0</v>
      </c>
      <c r="K411" cm="1">
        <f t="array" ref="K411">IF(OR(AND(J411=9,K$1&gt;YEAR($N411))),9,_xlfn.IFNA(INDEX($D$2:$D$4001,_xlfn.XMATCH(K$1&amp;"-"&amp;$F411,YEAR($B$2:$B$4001)&amp;"-"&amp;$A$2:$A$4001,0,-1)),J411))</f>
        <v>0</v>
      </c>
      <c r="L411" cm="1">
        <f t="array" ref="L411">IF(OR(AND(K411=9,L$1&gt;YEAR($N411))),9,_xlfn.IFNA(INDEX($D$2:$D$4001,_xlfn.XMATCH(L$1&amp;"-"&amp;$F411,YEAR($B$2:$B$4001)&amp;"-"&amp;$A$2:$A$4001,0,-1)),K411))</f>
        <v>0</v>
      </c>
      <c r="M411" cm="1">
        <f t="array" ref="M411">IF(OR(AND(L411=9,M$1&gt;YEAR($N411))),9,_xlfn.IFNA(INDEX($D$2:$D$4001,_xlfn.XMATCH(M$1&amp;"-"&amp;$F411,YEAR($B$2:$B$4001)&amp;"-"&amp;$A$2:$A$4001,0,-1)),L411))</f>
        <v>0</v>
      </c>
      <c r="N411" s="1">
        <f t="shared" si="6"/>
        <v>36310</v>
      </c>
    </row>
    <row r="412" spans="1:14" x14ac:dyDescent="0.35">
      <c r="A412">
        <v>211</v>
      </c>
      <c r="B412" s="2">
        <v>36368</v>
      </c>
      <c r="C412">
        <v>2</v>
      </c>
      <c r="D412">
        <v>2</v>
      </c>
      <c r="F412">
        <v>411</v>
      </c>
      <c r="G412" cm="1">
        <f t="array" ref="G412">_xlfn.IFNA(INDEX($D$2:$D$4001,_xlfn.XMATCH(G$1&amp;"-"&amp;$F412,YEAR($B$2:$B$4001)&amp;"-"&amp;$A$2:$A$4001,0,-1)),9)</f>
        <v>6</v>
      </c>
      <c r="H412" cm="1">
        <f t="array" ref="H412">IF(OR(AND(G412=9,H$1&gt;YEAR($N412))),9,_xlfn.IFNA(INDEX($D$2:$D$4001,_xlfn.XMATCH(H$1&amp;"-"&amp;$F412,YEAR($B$2:$B$4001)&amp;"-"&amp;$A$2:$A$4001,0,-1)),G412))</f>
        <v>6</v>
      </c>
      <c r="I412" cm="1">
        <f t="array" ref="I412">IF(OR(AND(H412=9,I$1&gt;YEAR($N412))),9,_xlfn.IFNA(INDEX($D$2:$D$4001,_xlfn.XMATCH(I$1&amp;"-"&amp;$F412,YEAR($B$2:$B$4001)&amp;"-"&amp;$A$2:$A$4001,0,-1)),H412))</f>
        <v>6</v>
      </c>
      <c r="J412" cm="1">
        <f t="array" ref="J412">IF(OR(AND(I412=9,J$1&gt;YEAR($N412))),9,_xlfn.IFNA(INDEX($D$2:$D$4001,_xlfn.XMATCH(J$1&amp;"-"&amp;$F412,YEAR($B$2:$B$4001)&amp;"-"&amp;$A$2:$A$4001,0,-1)),I412))</f>
        <v>6</v>
      </c>
      <c r="K412" cm="1">
        <f t="array" ref="K412">IF(OR(AND(J412=9,K$1&gt;YEAR($N412))),9,_xlfn.IFNA(INDEX($D$2:$D$4001,_xlfn.XMATCH(K$1&amp;"-"&amp;$F412,YEAR($B$2:$B$4001)&amp;"-"&amp;$A$2:$A$4001,0,-1)),J412))</f>
        <v>0</v>
      </c>
      <c r="L412" cm="1">
        <f t="array" ref="L412">IF(OR(AND(K412=9,L$1&gt;YEAR($N412))),9,_xlfn.IFNA(INDEX($D$2:$D$4001,_xlfn.XMATCH(L$1&amp;"-"&amp;$F412,YEAR($B$2:$B$4001)&amp;"-"&amp;$A$2:$A$4001,0,-1)),K412))</f>
        <v>0</v>
      </c>
      <c r="M412" cm="1">
        <f t="array" ref="M412">IF(OR(AND(L412=9,M$1&gt;YEAR($N412))),9,_xlfn.IFNA(INDEX($D$2:$D$4001,_xlfn.XMATCH(M$1&amp;"-"&amp;$F412,YEAR($B$2:$B$4001)&amp;"-"&amp;$A$2:$A$4001,0,-1)),L412))</f>
        <v>0</v>
      </c>
      <c r="N412" s="1">
        <f t="shared" si="6"/>
        <v>36301</v>
      </c>
    </row>
    <row r="413" spans="1:14" x14ac:dyDescent="0.35">
      <c r="A413">
        <v>211</v>
      </c>
      <c r="B413" s="2">
        <v>37032</v>
      </c>
      <c r="C413">
        <v>2</v>
      </c>
      <c r="D413">
        <v>2</v>
      </c>
      <c r="F413">
        <v>412</v>
      </c>
      <c r="G413" cm="1">
        <f t="array" ref="G413">_xlfn.IFNA(INDEX($D$2:$D$4001,_xlfn.XMATCH(G$1&amp;"-"&amp;$F413,YEAR($B$2:$B$4001)&amp;"-"&amp;$A$2:$A$4001,0,-1)),9)</f>
        <v>5</v>
      </c>
      <c r="H413" cm="1">
        <f t="array" ref="H413">IF(OR(AND(G413=9,H$1&gt;YEAR($N413))),9,_xlfn.IFNA(INDEX($D$2:$D$4001,_xlfn.XMATCH(H$1&amp;"-"&amp;$F413,YEAR($B$2:$B$4001)&amp;"-"&amp;$A$2:$A$4001,0,-1)),G413))</f>
        <v>4</v>
      </c>
      <c r="I413" cm="1">
        <f t="array" ref="I413">IF(OR(AND(H413=9,I$1&gt;YEAR($N413))),9,_xlfn.IFNA(INDEX($D$2:$D$4001,_xlfn.XMATCH(I$1&amp;"-"&amp;$F413,YEAR($B$2:$B$4001)&amp;"-"&amp;$A$2:$A$4001,0,-1)),H413))</f>
        <v>4</v>
      </c>
      <c r="J413" cm="1">
        <f t="array" ref="J413">IF(OR(AND(I413=9,J$1&gt;YEAR($N413))),9,_xlfn.IFNA(INDEX($D$2:$D$4001,_xlfn.XMATCH(J$1&amp;"-"&amp;$F413,YEAR($B$2:$B$4001)&amp;"-"&amp;$A$2:$A$4001,0,-1)),I413))</f>
        <v>4</v>
      </c>
      <c r="K413" cm="1">
        <f t="array" ref="K413">IF(OR(AND(J413=9,K$1&gt;YEAR($N413))),9,_xlfn.IFNA(INDEX($D$2:$D$4001,_xlfn.XMATCH(K$1&amp;"-"&amp;$F413,YEAR($B$2:$B$4001)&amp;"-"&amp;$A$2:$A$4001,0,-1)),J413))</f>
        <v>0</v>
      </c>
      <c r="L413" cm="1">
        <f t="array" ref="L413">IF(OR(AND(K413=9,L$1&gt;YEAR($N413))),9,_xlfn.IFNA(INDEX($D$2:$D$4001,_xlfn.XMATCH(L$1&amp;"-"&amp;$F413,YEAR($B$2:$B$4001)&amp;"-"&amp;$A$2:$A$4001,0,-1)),K413))</f>
        <v>0</v>
      </c>
      <c r="M413" cm="1">
        <f t="array" ref="M413">IF(OR(AND(L413=9,M$1&gt;YEAR($N413))),9,_xlfn.IFNA(INDEX($D$2:$D$4001,_xlfn.XMATCH(M$1&amp;"-"&amp;$F413,YEAR($B$2:$B$4001)&amp;"-"&amp;$A$2:$A$4001,0,-1)),L413))</f>
        <v>0</v>
      </c>
      <c r="N413" s="1">
        <f t="shared" si="6"/>
        <v>36304</v>
      </c>
    </row>
    <row r="414" spans="1:14" x14ac:dyDescent="0.35">
      <c r="A414">
        <v>211</v>
      </c>
      <c r="B414" s="2">
        <v>37985</v>
      </c>
      <c r="C414">
        <v>2</v>
      </c>
      <c r="D414">
        <v>2</v>
      </c>
      <c r="F414">
        <v>413</v>
      </c>
      <c r="G414" cm="1">
        <f t="array" ref="G414">_xlfn.IFNA(INDEX($D$2:$D$4001,_xlfn.XMATCH(G$1&amp;"-"&amp;$F414,YEAR($B$2:$B$4001)&amp;"-"&amp;$A$2:$A$4001,0,-1)),9)</f>
        <v>3</v>
      </c>
      <c r="H414" cm="1">
        <f t="array" ref="H414">IF(OR(AND(G414=9,H$1&gt;YEAR($N414))),9,_xlfn.IFNA(INDEX($D$2:$D$4001,_xlfn.XMATCH(H$1&amp;"-"&amp;$F414,YEAR($B$2:$B$4001)&amp;"-"&amp;$A$2:$A$4001,0,-1)),G414))</f>
        <v>2</v>
      </c>
      <c r="I414" cm="1">
        <f t="array" ref="I414">IF(OR(AND(H414=9,I$1&gt;YEAR($N414))),9,_xlfn.IFNA(INDEX($D$2:$D$4001,_xlfn.XMATCH(I$1&amp;"-"&amp;$F414,YEAR($B$2:$B$4001)&amp;"-"&amp;$A$2:$A$4001,0,-1)),H414))</f>
        <v>2</v>
      </c>
      <c r="J414" cm="1">
        <f t="array" ref="J414">IF(OR(AND(I414=9,J$1&gt;YEAR($N414))),9,_xlfn.IFNA(INDEX($D$2:$D$4001,_xlfn.XMATCH(J$1&amp;"-"&amp;$F414,YEAR($B$2:$B$4001)&amp;"-"&amp;$A$2:$A$4001,0,-1)),I414))</f>
        <v>2</v>
      </c>
      <c r="K414" cm="1">
        <f t="array" ref="K414">IF(OR(AND(J414=9,K$1&gt;YEAR($N414))),9,_xlfn.IFNA(INDEX($D$2:$D$4001,_xlfn.XMATCH(K$1&amp;"-"&amp;$F414,YEAR($B$2:$B$4001)&amp;"-"&amp;$A$2:$A$4001,0,-1)),J414))</f>
        <v>2</v>
      </c>
      <c r="L414" cm="1">
        <f t="array" ref="L414">IF(OR(AND(K414=9,L$1&gt;YEAR($N414))),9,_xlfn.IFNA(INDEX($D$2:$D$4001,_xlfn.XMATCH(L$1&amp;"-"&amp;$F414,YEAR($B$2:$B$4001)&amp;"-"&amp;$A$2:$A$4001,0,-1)),K414))</f>
        <v>2</v>
      </c>
      <c r="M414" cm="1">
        <f t="array" ref="M414">IF(OR(AND(L414=9,M$1&gt;YEAR($N414))),9,_xlfn.IFNA(INDEX($D$2:$D$4001,_xlfn.XMATCH(M$1&amp;"-"&amp;$F414,YEAR($B$2:$B$4001)&amp;"-"&amp;$A$2:$A$4001,0,-1)),L414))</f>
        <v>2</v>
      </c>
      <c r="N414" s="1">
        <f t="shared" si="6"/>
        <v>36310</v>
      </c>
    </row>
    <row r="415" spans="1:14" x14ac:dyDescent="0.35">
      <c r="A415">
        <v>212</v>
      </c>
      <c r="B415" s="2">
        <v>38351</v>
      </c>
      <c r="C415">
        <v>4</v>
      </c>
      <c r="D415">
        <v>4</v>
      </c>
      <c r="F415">
        <v>414</v>
      </c>
      <c r="G415" cm="1">
        <f t="array" ref="G415">_xlfn.IFNA(INDEX($D$2:$D$4001,_xlfn.XMATCH(G$1&amp;"-"&amp;$F415,YEAR($B$2:$B$4001)&amp;"-"&amp;$A$2:$A$4001,0,-1)),9)</f>
        <v>9</v>
      </c>
      <c r="H415" cm="1">
        <f t="array" ref="H415">IF(OR(AND(G415=9,H$1&gt;YEAR($N415))),9,_xlfn.IFNA(INDEX($D$2:$D$4001,_xlfn.XMATCH(H$1&amp;"-"&amp;$F415,YEAR($B$2:$B$4001)&amp;"-"&amp;$A$2:$A$4001,0,-1)),G415))</f>
        <v>9</v>
      </c>
      <c r="I415" cm="1">
        <f t="array" ref="I415">IF(OR(AND(H415=9,I$1&gt;YEAR($N415))),9,_xlfn.IFNA(INDEX($D$2:$D$4001,_xlfn.XMATCH(I$1&amp;"-"&amp;$F415,YEAR($B$2:$B$4001)&amp;"-"&amp;$A$2:$A$4001,0,-1)),H415))</f>
        <v>9</v>
      </c>
      <c r="J415" cm="1">
        <f t="array" ref="J415">IF(OR(AND(I415=9,J$1&gt;YEAR($N415))),9,_xlfn.IFNA(INDEX($D$2:$D$4001,_xlfn.XMATCH(J$1&amp;"-"&amp;$F415,YEAR($B$2:$B$4001)&amp;"-"&amp;$A$2:$A$4001,0,-1)),I415))</f>
        <v>9</v>
      </c>
      <c r="K415" cm="1">
        <f t="array" ref="K415">IF(OR(AND(J415=9,K$1&gt;YEAR($N415))),9,_xlfn.IFNA(INDEX($D$2:$D$4001,_xlfn.XMATCH(K$1&amp;"-"&amp;$F415,YEAR($B$2:$B$4001)&amp;"-"&amp;$A$2:$A$4001,0,-1)),J415))</f>
        <v>2</v>
      </c>
      <c r="L415" cm="1">
        <f t="array" ref="L415">IF(OR(AND(K415=9,L$1&gt;YEAR($N415))),9,_xlfn.IFNA(INDEX($D$2:$D$4001,_xlfn.XMATCH(L$1&amp;"-"&amp;$F415,YEAR($B$2:$B$4001)&amp;"-"&amp;$A$2:$A$4001,0,-1)),K415))</f>
        <v>2</v>
      </c>
      <c r="M415" cm="1">
        <f t="array" ref="M415">IF(OR(AND(L415=9,M$1&gt;YEAR($N415))),9,_xlfn.IFNA(INDEX($D$2:$D$4001,_xlfn.XMATCH(M$1&amp;"-"&amp;$F415,YEAR($B$2:$B$4001)&amp;"-"&amp;$A$2:$A$4001,0,-1)),L415))</f>
        <v>2</v>
      </c>
      <c r="N415" s="1">
        <f t="shared" si="6"/>
        <v>37762</v>
      </c>
    </row>
    <row r="416" spans="1:14" x14ac:dyDescent="0.35">
      <c r="A416">
        <v>213</v>
      </c>
      <c r="B416" s="2">
        <v>37406</v>
      </c>
      <c r="C416">
        <v>4</v>
      </c>
      <c r="D416">
        <v>4</v>
      </c>
      <c r="F416">
        <v>415</v>
      </c>
      <c r="G416" cm="1">
        <f t="array" ref="G416">_xlfn.IFNA(INDEX($D$2:$D$4001,_xlfn.XMATCH(G$1&amp;"-"&amp;$F416,YEAR($B$2:$B$4001)&amp;"-"&amp;$A$2:$A$4001,0,-1)),9)</f>
        <v>2</v>
      </c>
      <c r="H416" cm="1">
        <f t="array" ref="H416">IF(OR(AND(G416=9,H$1&gt;YEAR($N416))),9,_xlfn.IFNA(INDEX($D$2:$D$4001,_xlfn.XMATCH(H$1&amp;"-"&amp;$F416,YEAR($B$2:$B$4001)&amp;"-"&amp;$A$2:$A$4001,0,-1)),G416))</f>
        <v>2</v>
      </c>
      <c r="I416" cm="1">
        <f t="array" ref="I416">IF(OR(AND(H416=9,I$1&gt;YEAR($N416))),9,_xlfn.IFNA(INDEX($D$2:$D$4001,_xlfn.XMATCH(I$1&amp;"-"&amp;$F416,YEAR($B$2:$B$4001)&amp;"-"&amp;$A$2:$A$4001,0,-1)),H416))</f>
        <v>2</v>
      </c>
      <c r="J416" cm="1">
        <f t="array" ref="J416">IF(OR(AND(I416=9,J$1&gt;YEAR($N416))),9,_xlfn.IFNA(INDEX($D$2:$D$4001,_xlfn.XMATCH(J$1&amp;"-"&amp;$F416,YEAR($B$2:$B$4001)&amp;"-"&amp;$A$2:$A$4001,0,-1)),I416))</f>
        <v>2</v>
      </c>
      <c r="K416" cm="1">
        <f t="array" ref="K416">IF(OR(AND(J416=9,K$1&gt;YEAR($N416))),9,_xlfn.IFNA(INDEX($D$2:$D$4001,_xlfn.XMATCH(K$1&amp;"-"&amp;$F416,YEAR($B$2:$B$4001)&amp;"-"&amp;$A$2:$A$4001,0,-1)),J416))</f>
        <v>2</v>
      </c>
      <c r="L416" cm="1">
        <f t="array" ref="L416">IF(OR(AND(K416=9,L$1&gt;YEAR($N416))),9,_xlfn.IFNA(INDEX($D$2:$D$4001,_xlfn.XMATCH(L$1&amp;"-"&amp;$F416,YEAR($B$2:$B$4001)&amp;"-"&amp;$A$2:$A$4001,0,-1)),K416))</f>
        <v>2</v>
      </c>
      <c r="M416" cm="1">
        <f t="array" ref="M416">IF(OR(AND(L416=9,M$1&gt;YEAR($N416))),9,_xlfn.IFNA(INDEX($D$2:$D$4001,_xlfn.XMATCH(M$1&amp;"-"&amp;$F416,YEAR($B$2:$B$4001)&amp;"-"&amp;$A$2:$A$4001,0,-1)),L416))</f>
        <v>2</v>
      </c>
      <c r="N416" s="1">
        <f t="shared" si="6"/>
        <v>36371</v>
      </c>
    </row>
    <row r="417" spans="1:14" x14ac:dyDescent="0.35">
      <c r="A417">
        <v>214</v>
      </c>
      <c r="B417" s="2">
        <v>36310</v>
      </c>
      <c r="C417">
        <v>4</v>
      </c>
      <c r="D417">
        <v>4</v>
      </c>
      <c r="F417">
        <v>416</v>
      </c>
      <c r="G417" cm="1">
        <f t="array" ref="G417">_xlfn.IFNA(INDEX($D$2:$D$4001,_xlfn.XMATCH(G$1&amp;"-"&amp;$F417,YEAR($B$2:$B$4001)&amp;"-"&amp;$A$2:$A$4001,0,-1)),9)</f>
        <v>9</v>
      </c>
      <c r="H417" cm="1">
        <f t="array" ref="H417">IF(OR(AND(G417=9,H$1&gt;YEAR($N417))),9,_xlfn.IFNA(INDEX($D$2:$D$4001,_xlfn.XMATCH(H$1&amp;"-"&amp;$F417,YEAR($B$2:$B$4001)&amp;"-"&amp;$A$2:$A$4001,0,-1)),G417))</f>
        <v>9</v>
      </c>
      <c r="I417" cm="1">
        <f t="array" ref="I417">IF(OR(AND(H417=9,I$1&gt;YEAR($N417))),9,_xlfn.IFNA(INDEX($D$2:$D$4001,_xlfn.XMATCH(I$1&amp;"-"&amp;$F417,YEAR($B$2:$B$4001)&amp;"-"&amp;$A$2:$A$4001,0,-1)),H417))</f>
        <v>3</v>
      </c>
      <c r="J417" cm="1">
        <f t="array" ref="J417">IF(OR(AND(I417=9,J$1&gt;YEAR($N417))),9,_xlfn.IFNA(INDEX($D$2:$D$4001,_xlfn.XMATCH(J$1&amp;"-"&amp;$F417,YEAR($B$2:$B$4001)&amp;"-"&amp;$A$2:$A$4001,0,-1)),I417))</f>
        <v>3</v>
      </c>
      <c r="K417" cm="1">
        <f t="array" ref="K417">IF(OR(AND(J417=9,K$1&gt;YEAR($N417))),9,_xlfn.IFNA(INDEX($D$2:$D$4001,_xlfn.XMATCH(K$1&amp;"-"&amp;$F417,YEAR($B$2:$B$4001)&amp;"-"&amp;$A$2:$A$4001,0,-1)),J417))</f>
        <v>3</v>
      </c>
      <c r="L417" cm="1">
        <f t="array" ref="L417">IF(OR(AND(K417=9,L$1&gt;YEAR($N417))),9,_xlfn.IFNA(INDEX($D$2:$D$4001,_xlfn.XMATCH(L$1&amp;"-"&amp;$F417,YEAR($B$2:$B$4001)&amp;"-"&amp;$A$2:$A$4001,0,-1)),K417))</f>
        <v>3</v>
      </c>
      <c r="M417" cm="1">
        <f t="array" ref="M417">IF(OR(AND(L417=9,M$1&gt;YEAR($N417))),9,_xlfn.IFNA(INDEX($D$2:$D$4001,_xlfn.XMATCH(M$1&amp;"-"&amp;$F417,YEAR($B$2:$B$4001)&amp;"-"&amp;$A$2:$A$4001,0,-1)),L417))</f>
        <v>3</v>
      </c>
      <c r="N417" s="1">
        <f t="shared" si="6"/>
        <v>37032</v>
      </c>
    </row>
    <row r="418" spans="1:14" x14ac:dyDescent="0.35">
      <c r="A418">
        <v>214</v>
      </c>
      <c r="B418" s="2">
        <v>37559</v>
      </c>
      <c r="C418">
        <v>4</v>
      </c>
      <c r="D418">
        <v>4</v>
      </c>
      <c r="F418">
        <v>417</v>
      </c>
      <c r="G418" cm="1">
        <f t="array" ref="G418">_xlfn.IFNA(INDEX($D$2:$D$4001,_xlfn.XMATCH(G$1&amp;"-"&amp;$F418,YEAR($B$2:$B$4001)&amp;"-"&amp;$A$2:$A$4001,0,-1)),9)</f>
        <v>9</v>
      </c>
      <c r="H418" cm="1">
        <f t="array" ref="H418">IF(OR(AND(G418=9,H$1&gt;YEAR($N418))),9,_xlfn.IFNA(INDEX($D$2:$D$4001,_xlfn.XMATCH(H$1&amp;"-"&amp;$F418,YEAR($B$2:$B$4001)&amp;"-"&amp;$A$2:$A$4001,0,-1)),G418))</f>
        <v>3</v>
      </c>
      <c r="I418" cm="1">
        <f t="array" ref="I418">IF(OR(AND(H418=9,I$1&gt;YEAR($N418))),9,_xlfn.IFNA(INDEX($D$2:$D$4001,_xlfn.XMATCH(I$1&amp;"-"&amp;$F418,YEAR($B$2:$B$4001)&amp;"-"&amp;$A$2:$A$4001,0,-1)),H418))</f>
        <v>3</v>
      </c>
      <c r="J418" cm="1">
        <f t="array" ref="J418">IF(OR(AND(I418=9,J$1&gt;YEAR($N418))),9,_xlfn.IFNA(INDEX($D$2:$D$4001,_xlfn.XMATCH(J$1&amp;"-"&amp;$F418,YEAR($B$2:$B$4001)&amp;"-"&amp;$A$2:$A$4001,0,-1)),I418))</f>
        <v>3</v>
      </c>
      <c r="K418" cm="1">
        <f t="array" ref="K418">IF(OR(AND(J418=9,K$1&gt;YEAR($N418))),9,_xlfn.IFNA(INDEX($D$2:$D$4001,_xlfn.XMATCH(K$1&amp;"-"&amp;$F418,YEAR($B$2:$B$4001)&amp;"-"&amp;$A$2:$A$4001,0,-1)),J418))</f>
        <v>3</v>
      </c>
      <c r="L418" cm="1">
        <f t="array" ref="L418">IF(OR(AND(K418=9,L$1&gt;YEAR($N418))),9,_xlfn.IFNA(INDEX($D$2:$D$4001,_xlfn.XMATCH(L$1&amp;"-"&amp;$F418,YEAR($B$2:$B$4001)&amp;"-"&amp;$A$2:$A$4001,0,-1)),K418))</f>
        <v>3</v>
      </c>
      <c r="M418" cm="1">
        <f t="array" ref="M418">IF(OR(AND(L418=9,M$1&gt;YEAR($N418))),9,_xlfn.IFNA(INDEX($D$2:$D$4001,_xlfn.XMATCH(M$1&amp;"-"&amp;$F418,YEAR($B$2:$B$4001)&amp;"-"&amp;$A$2:$A$4001,0,-1)),L418))</f>
        <v>3</v>
      </c>
      <c r="N418" s="1">
        <f t="shared" si="6"/>
        <v>36799</v>
      </c>
    </row>
    <row r="419" spans="1:14" x14ac:dyDescent="0.35">
      <c r="A419">
        <v>215</v>
      </c>
      <c r="B419" s="2">
        <v>37397</v>
      </c>
      <c r="C419">
        <v>3</v>
      </c>
      <c r="D419">
        <v>3</v>
      </c>
      <c r="F419">
        <v>418</v>
      </c>
      <c r="G419" cm="1">
        <f t="array" ref="G419">_xlfn.IFNA(INDEX($D$2:$D$4001,_xlfn.XMATCH(G$1&amp;"-"&amp;$F419,YEAR($B$2:$B$4001)&amp;"-"&amp;$A$2:$A$4001,0,-1)),9)</f>
        <v>9</v>
      </c>
      <c r="H419" cm="1">
        <f t="array" ref="H419">IF(OR(AND(G419=9,H$1&gt;YEAR($N419))),9,_xlfn.IFNA(INDEX($D$2:$D$4001,_xlfn.XMATCH(H$1&amp;"-"&amp;$F419,YEAR($B$2:$B$4001)&amp;"-"&amp;$A$2:$A$4001,0,-1)),G419))</f>
        <v>9</v>
      </c>
      <c r="I419" cm="1">
        <f t="array" ref="I419">IF(OR(AND(H419=9,I$1&gt;YEAR($N419))),9,_xlfn.IFNA(INDEX($D$2:$D$4001,_xlfn.XMATCH(I$1&amp;"-"&amp;$F419,YEAR($B$2:$B$4001)&amp;"-"&amp;$A$2:$A$4001,0,-1)),H419))</f>
        <v>2</v>
      </c>
      <c r="J419" cm="1">
        <f t="array" ref="J419">IF(OR(AND(I419=9,J$1&gt;YEAR($N419))),9,_xlfn.IFNA(INDEX($D$2:$D$4001,_xlfn.XMATCH(J$1&amp;"-"&amp;$F419,YEAR($B$2:$B$4001)&amp;"-"&amp;$A$2:$A$4001,0,-1)),I419))</f>
        <v>2</v>
      </c>
      <c r="K419" cm="1">
        <f t="array" ref="K419">IF(OR(AND(J419=9,K$1&gt;YEAR($N419))),9,_xlfn.IFNA(INDEX($D$2:$D$4001,_xlfn.XMATCH(K$1&amp;"-"&amp;$F419,YEAR($B$2:$B$4001)&amp;"-"&amp;$A$2:$A$4001,0,-1)),J419))</f>
        <v>2</v>
      </c>
      <c r="L419" cm="1">
        <f t="array" ref="L419">IF(OR(AND(K419=9,L$1&gt;YEAR($N419))),9,_xlfn.IFNA(INDEX($D$2:$D$4001,_xlfn.XMATCH(L$1&amp;"-"&amp;$F419,YEAR($B$2:$B$4001)&amp;"-"&amp;$A$2:$A$4001,0,-1)),K419))</f>
        <v>2</v>
      </c>
      <c r="M419" cm="1">
        <f t="array" ref="M419">IF(OR(AND(L419=9,M$1&gt;YEAR($N419))),9,_xlfn.IFNA(INDEX($D$2:$D$4001,_xlfn.XMATCH(M$1&amp;"-"&amp;$F419,YEAR($B$2:$B$4001)&amp;"-"&amp;$A$2:$A$4001,0,-1)),L419))</f>
        <v>2</v>
      </c>
      <c r="N419" s="1">
        <f t="shared" si="6"/>
        <v>37255</v>
      </c>
    </row>
    <row r="420" spans="1:14" x14ac:dyDescent="0.35">
      <c r="A420">
        <v>216</v>
      </c>
      <c r="B420" s="2">
        <v>36301</v>
      </c>
      <c r="C420">
        <v>2</v>
      </c>
      <c r="D420">
        <v>2</v>
      </c>
      <c r="F420">
        <v>419</v>
      </c>
      <c r="G420" cm="1">
        <f t="array" ref="G420">_xlfn.IFNA(INDEX($D$2:$D$4001,_xlfn.XMATCH(G$1&amp;"-"&amp;$F420,YEAR($B$2:$B$4001)&amp;"-"&amp;$A$2:$A$4001,0,-1)),9)</f>
        <v>9</v>
      </c>
      <c r="H420" cm="1">
        <f t="array" ref="H420">IF(OR(AND(G420=9,H$1&gt;YEAR($N420))),9,_xlfn.IFNA(INDEX($D$2:$D$4001,_xlfn.XMATCH(H$1&amp;"-"&amp;$F420,YEAR($B$2:$B$4001)&amp;"-"&amp;$A$2:$A$4001,0,-1)),G420))</f>
        <v>9</v>
      </c>
      <c r="I420" cm="1">
        <f t="array" ref="I420">IF(OR(AND(H420=9,I$1&gt;YEAR($N420))),9,_xlfn.IFNA(INDEX($D$2:$D$4001,_xlfn.XMATCH(I$1&amp;"-"&amp;$F420,YEAR($B$2:$B$4001)&amp;"-"&amp;$A$2:$A$4001,0,-1)),H420))</f>
        <v>2</v>
      </c>
      <c r="J420" cm="1">
        <f t="array" ref="J420">IF(OR(AND(I420=9,J$1&gt;YEAR($N420))),9,_xlfn.IFNA(INDEX($D$2:$D$4001,_xlfn.XMATCH(J$1&amp;"-"&amp;$F420,YEAR($B$2:$B$4001)&amp;"-"&amp;$A$2:$A$4001,0,-1)),I420))</f>
        <v>2</v>
      </c>
      <c r="K420" cm="1">
        <f t="array" ref="K420">IF(OR(AND(J420=9,K$1&gt;YEAR($N420))),9,_xlfn.IFNA(INDEX($D$2:$D$4001,_xlfn.XMATCH(K$1&amp;"-"&amp;$F420,YEAR($B$2:$B$4001)&amp;"-"&amp;$A$2:$A$4001,0,-1)),J420))</f>
        <v>2</v>
      </c>
      <c r="L420" cm="1">
        <f t="array" ref="L420">IF(OR(AND(K420=9,L$1&gt;YEAR($N420))),9,_xlfn.IFNA(INDEX($D$2:$D$4001,_xlfn.XMATCH(L$1&amp;"-"&amp;$F420,YEAR($B$2:$B$4001)&amp;"-"&amp;$A$2:$A$4001,0,-1)),K420))</f>
        <v>2</v>
      </c>
      <c r="M420" cm="1">
        <f t="array" ref="M420">IF(OR(AND(L420=9,M$1&gt;YEAR($N420))),9,_xlfn.IFNA(INDEX($D$2:$D$4001,_xlfn.XMATCH(M$1&amp;"-"&amp;$F420,YEAR($B$2:$B$4001)&amp;"-"&amp;$A$2:$A$4001,0,-1)),L420))</f>
        <v>2</v>
      </c>
      <c r="N420" s="1">
        <f t="shared" si="6"/>
        <v>37255</v>
      </c>
    </row>
    <row r="421" spans="1:14" x14ac:dyDescent="0.35">
      <c r="A421">
        <v>216</v>
      </c>
      <c r="B421" s="2">
        <v>37620</v>
      </c>
      <c r="C421">
        <v>1</v>
      </c>
      <c r="D421">
        <v>1</v>
      </c>
      <c r="F421">
        <v>420</v>
      </c>
      <c r="G421" cm="1">
        <f t="array" ref="G421">_xlfn.IFNA(INDEX($D$2:$D$4001,_xlfn.XMATCH(G$1&amp;"-"&amp;$F421,YEAR($B$2:$B$4001)&amp;"-"&amp;$A$2:$A$4001,0,-1)),9)</f>
        <v>0</v>
      </c>
      <c r="H421" cm="1">
        <f t="array" ref="H421">IF(OR(AND(G421=9,H$1&gt;YEAR($N421))),9,_xlfn.IFNA(INDEX($D$2:$D$4001,_xlfn.XMATCH(H$1&amp;"-"&amp;$F421,YEAR($B$2:$B$4001)&amp;"-"&amp;$A$2:$A$4001,0,-1)),G421))</f>
        <v>0</v>
      </c>
      <c r="I421" cm="1">
        <f t="array" ref="I421">IF(OR(AND(H421=9,I$1&gt;YEAR($N421))),9,_xlfn.IFNA(INDEX($D$2:$D$4001,_xlfn.XMATCH(I$1&amp;"-"&amp;$F421,YEAR($B$2:$B$4001)&amp;"-"&amp;$A$2:$A$4001,0,-1)),H421))</f>
        <v>0</v>
      </c>
      <c r="J421" cm="1">
        <f t="array" ref="J421">IF(OR(AND(I421=9,J$1&gt;YEAR($N421))),9,_xlfn.IFNA(INDEX($D$2:$D$4001,_xlfn.XMATCH(J$1&amp;"-"&amp;$F421,YEAR($B$2:$B$4001)&amp;"-"&amp;$A$2:$A$4001,0,-1)),I421))</f>
        <v>0</v>
      </c>
      <c r="K421" cm="1">
        <f t="array" ref="K421">IF(OR(AND(J421=9,K$1&gt;YEAR($N421))),9,_xlfn.IFNA(INDEX($D$2:$D$4001,_xlfn.XMATCH(K$1&amp;"-"&amp;$F421,YEAR($B$2:$B$4001)&amp;"-"&amp;$A$2:$A$4001,0,-1)),J421))</f>
        <v>0</v>
      </c>
      <c r="L421" cm="1">
        <f t="array" ref="L421">IF(OR(AND(K421=9,L$1&gt;YEAR($N421))),9,_xlfn.IFNA(INDEX($D$2:$D$4001,_xlfn.XMATCH(L$1&amp;"-"&amp;$F421,YEAR($B$2:$B$4001)&amp;"-"&amp;$A$2:$A$4001,0,-1)),K421))</f>
        <v>0</v>
      </c>
      <c r="M421" cm="1">
        <f t="array" ref="M421">IF(OR(AND(L421=9,M$1&gt;YEAR($N421))),9,_xlfn.IFNA(INDEX($D$2:$D$4001,_xlfn.XMATCH(M$1&amp;"-"&amp;$F421,YEAR($B$2:$B$4001)&amp;"-"&amp;$A$2:$A$4001,0,-1)),L421))</f>
        <v>0</v>
      </c>
      <c r="N421" s="1">
        <f t="shared" si="6"/>
        <v>36463</v>
      </c>
    </row>
    <row r="422" spans="1:14" x14ac:dyDescent="0.35">
      <c r="A422">
        <v>217</v>
      </c>
      <c r="B422" s="2">
        <v>38321</v>
      </c>
      <c r="C422">
        <v>0</v>
      </c>
      <c r="D422">
        <v>0</v>
      </c>
      <c r="F422">
        <v>421</v>
      </c>
      <c r="G422" cm="1">
        <f t="array" ref="G422">_xlfn.IFNA(INDEX($D$2:$D$4001,_xlfn.XMATCH(G$1&amp;"-"&amp;$F422,YEAR($B$2:$B$4001)&amp;"-"&amp;$A$2:$A$4001,0,-1)),9)</f>
        <v>9</v>
      </c>
      <c r="H422" cm="1">
        <f t="array" ref="H422">IF(OR(AND(G422=9,H$1&gt;YEAR($N422))),9,_xlfn.IFNA(INDEX($D$2:$D$4001,_xlfn.XMATCH(H$1&amp;"-"&amp;$F422,YEAR($B$2:$B$4001)&amp;"-"&amp;$A$2:$A$4001,0,-1)),G422))</f>
        <v>4</v>
      </c>
      <c r="I422" cm="1">
        <f t="array" ref="I422">IF(OR(AND(H422=9,I$1&gt;YEAR($N422))),9,_xlfn.IFNA(INDEX($D$2:$D$4001,_xlfn.XMATCH(I$1&amp;"-"&amp;$F422,YEAR($B$2:$B$4001)&amp;"-"&amp;$A$2:$A$4001,0,-1)),H422))</f>
        <v>4</v>
      </c>
      <c r="J422" cm="1">
        <f t="array" ref="J422">IF(OR(AND(I422=9,J$1&gt;YEAR($N422))),9,_xlfn.IFNA(INDEX($D$2:$D$4001,_xlfn.XMATCH(J$1&amp;"-"&amp;$F422,YEAR($B$2:$B$4001)&amp;"-"&amp;$A$2:$A$4001,0,-1)),I422))</f>
        <v>5</v>
      </c>
      <c r="K422" cm="1">
        <f t="array" ref="K422">IF(OR(AND(J422=9,K$1&gt;YEAR($N422))),9,_xlfn.IFNA(INDEX($D$2:$D$4001,_xlfn.XMATCH(K$1&amp;"-"&amp;$F422,YEAR($B$2:$B$4001)&amp;"-"&amp;$A$2:$A$4001,0,-1)),J422))</f>
        <v>5</v>
      </c>
      <c r="L422" cm="1">
        <f t="array" ref="L422">IF(OR(AND(K422=9,L$1&gt;YEAR($N422))),9,_xlfn.IFNA(INDEX($D$2:$D$4001,_xlfn.XMATCH(L$1&amp;"-"&amp;$F422,YEAR($B$2:$B$4001)&amp;"-"&amp;$A$2:$A$4001,0,-1)),K422))</f>
        <v>5</v>
      </c>
      <c r="M422" cm="1">
        <f t="array" ref="M422">IF(OR(AND(L422=9,M$1&gt;YEAR($N422))),9,_xlfn.IFNA(INDEX($D$2:$D$4001,_xlfn.XMATCH(M$1&amp;"-"&amp;$F422,YEAR($B$2:$B$4001)&amp;"-"&amp;$A$2:$A$4001,0,-1)),L422))</f>
        <v>5</v>
      </c>
      <c r="N422" s="1">
        <f t="shared" si="6"/>
        <v>36890</v>
      </c>
    </row>
    <row r="423" spans="1:14" x14ac:dyDescent="0.35">
      <c r="A423">
        <v>218</v>
      </c>
      <c r="B423" s="2">
        <v>37397</v>
      </c>
      <c r="C423">
        <v>5</v>
      </c>
      <c r="D423">
        <v>5</v>
      </c>
      <c r="F423">
        <v>422</v>
      </c>
      <c r="G423" cm="1">
        <f t="array" ref="G423">_xlfn.IFNA(INDEX($D$2:$D$4001,_xlfn.XMATCH(G$1&amp;"-"&amp;$F423,YEAR($B$2:$B$4001)&amp;"-"&amp;$A$2:$A$4001,0,-1)),9)</f>
        <v>5</v>
      </c>
      <c r="H423" cm="1">
        <f t="array" ref="H423">IF(OR(AND(G423=9,H$1&gt;YEAR($N423))),9,_xlfn.IFNA(INDEX($D$2:$D$4001,_xlfn.XMATCH(H$1&amp;"-"&amp;$F423,YEAR($B$2:$B$4001)&amp;"-"&amp;$A$2:$A$4001,0,-1)),G423))</f>
        <v>4</v>
      </c>
      <c r="I423" cm="1">
        <f t="array" ref="I423">IF(OR(AND(H423=9,I$1&gt;YEAR($N423))),9,_xlfn.IFNA(INDEX($D$2:$D$4001,_xlfn.XMATCH(I$1&amp;"-"&amp;$F423,YEAR($B$2:$B$4001)&amp;"-"&amp;$A$2:$A$4001,0,-1)),H423))</f>
        <v>4</v>
      </c>
      <c r="J423" cm="1">
        <f t="array" ref="J423">IF(OR(AND(I423=9,J$1&gt;YEAR($N423))),9,_xlfn.IFNA(INDEX($D$2:$D$4001,_xlfn.XMATCH(J$1&amp;"-"&amp;$F423,YEAR($B$2:$B$4001)&amp;"-"&amp;$A$2:$A$4001,0,-1)),I423))</f>
        <v>4</v>
      </c>
      <c r="K423" cm="1">
        <f t="array" ref="K423">IF(OR(AND(J423=9,K$1&gt;YEAR($N423))),9,_xlfn.IFNA(INDEX($D$2:$D$4001,_xlfn.XMATCH(K$1&amp;"-"&amp;$F423,YEAR($B$2:$B$4001)&amp;"-"&amp;$A$2:$A$4001,0,-1)),J423))</f>
        <v>4</v>
      </c>
      <c r="L423" cm="1">
        <f t="array" ref="L423">IF(OR(AND(K423=9,L$1&gt;YEAR($N423))),9,_xlfn.IFNA(INDEX($D$2:$D$4001,_xlfn.XMATCH(L$1&amp;"-"&amp;$F423,YEAR($B$2:$B$4001)&amp;"-"&amp;$A$2:$A$4001,0,-1)),K423))</f>
        <v>4</v>
      </c>
      <c r="M423" cm="1">
        <f t="array" ref="M423">IF(OR(AND(L423=9,M$1&gt;YEAR($N423))),9,_xlfn.IFNA(INDEX($D$2:$D$4001,_xlfn.XMATCH(M$1&amp;"-"&amp;$F423,YEAR($B$2:$B$4001)&amp;"-"&amp;$A$2:$A$4001,0,-1)),L423))</f>
        <v>4</v>
      </c>
      <c r="N423" s="1">
        <f t="shared" si="6"/>
        <v>36332</v>
      </c>
    </row>
    <row r="424" spans="1:14" x14ac:dyDescent="0.35">
      <c r="A424">
        <v>218</v>
      </c>
      <c r="B424" s="2">
        <v>37985</v>
      </c>
      <c r="C424">
        <v>0</v>
      </c>
      <c r="D424">
        <v>0</v>
      </c>
      <c r="F424">
        <v>423</v>
      </c>
      <c r="G424" cm="1">
        <f t="array" ref="G424">_xlfn.IFNA(INDEX($D$2:$D$4001,_xlfn.XMATCH(G$1&amp;"-"&amp;$F424,YEAR($B$2:$B$4001)&amp;"-"&amp;$A$2:$A$4001,0,-1)),9)</f>
        <v>9</v>
      </c>
      <c r="H424" cm="1">
        <f t="array" ref="H424">IF(OR(AND(G424=9,H$1&gt;YEAR($N424))),9,_xlfn.IFNA(INDEX($D$2:$D$4001,_xlfn.XMATCH(H$1&amp;"-"&amp;$F424,YEAR($B$2:$B$4001)&amp;"-"&amp;$A$2:$A$4001,0,-1)),G424))</f>
        <v>9</v>
      </c>
      <c r="I424" cm="1">
        <f t="array" ref="I424">IF(OR(AND(H424=9,I$1&gt;YEAR($N424))),9,_xlfn.IFNA(INDEX($D$2:$D$4001,_xlfn.XMATCH(I$1&amp;"-"&amp;$F424,YEAR($B$2:$B$4001)&amp;"-"&amp;$A$2:$A$4001,0,-1)),H424))</f>
        <v>9</v>
      </c>
      <c r="J424" cm="1">
        <f t="array" ref="J424">IF(OR(AND(I424=9,J$1&gt;YEAR($N424))),9,_xlfn.IFNA(INDEX($D$2:$D$4001,_xlfn.XMATCH(J$1&amp;"-"&amp;$F424,YEAR($B$2:$B$4001)&amp;"-"&amp;$A$2:$A$4001,0,-1)),I424))</f>
        <v>9</v>
      </c>
      <c r="K424" cm="1">
        <f t="array" ref="K424">IF(OR(AND(J424=9,K$1&gt;YEAR($N424))),9,_xlfn.IFNA(INDEX($D$2:$D$4001,_xlfn.XMATCH(K$1&amp;"-"&amp;$F424,YEAR($B$2:$B$4001)&amp;"-"&amp;$A$2:$A$4001,0,-1)),J424))</f>
        <v>9</v>
      </c>
      <c r="L424" cm="1">
        <f t="array" ref="L424">IF(OR(AND(K424=9,L$1&gt;YEAR($N424))),9,_xlfn.IFNA(INDEX($D$2:$D$4001,_xlfn.XMATCH(L$1&amp;"-"&amp;$F424,YEAR($B$2:$B$4001)&amp;"-"&amp;$A$2:$A$4001,0,-1)),K424))</f>
        <v>4</v>
      </c>
      <c r="M424" cm="1">
        <f t="array" ref="M424">IF(OR(AND(L424=9,M$1&gt;YEAR($N424))),9,_xlfn.IFNA(INDEX($D$2:$D$4001,_xlfn.XMATCH(M$1&amp;"-"&amp;$F424,YEAR($B$2:$B$4001)&amp;"-"&amp;$A$2:$A$4001,0,-1)),L424))</f>
        <v>4</v>
      </c>
      <c r="N424" s="1">
        <f t="shared" si="6"/>
        <v>38351</v>
      </c>
    </row>
    <row r="425" spans="1:14" x14ac:dyDescent="0.35">
      <c r="A425">
        <v>219</v>
      </c>
      <c r="B425" s="2">
        <v>37955</v>
      </c>
      <c r="C425">
        <v>3</v>
      </c>
      <c r="D425">
        <v>3</v>
      </c>
      <c r="F425">
        <v>424</v>
      </c>
      <c r="G425" cm="1">
        <f t="array" ref="G425">_xlfn.IFNA(INDEX($D$2:$D$4001,_xlfn.XMATCH(G$1&amp;"-"&amp;$F425,YEAR($B$2:$B$4001)&amp;"-"&amp;$A$2:$A$4001,0,-1)),9)</f>
        <v>9</v>
      </c>
      <c r="H425" cm="1">
        <f t="array" ref="H425">IF(OR(AND(G425=9,H$1&gt;YEAR($N425))),9,_xlfn.IFNA(INDEX($D$2:$D$4001,_xlfn.XMATCH(H$1&amp;"-"&amp;$F425,YEAR($B$2:$B$4001)&amp;"-"&amp;$A$2:$A$4001,0,-1)),G425))</f>
        <v>2</v>
      </c>
      <c r="I425" cm="1">
        <f t="array" ref="I425">IF(OR(AND(H425=9,I$1&gt;YEAR($N425))),9,_xlfn.IFNA(INDEX($D$2:$D$4001,_xlfn.XMATCH(I$1&amp;"-"&amp;$F425,YEAR($B$2:$B$4001)&amp;"-"&amp;$A$2:$A$4001,0,-1)),H425))</f>
        <v>2</v>
      </c>
      <c r="J425" cm="1">
        <f t="array" ref="J425">IF(OR(AND(I425=9,J$1&gt;YEAR($N425))),9,_xlfn.IFNA(INDEX($D$2:$D$4001,_xlfn.XMATCH(J$1&amp;"-"&amp;$F425,YEAR($B$2:$B$4001)&amp;"-"&amp;$A$2:$A$4001,0,-1)),I425))</f>
        <v>2</v>
      </c>
      <c r="K425" cm="1">
        <f t="array" ref="K425">IF(OR(AND(J425=9,K$1&gt;YEAR($N425))),9,_xlfn.IFNA(INDEX($D$2:$D$4001,_xlfn.XMATCH(K$1&amp;"-"&amp;$F425,YEAR($B$2:$B$4001)&amp;"-"&amp;$A$2:$A$4001,0,-1)),J425))</f>
        <v>3</v>
      </c>
      <c r="L425" cm="1">
        <f t="array" ref="L425">IF(OR(AND(K425=9,L$1&gt;YEAR($N425))),9,_xlfn.IFNA(INDEX($D$2:$D$4001,_xlfn.XMATCH(L$1&amp;"-"&amp;$F425,YEAR($B$2:$B$4001)&amp;"-"&amp;$A$2:$A$4001,0,-1)),K425))</f>
        <v>3</v>
      </c>
      <c r="M425" cm="1">
        <f t="array" ref="M425">IF(OR(AND(L425=9,M$1&gt;YEAR($N425))),9,_xlfn.IFNA(INDEX($D$2:$D$4001,_xlfn.XMATCH(M$1&amp;"-"&amp;$F425,YEAR($B$2:$B$4001)&amp;"-"&amp;$A$2:$A$4001,0,-1)),L425))</f>
        <v>3</v>
      </c>
      <c r="N425" s="1">
        <f t="shared" si="6"/>
        <v>36887</v>
      </c>
    </row>
    <row r="426" spans="1:14" x14ac:dyDescent="0.35">
      <c r="A426">
        <v>220</v>
      </c>
      <c r="B426" s="2">
        <v>36768</v>
      </c>
      <c r="C426">
        <v>4</v>
      </c>
      <c r="D426">
        <v>4</v>
      </c>
      <c r="F426">
        <v>425</v>
      </c>
      <c r="G426" cm="1">
        <f t="array" ref="G426">_xlfn.IFNA(INDEX($D$2:$D$4001,_xlfn.XMATCH(G$1&amp;"-"&amp;$F426,YEAR($B$2:$B$4001)&amp;"-"&amp;$A$2:$A$4001,0,-1)),9)</f>
        <v>9</v>
      </c>
      <c r="H426" cm="1">
        <f t="array" ref="H426">IF(OR(AND(G426=9,H$1&gt;YEAR($N426))),9,_xlfn.IFNA(INDEX($D$2:$D$4001,_xlfn.XMATCH(H$1&amp;"-"&amp;$F426,YEAR($B$2:$B$4001)&amp;"-"&amp;$A$2:$A$4001,0,-1)),G426))</f>
        <v>2</v>
      </c>
      <c r="I426" cm="1">
        <f t="array" ref="I426">IF(OR(AND(H426=9,I$1&gt;YEAR($N426))),9,_xlfn.IFNA(INDEX($D$2:$D$4001,_xlfn.XMATCH(I$1&amp;"-"&amp;$F426,YEAR($B$2:$B$4001)&amp;"-"&amp;$A$2:$A$4001,0,-1)),H426))</f>
        <v>2</v>
      </c>
      <c r="J426" cm="1">
        <f t="array" ref="J426">IF(OR(AND(I426=9,J$1&gt;YEAR($N426))),9,_xlfn.IFNA(INDEX($D$2:$D$4001,_xlfn.XMATCH(J$1&amp;"-"&amp;$F426,YEAR($B$2:$B$4001)&amp;"-"&amp;$A$2:$A$4001,0,-1)),I426))</f>
        <v>3</v>
      </c>
      <c r="K426" cm="1">
        <f t="array" ref="K426">IF(OR(AND(J426=9,K$1&gt;YEAR($N426))),9,_xlfn.IFNA(INDEX($D$2:$D$4001,_xlfn.XMATCH(K$1&amp;"-"&amp;$F426,YEAR($B$2:$B$4001)&amp;"-"&amp;$A$2:$A$4001,0,-1)),J426))</f>
        <v>3</v>
      </c>
      <c r="L426" cm="1">
        <f t="array" ref="L426">IF(OR(AND(K426=9,L$1&gt;YEAR($N426))),9,_xlfn.IFNA(INDEX($D$2:$D$4001,_xlfn.XMATCH(L$1&amp;"-"&amp;$F426,YEAR($B$2:$B$4001)&amp;"-"&amp;$A$2:$A$4001,0,-1)),K426))</f>
        <v>3</v>
      </c>
      <c r="M426" cm="1">
        <f t="array" ref="M426">IF(OR(AND(L426=9,M$1&gt;YEAR($N426))),9,_xlfn.IFNA(INDEX($D$2:$D$4001,_xlfn.XMATCH(M$1&amp;"-"&amp;$F426,YEAR($B$2:$B$4001)&amp;"-"&amp;$A$2:$A$4001,0,-1)),L426))</f>
        <v>3</v>
      </c>
      <c r="N426" s="1">
        <f t="shared" si="6"/>
        <v>36676</v>
      </c>
    </row>
    <row r="427" spans="1:14" x14ac:dyDescent="0.35">
      <c r="A427">
        <v>221</v>
      </c>
      <c r="B427" s="2">
        <v>36524</v>
      </c>
      <c r="C427">
        <v>4</v>
      </c>
      <c r="D427">
        <v>4</v>
      </c>
      <c r="F427">
        <v>426</v>
      </c>
      <c r="G427" cm="1">
        <f t="array" ref="G427">_xlfn.IFNA(INDEX($D$2:$D$4001,_xlfn.XMATCH(G$1&amp;"-"&amp;$F427,YEAR($B$2:$B$4001)&amp;"-"&amp;$A$2:$A$4001,0,-1)),9)</f>
        <v>9</v>
      </c>
      <c r="H427" cm="1">
        <f t="array" ref="H427">IF(OR(AND(G427=9,H$1&gt;YEAR($N427))),9,_xlfn.IFNA(INDEX($D$2:$D$4001,_xlfn.XMATCH(H$1&amp;"-"&amp;$F427,YEAR($B$2:$B$4001)&amp;"-"&amp;$A$2:$A$4001,0,-1)),G427))</f>
        <v>9</v>
      </c>
      <c r="I427" cm="1">
        <f t="array" ref="I427">IF(OR(AND(H427=9,I$1&gt;YEAR($N427))),9,_xlfn.IFNA(INDEX($D$2:$D$4001,_xlfn.XMATCH(I$1&amp;"-"&amp;$F427,YEAR($B$2:$B$4001)&amp;"-"&amp;$A$2:$A$4001,0,-1)),H427))</f>
        <v>3</v>
      </c>
      <c r="J427" cm="1">
        <f t="array" ref="J427">IF(OR(AND(I427=9,J$1&gt;YEAR($N427))),9,_xlfn.IFNA(INDEX($D$2:$D$4001,_xlfn.XMATCH(J$1&amp;"-"&amp;$F427,YEAR($B$2:$B$4001)&amp;"-"&amp;$A$2:$A$4001,0,-1)),I427))</f>
        <v>3</v>
      </c>
      <c r="K427" cm="1">
        <f t="array" ref="K427">IF(OR(AND(J427=9,K$1&gt;YEAR($N427))),9,_xlfn.IFNA(INDEX($D$2:$D$4001,_xlfn.XMATCH(K$1&amp;"-"&amp;$F427,YEAR($B$2:$B$4001)&amp;"-"&amp;$A$2:$A$4001,0,-1)),J427))</f>
        <v>3</v>
      </c>
      <c r="L427" cm="1">
        <f t="array" ref="L427">IF(OR(AND(K427=9,L$1&gt;YEAR($N427))),9,_xlfn.IFNA(INDEX($D$2:$D$4001,_xlfn.XMATCH(L$1&amp;"-"&amp;$F427,YEAR($B$2:$B$4001)&amp;"-"&amp;$A$2:$A$4001,0,-1)),K427))</f>
        <v>3</v>
      </c>
      <c r="M427" cm="1">
        <f t="array" ref="M427">IF(OR(AND(L427=9,M$1&gt;YEAR($N427))),9,_xlfn.IFNA(INDEX($D$2:$D$4001,_xlfn.XMATCH(M$1&amp;"-"&amp;$F427,YEAR($B$2:$B$4001)&amp;"-"&amp;$A$2:$A$4001,0,-1)),L427))</f>
        <v>3</v>
      </c>
      <c r="N427" s="1">
        <f t="shared" si="6"/>
        <v>37255</v>
      </c>
    </row>
    <row r="428" spans="1:14" x14ac:dyDescent="0.35">
      <c r="A428">
        <v>222</v>
      </c>
      <c r="B428" s="2">
        <v>36790</v>
      </c>
      <c r="C428">
        <v>3</v>
      </c>
      <c r="D428">
        <v>3</v>
      </c>
      <c r="F428">
        <v>427</v>
      </c>
      <c r="G428" cm="1">
        <f t="array" ref="G428">_xlfn.IFNA(INDEX($D$2:$D$4001,_xlfn.XMATCH(G$1&amp;"-"&amp;$F428,YEAR($B$2:$B$4001)&amp;"-"&amp;$A$2:$A$4001,0,-1)),9)</f>
        <v>9</v>
      </c>
      <c r="H428" cm="1">
        <f t="array" ref="H428">IF(OR(AND(G428=9,H$1&gt;YEAR($N428))),9,_xlfn.IFNA(INDEX($D$2:$D$4001,_xlfn.XMATCH(H$1&amp;"-"&amp;$F428,YEAR($B$2:$B$4001)&amp;"-"&amp;$A$2:$A$4001,0,-1)),G428))</f>
        <v>3</v>
      </c>
      <c r="I428" cm="1">
        <f t="array" ref="I428">IF(OR(AND(H428=9,I$1&gt;YEAR($N428))),9,_xlfn.IFNA(INDEX($D$2:$D$4001,_xlfn.XMATCH(I$1&amp;"-"&amp;$F428,YEAR($B$2:$B$4001)&amp;"-"&amp;$A$2:$A$4001,0,-1)),H428))</f>
        <v>3</v>
      </c>
      <c r="J428" cm="1">
        <f t="array" ref="J428">IF(OR(AND(I428=9,J$1&gt;YEAR($N428))),9,_xlfn.IFNA(INDEX($D$2:$D$4001,_xlfn.XMATCH(J$1&amp;"-"&amp;$F428,YEAR($B$2:$B$4001)&amp;"-"&amp;$A$2:$A$4001,0,-1)),I428))</f>
        <v>3</v>
      </c>
      <c r="K428" cm="1">
        <f t="array" ref="K428">IF(OR(AND(J428=9,K$1&gt;YEAR($N428))),9,_xlfn.IFNA(INDEX($D$2:$D$4001,_xlfn.XMATCH(K$1&amp;"-"&amp;$F428,YEAR($B$2:$B$4001)&amp;"-"&amp;$A$2:$A$4001,0,-1)),J428))</f>
        <v>3</v>
      </c>
      <c r="L428" cm="1">
        <f t="array" ref="L428">IF(OR(AND(K428=9,L$1&gt;YEAR($N428))),9,_xlfn.IFNA(INDEX($D$2:$D$4001,_xlfn.XMATCH(L$1&amp;"-"&amp;$F428,YEAR($B$2:$B$4001)&amp;"-"&amp;$A$2:$A$4001,0,-1)),K428))</f>
        <v>3</v>
      </c>
      <c r="M428" cm="1">
        <f t="array" ref="M428">IF(OR(AND(L428=9,M$1&gt;YEAR($N428))),9,_xlfn.IFNA(INDEX($D$2:$D$4001,_xlfn.XMATCH(M$1&amp;"-"&amp;$F428,YEAR($B$2:$B$4001)&amp;"-"&amp;$A$2:$A$4001,0,-1)),L428))</f>
        <v>3</v>
      </c>
      <c r="N428" s="1">
        <f t="shared" si="6"/>
        <v>36829</v>
      </c>
    </row>
    <row r="429" spans="1:14" x14ac:dyDescent="0.35">
      <c r="A429">
        <v>222</v>
      </c>
      <c r="B429" s="2">
        <v>37793</v>
      </c>
      <c r="C429">
        <v>3</v>
      </c>
      <c r="D429">
        <v>3</v>
      </c>
      <c r="F429">
        <v>428</v>
      </c>
      <c r="G429" cm="1">
        <f t="array" ref="G429">_xlfn.IFNA(INDEX($D$2:$D$4001,_xlfn.XMATCH(G$1&amp;"-"&amp;$F429,YEAR($B$2:$B$4001)&amp;"-"&amp;$A$2:$A$4001,0,-1)),9)</f>
        <v>9</v>
      </c>
      <c r="H429" cm="1">
        <f t="array" ref="H429">IF(OR(AND(G429=9,H$1&gt;YEAR($N429))),9,_xlfn.IFNA(INDEX($D$2:$D$4001,_xlfn.XMATCH(H$1&amp;"-"&amp;$F429,YEAR($B$2:$B$4001)&amp;"-"&amp;$A$2:$A$4001,0,-1)),G429))</f>
        <v>9</v>
      </c>
      <c r="I429" cm="1">
        <f t="array" ref="I429">IF(OR(AND(H429=9,I$1&gt;YEAR($N429))),9,_xlfn.IFNA(INDEX($D$2:$D$4001,_xlfn.XMATCH(I$1&amp;"-"&amp;$F429,YEAR($B$2:$B$4001)&amp;"-"&amp;$A$2:$A$4001,0,-1)),H429))</f>
        <v>3</v>
      </c>
      <c r="J429" cm="1">
        <f t="array" ref="J429">IF(OR(AND(I429=9,J$1&gt;YEAR($N429))),9,_xlfn.IFNA(INDEX($D$2:$D$4001,_xlfn.XMATCH(J$1&amp;"-"&amp;$F429,YEAR($B$2:$B$4001)&amp;"-"&amp;$A$2:$A$4001,0,-1)),I429))</f>
        <v>3</v>
      </c>
      <c r="K429" cm="1">
        <f t="array" ref="K429">IF(OR(AND(J429=9,K$1&gt;YEAR($N429))),9,_xlfn.IFNA(INDEX($D$2:$D$4001,_xlfn.XMATCH(K$1&amp;"-"&amp;$F429,YEAR($B$2:$B$4001)&amp;"-"&amp;$A$2:$A$4001,0,-1)),J429))</f>
        <v>3</v>
      </c>
      <c r="L429" cm="1">
        <f t="array" ref="L429">IF(OR(AND(K429=9,L$1&gt;YEAR($N429))),9,_xlfn.IFNA(INDEX($D$2:$D$4001,_xlfn.XMATCH(L$1&amp;"-"&amp;$F429,YEAR($B$2:$B$4001)&amp;"-"&amp;$A$2:$A$4001,0,-1)),K429))</f>
        <v>3</v>
      </c>
      <c r="M429" cm="1">
        <f t="array" ref="M429">IF(OR(AND(L429=9,M$1&gt;YEAR($N429))),9,_xlfn.IFNA(INDEX($D$2:$D$4001,_xlfn.XMATCH(M$1&amp;"-"&amp;$F429,YEAR($B$2:$B$4001)&amp;"-"&amp;$A$2:$A$4001,0,-1)),L429))</f>
        <v>3</v>
      </c>
      <c r="N429" s="1">
        <f t="shared" si="6"/>
        <v>37194</v>
      </c>
    </row>
    <row r="430" spans="1:14" x14ac:dyDescent="0.35">
      <c r="A430">
        <v>223</v>
      </c>
      <c r="B430" s="2">
        <v>37458</v>
      </c>
      <c r="C430">
        <v>4</v>
      </c>
      <c r="D430">
        <v>4</v>
      </c>
      <c r="F430">
        <v>429</v>
      </c>
      <c r="G430" cm="1">
        <f t="array" ref="G430">_xlfn.IFNA(INDEX($D$2:$D$4001,_xlfn.XMATCH(G$1&amp;"-"&amp;$F430,YEAR($B$2:$B$4001)&amp;"-"&amp;$A$2:$A$4001,0,-1)),9)</f>
        <v>9</v>
      </c>
      <c r="H430" cm="1">
        <f t="array" ref="H430">IF(OR(AND(G430=9,H$1&gt;YEAR($N430))),9,_xlfn.IFNA(INDEX($D$2:$D$4001,_xlfn.XMATCH(H$1&amp;"-"&amp;$F430,YEAR($B$2:$B$4001)&amp;"-"&amp;$A$2:$A$4001,0,-1)),G430))</f>
        <v>9</v>
      </c>
      <c r="I430" cm="1">
        <f t="array" ref="I430">IF(OR(AND(H430=9,I$1&gt;YEAR($N430))),9,_xlfn.IFNA(INDEX($D$2:$D$4001,_xlfn.XMATCH(I$1&amp;"-"&amp;$F430,YEAR($B$2:$B$4001)&amp;"-"&amp;$A$2:$A$4001,0,-1)),H430))</f>
        <v>9</v>
      </c>
      <c r="J430" cm="1">
        <f t="array" ref="J430">IF(OR(AND(I430=9,J$1&gt;YEAR($N430))),9,_xlfn.IFNA(INDEX($D$2:$D$4001,_xlfn.XMATCH(J$1&amp;"-"&amp;$F430,YEAR($B$2:$B$4001)&amp;"-"&amp;$A$2:$A$4001,0,-1)),I430))</f>
        <v>4</v>
      </c>
      <c r="K430" cm="1">
        <f t="array" ref="K430">IF(OR(AND(J430=9,K$1&gt;YEAR($N430))),9,_xlfn.IFNA(INDEX($D$2:$D$4001,_xlfn.XMATCH(K$1&amp;"-"&amp;$F430,YEAR($B$2:$B$4001)&amp;"-"&amp;$A$2:$A$4001,0,-1)),J430))</f>
        <v>4</v>
      </c>
      <c r="L430" cm="1">
        <f t="array" ref="L430">IF(OR(AND(K430=9,L$1&gt;YEAR($N430))),9,_xlfn.IFNA(INDEX($D$2:$D$4001,_xlfn.XMATCH(L$1&amp;"-"&amp;$F430,YEAR($B$2:$B$4001)&amp;"-"&amp;$A$2:$A$4001,0,-1)),K430))</f>
        <v>4</v>
      </c>
      <c r="M430" cm="1">
        <f t="array" ref="M430">IF(OR(AND(L430=9,M$1&gt;YEAR($N430))),9,_xlfn.IFNA(INDEX($D$2:$D$4001,_xlfn.XMATCH(M$1&amp;"-"&amp;$F430,YEAR($B$2:$B$4001)&amp;"-"&amp;$A$2:$A$4001,0,-1)),L430))</f>
        <v>4</v>
      </c>
      <c r="N430" s="1">
        <f t="shared" si="6"/>
        <v>37437</v>
      </c>
    </row>
    <row r="431" spans="1:14" x14ac:dyDescent="0.35">
      <c r="A431">
        <v>224</v>
      </c>
      <c r="B431" s="2">
        <v>36829</v>
      </c>
      <c r="C431">
        <v>5</v>
      </c>
      <c r="D431">
        <v>5</v>
      </c>
      <c r="F431">
        <v>430</v>
      </c>
      <c r="G431" cm="1">
        <f t="array" ref="G431">_xlfn.IFNA(INDEX($D$2:$D$4001,_xlfn.XMATCH(G$1&amp;"-"&amp;$F431,YEAR($B$2:$B$4001)&amp;"-"&amp;$A$2:$A$4001,0,-1)),9)</f>
        <v>9</v>
      </c>
      <c r="H431" cm="1">
        <f t="array" ref="H431">IF(OR(AND(G431=9,H$1&gt;YEAR($N431))),9,_xlfn.IFNA(INDEX($D$2:$D$4001,_xlfn.XMATCH(H$1&amp;"-"&amp;$F431,YEAR($B$2:$B$4001)&amp;"-"&amp;$A$2:$A$4001,0,-1)),G431))</f>
        <v>2</v>
      </c>
      <c r="I431" cm="1">
        <f t="array" ref="I431">IF(OR(AND(H431=9,I$1&gt;YEAR($N431))),9,_xlfn.IFNA(INDEX($D$2:$D$4001,_xlfn.XMATCH(I$1&amp;"-"&amp;$F431,YEAR($B$2:$B$4001)&amp;"-"&amp;$A$2:$A$4001,0,-1)),H431))</f>
        <v>2</v>
      </c>
      <c r="J431" cm="1">
        <f t="array" ref="J431">IF(OR(AND(I431=9,J$1&gt;YEAR($N431))),9,_xlfn.IFNA(INDEX($D$2:$D$4001,_xlfn.XMATCH(J$1&amp;"-"&amp;$F431,YEAR($B$2:$B$4001)&amp;"-"&amp;$A$2:$A$4001,0,-1)),I431))</f>
        <v>3</v>
      </c>
      <c r="K431" cm="1">
        <f t="array" ref="K431">IF(OR(AND(J431=9,K$1&gt;YEAR($N431))),9,_xlfn.IFNA(INDEX($D$2:$D$4001,_xlfn.XMATCH(K$1&amp;"-"&amp;$F431,YEAR($B$2:$B$4001)&amp;"-"&amp;$A$2:$A$4001,0,-1)),J431))</f>
        <v>3</v>
      </c>
      <c r="L431" cm="1">
        <f t="array" ref="L431">IF(OR(AND(K431=9,L$1&gt;YEAR($N431))),9,_xlfn.IFNA(INDEX($D$2:$D$4001,_xlfn.XMATCH(L$1&amp;"-"&amp;$F431,YEAR($B$2:$B$4001)&amp;"-"&amp;$A$2:$A$4001,0,-1)),K431))</f>
        <v>3</v>
      </c>
      <c r="M431" cm="1">
        <f t="array" ref="M431">IF(OR(AND(L431=9,M$1&gt;YEAR($N431))),9,_xlfn.IFNA(INDEX($D$2:$D$4001,_xlfn.XMATCH(M$1&amp;"-"&amp;$F431,YEAR($B$2:$B$4001)&amp;"-"&amp;$A$2:$A$4001,0,-1)),L431))</f>
        <v>3</v>
      </c>
      <c r="N431" s="1">
        <f t="shared" si="6"/>
        <v>36829</v>
      </c>
    </row>
    <row r="432" spans="1:14" x14ac:dyDescent="0.35">
      <c r="A432">
        <v>224</v>
      </c>
      <c r="B432" s="2">
        <v>37255</v>
      </c>
      <c r="C432">
        <v>5</v>
      </c>
      <c r="D432">
        <v>5</v>
      </c>
      <c r="F432">
        <v>431</v>
      </c>
      <c r="G432" cm="1">
        <f t="array" ref="G432">_xlfn.IFNA(INDEX($D$2:$D$4001,_xlfn.XMATCH(G$1&amp;"-"&amp;$F432,YEAR($B$2:$B$4001)&amp;"-"&amp;$A$2:$A$4001,0,-1)),9)</f>
        <v>9</v>
      </c>
      <c r="H432" cm="1">
        <f t="array" ref="H432">IF(OR(AND(G432=9,H$1&gt;YEAR($N432))),9,_xlfn.IFNA(INDEX($D$2:$D$4001,_xlfn.XMATCH(H$1&amp;"-"&amp;$F432,YEAR($B$2:$B$4001)&amp;"-"&amp;$A$2:$A$4001,0,-1)),G432))</f>
        <v>2</v>
      </c>
      <c r="I432" cm="1">
        <f t="array" ref="I432">IF(OR(AND(H432=9,I$1&gt;YEAR($N432))),9,_xlfn.IFNA(INDEX($D$2:$D$4001,_xlfn.XMATCH(I$1&amp;"-"&amp;$F432,YEAR($B$2:$B$4001)&amp;"-"&amp;$A$2:$A$4001,0,-1)),H432))</f>
        <v>2</v>
      </c>
      <c r="J432" cm="1">
        <f t="array" ref="J432">IF(OR(AND(I432=9,J$1&gt;YEAR($N432))),9,_xlfn.IFNA(INDEX($D$2:$D$4001,_xlfn.XMATCH(J$1&amp;"-"&amp;$F432,YEAR($B$2:$B$4001)&amp;"-"&amp;$A$2:$A$4001,0,-1)),I432))</f>
        <v>3</v>
      </c>
      <c r="K432" cm="1">
        <f t="array" ref="K432">IF(OR(AND(J432=9,K$1&gt;YEAR($N432))),9,_xlfn.IFNA(INDEX($D$2:$D$4001,_xlfn.XMATCH(K$1&amp;"-"&amp;$F432,YEAR($B$2:$B$4001)&amp;"-"&amp;$A$2:$A$4001,0,-1)),J432))</f>
        <v>3</v>
      </c>
      <c r="L432" cm="1">
        <f t="array" ref="L432">IF(OR(AND(K432=9,L$1&gt;YEAR($N432))),9,_xlfn.IFNA(INDEX($D$2:$D$4001,_xlfn.XMATCH(L$1&amp;"-"&amp;$F432,YEAR($B$2:$B$4001)&amp;"-"&amp;$A$2:$A$4001,0,-1)),K432))</f>
        <v>3</v>
      </c>
      <c r="M432" cm="1">
        <f t="array" ref="M432">IF(OR(AND(L432=9,M$1&gt;YEAR($N432))),9,_xlfn.IFNA(INDEX($D$2:$D$4001,_xlfn.XMATCH(M$1&amp;"-"&amp;$F432,YEAR($B$2:$B$4001)&amp;"-"&amp;$A$2:$A$4001,0,-1)),L432))</f>
        <v>3</v>
      </c>
      <c r="N432" s="1">
        <f t="shared" si="6"/>
        <v>36860</v>
      </c>
    </row>
    <row r="433" spans="1:14" x14ac:dyDescent="0.35">
      <c r="A433">
        <v>224</v>
      </c>
      <c r="B433" s="2">
        <v>37894</v>
      </c>
      <c r="C433">
        <v>6</v>
      </c>
      <c r="D433">
        <v>6</v>
      </c>
      <c r="F433">
        <v>432</v>
      </c>
      <c r="G433" cm="1">
        <f t="array" ref="G433">_xlfn.IFNA(INDEX($D$2:$D$4001,_xlfn.XMATCH(G$1&amp;"-"&amp;$F433,YEAR($B$2:$B$4001)&amp;"-"&amp;$A$2:$A$4001,0,-1)),9)</f>
        <v>9</v>
      </c>
      <c r="H433" cm="1">
        <f t="array" ref="H433">IF(OR(AND(G433=9,H$1&gt;YEAR($N433))),9,_xlfn.IFNA(INDEX($D$2:$D$4001,_xlfn.XMATCH(H$1&amp;"-"&amp;$F433,YEAR($B$2:$B$4001)&amp;"-"&amp;$A$2:$A$4001,0,-1)),G433))</f>
        <v>9</v>
      </c>
      <c r="I433" cm="1">
        <f t="array" ref="I433">IF(OR(AND(H433=9,I$1&gt;YEAR($N433))),9,_xlfn.IFNA(INDEX($D$2:$D$4001,_xlfn.XMATCH(I$1&amp;"-"&amp;$F433,YEAR($B$2:$B$4001)&amp;"-"&amp;$A$2:$A$4001,0,-1)),H433))</f>
        <v>3</v>
      </c>
      <c r="J433" cm="1">
        <f t="array" ref="J433">IF(OR(AND(I433=9,J$1&gt;YEAR($N433))),9,_xlfn.IFNA(INDEX($D$2:$D$4001,_xlfn.XMATCH(J$1&amp;"-"&amp;$F433,YEAR($B$2:$B$4001)&amp;"-"&amp;$A$2:$A$4001,0,-1)),I433))</f>
        <v>3</v>
      </c>
      <c r="K433" cm="1">
        <f t="array" ref="K433">IF(OR(AND(J433=9,K$1&gt;YEAR($N433))),9,_xlfn.IFNA(INDEX($D$2:$D$4001,_xlfn.XMATCH(K$1&amp;"-"&amp;$F433,YEAR($B$2:$B$4001)&amp;"-"&amp;$A$2:$A$4001,0,-1)),J433))</f>
        <v>3</v>
      </c>
      <c r="L433" cm="1">
        <f t="array" ref="L433">IF(OR(AND(K433=9,L$1&gt;YEAR($N433))),9,_xlfn.IFNA(INDEX($D$2:$D$4001,_xlfn.XMATCH(L$1&amp;"-"&amp;$F433,YEAR($B$2:$B$4001)&amp;"-"&amp;$A$2:$A$4001,0,-1)),K433))</f>
        <v>3</v>
      </c>
      <c r="M433" cm="1">
        <f t="array" ref="M433">IF(OR(AND(L433=9,M$1&gt;YEAR($N433))),9,_xlfn.IFNA(INDEX($D$2:$D$4001,_xlfn.XMATCH(M$1&amp;"-"&amp;$F433,YEAR($B$2:$B$4001)&amp;"-"&amp;$A$2:$A$4001,0,-1)),L433))</f>
        <v>3</v>
      </c>
      <c r="N433" s="1">
        <f t="shared" si="6"/>
        <v>37164</v>
      </c>
    </row>
    <row r="434" spans="1:14" x14ac:dyDescent="0.35">
      <c r="A434">
        <v>224</v>
      </c>
      <c r="B434" s="2">
        <v>38168</v>
      </c>
      <c r="C434">
        <v>6</v>
      </c>
      <c r="D434">
        <v>6</v>
      </c>
      <c r="F434">
        <v>433</v>
      </c>
      <c r="G434" cm="1">
        <f t="array" ref="G434">_xlfn.IFNA(INDEX($D$2:$D$4001,_xlfn.XMATCH(G$1&amp;"-"&amp;$F434,YEAR($B$2:$B$4001)&amp;"-"&amp;$A$2:$A$4001,0,-1)),9)</f>
        <v>5</v>
      </c>
      <c r="H434" cm="1">
        <f t="array" ref="H434">IF(OR(AND(G434=9,H$1&gt;YEAR($N434))),9,_xlfn.IFNA(INDEX($D$2:$D$4001,_xlfn.XMATCH(H$1&amp;"-"&amp;$F434,YEAR($B$2:$B$4001)&amp;"-"&amp;$A$2:$A$4001,0,-1)),G434))</f>
        <v>6</v>
      </c>
      <c r="I434" cm="1">
        <f t="array" ref="I434">IF(OR(AND(H434=9,I$1&gt;YEAR($N434))),9,_xlfn.IFNA(INDEX($D$2:$D$4001,_xlfn.XMATCH(I$1&amp;"-"&amp;$F434,YEAR($B$2:$B$4001)&amp;"-"&amp;$A$2:$A$4001,0,-1)),H434))</f>
        <v>5</v>
      </c>
      <c r="J434" cm="1">
        <f t="array" ref="J434">IF(OR(AND(I434=9,J$1&gt;YEAR($N434))),9,_xlfn.IFNA(INDEX($D$2:$D$4001,_xlfn.XMATCH(J$1&amp;"-"&amp;$F434,YEAR($B$2:$B$4001)&amp;"-"&amp;$A$2:$A$4001,0,-1)),I434))</f>
        <v>5</v>
      </c>
      <c r="K434" cm="1">
        <f t="array" ref="K434">IF(OR(AND(J434=9,K$1&gt;YEAR($N434))),9,_xlfn.IFNA(INDEX($D$2:$D$4001,_xlfn.XMATCH(K$1&amp;"-"&amp;$F434,YEAR($B$2:$B$4001)&amp;"-"&amp;$A$2:$A$4001,0,-1)),J434))</f>
        <v>0</v>
      </c>
      <c r="L434" cm="1">
        <f t="array" ref="L434">IF(OR(AND(K434=9,L$1&gt;YEAR($N434))),9,_xlfn.IFNA(INDEX($D$2:$D$4001,_xlfn.XMATCH(L$1&amp;"-"&amp;$F434,YEAR($B$2:$B$4001)&amp;"-"&amp;$A$2:$A$4001,0,-1)),K434))</f>
        <v>0</v>
      </c>
      <c r="M434" cm="1">
        <f t="array" ref="M434">IF(OR(AND(L434=9,M$1&gt;YEAR($N434))),9,_xlfn.IFNA(INDEX($D$2:$D$4001,_xlfn.XMATCH(M$1&amp;"-"&amp;$F434,YEAR($B$2:$B$4001)&amp;"-"&amp;$A$2:$A$4001,0,-1)),L434))</f>
        <v>0</v>
      </c>
      <c r="N434" s="1">
        <f t="shared" si="6"/>
        <v>36460</v>
      </c>
    </row>
    <row r="435" spans="1:14" x14ac:dyDescent="0.35">
      <c r="A435">
        <v>225</v>
      </c>
      <c r="B435" s="2">
        <v>36301</v>
      </c>
      <c r="C435">
        <v>0</v>
      </c>
      <c r="D435">
        <v>0</v>
      </c>
      <c r="F435">
        <v>434</v>
      </c>
      <c r="G435" cm="1">
        <f t="array" ref="G435">_xlfn.IFNA(INDEX($D$2:$D$4001,_xlfn.XMATCH(G$1&amp;"-"&amp;$F435,YEAR($B$2:$B$4001)&amp;"-"&amp;$A$2:$A$4001,0,-1)),9)</f>
        <v>9</v>
      </c>
      <c r="H435" cm="1">
        <f t="array" ref="H435">IF(OR(AND(G435=9,H$1&gt;YEAR($N435))),9,_xlfn.IFNA(INDEX($D$2:$D$4001,_xlfn.XMATCH(H$1&amp;"-"&amp;$F435,YEAR($B$2:$B$4001)&amp;"-"&amp;$A$2:$A$4001,0,-1)),G435))</f>
        <v>9</v>
      </c>
      <c r="I435" cm="1">
        <f t="array" ref="I435">IF(OR(AND(H435=9,I$1&gt;YEAR($N435))),9,_xlfn.IFNA(INDEX($D$2:$D$4001,_xlfn.XMATCH(I$1&amp;"-"&amp;$F435,YEAR($B$2:$B$4001)&amp;"-"&amp;$A$2:$A$4001,0,-1)),H435))</f>
        <v>9</v>
      </c>
      <c r="J435" cm="1">
        <f t="array" ref="J435">IF(OR(AND(I435=9,J$1&gt;YEAR($N435))),9,_xlfn.IFNA(INDEX($D$2:$D$4001,_xlfn.XMATCH(J$1&amp;"-"&amp;$F435,YEAR($B$2:$B$4001)&amp;"-"&amp;$A$2:$A$4001,0,-1)),I435))</f>
        <v>9</v>
      </c>
      <c r="K435" cm="1">
        <f t="array" ref="K435">IF(OR(AND(J435=9,K$1&gt;YEAR($N435))),9,_xlfn.IFNA(INDEX($D$2:$D$4001,_xlfn.XMATCH(K$1&amp;"-"&amp;$F435,YEAR($B$2:$B$4001)&amp;"-"&amp;$A$2:$A$4001,0,-1)),J435))</f>
        <v>3</v>
      </c>
      <c r="L435" cm="1">
        <f t="array" ref="L435">IF(OR(AND(K435=9,L$1&gt;YEAR($N435))),9,_xlfn.IFNA(INDEX($D$2:$D$4001,_xlfn.XMATCH(L$1&amp;"-"&amp;$F435,YEAR($B$2:$B$4001)&amp;"-"&amp;$A$2:$A$4001,0,-1)),K435))</f>
        <v>3</v>
      </c>
      <c r="M435" cm="1">
        <f t="array" ref="M435">IF(OR(AND(L435=9,M$1&gt;YEAR($N435))),9,_xlfn.IFNA(INDEX($D$2:$D$4001,_xlfn.XMATCH(M$1&amp;"-"&amp;$F435,YEAR($B$2:$B$4001)&amp;"-"&amp;$A$2:$A$4001,0,-1)),L435))</f>
        <v>3</v>
      </c>
      <c r="N435" s="1">
        <f t="shared" si="6"/>
        <v>37985</v>
      </c>
    </row>
    <row r="436" spans="1:14" x14ac:dyDescent="0.35">
      <c r="A436">
        <v>226</v>
      </c>
      <c r="B436" s="2">
        <v>36310</v>
      </c>
      <c r="C436">
        <v>4</v>
      </c>
      <c r="D436">
        <v>4</v>
      </c>
      <c r="F436">
        <v>435</v>
      </c>
      <c r="G436" cm="1">
        <f t="array" ref="G436">_xlfn.IFNA(INDEX($D$2:$D$4001,_xlfn.XMATCH(G$1&amp;"-"&amp;$F436,YEAR($B$2:$B$4001)&amp;"-"&amp;$A$2:$A$4001,0,-1)),9)</f>
        <v>9</v>
      </c>
      <c r="H436" cm="1">
        <f t="array" ref="H436">IF(OR(AND(G436=9,H$1&gt;YEAR($N436))),9,_xlfn.IFNA(INDEX($D$2:$D$4001,_xlfn.XMATCH(H$1&amp;"-"&amp;$F436,YEAR($B$2:$B$4001)&amp;"-"&amp;$A$2:$A$4001,0,-1)),G436))</f>
        <v>9</v>
      </c>
      <c r="I436" cm="1">
        <f t="array" ref="I436">IF(OR(AND(H436=9,I$1&gt;YEAR($N436))),9,_xlfn.IFNA(INDEX($D$2:$D$4001,_xlfn.XMATCH(I$1&amp;"-"&amp;$F436,YEAR($B$2:$B$4001)&amp;"-"&amp;$A$2:$A$4001,0,-1)),H436))</f>
        <v>3</v>
      </c>
      <c r="J436" cm="1">
        <f t="array" ref="J436">IF(OR(AND(I436=9,J$1&gt;YEAR($N436))),9,_xlfn.IFNA(INDEX($D$2:$D$4001,_xlfn.XMATCH(J$1&amp;"-"&amp;$F436,YEAR($B$2:$B$4001)&amp;"-"&amp;$A$2:$A$4001,0,-1)),I436))</f>
        <v>6</v>
      </c>
      <c r="K436" cm="1">
        <f t="array" ref="K436">IF(OR(AND(J436=9,K$1&gt;YEAR($N436))),9,_xlfn.IFNA(INDEX($D$2:$D$4001,_xlfn.XMATCH(K$1&amp;"-"&amp;$F436,YEAR($B$2:$B$4001)&amp;"-"&amp;$A$2:$A$4001,0,-1)),J436))</f>
        <v>6</v>
      </c>
      <c r="L436" cm="1">
        <f t="array" ref="L436">IF(OR(AND(K436=9,L$1&gt;YEAR($N436))),9,_xlfn.IFNA(INDEX($D$2:$D$4001,_xlfn.XMATCH(L$1&amp;"-"&amp;$F436,YEAR($B$2:$B$4001)&amp;"-"&amp;$A$2:$A$4001,0,-1)),K436))</f>
        <v>5</v>
      </c>
      <c r="M436" cm="1">
        <f t="array" ref="M436">IF(OR(AND(L436=9,M$1&gt;YEAR($N436))),9,_xlfn.IFNA(INDEX($D$2:$D$4001,_xlfn.XMATCH(M$1&amp;"-"&amp;$F436,YEAR($B$2:$B$4001)&amp;"-"&amp;$A$2:$A$4001,0,-1)),L436))</f>
        <v>5</v>
      </c>
      <c r="N436" s="1">
        <f t="shared" si="6"/>
        <v>37032</v>
      </c>
    </row>
    <row r="437" spans="1:14" x14ac:dyDescent="0.35">
      <c r="A437">
        <v>226</v>
      </c>
      <c r="B437" s="2">
        <v>38351</v>
      </c>
      <c r="C437">
        <v>3</v>
      </c>
      <c r="D437">
        <v>3</v>
      </c>
      <c r="F437">
        <v>436</v>
      </c>
      <c r="G437" cm="1">
        <f t="array" ref="G437">_xlfn.IFNA(INDEX($D$2:$D$4001,_xlfn.XMATCH(G$1&amp;"-"&amp;$F437,YEAR($B$2:$B$4001)&amp;"-"&amp;$A$2:$A$4001,0,-1)),9)</f>
        <v>9</v>
      </c>
      <c r="H437" cm="1">
        <f t="array" ref="H437">IF(OR(AND(G437=9,H$1&gt;YEAR($N437))),9,_xlfn.IFNA(INDEX($D$2:$D$4001,_xlfn.XMATCH(H$1&amp;"-"&amp;$F437,YEAR($B$2:$B$4001)&amp;"-"&amp;$A$2:$A$4001,0,-1)),G437))</f>
        <v>9</v>
      </c>
      <c r="I437" cm="1">
        <f t="array" ref="I437">IF(OR(AND(H437=9,I$1&gt;YEAR($N437))),9,_xlfn.IFNA(INDEX($D$2:$D$4001,_xlfn.XMATCH(I$1&amp;"-"&amp;$F437,YEAR($B$2:$B$4001)&amp;"-"&amp;$A$2:$A$4001,0,-1)),H437))</f>
        <v>4</v>
      </c>
      <c r="J437" cm="1">
        <f t="array" ref="J437">IF(OR(AND(I437=9,J$1&gt;YEAR($N437))),9,_xlfn.IFNA(INDEX($D$2:$D$4001,_xlfn.XMATCH(J$1&amp;"-"&amp;$F437,YEAR($B$2:$B$4001)&amp;"-"&amp;$A$2:$A$4001,0,-1)),I437))</f>
        <v>4</v>
      </c>
      <c r="K437" cm="1">
        <f t="array" ref="K437">IF(OR(AND(J437=9,K$1&gt;YEAR($N437))),9,_xlfn.IFNA(INDEX($D$2:$D$4001,_xlfn.XMATCH(K$1&amp;"-"&amp;$F437,YEAR($B$2:$B$4001)&amp;"-"&amp;$A$2:$A$4001,0,-1)),J437))</f>
        <v>4</v>
      </c>
      <c r="L437" cm="1">
        <f t="array" ref="L437">IF(OR(AND(K437=9,L$1&gt;YEAR($N437))),9,_xlfn.IFNA(INDEX($D$2:$D$4001,_xlfn.XMATCH(L$1&amp;"-"&amp;$F437,YEAR($B$2:$B$4001)&amp;"-"&amp;$A$2:$A$4001,0,-1)),K437))</f>
        <v>4</v>
      </c>
      <c r="M437" cm="1">
        <f t="array" ref="M437">IF(OR(AND(L437=9,M$1&gt;YEAR($N437))),9,_xlfn.IFNA(INDEX($D$2:$D$4001,_xlfn.XMATCH(M$1&amp;"-"&amp;$F437,YEAR($B$2:$B$4001)&amp;"-"&amp;$A$2:$A$4001,0,-1)),L437))</f>
        <v>4</v>
      </c>
      <c r="N437" s="1">
        <f t="shared" si="6"/>
        <v>37255</v>
      </c>
    </row>
    <row r="438" spans="1:14" x14ac:dyDescent="0.35">
      <c r="A438">
        <v>226</v>
      </c>
      <c r="B438" s="2">
        <v>38625</v>
      </c>
      <c r="C438">
        <v>0</v>
      </c>
      <c r="D438">
        <v>0</v>
      </c>
      <c r="F438">
        <v>437</v>
      </c>
      <c r="G438" cm="1">
        <f t="array" ref="G438">_xlfn.IFNA(INDEX($D$2:$D$4001,_xlfn.XMATCH(G$1&amp;"-"&amp;$F438,YEAR($B$2:$B$4001)&amp;"-"&amp;$A$2:$A$4001,0,-1)),9)</f>
        <v>9</v>
      </c>
      <c r="H438" cm="1">
        <f t="array" ref="H438">IF(OR(AND(G438=9,H$1&gt;YEAR($N438))),9,_xlfn.IFNA(INDEX($D$2:$D$4001,_xlfn.XMATCH(H$1&amp;"-"&amp;$F438,YEAR($B$2:$B$4001)&amp;"-"&amp;$A$2:$A$4001,0,-1)),G438))</f>
        <v>9</v>
      </c>
      <c r="I438" cm="1">
        <f t="array" ref="I438">IF(OR(AND(H438=9,I$1&gt;YEAR($N438))),9,_xlfn.IFNA(INDEX($D$2:$D$4001,_xlfn.XMATCH(I$1&amp;"-"&amp;$F438,YEAR($B$2:$B$4001)&amp;"-"&amp;$A$2:$A$4001,0,-1)),H438))</f>
        <v>6</v>
      </c>
      <c r="J438" cm="1">
        <f t="array" ref="J438">IF(OR(AND(I438=9,J$1&gt;YEAR($N438))),9,_xlfn.IFNA(INDEX($D$2:$D$4001,_xlfn.XMATCH(J$1&amp;"-"&amp;$F438,YEAR($B$2:$B$4001)&amp;"-"&amp;$A$2:$A$4001,0,-1)),I438))</f>
        <v>6</v>
      </c>
      <c r="K438" cm="1">
        <f t="array" ref="K438">IF(OR(AND(J438=9,K$1&gt;YEAR($N438))),9,_xlfn.IFNA(INDEX($D$2:$D$4001,_xlfn.XMATCH(K$1&amp;"-"&amp;$F438,YEAR($B$2:$B$4001)&amp;"-"&amp;$A$2:$A$4001,0,-1)),J438))</f>
        <v>0</v>
      </c>
      <c r="L438" cm="1">
        <f t="array" ref="L438">IF(OR(AND(K438=9,L$1&gt;YEAR($N438))),9,_xlfn.IFNA(INDEX($D$2:$D$4001,_xlfn.XMATCH(L$1&amp;"-"&amp;$F438,YEAR($B$2:$B$4001)&amp;"-"&amp;$A$2:$A$4001,0,-1)),K438))</f>
        <v>0</v>
      </c>
      <c r="M438" cm="1">
        <f t="array" ref="M438">IF(OR(AND(L438=9,M$1&gt;YEAR($N438))),9,_xlfn.IFNA(INDEX($D$2:$D$4001,_xlfn.XMATCH(M$1&amp;"-"&amp;$F438,YEAR($B$2:$B$4001)&amp;"-"&amp;$A$2:$A$4001,0,-1)),L438))</f>
        <v>0</v>
      </c>
      <c r="N438" s="1">
        <f t="shared" si="6"/>
        <v>37255</v>
      </c>
    </row>
    <row r="439" spans="1:14" x14ac:dyDescent="0.35">
      <c r="A439">
        <v>227</v>
      </c>
      <c r="B439" s="2">
        <v>37985</v>
      </c>
      <c r="C439">
        <v>3</v>
      </c>
      <c r="D439">
        <v>3</v>
      </c>
      <c r="F439">
        <v>438</v>
      </c>
      <c r="G439" cm="1">
        <f t="array" ref="G439">_xlfn.IFNA(INDEX($D$2:$D$4001,_xlfn.XMATCH(G$1&amp;"-"&amp;$F439,YEAR($B$2:$B$4001)&amp;"-"&amp;$A$2:$A$4001,0,-1)),9)</f>
        <v>3</v>
      </c>
      <c r="H439" cm="1">
        <f t="array" ref="H439">IF(OR(AND(G439=9,H$1&gt;YEAR($N439))),9,_xlfn.IFNA(INDEX($D$2:$D$4001,_xlfn.XMATCH(H$1&amp;"-"&amp;$F439,YEAR($B$2:$B$4001)&amp;"-"&amp;$A$2:$A$4001,0,-1)),G439))</f>
        <v>3</v>
      </c>
      <c r="I439" cm="1">
        <f t="array" ref="I439">IF(OR(AND(H439=9,I$1&gt;YEAR($N439))),9,_xlfn.IFNA(INDEX($D$2:$D$4001,_xlfn.XMATCH(I$1&amp;"-"&amp;$F439,YEAR($B$2:$B$4001)&amp;"-"&amp;$A$2:$A$4001,0,-1)),H439))</f>
        <v>3</v>
      </c>
      <c r="J439" cm="1">
        <f t="array" ref="J439">IF(OR(AND(I439=9,J$1&gt;YEAR($N439))),9,_xlfn.IFNA(INDEX($D$2:$D$4001,_xlfn.XMATCH(J$1&amp;"-"&amp;$F439,YEAR($B$2:$B$4001)&amp;"-"&amp;$A$2:$A$4001,0,-1)),I439))</f>
        <v>3</v>
      </c>
      <c r="K439" cm="1">
        <f t="array" ref="K439">IF(OR(AND(J439=9,K$1&gt;YEAR($N439))),9,_xlfn.IFNA(INDEX($D$2:$D$4001,_xlfn.XMATCH(K$1&amp;"-"&amp;$F439,YEAR($B$2:$B$4001)&amp;"-"&amp;$A$2:$A$4001,0,-1)),J439))</f>
        <v>3</v>
      </c>
      <c r="L439" cm="1">
        <f t="array" ref="L439">IF(OR(AND(K439=9,L$1&gt;YEAR($N439))),9,_xlfn.IFNA(INDEX($D$2:$D$4001,_xlfn.XMATCH(L$1&amp;"-"&amp;$F439,YEAR($B$2:$B$4001)&amp;"-"&amp;$A$2:$A$4001,0,-1)),K439))</f>
        <v>3</v>
      </c>
      <c r="M439" cm="1">
        <f t="array" ref="M439">IF(OR(AND(L439=9,M$1&gt;YEAR($N439))),9,_xlfn.IFNA(INDEX($D$2:$D$4001,_xlfn.XMATCH(M$1&amp;"-"&amp;$F439,YEAR($B$2:$B$4001)&amp;"-"&amp;$A$2:$A$4001,0,-1)),L439))</f>
        <v>3</v>
      </c>
      <c r="N439" s="1">
        <f t="shared" si="6"/>
        <v>36310</v>
      </c>
    </row>
    <row r="440" spans="1:14" x14ac:dyDescent="0.35">
      <c r="A440">
        <v>228</v>
      </c>
      <c r="B440" s="2">
        <v>36494</v>
      </c>
      <c r="C440">
        <v>8</v>
      </c>
      <c r="D440">
        <v>8</v>
      </c>
      <c r="F440">
        <v>439</v>
      </c>
      <c r="G440" cm="1">
        <f t="array" ref="G440">_xlfn.IFNA(INDEX($D$2:$D$4001,_xlfn.XMATCH(G$1&amp;"-"&amp;$F440,YEAR($B$2:$B$4001)&amp;"-"&amp;$A$2:$A$4001,0,-1)),9)</f>
        <v>4</v>
      </c>
      <c r="H440" cm="1">
        <f t="array" ref="H440">IF(OR(AND(G440=9,H$1&gt;YEAR($N440))),9,_xlfn.IFNA(INDEX($D$2:$D$4001,_xlfn.XMATCH(H$1&amp;"-"&amp;$F440,YEAR($B$2:$B$4001)&amp;"-"&amp;$A$2:$A$4001,0,-1)),G440))</f>
        <v>4</v>
      </c>
      <c r="I440" cm="1">
        <f t="array" ref="I440">IF(OR(AND(H440=9,I$1&gt;YEAR($N440))),9,_xlfn.IFNA(INDEX($D$2:$D$4001,_xlfn.XMATCH(I$1&amp;"-"&amp;$F440,YEAR($B$2:$B$4001)&amp;"-"&amp;$A$2:$A$4001,0,-1)),H440))</f>
        <v>4</v>
      </c>
      <c r="J440" cm="1">
        <f t="array" ref="J440">IF(OR(AND(I440=9,J$1&gt;YEAR($N440))),9,_xlfn.IFNA(INDEX($D$2:$D$4001,_xlfn.XMATCH(J$1&amp;"-"&amp;$F440,YEAR($B$2:$B$4001)&amp;"-"&amp;$A$2:$A$4001,0,-1)),I440))</f>
        <v>5</v>
      </c>
      <c r="K440" cm="1">
        <f t="array" ref="K440">IF(OR(AND(J440=9,K$1&gt;YEAR($N440))),9,_xlfn.IFNA(INDEX($D$2:$D$4001,_xlfn.XMATCH(K$1&amp;"-"&amp;$F440,YEAR($B$2:$B$4001)&amp;"-"&amp;$A$2:$A$4001,0,-1)),J440))</f>
        <v>5</v>
      </c>
      <c r="L440" cm="1">
        <f t="array" ref="L440">IF(OR(AND(K440=9,L$1&gt;YEAR($N440))),9,_xlfn.IFNA(INDEX($D$2:$D$4001,_xlfn.XMATCH(L$1&amp;"-"&amp;$F440,YEAR($B$2:$B$4001)&amp;"-"&amp;$A$2:$A$4001,0,-1)),K440))</f>
        <v>0</v>
      </c>
      <c r="M440" cm="1">
        <f t="array" ref="M440">IF(OR(AND(L440=9,M$1&gt;YEAR($N440))),9,_xlfn.IFNA(INDEX($D$2:$D$4001,_xlfn.XMATCH(M$1&amp;"-"&amp;$F440,YEAR($B$2:$B$4001)&amp;"-"&amp;$A$2:$A$4001,0,-1)),L440))</f>
        <v>0</v>
      </c>
      <c r="N440" s="1">
        <f t="shared" si="6"/>
        <v>36310</v>
      </c>
    </row>
    <row r="441" spans="1:14" x14ac:dyDescent="0.35">
      <c r="A441">
        <v>228</v>
      </c>
      <c r="B441" s="2">
        <v>36728</v>
      </c>
      <c r="C441">
        <v>0</v>
      </c>
      <c r="D441">
        <v>8</v>
      </c>
      <c r="F441">
        <v>440</v>
      </c>
      <c r="G441" cm="1">
        <f t="array" ref="G441">_xlfn.IFNA(INDEX($D$2:$D$4001,_xlfn.XMATCH(G$1&amp;"-"&amp;$F441,YEAR($B$2:$B$4001)&amp;"-"&amp;$A$2:$A$4001,0,-1)),9)</f>
        <v>9</v>
      </c>
      <c r="H441" cm="1">
        <f t="array" ref="H441">IF(OR(AND(G441=9,H$1&gt;YEAR($N441))),9,_xlfn.IFNA(INDEX($D$2:$D$4001,_xlfn.XMATCH(H$1&amp;"-"&amp;$F441,YEAR($B$2:$B$4001)&amp;"-"&amp;$A$2:$A$4001,0,-1)),G441))</f>
        <v>0</v>
      </c>
      <c r="I441" cm="1">
        <f t="array" ref="I441">IF(OR(AND(H441=9,I$1&gt;YEAR($N441))),9,_xlfn.IFNA(INDEX($D$2:$D$4001,_xlfn.XMATCH(I$1&amp;"-"&amp;$F441,YEAR($B$2:$B$4001)&amp;"-"&amp;$A$2:$A$4001,0,-1)),H441))</f>
        <v>0</v>
      </c>
      <c r="J441" cm="1">
        <f t="array" ref="J441">IF(OR(AND(I441=9,J$1&gt;YEAR($N441))),9,_xlfn.IFNA(INDEX($D$2:$D$4001,_xlfn.XMATCH(J$1&amp;"-"&amp;$F441,YEAR($B$2:$B$4001)&amp;"-"&amp;$A$2:$A$4001,0,-1)),I441))</f>
        <v>0</v>
      </c>
      <c r="K441" cm="1">
        <f t="array" ref="K441">IF(OR(AND(J441=9,K$1&gt;YEAR($N441))),9,_xlfn.IFNA(INDEX($D$2:$D$4001,_xlfn.XMATCH(K$1&amp;"-"&amp;$F441,YEAR($B$2:$B$4001)&amp;"-"&amp;$A$2:$A$4001,0,-1)),J441))</f>
        <v>0</v>
      </c>
      <c r="L441" cm="1">
        <f t="array" ref="L441">IF(OR(AND(K441=9,L$1&gt;YEAR($N441))),9,_xlfn.IFNA(INDEX($D$2:$D$4001,_xlfn.XMATCH(L$1&amp;"-"&amp;$F441,YEAR($B$2:$B$4001)&amp;"-"&amp;$A$2:$A$4001,0,-1)),K441))</f>
        <v>0</v>
      </c>
      <c r="M441" cm="1">
        <f t="array" ref="M441">IF(OR(AND(L441=9,M$1&gt;YEAR($N441))),9,_xlfn.IFNA(INDEX($D$2:$D$4001,_xlfn.XMATCH(M$1&amp;"-"&amp;$F441,YEAR($B$2:$B$4001)&amp;"-"&amp;$A$2:$A$4001,0,-1)),L441))</f>
        <v>0</v>
      </c>
      <c r="N441" s="1">
        <f t="shared" si="6"/>
        <v>36676</v>
      </c>
    </row>
    <row r="442" spans="1:14" x14ac:dyDescent="0.35">
      <c r="A442">
        <v>229</v>
      </c>
      <c r="B442" s="2">
        <v>36890</v>
      </c>
      <c r="C442">
        <v>3</v>
      </c>
      <c r="D442">
        <v>3</v>
      </c>
      <c r="F442">
        <v>441</v>
      </c>
      <c r="G442" cm="1">
        <f t="array" ref="G442">_xlfn.IFNA(INDEX($D$2:$D$4001,_xlfn.XMATCH(G$1&amp;"-"&amp;$F442,YEAR($B$2:$B$4001)&amp;"-"&amp;$A$2:$A$4001,0,-1)),9)</f>
        <v>9</v>
      </c>
      <c r="H442" cm="1">
        <f t="array" ref="H442">IF(OR(AND(G442=9,H$1&gt;YEAR($N442))),9,_xlfn.IFNA(INDEX($D$2:$D$4001,_xlfn.XMATCH(H$1&amp;"-"&amp;$F442,YEAR($B$2:$B$4001)&amp;"-"&amp;$A$2:$A$4001,0,-1)),G442))</f>
        <v>9</v>
      </c>
      <c r="I442" cm="1">
        <f t="array" ref="I442">IF(OR(AND(H442=9,I$1&gt;YEAR($N442))),9,_xlfn.IFNA(INDEX($D$2:$D$4001,_xlfn.XMATCH(I$1&amp;"-"&amp;$F442,YEAR($B$2:$B$4001)&amp;"-"&amp;$A$2:$A$4001,0,-1)),H442))</f>
        <v>9</v>
      </c>
      <c r="J442" cm="1">
        <f t="array" ref="J442">IF(OR(AND(I442=9,J$1&gt;YEAR($N442))),9,_xlfn.IFNA(INDEX($D$2:$D$4001,_xlfn.XMATCH(J$1&amp;"-"&amp;$F442,YEAR($B$2:$B$4001)&amp;"-"&amp;$A$2:$A$4001,0,-1)),I442))</f>
        <v>3</v>
      </c>
      <c r="K442" cm="1">
        <f t="array" ref="K442">IF(OR(AND(J442=9,K$1&gt;YEAR($N442))),9,_xlfn.IFNA(INDEX($D$2:$D$4001,_xlfn.XMATCH(K$1&amp;"-"&amp;$F442,YEAR($B$2:$B$4001)&amp;"-"&amp;$A$2:$A$4001,0,-1)),J442))</f>
        <v>3</v>
      </c>
      <c r="L442" cm="1">
        <f t="array" ref="L442">IF(OR(AND(K442=9,L$1&gt;YEAR($N442))),9,_xlfn.IFNA(INDEX($D$2:$D$4001,_xlfn.XMATCH(L$1&amp;"-"&amp;$F442,YEAR($B$2:$B$4001)&amp;"-"&amp;$A$2:$A$4001,0,-1)),K442))</f>
        <v>3</v>
      </c>
      <c r="M442" cm="1">
        <f t="array" ref="M442">IF(OR(AND(L442=9,M$1&gt;YEAR($N442))),9,_xlfn.IFNA(INDEX($D$2:$D$4001,_xlfn.XMATCH(M$1&amp;"-"&amp;$F442,YEAR($B$2:$B$4001)&amp;"-"&amp;$A$2:$A$4001,0,-1)),L442))</f>
        <v>0</v>
      </c>
      <c r="N442" s="1">
        <f t="shared" si="6"/>
        <v>37620</v>
      </c>
    </row>
    <row r="443" spans="1:14" x14ac:dyDescent="0.35">
      <c r="A443">
        <v>229</v>
      </c>
      <c r="B443" s="2">
        <v>37032</v>
      </c>
      <c r="C443">
        <v>3</v>
      </c>
      <c r="D443">
        <v>3</v>
      </c>
      <c r="F443">
        <v>442</v>
      </c>
      <c r="G443" cm="1">
        <f t="array" ref="G443">_xlfn.IFNA(INDEX($D$2:$D$4001,_xlfn.XMATCH(G$1&amp;"-"&amp;$F443,YEAR($B$2:$B$4001)&amp;"-"&amp;$A$2:$A$4001,0,-1)),9)</f>
        <v>9</v>
      </c>
      <c r="H443" cm="1">
        <f t="array" ref="H443">IF(OR(AND(G443=9,H$1&gt;YEAR($N443))),9,_xlfn.IFNA(INDEX($D$2:$D$4001,_xlfn.XMATCH(H$1&amp;"-"&amp;$F443,YEAR($B$2:$B$4001)&amp;"-"&amp;$A$2:$A$4001,0,-1)),G443))</f>
        <v>9</v>
      </c>
      <c r="I443" cm="1">
        <f t="array" ref="I443">IF(OR(AND(H443=9,I$1&gt;YEAR($N443))),9,_xlfn.IFNA(INDEX($D$2:$D$4001,_xlfn.XMATCH(I$1&amp;"-"&amp;$F443,YEAR($B$2:$B$4001)&amp;"-"&amp;$A$2:$A$4001,0,-1)),H443))</f>
        <v>9</v>
      </c>
      <c r="J443" cm="1">
        <f t="array" ref="J443">IF(OR(AND(I443=9,J$1&gt;YEAR($N443))),9,_xlfn.IFNA(INDEX($D$2:$D$4001,_xlfn.XMATCH(J$1&amp;"-"&amp;$F443,YEAR($B$2:$B$4001)&amp;"-"&amp;$A$2:$A$4001,0,-1)),I443))</f>
        <v>3</v>
      </c>
      <c r="K443" cm="1">
        <f t="array" ref="K443">IF(OR(AND(J443=9,K$1&gt;YEAR($N443))),9,_xlfn.IFNA(INDEX($D$2:$D$4001,_xlfn.XMATCH(K$1&amp;"-"&amp;$F443,YEAR($B$2:$B$4001)&amp;"-"&amp;$A$2:$A$4001,0,-1)),J443))</f>
        <v>3</v>
      </c>
      <c r="L443" cm="1">
        <f t="array" ref="L443">IF(OR(AND(K443=9,L$1&gt;YEAR($N443))),9,_xlfn.IFNA(INDEX($D$2:$D$4001,_xlfn.XMATCH(L$1&amp;"-"&amp;$F443,YEAR($B$2:$B$4001)&amp;"-"&amp;$A$2:$A$4001,0,-1)),K443))</f>
        <v>3</v>
      </c>
      <c r="M443" cm="1">
        <f t="array" ref="M443">IF(OR(AND(L443=9,M$1&gt;YEAR($N443))),9,_xlfn.IFNA(INDEX($D$2:$D$4001,_xlfn.XMATCH(M$1&amp;"-"&amp;$F443,YEAR($B$2:$B$4001)&amp;"-"&amp;$A$2:$A$4001,0,-1)),L443))</f>
        <v>3</v>
      </c>
      <c r="N443" s="1">
        <f t="shared" si="6"/>
        <v>37550</v>
      </c>
    </row>
    <row r="444" spans="1:14" x14ac:dyDescent="0.35">
      <c r="A444">
        <v>230</v>
      </c>
      <c r="B444" s="2">
        <v>37590</v>
      </c>
      <c r="C444">
        <v>4</v>
      </c>
      <c r="D444">
        <v>4</v>
      </c>
      <c r="F444">
        <v>443</v>
      </c>
      <c r="G444" cm="1">
        <f t="array" ref="G444">_xlfn.IFNA(INDEX($D$2:$D$4001,_xlfn.XMATCH(G$1&amp;"-"&amp;$F444,YEAR($B$2:$B$4001)&amp;"-"&amp;$A$2:$A$4001,0,-1)),9)</f>
        <v>3</v>
      </c>
      <c r="H444" cm="1">
        <f t="array" ref="H444">IF(OR(AND(G444=9,H$1&gt;YEAR($N444))),9,_xlfn.IFNA(INDEX($D$2:$D$4001,_xlfn.XMATCH(H$1&amp;"-"&amp;$F444,YEAR($B$2:$B$4001)&amp;"-"&amp;$A$2:$A$4001,0,-1)),G444))</f>
        <v>3</v>
      </c>
      <c r="I444" cm="1">
        <f t="array" ref="I444">IF(OR(AND(H444=9,I$1&gt;YEAR($N444))),9,_xlfn.IFNA(INDEX($D$2:$D$4001,_xlfn.XMATCH(I$1&amp;"-"&amp;$F444,YEAR($B$2:$B$4001)&amp;"-"&amp;$A$2:$A$4001,0,-1)),H444))</f>
        <v>3</v>
      </c>
      <c r="J444" cm="1">
        <f t="array" ref="J444">IF(OR(AND(I444=9,J$1&gt;YEAR($N444))),9,_xlfn.IFNA(INDEX($D$2:$D$4001,_xlfn.XMATCH(J$1&amp;"-"&amp;$F444,YEAR($B$2:$B$4001)&amp;"-"&amp;$A$2:$A$4001,0,-1)),I444))</f>
        <v>3</v>
      </c>
      <c r="K444" cm="1">
        <f t="array" ref="K444">IF(OR(AND(J444=9,K$1&gt;YEAR($N444))),9,_xlfn.IFNA(INDEX($D$2:$D$4001,_xlfn.XMATCH(K$1&amp;"-"&amp;$F444,YEAR($B$2:$B$4001)&amp;"-"&amp;$A$2:$A$4001,0,-1)),J444))</f>
        <v>3</v>
      </c>
      <c r="L444" cm="1">
        <f t="array" ref="L444">IF(OR(AND(K444=9,L$1&gt;YEAR($N444))),9,_xlfn.IFNA(INDEX($D$2:$D$4001,_xlfn.XMATCH(L$1&amp;"-"&amp;$F444,YEAR($B$2:$B$4001)&amp;"-"&amp;$A$2:$A$4001,0,-1)),K444))</f>
        <v>3</v>
      </c>
      <c r="M444" cm="1">
        <f t="array" ref="M444">IF(OR(AND(L444=9,M$1&gt;YEAR($N444))),9,_xlfn.IFNA(INDEX($D$2:$D$4001,_xlfn.XMATCH(M$1&amp;"-"&amp;$F444,YEAR($B$2:$B$4001)&amp;"-"&amp;$A$2:$A$4001,0,-1)),L444))</f>
        <v>3</v>
      </c>
      <c r="N444" s="1">
        <f t="shared" si="6"/>
        <v>36302</v>
      </c>
    </row>
    <row r="445" spans="1:14" x14ac:dyDescent="0.35">
      <c r="A445">
        <v>230</v>
      </c>
      <c r="B445" s="2">
        <v>37620</v>
      </c>
      <c r="C445">
        <v>4</v>
      </c>
      <c r="D445">
        <v>4</v>
      </c>
      <c r="F445">
        <v>444</v>
      </c>
      <c r="G445" cm="1">
        <f t="array" ref="G445">_xlfn.IFNA(INDEX($D$2:$D$4001,_xlfn.XMATCH(G$1&amp;"-"&amp;$F445,YEAR($B$2:$B$4001)&amp;"-"&amp;$A$2:$A$4001,0,-1)),9)</f>
        <v>9</v>
      </c>
      <c r="H445" cm="1">
        <f t="array" ref="H445">IF(OR(AND(G445=9,H$1&gt;YEAR($N445))),9,_xlfn.IFNA(INDEX($D$2:$D$4001,_xlfn.XMATCH(H$1&amp;"-"&amp;$F445,YEAR($B$2:$B$4001)&amp;"-"&amp;$A$2:$A$4001,0,-1)),G445))</f>
        <v>2</v>
      </c>
      <c r="I445" cm="1">
        <f t="array" ref="I445">IF(OR(AND(H445=9,I$1&gt;YEAR($N445))),9,_xlfn.IFNA(INDEX($D$2:$D$4001,_xlfn.XMATCH(I$1&amp;"-"&amp;$F445,YEAR($B$2:$B$4001)&amp;"-"&amp;$A$2:$A$4001,0,-1)),H445))</f>
        <v>2</v>
      </c>
      <c r="J445" cm="1">
        <f t="array" ref="J445">IF(OR(AND(I445=9,J$1&gt;YEAR($N445))),9,_xlfn.IFNA(INDEX($D$2:$D$4001,_xlfn.XMATCH(J$1&amp;"-"&amp;$F445,YEAR($B$2:$B$4001)&amp;"-"&amp;$A$2:$A$4001,0,-1)),I445))</f>
        <v>2</v>
      </c>
      <c r="K445" cm="1">
        <f t="array" ref="K445">IF(OR(AND(J445=9,K$1&gt;YEAR($N445))),9,_xlfn.IFNA(INDEX($D$2:$D$4001,_xlfn.XMATCH(K$1&amp;"-"&amp;$F445,YEAR($B$2:$B$4001)&amp;"-"&amp;$A$2:$A$4001,0,-1)),J445))</f>
        <v>3</v>
      </c>
      <c r="L445" cm="1">
        <f t="array" ref="L445">IF(OR(AND(K445=9,L$1&gt;YEAR($N445))),9,_xlfn.IFNA(INDEX($D$2:$D$4001,_xlfn.XMATCH(L$1&amp;"-"&amp;$F445,YEAR($B$2:$B$4001)&amp;"-"&amp;$A$2:$A$4001,0,-1)),K445))</f>
        <v>3</v>
      </c>
      <c r="M445" cm="1">
        <f t="array" ref="M445">IF(OR(AND(L445=9,M$1&gt;YEAR($N445))),9,_xlfn.IFNA(INDEX($D$2:$D$4001,_xlfn.XMATCH(M$1&amp;"-"&amp;$F445,YEAR($B$2:$B$4001)&amp;"-"&amp;$A$2:$A$4001,0,-1)),L445))</f>
        <v>3</v>
      </c>
      <c r="N445" s="1">
        <f t="shared" si="6"/>
        <v>36768</v>
      </c>
    </row>
    <row r="446" spans="1:14" x14ac:dyDescent="0.35">
      <c r="A446">
        <v>230</v>
      </c>
      <c r="B446" s="2">
        <v>38342</v>
      </c>
      <c r="C446">
        <v>3</v>
      </c>
      <c r="D446">
        <v>3</v>
      </c>
      <c r="F446">
        <v>445</v>
      </c>
      <c r="G446" cm="1">
        <f t="array" ref="G446">_xlfn.IFNA(INDEX($D$2:$D$4001,_xlfn.XMATCH(G$1&amp;"-"&amp;$F446,YEAR($B$2:$B$4001)&amp;"-"&amp;$A$2:$A$4001,0,-1)),9)</f>
        <v>4</v>
      </c>
      <c r="H446" cm="1">
        <f t="array" ref="H446">IF(OR(AND(G446=9,H$1&gt;YEAR($N446))),9,_xlfn.IFNA(INDEX($D$2:$D$4001,_xlfn.XMATCH(H$1&amp;"-"&amp;$F446,YEAR($B$2:$B$4001)&amp;"-"&amp;$A$2:$A$4001,0,-1)),G446))</f>
        <v>4</v>
      </c>
      <c r="I446" cm="1">
        <f t="array" ref="I446">IF(OR(AND(H446=9,I$1&gt;YEAR($N446))),9,_xlfn.IFNA(INDEX($D$2:$D$4001,_xlfn.XMATCH(I$1&amp;"-"&amp;$F446,YEAR($B$2:$B$4001)&amp;"-"&amp;$A$2:$A$4001,0,-1)),H446))</f>
        <v>4</v>
      </c>
      <c r="J446" cm="1">
        <f t="array" ref="J446">IF(OR(AND(I446=9,J$1&gt;YEAR($N446))),9,_xlfn.IFNA(INDEX($D$2:$D$4001,_xlfn.XMATCH(J$1&amp;"-"&amp;$F446,YEAR($B$2:$B$4001)&amp;"-"&amp;$A$2:$A$4001,0,-1)),I446))</f>
        <v>4</v>
      </c>
      <c r="K446" cm="1">
        <f t="array" ref="K446">IF(OR(AND(J446=9,K$1&gt;YEAR($N446))),9,_xlfn.IFNA(INDEX($D$2:$D$4001,_xlfn.XMATCH(K$1&amp;"-"&amp;$F446,YEAR($B$2:$B$4001)&amp;"-"&amp;$A$2:$A$4001,0,-1)),J446))</f>
        <v>4</v>
      </c>
      <c r="L446" cm="1">
        <f t="array" ref="L446">IF(OR(AND(K446=9,L$1&gt;YEAR($N446))),9,_xlfn.IFNA(INDEX($D$2:$D$4001,_xlfn.XMATCH(L$1&amp;"-"&amp;$F446,YEAR($B$2:$B$4001)&amp;"-"&amp;$A$2:$A$4001,0,-1)),K446))</f>
        <v>4</v>
      </c>
      <c r="M446" cm="1">
        <f t="array" ref="M446">IF(OR(AND(L446=9,M$1&gt;YEAR($N446))),9,_xlfn.IFNA(INDEX($D$2:$D$4001,_xlfn.XMATCH(M$1&amp;"-"&amp;$F446,YEAR($B$2:$B$4001)&amp;"-"&amp;$A$2:$A$4001,0,-1)),L446))</f>
        <v>4</v>
      </c>
      <c r="N446" s="1">
        <f t="shared" si="6"/>
        <v>36424</v>
      </c>
    </row>
    <row r="447" spans="1:14" x14ac:dyDescent="0.35">
      <c r="A447">
        <v>231</v>
      </c>
      <c r="B447" s="2">
        <v>36310</v>
      </c>
      <c r="C447">
        <v>0</v>
      </c>
      <c r="D447">
        <v>0</v>
      </c>
      <c r="F447">
        <v>446</v>
      </c>
      <c r="G447" cm="1">
        <f t="array" ref="G447">_xlfn.IFNA(INDEX($D$2:$D$4001,_xlfn.XMATCH(G$1&amp;"-"&amp;$F447,YEAR($B$2:$B$4001)&amp;"-"&amp;$A$2:$A$4001,0,-1)),9)</f>
        <v>9</v>
      </c>
      <c r="H447" cm="1">
        <f t="array" ref="H447">IF(OR(AND(G447=9,H$1&gt;YEAR($N447))),9,_xlfn.IFNA(INDEX($D$2:$D$4001,_xlfn.XMATCH(H$1&amp;"-"&amp;$F447,YEAR($B$2:$B$4001)&amp;"-"&amp;$A$2:$A$4001,0,-1)),G447))</f>
        <v>2</v>
      </c>
      <c r="I447" cm="1">
        <f t="array" ref="I447">IF(OR(AND(H447=9,I$1&gt;YEAR($N447))),9,_xlfn.IFNA(INDEX($D$2:$D$4001,_xlfn.XMATCH(I$1&amp;"-"&amp;$F447,YEAR($B$2:$B$4001)&amp;"-"&amp;$A$2:$A$4001,0,-1)),H447))</f>
        <v>2</v>
      </c>
      <c r="J447" cm="1">
        <f t="array" ref="J447">IF(OR(AND(I447=9,J$1&gt;YEAR($N447))),9,_xlfn.IFNA(INDEX($D$2:$D$4001,_xlfn.XMATCH(J$1&amp;"-"&amp;$F447,YEAR($B$2:$B$4001)&amp;"-"&amp;$A$2:$A$4001,0,-1)),I447))</f>
        <v>2</v>
      </c>
      <c r="K447" cm="1">
        <f t="array" ref="K447">IF(OR(AND(J447=9,K$1&gt;YEAR($N447))),9,_xlfn.IFNA(INDEX($D$2:$D$4001,_xlfn.XMATCH(K$1&amp;"-"&amp;$F447,YEAR($B$2:$B$4001)&amp;"-"&amp;$A$2:$A$4001,0,-1)),J447))</f>
        <v>3</v>
      </c>
      <c r="L447" cm="1">
        <f t="array" ref="L447">IF(OR(AND(K447=9,L$1&gt;YEAR($N447))),9,_xlfn.IFNA(INDEX($D$2:$D$4001,_xlfn.XMATCH(L$1&amp;"-"&amp;$F447,YEAR($B$2:$B$4001)&amp;"-"&amp;$A$2:$A$4001,0,-1)),K447))</f>
        <v>3</v>
      </c>
      <c r="M447" cm="1">
        <f t="array" ref="M447">IF(OR(AND(L447=9,M$1&gt;YEAR($N447))),9,_xlfn.IFNA(INDEX($D$2:$D$4001,_xlfn.XMATCH(M$1&amp;"-"&amp;$F447,YEAR($B$2:$B$4001)&amp;"-"&amp;$A$2:$A$4001,0,-1)),L447))</f>
        <v>3</v>
      </c>
      <c r="N447" s="1">
        <f t="shared" si="6"/>
        <v>36676</v>
      </c>
    </row>
    <row r="448" spans="1:14" x14ac:dyDescent="0.35">
      <c r="A448">
        <v>231</v>
      </c>
      <c r="B448" s="2">
        <v>37255</v>
      </c>
      <c r="C448">
        <v>3</v>
      </c>
      <c r="D448">
        <v>3</v>
      </c>
      <c r="F448">
        <v>447</v>
      </c>
      <c r="G448" cm="1">
        <f t="array" ref="G448">_xlfn.IFNA(INDEX($D$2:$D$4001,_xlfn.XMATCH(G$1&amp;"-"&amp;$F448,YEAR($B$2:$B$4001)&amp;"-"&amp;$A$2:$A$4001,0,-1)),9)</f>
        <v>9</v>
      </c>
      <c r="H448" cm="1">
        <f t="array" ref="H448">IF(OR(AND(G448=9,H$1&gt;YEAR($N448))),9,_xlfn.IFNA(INDEX($D$2:$D$4001,_xlfn.XMATCH(H$1&amp;"-"&amp;$F448,YEAR($B$2:$B$4001)&amp;"-"&amp;$A$2:$A$4001,0,-1)),G448))</f>
        <v>9</v>
      </c>
      <c r="I448" cm="1">
        <f t="array" ref="I448">IF(OR(AND(H448=9,I$1&gt;YEAR($N448))),9,_xlfn.IFNA(INDEX($D$2:$D$4001,_xlfn.XMATCH(I$1&amp;"-"&amp;$F448,YEAR($B$2:$B$4001)&amp;"-"&amp;$A$2:$A$4001,0,-1)),H448))</f>
        <v>9</v>
      </c>
      <c r="J448" cm="1">
        <f t="array" ref="J448">IF(OR(AND(I448=9,J$1&gt;YEAR($N448))),9,_xlfn.IFNA(INDEX($D$2:$D$4001,_xlfn.XMATCH(J$1&amp;"-"&amp;$F448,YEAR($B$2:$B$4001)&amp;"-"&amp;$A$2:$A$4001,0,-1)),I448))</f>
        <v>2</v>
      </c>
      <c r="K448" cm="1">
        <f t="array" ref="K448">IF(OR(AND(J448=9,K$1&gt;YEAR($N448))),9,_xlfn.IFNA(INDEX($D$2:$D$4001,_xlfn.XMATCH(K$1&amp;"-"&amp;$F448,YEAR($B$2:$B$4001)&amp;"-"&amp;$A$2:$A$4001,0,-1)),J448))</f>
        <v>2</v>
      </c>
      <c r="L448" cm="1">
        <f t="array" ref="L448">IF(OR(AND(K448=9,L$1&gt;YEAR($N448))),9,_xlfn.IFNA(INDEX($D$2:$D$4001,_xlfn.XMATCH(L$1&amp;"-"&amp;$F448,YEAR($B$2:$B$4001)&amp;"-"&amp;$A$2:$A$4001,0,-1)),K448))</f>
        <v>2</v>
      </c>
      <c r="M448" cm="1">
        <f t="array" ref="M448">IF(OR(AND(L448=9,M$1&gt;YEAR($N448))),9,_xlfn.IFNA(INDEX($D$2:$D$4001,_xlfn.XMATCH(M$1&amp;"-"&amp;$F448,YEAR($B$2:$B$4001)&amp;"-"&amp;$A$2:$A$4001,0,-1)),L448))</f>
        <v>2</v>
      </c>
      <c r="N448" s="1">
        <f t="shared" si="6"/>
        <v>37437</v>
      </c>
    </row>
    <row r="449" spans="1:14" x14ac:dyDescent="0.35">
      <c r="A449">
        <v>231</v>
      </c>
      <c r="B449" s="2">
        <v>37771</v>
      </c>
      <c r="C449">
        <v>4</v>
      </c>
      <c r="D449">
        <v>4</v>
      </c>
      <c r="F449">
        <v>448</v>
      </c>
      <c r="G449" cm="1">
        <f t="array" ref="G449">_xlfn.IFNA(INDEX($D$2:$D$4001,_xlfn.XMATCH(G$1&amp;"-"&amp;$F449,YEAR($B$2:$B$4001)&amp;"-"&amp;$A$2:$A$4001,0,-1)),9)</f>
        <v>9</v>
      </c>
      <c r="H449" cm="1">
        <f t="array" ref="H449">IF(OR(AND(G449=9,H$1&gt;YEAR($N449))),9,_xlfn.IFNA(INDEX($D$2:$D$4001,_xlfn.XMATCH(H$1&amp;"-"&amp;$F449,YEAR($B$2:$B$4001)&amp;"-"&amp;$A$2:$A$4001,0,-1)),G449))</f>
        <v>9</v>
      </c>
      <c r="I449" cm="1">
        <f t="array" ref="I449">IF(OR(AND(H449=9,I$1&gt;YEAR($N449))),9,_xlfn.IFNA(INDEX($D$2:$D$4001,_xlfn.XMATCH(I$1&amp;"-"&amp;$F449,YEAR($B$2:$B$4001)&amp;"-"&amp;$A$2:$A$4001,0,-1)),H449))</f>
        <v>9</v>
      </c>
      <c r="J449" cm="1">
        <f t="array" ref="J449">IF(OR(AND(I449=9,J$1&gt;YEAR($N449))),9,_xlfn.IFNA(INDEX($D$2:$D$4001,_xlfn.XMATCH(J$1&amp;"-"&amp;$F449,YEAR($B$2:$B$4001)&amp;"-"&amp;$A$2:$A$4001,0,-1)),I449))</f>
        <v>9</v>
      </c>
      <c r="K449" cm="1">
        <f t="array" ref="K449">IF(OR(AND(J449=9,K$1&gt;YEAR($N449))),9,_xlfn.IFNA(INDEX($D$2:$D$4001,_xlfn.XMATCH(K$1&amp;"-"&amp;$F449,YEAR($B$2:$B$4001)&amp;"-"&amp;$A$2:$A$4001,0,-1)),J449))</f>
        <v>9</v>
      </c>
      <c r="L449" cm="1">
        <f t="array" ref="L449">IF(OR(AND(K449=9,L$1&gt;YEAR($N449))),9,_xlfn.IFNA(INDEX($D$2:$D$4001,_xlfn.XMATCH(L$1&amp;"-"&amp;$F449,YEAR($B$2:$B$4001)&amp;"-"&amp;$A$2:$A$4001,0,-1)),K449))</f>
        <v>9</v>
      </c>
      <c r="M449" cm="1">
        <f t="array" ref="M449">IF(OR(AND(L449=9,M$1&gt;YEAR($N449))),9,_xlfn.IFNA(INDEX($D$2:$D$4001,_xlfn.XMATCH(M$1&amp;"-"&amp;$F449,YEAR($B$2:$B$4001)&amp;"-"&amp;$A$2:$A$4001,0,-1)),L449))</f>
        <v>4</v>
      </c>
      <c r="N449" s="1">
        <f t="shared" si="6"/>
        <v>38498</v>
      </c>
    </row>
    <row r="450" spans="1:14" x14ac:dyDescent="0.35">
      <c r="A450">
        <v>231</v>
      </c>
      <c r="B450" s="2">
        <v>38128</v>
      </c>
      <c r="C450">
        <v>4</v>
      </c>
      <c r="D450">
        <v>4</v>
      </c>
      <c r="F450">
        <v>449</v>
      </c>
      <c r="G450" cm="1">
        <f t="array" ref="G450">_xlfn.IFNA(INDEX($D$2:$D$4001,_xlfn.XMATCH(G$1&amp;"-"&amp;$F450,YEAR($B$2:$B$4001)&amp;"-"&amp;$A$2:$A$4001,0,-1)),9)</f>
        <v>9</v>
      </c>
      <c r="H450" cm="1">
        <f t="array" ref="H450">IF(OR(AND(G450=9,H$1&gt;YEAR($N450))),9,_xlfn.IFNA(INDEX($D$2:$D$4001,_xlfn.XMATCH(H$1&amp;"-"&amp;$F450,YEAR($B$2:$B$4001)&amp;"-"&amp;$A$2:$A$4001,0,-1)),G450))</f>
        <v>9</v>
      </c>
      <c r="I450" cm="1">
        <f t="array" ref="I450">IF(OR(AND(H450=9,I$1&gt;YEAR($N450))),9,_xlfn.IFNA(INDEX($D$2:$D$4001,_xlfn.XMATCH(I$1&amp;"-"&amp;$F450,YEAR($B$2:$B$4001)&amp;"-"&amp;$A$2:$A$4001,0,-1)),H450))</f>
        <v>9</v>
      </c>
      <c r="J450" cm="1">
        <f t="array" ref="J450">IF(OR(AND(I450=9,J$1&gt;YEAR($N450))),9,_xlfn.IFNA(INDEX($D$2:$D$4001,_xlfn.XMATCH(J$1&amp;"-"&amp;$F450,YEAR($B$2:$B$4001)&amp;"-"&amp;$A$2:$A$4001,0,-1)),I450))</f>
        <v>9</v>
      </c>
      <c r="K450" cm="1">
        <f t="array" ref="K450">IF(OR(AND(J450=9,K$1&gt;YEAR($N450))),9,_xlfn.IFNA(INDEX($D$2:$D$4001,_xlfn.XMATCH(K$1&amp;"-"&amp;$F450,YEAR($B$2:$B$4001)&amp;"-"&amp;$A$2:$A$4001,0,-1)),J450))</f>
        <v>3</v>
      </c>
      <c r="L450" cm="1">
        <f t="array" ref="L450">IF(OR(AND(K450=9,L$1&gt;YEAR($N450))),9,_xlfn.IFNA(INDEX($D$2:$D$4001,_xlfn.XMATCH(L$1&amp;"-"&amp;$F450,YEAR($B$2:$B$4001)&amp;"-"&amp;$A$2:$A$4001,0,-1)),K450))</f>
        <v>3</v>
      </c>
      <c r="M450" cm="1">
        <f t="array" ref="M450">IF(OR(AND(L450=9,M$1&gt;YEAR($N450))),9,_xlfn.IFNA(INDEX($D$2:$D$4001,_xlfn.XMATCH(M$1&amp;"-"&amp;$F450,YEAR($B$2:$B$4001)&amp;"-"&amp;$A$2:$A$4001,0,-1)),L450))</f>
        <v>3</v>
      </c>
      <c r="N450" s="1">
        <f t="shared" si="6"/>
        <v>37762</v>
      </c>
    </row>
    <row r="451" spans="1:14" x14ac:dyDescent="0.35">
      <c r="A451">
        <v>231</v>
      </c>
      <c r="B451" s="2">
        <v>38716</v>
      </c>
      <c r="C451">
        <v>4</v>
      </c>
      <c r="D451">
        <v>4</v>
      </c>
      <c r="F451">
        <v>450</v>
      </c>
      <c r="G451" cm="1">
        <f t="array" ref="G451">_xlfn.IFNA(INDEX($D$2:$D$4001,_xlfn.XMATCH(G$1&amp;"-"&amp;$F451,YEAR($B$2:$B$4001)&amp;"-"&amp;$A$2:$A$4001,0,-1)),9)</f>
        <v>4</v>
      </c>
      <c r="H451" cm="1">
        <f t="array" ref="H451">IF(OR(AND(G451=9,H$1&gt;YEAR($N451))),9,_xlfn.IFNA(INDEX($D$2:$D$4001,_xlfn.XMATCH(H$1&amp;"-"&amp;$F451,YEAR($B$2:$B$4001)&amp;"-"&amp;$A$2:$A$4001,0,-1)),G451))</f>
        <v>5</v>
      </c>
      <c r="I451" cm="1">
        <f t="array" ref="I451">IF(OR(AND(H451=9,I$1&gt;YEAR($N451))),9,_xlfn.IFNA(INDEX($D$2:$D$4001,_xlfn.XMATCH(I$1&amp;"-"&amp;$F451,YEAR($B$2:$B$4001)&amp;"-"&amp;$A$2:$A$4001,0,-1)),H451))</f>
        <v>5</v>
      </c>
      <c r="J451" cm="1">
        <f t="array" ref="J451">IF(OR(AND(I451=9,J$1&gt;YEAR($N451))),9,_xlfn.IFNA(INDEX($D$2:$D$4001,_xlfn.XMATCH(J$1&amp;"-"&amp;$F451,YEAR($B$2:$B$4001)&amp;"-"&amp;$A$2:$A$4001,0,-1)),I451))</f>
        <v>5</v>
      </c>
      <c r="K451" cm="1">
        <f t="array" ref="K451">IF(OR(AND(J451=9,K$1&gt;YEAR($N451))),9,_xlfn.IFNA(INDEX($D$2:$D$4001,_xlfn.XMATCH(K$1&amp;"-"&amp;$F451,YEAR($B$2:$B$4001)&amp;"-"&amp;$A$2:$A$4001,0,-1)),J451))</f>
        <v>5</v>
      </c>
      <c r="L451" cm="1">
        <f t="array" ref="L451">IF(OR(AND(K451=9,L$1&gt;YEAR($N451))),9,_xlfn.IFNA(INDEX($D$2:$D$4001,_xlfn.XMATCH(L$1&amp;"-"&amp;$F451,YEAR($B$2:$B$4001)&amp;"-"&amp;$A$2:$A$4001,0,-1)),K451))</f>
        <v>0</v>
      </c>
      <c r="M451" cm="1">
        <f t="array" ref="M451">IF(OR(AND(L451=9,M$1&gt;YEAR($N451))),9,_xlfn.IFNA(INDEX($D$2:$D$4001,_xlfn.XMATCH(M$1&amp;"-"&amp;$F451,YEAR($B$2:$B$4001)&amp;"-"&amp;$A$2:$A$4001,0,-1)),L451))</f>
        <v>0</v>
      </c>
      <c r="N451" s="1">
        <f t="shared" ref="N451:N514" si="7">_xlfn.MINIFS($B$2:$B$4001,$A$2:$A$4001,F451)</f>
        <v>36341</v>
      </c>
    </row>
    <row r="452" spans="1:14" x14ac:dyDescent="0.35">
      <c r="A452">
        <v>232</v>
      </c>
      <c r="B452" s="2">
        <v>36524</v>
      </c>
      <c r="C452">
        <v>3</v>
      </c>
      <c r="D452">
        <v>3</v>
      </c>
      <c r="F452">
        <v>451</v>
      </c>
      <c r="G452" cm="1">
        <f t="array" ref="G452">_xlfn.IFNA(INDEX($D$2:$D$4001,_xlfn.XMATCH(G$1&amp;"-"&amp;$F452,YEAR($B$2:$B$4001)&amp;"-"&amp;$A$2:$A$4001,0,-1)),9)</f>
        <v>5</v>
      </c>
      <c r="H452" cm="1">
        <f t="array" ref="H452">IF(OR(AND(G452=9,H$1&gt;YEAR($N452))),9,_xlfn.IFNA(INDEX($D$2:$D$4001,_xlfn.XMATCH(H$1&amp;"-"&amp;$F452,YEAR($B$2:$B$4001)&amp;"-"&amp;$A$2:$A$4001,0,-1)),G452))</f>
        <v>5</v>
      </c>
      <c r="I452" cm="1">
        <f t="array" ref="I452">IF(OR(AND(H452=9,I$1&gt;YEAR($N452))),9,_xlfn.IFNA(INDEX($D$2:$D$4001,_xlfn.XMATCH(I$1&amp;"-"&amp;$F452,YEAR($B$2:$B$4001)&amp;"-"&amp;$A$2:$A$4001,0,-1)),H452))</f>
        <v>5</v>
      </c>
      <c r="J452" cm="1">
        <f t="array" ref="J452">IF(OR(AND(I452=9,J$1&gt;YEAR($N452))),9,_xlfn.IFNA(INDEX($D$2:$D$4001,_xlfn.XMATCH(J$1&amp;"-"&amp;$F452,YEAR($B$2:$B$4001)&amp;"-"&amp;$A$2:$A$4001,0,-1)),I452))</f>
        <v>5</v>
      </c>
      <c r="K452" cm="1">
        <f t="array" ref="K452">IF(OR(AND(J452=9,K$1&gt;YEAR($N452))),9,_xlfn.IFNA(INDEX($D$2:$D$4001,_xlfn.XMATCH(K$1&amp;"-"&amp;$F452,YEAR($B$2:$B$4001)&amp;"-"&amp;$A$2:$A$4001,0,-1)),J452))</f>
        <v>5</v>
      </c>
      <c r="L452" cm="1">
        <f t="array" ref="L452">IF(OR(AND(K452=9,L$1&gt;YEAR($N452))),9,_xlfn.IFNA(INDEX($D$2:$D$4001,_xlfn.XMATCH(L$1&amp;"-"&amp;$F452,YEAR($B$2:$B$4001)&amp;"-"&amp;$A$2:$A$4001,0,-1)),K452))</f>
        <v>5</v>
      </c>
      <c r="M452" cm="1">
        <f t="array" ref="M452">IF(OR(AND(L452=9,M$1&gt;YEAR($N452))),9,_xlfn.IFNA(INDEX($D$2:$D$4001,_xlfn.XMATCH(M$1&amp;"-"&amp;$F452,YEAR($B$2:$B$4001)&amp;"-"&amp;$A$2:$A$4001,0,-1)),L452))</f>
        <v>5</v>
      </c>
      <c r="N452" s="1">
        <f t="shared" si="7"/>
        <v>36393</v>
      </c>
    </row>
    <row r="453" spans="1:14" x14ac:dyDescent="0.35">
      <c r="A453">
        <v>233</v>
      </c>
      <c r="B453" s="2">
        <v>37041</v>
      </c>
      <c r="C453">
        <v>4</v>
      </c>
      <c r="D453">
        <v>4</v>
      </c>
      <c r="F453">
        <v>452</v>
      </c>
      <c r="G453" cm="1">
        <f t="array" ref="G453">_xlfn.IFNA(INDEX($D$2:$D$4001,_xlfn.XMATCH(G$1&amp;"-"&amp;$F453,YEAR($B$2:$B$4001)&amp;"-"&amp;$A$2:$A$4001,0,-1)),9)</f>
        <v>9</v>
      </c>
      <c r="H453" cm="1">
        <f t="array" ref="H453">IF(OR(AND(G453=9,H$1&gt;YEAR($N453))),9,_xlfn.IFNA(INDEX($D$2:$D$4001,_xlfn.XMATCH(H$1&amp;"-"&amp;$F453,YEAR($B$2:$B$4001)&amp;"-"&amp;$A$2:$A$4001,0,-1)),G453))</f>
        <v>6</v>
      </c>
      <c r="I453" cm="1">
        <f t="array" ref="I453">IF(OR(AND(H453=9,I$1&gt;YEAR($N453))),9,_xlfn.IFNA(INDEX($D$2:$D$4001,_xlfn.XMATCH(I$1&amp;"-"&amp;$F453,YEAR($B$2:$B$4001)&amp;"-"&amp;$A$2:$A$4001,0,-1)),H453))</f>
        <v>8</v>
      </c>
      <c r="J453" cm="1">
        <f t="array" ref="J453">IF(OR(AND(I453=9,J$1&gt;YEAR($N453))),9,_xlfn.IFNA(INDEX($D$2:$D$4001,_xlfn.XMATCH(J$1&amp;"-"&amp;$F453,YEAR($B$2:$B$4001)&amp;"-"&amp;$A$2:$A$4001,0,-1)),I453))</f>
        <v>8</v>
      </c>
      <c r="K453" cm="1">
        <f t="array" ref="K453">IF(OR(AND(J453=9,K$1&gt;YEAR($N453))),9,_xlfn.IFNA(INDEX($D$2:$D$4001,_xlfn.XMATCH(K$1&amp;"-"&amp;$F453,YEAR($B$2:$B$4001)&amp;"-"&amp;$A$2:$A$4001,0,-1)),J453))</f>
        <v>8</v>
      </c>
      <c r="L453" cm="1">
        <f t="array" ref="L453">IF(OR(AND(K453=9,L$1&gt;YEAR($N453))),9,_xlfn.IFNA(INDEX($D$2:$D$4001,_xlfn.XMATCH(L$1&amp;"-"&amp;$F453,YEAR($B$2:$B$4001)&amp;"-"&amp;$A$2:$A$4001,0,-1)),K453))</f>
        <v>8</v>
      </c>
      <c r="M453" cm="1">
        <f t="array" ref="M453">IF(OR(AND(L453=9,M$1&gt;YEAR($N453))),9,_xlfn.IFNA(INDEX($D$2:$D$4001,_xlfn.XMATCH(M$1&amp;"-"&amp;$F453,YEAR($B$2:$B$4001)&amp;"-"&amp;$A$2:$A$4001,0,-1)),L453))</f>
        <v>8</v>
      </c>
      <c r="N453" s="1">
        <f t="shared" si="7"/>
        <v>36890</v>
      </c>
    </row>
    <row r="454" spans="1:14" x14ac:dyDescent="0.35">
      <c r="A454">
        <v>234</v>
      </c>
      <c r="B454" s="2">
        <v>36791</v>
      </c>
      <c r="C454">
        <v>0</v>
      </c>
      <c r="D454">
        <v>0</v>
      </c>
      <c r="F454">
        <v>453</v>
      </c>
      <c r="G454" cm="1">
        <f t="array" ref="G454">_xlfn.IFNA(INDEX($D$2:$D$4001,_xlfn.XMATCH(G$1&amp;"-"&amp;$F454,YEAR($B$2:$B$4001)&amp;"-"&amp;$A$2:$A$4001,0,-1)),9)</f>
        <v>9</v>
      </c>
      <c r="H454" cm="1">
        <f t="array" ref="H454">IF(OR(AND(G454=9,H$1&gt;YEAR($N454))),9,_xlfn.IFNA(INDEX($D$2:$D$4001,_xlfn.XMATCH(H$1&amp;"-"&amp;$F454,YEAR($B$2:$B$4001)&amp;"-"&amp;$A$2:$A$4001,0,-1)),G454))</f>
        <v>6</v>
      </c>
      <c r="I454" cm="1">
        <f t="array" ref="I454">IF(OR(AND(H454=9,I$1&gt;YEAR($N454))),9,_xlfn.IFNA(INDEX($D$2:$D$4001,_xlfn.XMATCH(I$1&amp;"-"&amp;$F454,YEAR($B$2:$B$4001)&amp;"-"&amp;$A$2:$A$4001,0,-1)),H454))</f>
        <v>6</v>
      </c>
      <c r="J454" cm="1">
        <f t="array" ref="J454">IF(OR(AND(I454=9,J$1&gt;YEAR($N454))),9,_xlfn.IFNA(INDEX($D$2:$D$4001,_xlfn.XMATCH(J$1&amp;"-"&amp;$F454,YEAR($B$2:$B$4001)&amp;"-"&amp;$A$2:$A$4001,0,-1)),I454))</f>
        <v>6</v>
      </c>
      <c r="K454" cm="1">
        <f t="array" ref="K454">IF(OR(AND(J454=9,K$1&gt;YEAR($N454))),9,_xlfn.IFNA(INDEX($D$2:$D$4001,_xlfn.XMATCH(K$1&amp;"-"&amp;$F454,YEAR($B$2:$B$4001)&amp;"-"&amp;$A$2:$A$4001,0,-1)),J454))</f>
        <v>6</v>
      </c>
      <c r="L454" cm="1">
        <f t="array" ref="L454">IF(OR(AND(K454=9,L$1&gt;YEAR($N454))),9,_xlfn.IFNA(INDEX($D$2:$D$4001,_xlfn.XMATCH(L$1&amp;"-"&amp;$F454,YEAR($B$2:$B$4001)&amp;"-"&amp;$A$2:$A$4001,0,-1)),K454))</f>
        <v>6</v>
      </c>
      <c r="M454" cm="1">
        <f t="array" ref="M454">IF(OR(AND(L454=9,M$1&gt;YEAR($N454))),9,_xlfn.IFNA(INDEX($D$2:$D$4001,_xlfn.XMATCH(M$1&amp;"-"&amp;$F454,YEAR($B$2:$B$4001)&amp;"-"&amp;$A$2:$A$4001,0,-1)),L454))</f>
        <v>6</v>
      </c>
      <c r="N454" s="1">
        <f t="shared" si="7"/>
        <v>36676</v>
      </c>
    </row>
    <row r="455" spans="1:14" x14ac:dyDescent="0.35">
      <c r="A455">
        <v>234</v>
      </c>
      <c r="B455" s="2">
        <v>36829</v>
      </c>
      <c r="C455">
        <v>2</v>
      </c>
      <c r="D455">
        <v>2</v>
      </c>
      <c r="F455">
        <v>454</v>
      </c>
      <c r="G455" cm="1">
        <f t="array" ref="G455">_xlfn.IFNA(INDEX($D$2:$D$4001,_xlfn.XMATCH(G$1&amp;"-"&amp;$F455,YEAR($B$2:$B$4001)&amp;"-"&amp;$A$2:$A$4001,0,-1)),9)</f>
        <v>6</v>
      </c>
      <c r="H455" cm="1">
        <f t="array" ref="H455">IF(OR(AND(G455=9,H$1&gt;YEAR($N455))),9,_xlfn.IFNA(INDEX($D$2:$D$4001,_xlfn.XMATCH(H$1&amp;"-"&amp;$F455,YEAR($B$2:$B$4001)&amp;"-"&amp;$A$2:$A$4001,0,-1)),G455))</f>
        <v>6</v>
      </c>
      <c r="I455" cm="1">
        <f t="array" ref="I455">IF(OR(AND(H455=9,I$1&gt;YEAR($N455))),9,_xlfn.IFNA(INDEX($D$2:$D$4001,_xlfn.XMATCH(I$1&amp;"-"&amp;$F455,YEAR($B$2:$B$4001)&amp;"-"&amp;$A$2:$A$4001,0,-1)),H455))</f>
        <v>6</v>
      </c>
      <c r="J455" cm="1">
        <f t="array" ref="J455">IF(OR(AND(I455=9,J$1&gt;YEAR($N455))),9,_xlfn.IFNA(INDEX($D$2:$D$4001,_xlfn.XMATCH(J$1&amp;"-"&amp;$F455,YEAR($B$2:$B$4001)&amp;"-"&amp;$A$2:$A$4001,0,-1)),I455))</f>
        <v>6</v>
      </c>
      <c r="K455" cm="1">
        <f t="array" ref="K455">IF(OR(AND(J455=9,K$1&gt;YEAR($N455))),9,_xlfn.IFNA(INDEX($D$2:$D$4001,_xlfn.XMATCH(K$1&amp;"-"&amp;$F455,YEAR($B$2:$B$4001)&amp;"-"&amp;$A$2:$A$4001,0,-1)),J455))</f>
        <v>5</v>
      </c>
      <c r="L455" cm="1">
        <f t="array" ref="L455">IF(OR(AND(K455=9,L$1&gt;YEAR($N455))),9,_xlfn.IFNA(INDEX($D$2:$D$4001,_xlfn.XMATCH(L$1&amp;"-"&amp;$F455,YEAR($B$2:$B$4001)&amp;"-"&amp;$A$2:$A$4001,0,-1)),K455))</f>
        <v>5</v>
      </c>
      <c r="M455" cm="1">
        <f t="array" ref="M455">IF(OR(AND(L455=9,M$1&gt;YEAR($N455))),9,_xlfn.IFNA(INDEX($D$2:$D$4001,_xlfn.XMATCH(M$1&amp;"-"&amp;$F455,YEAR($B$2:$B$4001)&amp;"-"&amp;$A$2:$A$4001,0,-1)),L455))</f>
        <v>5</v>
      </c>
      <c r="N455" s="1">
        <f t="shared" si="7"/>
        <v>36393</v>
      </c>
    </row>
    <row r="456" spans="1:14" x14ac:dyDescent="0.35">
      <c r="A456">
        <v>235</v>
      </c>
      <c r="B456" s="2">
        <v>36524</v>
      </c>
      <c r="C456">
        <v>4</v>
      </c>
      <c r="D456">
        <v>4</v>
      </c>
      <c r="F456">
        <v>455</v>
      </c>
      <c r="G456" cm="1">
        <f t="array" ref="G456">_xlfn.IFNA(INDEX($D$2:$D$4001,_xlfn.XMATCH(G$1&amp;"-"&amp;$F456,YEAR($B$2:$B$4001)&amp;"-"&amp;$A$2:$A$4001,0,-1)),9)</f>
        <v>9</v>
      </c>
      <c r="H456" cm="1">
        <f t="array" ref="H456">IF(OR(AND(G456=9,H$1&gt;YEAR($N456))),9,_xlfn.IFNA(INDEX($D$2:$D$4001,_xlfn.XMATCH(H$1&amp;"-"&amp;$F456,YEAR($B$2:$B$4001)&amp;"-"&amp;$A$2:$A$4001,0,-1)),G456))</f>
        <v>9</v>
      </c>
      <c r="I456" cm="1">
        <f t="array" ref="I456">IF(OR(AND(H456=9,I$1&gt;YEAR($N456))),9,_xlfn.IFNA(INDEX($D$2:$D$4001,_xlfn.XMATCH(I$1&amp;"-"&amp;$F456,YEAR($B$2:$B$4001)&amp;"-"&amp;$A$2:$A$4001,0,-1)),H456))</f>
        <v>9</v>
      </c>
      <c r="J456" cm="1">
        <f t="array" ref="J456">IF(OR(AND(I456=9,J$1&gt;YEAR($N456))),9,_xlfn.IFNA(INDEX($D$2:$D$4001,_xlfn.XMATCH(J$1&amp;"-"&amp;$F456,YEAR($B$2:$B$4001)&amp;"-"&amp;$A$2:$A$4001,0,-1)),I456))</f>
        <v>4</v>
      </c>
      <c r="K456" cm="1">
        <f t="array" ref="K456">IF(OR(AND(J456=9,K$1&gt;YEAR($N456))),9,_xlfn.IFNA(INDEX($D$2:$D$4001,_xlfn.XMATCH(K$1&amp;"-"&amp;$F456,YEAR($B$2:$B$4001)&amp;"-"&amp;$A$2:$A$4001,0,-1)),J456))</f>
        <v>4</v>
      </c>
      <c r="L456" cm="1">
        <f t="array" ref="L456">IF(OR(AND(K456=9,L$1&gt;YEAR($N456))),9,_xlfn.IFNA(INDEX($D$2:$D$4001,_xlfn.XMATCH(L$1&amp;"-"&amp;$F456,YEAR($B$2:$B$4001)&amp;"-"&amp;$A$2:$A$4001,0,-1)),K456))</f>
        <v>4</v>
      </c>
      <c r="M456" cm="1">
        <f t="array" ref="M456">IF(OR(AND(L456=9,M$1&gt;YEAR($N456))),9,_xlfn.IFNA(INDEX($D$2:$D$4001,_xlfn.XMATCH(M$1&amp;"-"&amp;$F456,YEAR($B$2:$B$4001)&amp;"-"&amp;$A$2:$A$4001,0,-1)),L456))</f>
        <v>4</v>
      </c>
      <c r="N456" s="1">
        <f t="shared" si="7"/>
        <v>37620</v>
      </c>
    </row>
    <row r="457" spans="1:14" x14ac:dyDescent="0.35">
      <c r="A457">
        <v>236</v>
      </c>
      <c r="B457" s="2">
        <v>37255</v>
      </c>
      <c r="C457">
        <v>0</v>
      </c>
      <c r="D457">
        <v>0</v>
      </c>
      <c r="F457">
        <v>456</v>
      </c>
      <c r="G457" cm="1">
        <f t="array" ref="G457">_xlfn.IFNA(INDEX($D$2:$D$4001,_xlfn.XMATCH(G$1&amp;"-"&amp;$F457,YEAR($B$2:$B$4001)&amp;"-"&amp;$A$2:$A$4001,0,-1)),9)</f>
        <v>9</v>
      </c>
      <c r="H457" cm="1">
        <f t="array" ref="H457">IF(OR(AND(G457=9,H$1&gt;YEAR($N457))),9,_xlfn.IFNA(INDEX($D$2:$D$4001,_xlfn.XMATCH(H$1&amp;"-"&amp;$F457,YEAR($B$2:$B$4001)&amp;"-"&amp;$A$2:$A$4001,0,-1)),G457))</f>
        <v>9</v>
      </c>
      <c r="I457" cm="1">
        <f t="array" ref="I457">IF(OR(AND(H457=9,I$1&gt;YEAR($N457))),9,_xlfn.IFNA(INDEX($D$2:$D$4001,_xlfn.XMATCH(I$1&amp;"-"&amp;$F457,YEAR($B$2:$B$4001)&amp;"-"&amp;$A$2:$A$4001,0,-1)),H457))</f>
        <v>9</v>
      </c>
      <c r="J457" cm="1">
        <f t="array" ref="J457">IF(OR(AND(I457=9,J$1&gt;YEAR($N457))),9,_xlfn.IFNA(INDEX($D$2:$D$4001,_xlfn.XMATCH(J$1&amp;"-"&amp;$F457,YEAR($B$2:$B$4001)&amp;"-"&amp;$A$2:$A$4001,0,-1)),I457))</f>
        <v>0</v>
      </c>
      <c r="K457" cm="1">
        <f t="array" ref="K457">IF(OR(AND(J457=9,K$1&gt;YEAR($N457))),9,_xlfn.IFNA(INDEX($D$2:$D$4001,_xlfn.XMATCH(K$1&amp;"-"&amp;$F457,YEAR($B$2:$B$4001)&amp;"-"&amp;$A$2:$A$4001,0,-1)),J457))</f>
        <v>0</v>
      </c>
      <c r="L457" cm="1">
        <f t="array" ref="L457">IF(OR(AND(K457=9,L$1&gt;YEAR($N457))),9,_xlfn.IFNA(INDEX($D$2:$D$4001,_xlfn.XMATCH(L$1&amp;"-"&amp;$F457,YEAR($B$2:$B$4001)&amp;"-"&amp;$A$2:$A$4001,0,-1)),K457))</f>
        <v>6</v>
      </c>
      <c r="M457" cm="1">
        <f t="array" ref="M457">IF(OR(AND(L457=9,M$1&gt;YEAR($N457))),9,_xlfn.IFNA(INDEX($D$2:$D$4001,_xlfn.XMATCH(M$1&amp;"-"&amp;$F457,YEAR($B$2:$B$4001)&amp;"-"&amp;$A$2:$A$4001,0,-1)),L457))</f>
        <v>6</v>
      </c>
      <c r="N457" s="1">
        <f t="shared" si="7"/>
        <v>37559</v>
      </c>
    </row>
    <row r="458" spans="1:14" x14ac:dyDescent="0.35">
      <c r="A458">
        <v>237</v>
      </c>
      <c r="B458" s="2">
        <v>36890</v>
      </c>
      <c r="C458">
        <v>3</v>
      </c>
      <c r="D458">
        <v>3</v>
      </c>
      <c r="F458">
        <v>457</v>
      </c>
      <c r="G458" cm="1">
        <f t="array" ref="G458">_xlfn.IFNA(INDEX($D$2:$D$4001,_xlfn.XMATCH(G$1&amp;"-"&amp;$F458,YEAR($B$2:$B$4001)&amp;"-"&amp;$A$2:$A$4001,0,-1)),9)</f>
        <v>6</v>
      </c>
      <c r="H458" cm="1">
        <f t="array" ref="H458">IF(OR(AND(G458=9,H$1&gt;YEAR($N458))),9,_xlfn.IFNA(INDEX($D$2:$D$4001,_xlfn.XMATCH(H$1&amp;"-"&amp;$F458,YEAR($B$2:$B$4001)&amp;"-"&amp;$A$2:$A$4001,0,-1)),G458))</f>
        <v>6</v>
      </c>
      <c r="I458" cm="1">
        <f t="array" ref="I458">IF(OR(AND(H458=9,I$1&gt;YEAR($N458))),9,_xlfn.IFNA(INDEX($D$2:$D$4001,_xlfn.XMATCH(I$1&amp;"-"&amp;$F458,YEAR($B$2:$B$4001)&amp;"-"&amp;$A$2:$A$4001,0,-1)),H458))</f>
        <v>7</v>
      </c>
      <c r="J458" cm="1">
        <f t="array" ref="J458">IF(OR(AND(I458=9,J$1&gt;YEAR($N458))),9,_xlfn.IFNA(INDEX($D$2:$D$4001,_xlfn.XMATCH(J$1&amp;"-"&amp;$F458,YEAR($B$2:$B$4001)&amp;"-"&amp;$A$2:$A$4001,0,-1)),I458))</f>
        <v>7</v>
      </c>
      <c r="K458" cm="1">
        <f t="array" ref="K458">IF(OR(AND(J458=9,K$1&gt;YEAR($N458))),9,_xlfn.IFNA(INDEX($D$2:$D$4001,_xlfn.XMATCH(K$1&amp;"-"&amp;$F458,YEAR($B$2:$B$4001)&amp;"-"&amp;$A$2:$A$4001,0,-1)),J458))</f>
        <v>7</v>
      </c>
      <c r="L458" cm="1">
        <f t="array" ref="L458">IF(OR(AND(K458=9,L$1&gt;YEAR($N458))),9,_xlfn.IFNA(INDEX($D$2:$D$4001,_xlfn.XMATCH(L$1&amp;"-"&amp;$F458,YEAR($B$2:$B$4001)&amp;"-"&amp;$A$2:$A$4001,0,-1)),K458))</f>
        <v>6</v>
      </c>
      <c r="M458" cm="1">
        <f t="array" ref="M458">IF(OR(AND(L458=9,M$1&gt;YEAR($N458))),9,_xlfn.IFNA(INDEX($D$2:$D$4001,_xlfn.XMATCH(M$1&amp;"-"&amp;$F458,YEAR($B$2:$B$4001)&amp;"-"&amp;$A$2:$A$4001,0,-1)),L458))</f>
        <v>6</v>
      </c>
      <c r="N458" s="1">
        <f t="shared" si="7"/>
        <v>36307</v>
      </c>
    </row>
    <row r="459" spans="1:14" x14ac:dyDescent="0.35">
      <c r="A459">
        <v>238</v>
      </c>
      <c r="B459" s="2">
        <v>36676</v>
      </c>
      <c r="C459">
        <v>3</v>
      </c>
      <c r="D459">
        <v>3</v>
      </c>
      <c r="F459">
        <v>458</v>
      </c>
      <c r="G459" cm="1">
        <f t="array" ref="G459">_xlfn.IFNA(INDEX($D$2:$D$4001,_xlfn.XMATCH(G$1&amp;"-"&amp;$F459,YEAR($B$2:$B$4001)&amp;"-"&amp;$A$2:$A$4001,0,-1)),9)</f>
        <v>9</v>
      </c>
      <c r="H459" cm="1">
        <f t="array" ref="H459">IF(OR(AND(G459=9,H$1&gt;YEAR($N459))),9,_xlfn.IFNA(INDEX($D$2:$D$4001,_xlfn.XMATCH(H$1&amp;"-"&amp;$F459,YEAR($B$2:$B$4001)&amp;"-"&amp;$A$2:$A$4001,0,-1)),G459))</f>
        <v>9</v>
      </c>
      <c r="I459" cm="1">
        <f t="array" ref="I459">IF(OR(AND(H459=9,I$1&gt;YEAR($N459))),9,_xlfn.IFNA(INDEX($D$2:$D$4001,_xlfn.XMATCH(I$1&amp;"-"&amp;$F459,YEAR($B$2:$B$4001)&amp;"-"&amp;$A$2:$A$4001,0,-1)),H459))</f>
        <v>9</v>
      </c>
      <c r="J459" cm="1">
        <f t="array" ref="J459">IF(OR(AND(I459=9,J$1&gt;YEAR($N459))),9,_xlfn.IFNA(INDEX($D$2:$D$4001,_xlfn.XMATCH(J$1&amp;"-"&amp;$F459,YEAR($B$2:$B$4001)&amp;"-"&amp;$A$2:$A$4001,0,-1)),I459))</f>
        <v>9</v>
      </c>
      <c r="K459" cm="1">
        <f t="array" ref="K459">IF(OR(AND(J459=9,K$1&gt;YEAR($N459))),9,_xlfn.IFNA(INDEX($D$2:$D$4001,_xlfn.XMATCH(K$1&amp;"-"&amp;$F459,YEAR($B$2:$B$4001)&amp;"-"&amp;$A$2:$A$4001,0,-1)),J459))</f>
        <v>5</v>
      </c>
      <c r="L459" cm="1">
        <f t="array" ref="L459">IF(OR(AND(K459=9,L$1&gt;YEAR($N459))),9,_xlfn.IFNA(INDEX($D$2:$D$4001,_xlfn.XMATCH(L$1&amp;"-"&amp;$F459,YEAR($B$2:$B$4001)&amp;"-"&amp;$A$2:$A$4001,0,-1)),K459))</f>
        <v>4</v>
      </c>
      <c r="M459" cm="1">
        <f t="array" ref="M459">IF(OR(AND(L459=9,M$1&gt;YEAR($N459))),9,_xlfn.IFNA(INDEX($D$2:$D$4001,_xlfn.XMATCH(M$1&amp;"-"&amp;$F459,YEAR($B$2:$B$4001)&amp;"-"&amp;$A$2:$A$4001,0,-1)),L459))</f>
        <v>4</v>
      </c>
      <c r="N459" s="1">
        <f t="shared" si="7"/>
        <v>37985</v>
      </c>
    </row>
    <row r="460" spans="1:14" x14ac:dyDescent="0.35">
      <c r="A460">
        <v>238</v>
      </c>
      <c r="B460" s="2">
        <v>37032</v>
      </c>
      <c r="C460">
        <v>3</v>
      </c>
      <c r="D460">
        <v>3</v>
      </c>
      <c r="F460">
        <v>459</v>
      </c>
      <c r="G460" cm="1">
        <f t="array" ref="G460">_xlfn.IFNA(INDEX($D$2:$D$4001,_xlfn.XMATCH(G$1&amp;"-"&amp;$F460,YEAR($B$2:$B$4001)&amp;"-"&amp;$A$2:$A$4001,0,-1)),9)</f>
        <v>9</v>
      </c>
      <c r="H460" cm="1">
        <f t="array" ref="H460">IF(OR(AND(G460=9,H$1&gt;YEAR($N460))),9,_xlfn.IFNA(INDEX($D$2:$D$4001,_xlfn.XMATCH(H$1&amp;"-"&amp;$F460,YEAR($B$2:$B$4001)&amp;"-"&amp;$A$2:$A$4001,0,-1)),G460))</f>
        <v>9</v>
      </c>
      <c r="I460" cm="1">
        <f t="array" ref="I460">IF(OR(AND(H460=9,I$1&gt;YEAR($N460))),9,_xlfn.IFNA(INDEX($D$2:$D$4001,_xlfn.XMATCH(I$1&amp;"-"&amp;$F460,YEAR($B$2:$B$4001)&amp;"-"&amp;$A$2:$A$4001,0,-1)),H460))</f>
        <v>3</v>
      </c>
      <c r="J460" cm="1">
        <f t="array" ref="J460">IF(OR(AND(I460=9,J$1&gt;YEAR($N460))),9,_xlfn.IFNA(INDEX($D$2:$D$4001,_xlfn.XMATCH(J$1&amp;"-"&amp;$F460,YEAR($B$2:$B$4001)&amp;"-"&amp;$A$2:$A$4001,0,-1)),I460))</f>
        <v>3</v>
      </c>
      <c r="K460" cm="1">
        <f t="array" ref="K460">IF(OR(AND(J460=9,K$1&gt;YEAR($N460))),9,_xlfn.IFNA(INDEX($D$2:$D$4001,_xlfn.XMATCH(K$1&amp;"-"&amp;$F460,YEAR($B$2:$B$4001)&amp;"-"&amp;$A$2:$A$4001,0,-1)),J460))</f>
        <v>3</v>
      </c>
      <c r="L460" cm="1">
        <f t="array" ref="L460">IF(OR(AND(K460=9,L$1&gt;YEAR($N460))),9,_xlfn.IFNA(INDEX($D$2:$D$4001,_xlfn.XMATCH(L$1&amp;"-"&amp;$F460,YEAR($B$2:$B$4001)&amp;"-"&amp;$A$2:$A$4001,0,-1)),K460))</f>
        <v>3</v>
      </c>
      <c r="M460" cm="1">
        <f t="array" ref="M460">IF(OR(AND(L460=9,M$1&gt;YEAR($N460))),9,_xlfn.IFNA(INDEX($D$2:$D$4001,_xlfn.XMATCH(M$1&amp;"-"&amp;$F460,YEAR($B$2:$B$4001)&amp;"-"&amp;$A$2:$A$4001,0,-1)),L460))</f>
        <v>3</v>
      </c>
      <c r="N460" s="1">
        <f t="shared" si="7"/>
        <v>37155</v>
      </c>
    </row>
    <row r="461" spans="1:14" x14ac:dyDescent="0.35">
      <c r="A461">
        <v>238</v>
      </c>
      <c r="B461" s="2">
        <v>37255</v>
      </c>
      <c r="C461">
        <v>3</v>
      </c>
      <c r="D461">
        <v>3</v>
      </c>
      <c r="F461">
        <v>460</v>
      </c>
      <c r="G461" cm="1">
        <f t="array" ref="G461">_xlfn.IFNA(INDEX($D$2:$D$4001,_xlfn.XMATCH(G$1&amp;"-"&amp;$F461,YEAR($B$2:$B$4001)&amp;"-"&amp;$A$2:$A$4001,0,-1)),9)</f>
        <v>9</v>
      </c>
      <c r="H461" cm="1">
        <f t="array" ref="H461">IF(OR(AND(G461=9,H$1&gt;YEAR($N461))),9,_xlfn.IFNA(INDEX($D$2:$D$4001,_xlfn.XMATCH(H$1&amp;"-"&amp;$F461,YEAR($B$2:$B$4001)&amp;"-"&amp;$A$2:$A$4001,0,-1)),G461))</f>
        <v>9</v>
      </c>
      <c r="I461" cm="1">
        <f t="array" ref="I461">IF(OR(AND(H461=9,I$1&gt;YEAR($N461))),9,_xlfn.IFNA(INDEX($D$2:$D$4001,_xlfn.XMATCH(I$1&amp;"-"&amp;$F461,YEAR($B$2:$B$4001)&amp;"-"&amp;$A$2:$A$4001,0,-1)),H461))</f>
        <v>9</v>
      </c>
      <c r="J461" cm="1">
        <f t="array" ref="J461">IF(OR(AND(I461=9,J$1&gt;YEAR($N461))),9,_xlfn.IFNA(INDEX($D$2:$D$4001,_xlfn.XMATCH(J$1&amp;"-"&amp;$F461,YEAR($B$2:$B$4001)&amp;"-"&amp;$A$2:$A$4001,0,-1)),I461))</f>
        <v>9</v>
      </c>
      <c r="K461" cm="1">
        <f t="array" ref="K461">IF(OR(AND(J461=9,K$1&gt;YEAR($N461))),9,_xlfn.IFNA(INDEX($D$2:$D$4001,_xlfn.XMATCH(K$1&amp;"-"&amp;$F461,YEAR($B$2:$B$4001)&amp;"-"&amp;$A$2:$A$4001,0,-1)),J461))</f>
        <v>6</v>
      </c>
      <c r="L461" cm="1">
        <f t="array" ref="L461">IF(OR(AND(K461=9,L$1&gt;YEAR($N461))),9,_xlfn.IFNA(INDEX($D$2:$D$4001,_xlfn.XMATCH(L$1&amp;"-"&amp;$F461,YEAR($B$2:$B$4001)&amp;"-"&amp;$A$2:$A$4001,0,-1)),K461))</f>
        <v>6</v>
      </c>
      <c r="M461" cm="1">
        <f t="array" ref="M461">IF(OR(AND(L461=9,M$1&gt;YEAR($N461))),9,_xlfn.IFNA(INDEX($D$2:$D$4001,_xlfn.XMATCH(M$1&amp;"-"&amp;$F461,YEAR($B$2:$B$4001)&amp;"-"&amp;$A$2:$A$4001,0,-1)),L461))</f>
        <v>6</v>
      </c>
      <c r="N461" s="1">
        <f t="shared" si="7"/>
        <v>37762</v>
      </c>
    </row>
    <row r="462" spans="1:14" x14ac:dyDescent="0.35">
      <c r="A462">
        <v>239</v>
      </c>
      <c r="B462" s="2">
        <v>37032</v>
      </c>
      <c r="C462">
        <v>3</v>
      </c>
      <c r="D462">
        <v>3</v>
      </c>
      <c r="F462">
        <v>461</v>
      </c>
      <c r="G462" cm="1">
        <f t="array" ref="G462">_xlfn.IFNA(INDEX($D$2:$D$4001,_xlfn.XMATCH(G$1&amp;"-"&amp;$F462,YEAR($B$2:$B$4001)&amp;"-"&amp;$A$2:$A$4001,0,-1)),9)</f>
        <v>9</v>
      </c>
      <c r="H462" cm="1">
        <f t="array" ref="H462">IF(OR(AND(G462=9,H$1&gt;YEAR($N462))),9,_xlfn.IFNA(INDEX($D$2:$D$4001,_xlfn.XMATCH(H$1&amp;"-"&amp;$F462,YEAR($B$2:$B$4001)&amp;"-"&amp;$A$2:$A$4001,0,-1)),G462))</f>
        <v>9</v>
      </c>
      <c r="I462" cm="1">
        <f t="array" ref="I462">IF(OR(AND(H462=9,I$1&gt;YEAR($N462))),9,_xlfn.IFNA(INDEX($D$2:$D$4001,_xlfn.XMATCH(I$1&amp;"-"&amp;$F462,YEAR($B$2:$B$4001)&amp;"-"&amp;$A$2:$A$4001,0,-1)),H462))</f>
        <v>0</v>
      </c>
      <c r="J462" cm="1">
        <f t="array" ref="J462">IF(OR(AND(I462=9,J$1&gt;YEAR($N462))),9,_xlfn.IFNA(INDEX($D$2:$D$4001,_xlfn.XMATCH(J$1&amp;"-"&amp;$F462,YEAR($B$2:$B$4001)&amp;"-"&amp;$A$2:$A$4001,0,-1)),I462))</f>
        <v>0</v>
      </c>
      <c r="K462" cm="1">
        <f t="array" ref="K462">IF(OR(AND(J462=9,K$1&gt;YEAR($N462))),9,_xlfn.IFNA(INDEX($D$2:$D$4001,_xlfn.XMATCH(K$1&amp;"-"&amp;$F462,YEAR($B$2:$B$4001)&amp;"-"&amp;$A$2:$A$4001,0,-1)),J462))</f>
        <v>0</v>
      </c>
      <c r="L462" cm="1">
        <f t="array" ref="L462">IF(OR(AND(K462=9,L$1&gt;YEAR($N462))),9,_xlfn.IFNA(INDEX($D$2:$D$4001,_xlfn.XMATCH(L$1&amp;"-"&amp;$F462,YEAR($B$2:$B$4001)&amp;"-"&amp;$A$2:$A$4001,0,-1)),K462))</f>
        <v>0</v>
      </c>
      <c r="M462" cm="1">
        <f t="array" ref="M462">IF(OR(AND(L462=9,M$1&gt;YEAR($N462))),9,_xlfn.IFNA(INDEX($D$2:$D$4001,_xlfn.XMATCH(M$1&amp;"-"&amp;$F462,YEAR($B$2:$B$4001)&amp;"-"&amp;$A$2:$A$4001,0,-1)),L462))</f>
        <v>0</v>
      </c>
      <c r="N462" s="1">
        <f t="shared" si="7"/>
        <v>37032</v>
      </c>
    </row>
    <row r="463" spans="1:14" x14ac:dyDescent="0.35">
      <c r="A463">
        <v>239</v>
      </c>
      <c r="B463" s="2">
        <v>37620</v>
      </c>
      <c r="C463">
        <v>3</v>
      </c>
      <c r="D463">
        <v>3</v>
      </c>
      <c r="F463">
        <v>462</v>
      </c>
      <c r="G463" cm="1">
        <f t="array" ref="G463">_xlfn.IFNA(INDEX($D$2:$D$4001,_xlfn.XMATCH(G$1&amp;"-"&amp;$F463,YEAR($B$2:$B$4001)&amp;"-"&amp;$A$2:$A$4001,0,-1)),9)</f>
        <v>3</v>
      </c>
      <c r="H463" cm="1">
        <f t="array" ref="H463">IF(OR(AND(G463=9,H$1&gt;YEAR($N463))),9,_xlfn.IFNA(INDEX($D$2:$D$4001,_xlfn.XMATCH(H$1&amp;"-"&amp;$F463,YEAR($B$2:$B$4001)&amp;"-"&amp;$A$2:$A$4001,0,-1)),G463))</f>
        <v>3</v>
      </c>
      <c r="I463" cm="1">
        <f t="array" ref="I463">IF(OR(AND(H463=9,I$1&gt;YEAR($N463))),9,_xlfn.IFNA(INDEX($D$2:$D$4001,_xlfn.XMATCH(I$1&amp;"-"&amp;$F463,YEAR($B$2:$B$4001)&amp;"-"&amp;$A$2:$A$4001,0,-1)),H463))</f>
        <v>3</v>
      </c>
      <c r="J463" cm="1">
        <f t="array" ref="J463">IF(OR(AND(I463=9,J$1&gt;YEAR($N463))),9,_xlfn.IFNA(INDEX($D$2:$D$4001,_xlfn.XMATCH(J$1&amp;"-"&amp;$F463,YEAR($B$2:$B$4001)&amp;"-"&amp;$A$2:$A$4001,0,-1)),I463))</f>
        <v>3</v>
      </c>
      <c r="K463" cm="1">
        <f t="array" ref="K463">IF(OR(AND(J463=9,K$1&gt;YEAR($N463))),9,_xlfn.IFNA(INDEX($D$2:$D$4001,_xlfn.XMATCH(K$1&amp;"-"&amp;$F463,YEAR($B$2:$B$4001)&amp;"-"&amp;$A$2:$A$4001,0,-1)),J463))</f>
        <v>3</v>
      </c>
      <c r="L463" cm="1">
        <f t="array" ref="L463">IF(OR(AND(K463=9,L$1&gt;YEAR($N463))),9,_xlfn.IFNA(INDEX($D$2:$D$4001,_xlfn.XMATCH(L$1&amp;"-"&amp;$F463,YEAR($B$2:$B$4001)&amp;"-"&amp;$A$2:$A$4001,0,-1)),K463))</f>
        <v>3</v>
      </c>
      <c r="M463" cm="1">
        <f t="array" ref="M463">IF(OR(AND(L463=9,M$1&gt;YEAR($N463))),9,_xlfn.IFNA(INDEX($D$2:$D$4001,_xlfn.XMATCH(M$1&amp;"-"&amp;$F463,YEAR($B$2:$B$4001)&amp;"-"&amp;$A$2:$A$4001,0,-1)),L463))</f>
        <v>3</v>
      </c>
      <c r="N463" s="1">
        <f t="shared" si="7"/>
        <v>36402</v>
      </c>
    </row>
    <row r="464" spans="1:14" x14ac:dyDescent="0.35">
      <c r="A464">
        <v>240</v>
      </c>
      <c r="B464" s="2">
        <v>36890</v>
      </c>
      <c r="C464">
        <v>5</v>
      </c>
      <c r="D464">
        <v>5</v>
      </c>
      <c r="F464">
        <v>463</v>
      </c>
      <c r="G464" cm="1">
        <f t="array" ref="G464">_xlfn.IFNA(INDEX($D$2:$D$4001,_xlfn.XMATCH(G$1&amp;"-"&amp;$F464,YEAR($B$2:$B$4001)&amp;"-"&amp;$A$2:$A$4001,0,-1)),9)</f>
        <v>9</v>
      </c>
      <c r="H464" cm="1">
        <f t="array" ref="H464">IF(OR(AND(G464=9,H$1&gt;YEAR($N464))),9,_xlfn.IFNA(INDEX($D$2:$D$4001,_xlfn.XMATCH(H$1&amp;"-"&amp;$F464,YEAR($B$2:$B$4001)&amp;"-"&amp;$A$2:$A$4001,0,-1)),G464))</f>
        <v>0</v>
      </c>
      <c r="I464" cm="1">
        <f t="array" ref="I464">IF(OR(AND(H464=9,I$1&gt;YEAR($N464))),9,_xlfn.IFNA(INDEX($D$2:$D$4001,_xlfn.XMATCH(I$1&amp;"-"&amp;$F464,YEAR($B$2:$B$4001)&amp;"-"&amp;$A$2:$A$4001,0,-1)),H464))</f>
        <v>0</v>
      </c>
      <c r="J464" cm="1">
        <f t="array" ref="J464">IF(OR(AND(I464=9,J$1&gt;YEAR($N464))),9,_xlfn.IFNA(INDEX($D$2:$D$4001,_xlfn.XMATCH(J$1&amp;"-"&amp;$F464,YEAR($B$2:$B$4001)&amp;"-"&amp;$A$2:$A$4001,0,-1)),I464))</f>
        <v>0</v>
      </c>
      <c r="K464" cm="1">
        <f t="array" ref="K464">IF(OR(AND(J464=9,K$1&gt;YEAR($N464))),9,_xlfn.IFNA(INDEX($D$2:$D$4001,_xlfn.XMATCH(K$1&amp;"-"&amp;$F464,YEAR($B$2:$B$4001)&amp;"-"&amp;$A$2:$A$4001,0,-1)),J464))</f>
        <v>0</v>
      </c>
      <c r="L464" cm="1">
        <f t="array" ref="L464">IF(OR(AND(K464=9,L$1&gt;YEAR($N464))),9,_xlfn.IFNA(INDEX($D$2:$D$4001,_xlfn.XMATCH(L$1&amp;"-"&amp;$F464,YEAR($B$2:$B$4001)&amp;"-"&amp;$A$2:$A$4001,0,-1)),K464))</f>
        <v>0</v>
      </c>
      <c r="M464" cm="1">
        <f t="array" ref="M464">IF(OR(AND(L464=9,M$1&gt;YEAR($N464))),9,_xlfn.IFNA(INDEX($D$2:$D$4001,_xlfn.XMATCH(M$1&amp;"-"&amp;$F464,YEAR($B$2:$B$4001)&amp;"-"&amp;$A$2:$A$4001,0,-1)),L464))</f>
        <v>0</v>
      </c>
      <c r="N464" s="1">
        <f t="shared" si="7"/>
        <v>36676</v>
      </c>
    </row>
    <row r="465" spans="1:14" x14ac:dyDescent="0.35">
      <c r="A465">
        <v>240</v>
      </c>
      <c r="B465" s="2">
        <v>37063</v>
      </c>
      <c r="C465">
        <v>0</v>
      </c>
      <c r="D465">
        <v>0</v>
      </c>
      <c r="F465">
        <v>464</v>
      </c>
      <c r="G465" cm="1">
        <f t="array" ref="G465">_xlfn.IFNA(INDEX($D$2:$D$4001,_xlfn.XMATCH(G$1&amp;"-"&amp;$F465,YEAR($B$2:$B$4001)&amp;"-"&amp;$A$2:$A$4001,0,-1)),9)</f>
        <v>9</v>
      </c>
      <c r="H465" cm="1">
        <f t="array" ref="H465">IF(OR(AND(G465=9,H$1&gt;YEAR($N465))),9,_xlfn.IFNA(INDEX($D$2:$D$4001,_xlfn.XMATCH(H$1&amp;"-"&amp;$F465,YEAR($B$2:$B$4001)&amp;"-"&amp;$A$2:$A$4001,0,-1)),G465))</f>
        <v>9</v>
      </c>
      <c r="I465" cm="1">
        <f t="array" ref="I465">IF(OR(AND(H465=9,I$1&gt;YEAR($N465))),9,_xlfn.IFNA(INDEX($D$2:$D$4001,_xlfn.XMATCH(I$1&amp;"-"&amp;$F465,YEAR($B$2:$B$4001)&amp;"-"&amp;$A$2:$A$4001,0,-1)),H465))</f>
        <v>9</v>
      </c>
      <c r="J465" cm="1">
        <f t="array" ref="J465">IF(OR(AND(I465=9,J$1&gt;YEAR($N465))),9,_xlfn.IFNA(INDEX($D$2:$D$4001,_xlfn.XMATCH(J$1&amp;"-"&amp;$F465,YEAR($B$2:$B$4001)&amp;"-"&amp;$A$2:$A$4001,0,-1)),I465))</f>
        <v>9</v>
      </c>
      <c r="K465" cm="1">
        <f t="array" ref="K465">IF(OR(AND(J465=9,K$1&gt;YEAR($N465))),9,_xlfn.IFNA(INDEX($D$2:$D$4001,_xlfn.XMATCH(K$1&amp;"-"&amp;$F465,YEAR($B$2:$B$4001)&amp;"-"&amp;$A$2:$A$4001,0,-1)),J465))</f>
        <v>2</v>
      </c>
      <c r="L465" cm="1">
        <f t="array" ref="L465">IF(OR(AND(K465=9,L$1&gt;YEAR($N465))),9,_xlfn.IFNA(INDEX($D$2:$D$4001,_xlfn.XMATCH(L$1&amp;"-"&amp;$F465,YEAR($B$2:$B$4001)&amp;"-"&amp;$A$2:$A$4001,0,-1)),K465))</f>
        <v>2</v>
      </c>
      <c r="M465" cm="1">
        <f t="array" ref="M465">IF(OR(AND(L465=9,M$1&gt;YEAR($N465))),9,_xlfn.IFNA(INDEX($D$2:$D$4001,_xlfn.XMATCH(M$1&amp;"-"&amp;$F465,YEAR($B$2:$B$4001)&amp;"-"&amp;$A$2:$A$4001,0,-1)),L465))</f>
        <v>2</v>
      </c>
      <c r="N465" s="1">
        <f t="shared" si="7"/>
        <v>37863</v>
      </c>
    </row>
    <row r="466" spans="1:14" x14ac:dyDescent="0.35">
      <c r="A466">
        <v>241</v>
      </c>
      <c r="B466" s="2">
        <v>36301</v>
      </c>
      <c r="C466">
        <v>5</v>
      </c>
      <c r="D466">
        <v>5</v>
      </c>
      <c r="F466">
        <v>465</v>
      </c>
      <c r="G466" cm="1">
        <f t="array" ref="G466">_xlfn.IFNA(INDEX($D$2:$D$4001,_xlfn.XMATCH(G$1&amp;"-"&amp;$F466,YEAR($B$2:$B$4001)&amp;"-"&amp;$A$2:$A$4001,0,-1)),9)</f>
        <v>9</v>
      </c>
      <c r="H466" cm="1">
        <f t="array" ref="H466">IF(OR(AND(G466=9,H$1&gt;YEAR($N466))),9,_xlfn.IFNA(INDEX($D$2:$D$4001,_xlfn.XMATCH(H$1&amp;"-"&amp;$F466,YEAR($B$2:$B$4001)&amp;"-"&amp;$A$2:$A$4001,0,-1)),G466))</f>
        <v>9</v>
      </c>
      <c r="I466" cm="1">
        <f t="array" ref="I466">IF(OR(AND(H466=9,I$1&gt;YEAR($N466))),9,_xlfn.IFNA(INDEX($D$2:$D$4001,_xlfn.XMATCH(I$1&amp;"-"&amp;$F466,YEAR($B$2:$B$4001)&amp;"-"&amp;$A$2:$A$4001,0,-1)),H466))</f>
        <v>5</v>
      </c>
      <c r="J466" cm="1">
        <f t="array" ref="J466">IF(OR(AND(I466=9,J$1&gt;YEAR($N466))),9,_xlfn.IFNA(INDEX($D$2:$D$4001,_xlfn.XMATCH(J$1&amp;"-"&amp;$F466,YEAR($B$2:$B$4001)&amp;"-"&amp;$A$2:$A$4001,0,-1)),I466))</f>
        <v>6</v>
      </c>
      <c r="K466" cm="1">
        <f t="array" ref="K466">IF(OR(AND(J466=9,K$1&gt;YEAR($N466))),9,_xlfn.IFNA(INDEX($D$2:$D$4001,_xlfn.XMATCH(K$1&amp;"-"&amp;$F466,YEAR($B$2:$B$4001)&amp;"-"&amp;$A$2:$A$4001,0,-1)),J466))</f>
        <v>6</v>
      </c>
      <c r="L466" cm="1">
        <f t="array" ref="L466">IF(OR(AND(K466=9,L$1&gt;YEAR($N466))),9,_xlfn.IFNA(INDEX($D$2:$D$4001,_xlfn.XMATCH(L$1&amp;"-"&amp;$F466,YEAR($B$2:$B$4001)&amp;"-"&amp;$A$2:$A$4001,0,-1)),K466))</f>
        <v>6</v>
      </c>
      <c r="M466" cm="1">
        <f t="array" ref="M466">IF(OR(AND(L466=9,M$1&gt;YEAR($N466))),9,_xlfn.IFNA(INDEX($D$2:$D$4001,_xlfn.XMATCH(M$1&amp;"-"&amp;$F466,YEAR($B$2:$B$4001)&amp;"-"&amp;$A$2:$A$4001,0,-1)),L466))</f>
        <v>6</v>
      </c>
      <c r="N466" s="1">
        <f t="shared" si="7"/>
        <v>37032</v>
      </c>
    </row>
    <row r="467" spans="1:14" x14ac:dyDescent="0.35">
      <c r="A467">
        <v>241</v>
      </c>
      <c r="B467" s="2">
        <v>36729</v>
      </c>
      <c r="C467">
        <v>4</v>
      </c>
      <c r="D467">
        <v>4</v>
      </c>
      <c r="F467">
        <v>466</v>
      </c>
      <c r="G467" cm="1">
        <f t="array" ref="G467">_xlfn.IFNA(INDEX($D$2:$D$4001,_xlfn.XMATCH(G$1&amp;"-"&amp;$F467,YEAR($B$2:$B$4001)&amp;"-"&amp;$A$2:$A$4001,0,-1)),9)</f>
        <v>9</v>
      </c>
      <c r="H467" cm="1">
        <f t="array" ref="H467">IF(OR(AND(G467=9,H$1&gt;YEAR($N467))),9,_xlfn.IFNA(INDEX($D$2:$D$4001,_xlfn.XMATCH(H$1&amp;"-"&amp;$F467,YEAR($B$2:$B$4001)&amp;"-"&amp;$A$2:$A$4001,0,-1)),G467))</f>
        <v>9</v>
      </c>
      <c r="I467" cm="1">
        <f t="array" ref="I467">IF(OR(AND(H467=9,I$1&gt;YEAR($N467))),9,_xlfn.IFNA(INDEX($D$2:$D$4001,_xlfn.XMATCH(I$1&amp;"-"&amp;$F467,YEAR($B$2:$B$4001)&amp;"-"&amp;$A$2:$A$4001,0,-1)),H467))</f>
        <v>9</v>
      </c>
      <c r="J467" cm="1">
        <f t="array" ref="J467">IF(OR(AND(I467=9,J$1&gt;YEAR($N467))),9,_xlfn.IFNA(INDEX($D$2:$D$4001,_xlfn.XMATCH(J$1&amp;"-"&amp;$F467,YEAR($B$2:$B$4001)&amp;"-"&amp;$A$2:$A$4001,0,-1)),I467))</f>
        <v>9</v>
      </c>
      <c r="K467" cm="1">
        <f t="array" ref="K467">IF(OR(AND(J467=9,K$1&gt;YEAR($N467))),9,_xlfn.IFNA(INDEX($D$2:$D$4001,_xlfn.XMATCH(K$1&amp;"-"&amp;$F467,YEAR($B$2:$B$4001)&amp;"-"&amp;$A$2:$A$4001,0,-1)),J467))</f>
        <v>9</v>
      </c>
      <c r="L467" cm="1">
        <f t="array" ref="L467">IF(OR(AND(K467=9,L$1&gt;YEAR($N467))),9,_xlfn.IFNA(INDEX($D$2:$D$4001,_xlfn.XMATCH(L$1&amp;"-"&amp;$F467,YEAR($B$2:$B$4001)&amp;"-"&amp;$A$2:$A$4001,0,-1)),K467))</f>
        <v>0</v>
      </c>
      <c r="M467" cm="1">
        <f t="array" ref="M467">IF(OR(AND(L467=9,M$1&gt;YEAR($N467))),9,_xlfn.IFNA(INDEX($D$2:$D$4001,_xlfn.XMATCH(M$1&amp;"-"&amp;$F467,YEAR($B$2:$B$4001)&amp;"-"&amp;$A$2:$A$4001,0,-1)),L467))</f>
        <v>0</v>
      </c>
      <c r="N467" s="1">
        <f t="shared" si="7"/>
        <v>38290</v>
      </c>
    </row>
    <row r="468" spans="1:14" x14ac:dyDescent="0.35">
      <c r="A468">
        <v>241</v>
      </c>
      <c r="B468" s="2">
        <v>37185</v>
      </c>
      <c r="C468">
        <v>4</v>
      </c>
      <c r="D468">
        <v>4</v>
      </c>
      <c r="F468">
        <v>467</v>
      </c>
      <c r="G468" cm="1">
        <f t="array" ref="G468">_xlfn.IFNA(INDEX($D$2:$D$4001,_xlfn.XMATCH(G$1&amp;"-"&amp;$F468,YEAR($B$2:$B$4001)&amp;"-"&amp;$A$2:$A$4001,0,-1)),9)</f>
        <v>9</v>
      </c>
      <c r="H468" cm="1">
        <f t="array" ref="H468">IF(OR(AND(G468=9,H$1&gt;YEAR($N468))),9,_xlfn.IFNA(INDEX($D$2:$D$4001,_xlfn.XMATCH(H$1&amp;"-"&amp;$F468,YEAR($B$2:$B$4001)&amp;"-"&amp;$A$2:$A$4001,0,-1)),G468))</f>
        <v>9</v>
      </c>
      <c r="I468" cm="1">
        <f t="array" ref="I468">IF(OR(AND(H468=9,I$1&gt;YEAR($N468))),9,_xlfn.IFNA(INDEX($D$2:$D$4001,_xlfn.XMATCH(I$1&amp;"-"&amp;$F468,YEAR($B$2:$B$4001)&amp;"-"&amp;$A$2:$A$4001,0,-1)),H468))</f>
        <v>9</v>
      </c>
      <c r="J468" cm="1">
        <f t="array" ref="J468">IF(OR(AND(I468=9,J$1&gt;YEAR($N468))),9,_xlfn.IFNA(INDEX($D$2:$D$4001,_xlfn.XMATCH(J$1&amp;"-"&amp;$F468,YEAR($B$2:$B$4001)&amp;"-"&amp;$A$2:$A$4001,0,-1)),I468))</f>
        <v>3</v>
      </c>
      <c r="K468" cm="1">
        <f t="array" ref="K468">IF(OR(AND(J468=9,K$1&gt;YEAR($N468))),9,_xlfn.IFNA(INDEX($D$2:$D$4001,_xlfn.XMATCH(K$1&amp;"-"&amp;$F468,YEAR($B$2:$B$4001)&amp;"-"&amp;$A$2:$A$4001,0,-1)),J468))</f>
        <v>3</v>
      </c>
      <c r="L468" cm="1">
        <f t="array" ref="L468">IF(OR(AND(K468=9,L$1&gt;YEAR($N468))),9,_xlfn.IFNA(INDEX($D$2:$D$4001,_xlfn.XMATCH(L$1&amp;"-"&amp;$F468,YEAR($B$2:$B$4001)&amp;"-"&amp;$A$2:$A$4001,0,-1)),K468))</f>
        <v>3</v>
      </c>
      <c r="M468" cm="1">
        <f t="array" ref="M468">IF(OR(AND(L468=9,M$1&gt;YEAR($N468))),9,_xlfn.IFNA(INDEX($D$2:$D$4001,_xlfn.XMATCH(M$1&amp;"-"&amp;$F468,YEAR($B$2:$B$4001)&amp;"-"&amp;$A$2:$A$4001,0,-1)),L468))</f>
        <v>3</v>
      </c>
      <c r="N468" s="1">
        <f t="shared" si="7"/>
        <v>37620</v>
      </c>
    </row>
    <row r="469" spans="1:14" x14ac:dyDescent="0.35">
      <c r="A469">
        <v>241</v>
      </c>
      <c r="B469" s="2">
        <v>37620</v>
      </c>
      <c r="C469">
        <v>3</v>
      </c>
      <c r="D469">
        <v>3</v>
      </c>
      <c r="F469">
        <v>468</v>
      </c>
      <c r="G469" cm="1">
        <f t="array" ref="G469">_xlfn.IFNA(INDEX($D$2:$D$4001,_xlfn.XMATCH(G$1&amp;"-"&amp;$F469,YEAR($B$2:$B$4001)&amp;"-"&amp;$A$2:$A$4001,0,-1)),9)</f>
        <v>9</v>
      </c>
      <c r="H469" cm="1">
        <f t="array" ref="H469">IF(OR(AND(G469=9,H$1&gt;YEAR($N469))),9,_xlfn.IFNA(INDEX($D$2:$D$4001,_xlfn.XMATCH(H$1&amp;"-"&amp;$F469,YEAR($B$2:$B$4001)&amp;"-"&amp;$A$2:$A$4001,0,-1)),G469))</f>
        <v>5</v>
      </c>
      <c r="I469" cm="1">
        <f t="array" ref="I469">IF(OR(AND(H469=9,I$1&gt;YEAR($N469))),9,_xlfn.IFNA(INDEX($D$2:$D$4001,_xlfn.XMATCH(I$1&amp;"-"&amp;$F469,YEAR($B$2:$B$4001)&amp;"-"&amp;$A$2:$A$4001,0,-1)),H469))</f>
        <v>5</v>
      </c>
      <c r="J469" cm="1">
        <f t="array" ref="J469">IF(OR(AND(I469=9,J$1&gt;YEAR($N469))),9,_xlfn.IFNA(INDEX($D$2:$D$4001,_xlfn.XMATCH(J$1&amp;"-"&amp;$F469,YEAR($B$2:$B$4001)&amp;"-"&amp;$A$2:$A$4001,0,-1)),I469))</f>
        <v>5</v>
      </c>
      <c r="K469" cm="1">
        <f t="array" ref="K469">IF(OR(AND(J469=9,K$1&gt;YEAR($N469))),9,_xlfn.IFNA(INDEX($D$2:$D$4001,_xlfn.XMATCH(K$1&amp;"-"&amp;$F469,YEAR($B$2:$B$4001)&amp;"-"&amp;$A$2:$A$4001,0,-1)),J469))</f>
        <v>5</v>
      </c>
      <c r="L469" cm="1">
        <f t="array" ref="L469">IF(OR(AND(K469=9,L$1&gt;YEAR($N469))),9,_xlfn.IFNA(INDEX($D$2:$D$4001,_xlfn.XMATCH(L$1&amp;"-"&amp;$F469,YEAR($B$2:$B$4001)&amp;"-"&amp;$A$2:$A$4001,0,-1)),K469))</f>
        <v>5</v>
      </c>
      <c r="M469" cm="1">
        <f t="array" ref="M469">IF(OR(AND(L469=9,M$1&gt;YEAR($N469))),9,_xlfn.IFNA(INDEX($D$2:$D$4001,_xlfn.XMATCH(M$1&amp;"-"&amp;$F469,YEAR($B$2:$B$4001)&amp;"-"&amp;$A$2:$A$4001,0,-1)),L469))</f>
        <v>5</v>
      </c>
      <c r="N469" s="1">
        <f t="shared" si="7"/>
        <v>36890</v>
      </c>
    </row>
    <row r="470" spans="1:14" x14ac:dyDescent="0.35">
      <c r="A470">
        <v>242</v>
      </c>
      <c r="B470" s="2">
        <v>37520</v>
      </c>
      <c r="C470">
        <v>5</v>
      </c>
      <c r="D470">
        <v>5</v>
      </c>
      <c r="F470">
        <v>469</v>
      </c>
      <c r="G470" cm="1">
        <f t="array" ref="G470">_xlfn.IFNA(INDEX($D$2:$D$4001,_xlfn.XMATCH(G$1&amp;"-"&amp;$F470,YEAR($B$2:$B$4001)&amp;"-"&amp;$A$2:$A$4001,0,-1)),9)</f>
        <v>9</v>
      </c>
      <c r="H470" cm="1">
        <f t="array" ref="H470">IF(OR(AND(G470=9,H$1&gt;YEAR($N470))),9,_xlfn.IFNA(INDEX($D$2:$D$4001,_xlfn.XMATCH(H$1&amp;"-"&amp;$F470,YEAR($B$2:$B$4001)&amp;"-"&amp;$A$2:$A$4001,0,-1)),G470))</f>
        <v>3</v>
      </c>
      <c r="I470" cm="1">
        <f t="array" ref="I470">IF(OR(AND(H470=9,I$1&gt;YEAR($N470))),9,_xlfn.IFNA(INDEX($D$2:$D$4001,_xlfn.XMATCH(I$1&amp;"-"&amp;$F470,YEAR($B$2:$B$4001)&amp;"-"&amp;$A$2:$A$4001,0,-1)),H470))</f>
        <v>3</v>
      </c>
      <c r="J470" cm="1">
        <f t="array" ref="J470">IF(OR(AND(I470=9,J$1&gt;YEAR($N470))),9,_xlfn.IFNA(INDEX($D$2:$D$4001,_xlfn.XMATCH(J$1&amp;"-"&amp;$F470,YEAR($B$2:$B$4001)&amp;"-"&amp;$A$2:$A$4001,0,-1)),I470))</f>
        <v>3</v>
      </c>
      <c r="K470" cm="1">
        <f t="array" ref="K470">IF(OR(AND(J470=9,K$1&gt;YEAR($N470))),9,_xlfn.IFNA(INDEX($D$2:$D$4001,_xlfn.XMATCH(K$1&amp;"-"&amp;$F470,YEAR($B$2:$B$4001)&amp;"-"&amp;$A$2:$A$4001,0,-1)),J470))</f>
        <v>3</v>
      </c>
      <c r="L470" cm="1">
        <f t="array" ref="L470">IF(OR(AND(K470=9,L$1&gt;YEAR($N470))),9,_xlfn.IFNA(INDEX($D$2:$D$4001,_xlfn.XMATCH(L$1&amp;"-"&amp;$F470,YEAR($B$2:$B$4001)&amp;"-"&amp;$A$2:$A$4001,0,-1)),K470))</f>
        <v>3</v>
      </c>
      <c r="M470" cm="1">
        <f t="array" ref="M470">IF(OR(AND(L470=9,M$1&gt;YEAR($N470))),9,_xlfn.IFNA(INDEX($D$2:$D$4001,_xlfn.XMATCH(M$1&amp;"-"&amp;$F470,YEAR($B$2:$B$4001)&amp;"-"&amp;$A$2:$A$4001,0,-1)),L470))</f>
        <v>3</v>
      </c>
      <c r="N470" s="1">
        <f t="shared" si="7"/>
        <v>36671</v>
      </c>
    </row>
    <row r="471" spans="1:14" x14ac:dyDescent="0.35">
      <c r="A471">
        <v>242</v>
      </c>
      <c r="B471" s="2">
        <v>38351</v>
      </c>
      <c r="C471">
        <v>3</v>
      </c>
      <c r="D471">
        <v>3</v>
      </c>
      <c r="F471">
        <v>470</v>
      </c>
      <c r="G471" cm="1">
        <f t="array" ref="G471">_xlfn.IFNA(INDEX($D$2:$D$4001,_xlfn.XMATCH(G$1&amp;"-"&amp;$F471,YEAR($B$2:$B$4001)&amp;"-"&amp;$A$2:$A$4001,0,-1)),9)</f>
        <v>3</v>
      </c>
      <c r="H471" cm="1">
        <f t="array" ref="H471">IF(OR(AND(G471=9,H$1&gt;YEAR($N471))),9,_xlfn.IFNA(INDEX($D$2:$D$4001,_xlfn.XMATCH(H$1&amp;"-"&amp;$F471,YEAR($B$2:$B$4001)&amp;"-"&amp;$A$2:$A$4001,0,-1)),G471))</f>
        <v>3</v>
      </c>
      <c r="I471" cm="1">
        <f t="array" ref="I471">IF(OR(AND(H471=9,I$1&gt;YEAR($N471))),9,_xlfn.IFNA(INDEX($D$2:$D$4001,_xlfn.XMATCH(I$1&amp;"-"&amp;$F471,YEAR($B$2:$B$4001)&amp;"-"&amp;$A$2:$A$4001,0,-1)),H471))</f>
        <v>3</v>
      </c>
      <c r="J471" cm="1">
        <f t="array" ref="J471">IF(OR(AND(I471=9,J$1&gt;YEAR($N471))),9,_xlfn.IFNA(INDEX($D$2:$D$4001,_xlfn.XMATCH(J$1&amp;"-"&amp;$F471,YEAR($B$2:$B$4001)&amp;"-"&amp;$A$2:$A$4001,0,-1)),I471))</f>
        <v>3</v>
      </c>
      <c r="K471" cm="1">
        <f t="array" ref="K471">IF(OR(AND(J471=9,K$1&gt;YEAR($N471))),9,_xlfn.IFNA(INDEX($D$2:$D$4001,_xlfn.XMATCH(K$1&amp;"-"&amp;$F471,YEAR($B$2:$B$4001)&amp;"-"&amp;$A$2:$A$4001,0,-1)),J471))</f>
        <v>3</v>
      </c>
      <c r="L471" cm="1">
        <f t="array" ref="L471">IF(OR(AND(K471=9,L$1&gt;YEAR($N471))),9,_xlfn.IFNA(INDEX($D$2:$D$4001,_xlfn.XMATCH(L$1&amp;"-"&amp;$F471,YEAR($B$2:$B$4001)&amp;"-"&amp;$A$2:$A$4001,0,-1)),K471))</f>
        <v>3</v>
      </c>
      <c r="M471" cm="1">
        <f t="array" ref="M471">IF(OR(AND(L471=9,M$1&gt;YEAR($N471))),9,_xlfn.IFNA(INDEX($D$2:$D$4001,_xlfn.XMATCH(M$1&amp;"-"&amp;$F471,YEAR($B$2:$B$4001)&amp;"-"&amp;$A$2:$A$4001,0,-1)),L471))</f>
        <v>3</v>
      </c>
      <c r="N471" s="1">
        <f t="shared" si="7"/>
        <v>36393</v>
      </c>
    </row>
    <row r="472" spans="1:14" x14ac:dyDescent="0.35">
      <c r="A472">
        <v>243</v>
      </c>
      <c r="B472" s="2">
        <v>36667</v>
      </c>
      <c r="C472">
        <v>3</v>
      </c>
      <c r="D472">
        <v>3</v>
      </c>
      <c r="F472">
        <v>471</v>
      </c>
      <c r="G472" cm="1">
        <f t="array" ref="G472">_xlfn.IFNA(INDEX($D$2:$D$4001,_xlfn.XMATCH(G$1&amp;"-"&amp;$F472,YEAR($B$2:$B$4001)&amp;"-"&amp;$A$2:$A$4001,0,-1)),9)</f>
        <v>9</v>
      </c>
      <c r="H472" cm="1">
        <f t="array" ref="H472">IF(OR(AND(G472=9,H$1&gt;YEAR($N472))),9,_xlfn.IFNA(INDEX($D$2:$D$4001,_xlfn.XMATCH(H$1&amp;"-"&amp;$F472,YEAR($B$2:$B$4001)&amp;"-"&amp;$A$2:$A$4001,0,-1)),G472))</f>
        <v>4</v>
      </c>
      <c r="I472" cm="1">
        <f t="array" ref="I472">IF(OR(AND(H472=9,I$1&gt;YEAR($N472))),9,_xlfn.IFNA(INDEX($D$2:$D$4001,_xlfn.XMATCH(I$1&amp;"-"&amp;$F472,YEAR($B$2:$B$4001)&amp;"-"&amp;$A$2:$A$4001,0,-1)),H472))</f>
        <v>4</v>
      </c>
      <c r="J472" cm="1">
        <f t="array" ref="J472">IF(OR(AND(I472=9,J$1&gt;YEAR($N472))),9,_xlfn.IFNA(INDEX($D$2:$D$4001,_xlfn.XMATCH(J$1&amp;"-"&amp;$F472,YEAR($B$2:$B$4001)&amp;"-"&amp;$A$2:$A$4001,0,-1)),I472))</f>
        <v>5</v>
      </c>
      <c r="K472" cm="1">
        <f t="array" ref="K472">IF(OR(AND(J472=9,K$1&gt;YEAR($N472))),9,_xlfn.IFNA(INDEX($D$2:$D$4001,_xlfn.XMATCH(K$1&amp;"-"&amp;$F472,YEAR($B$2:$B$4001)&amp;"-"&amp;$A$2:$A$4001,0,-1)),J472))</f>
        <v>5</v>
      </c>
      <c r="L472" cm="1">
        <f t="array" ref="L472">IF(OR(AND(K472=9,L$1&gt;YEAR($N472))),9,_xlfn.IFNA(INDEX($D$2:$D$4001,_xlfn.XMATCH(L$1&amp;"-"&amp;$F472,YEAR($B$2:$B$4001)&amp;"-"&amp;$A$2:$A$4001,0,-1)),K472))</f>
        <v>5</v>
      </c>
      <c r="M472" cm="1">
        <f t="array" ref="M472">IF(OR(AND(L472=9,M$1&gt;YEAR($N472))),9,_xlfn.IFNA(INDEX($D$2:$D$4001,_xlfn.XMATCH(M$1&amp;"-"&amp;$F472,YEAR($B$2:$B$4001)&amp;"-"&amp;$A$2:$A$4001,0,-1)),L472))</f>
        <v>5</v>
      </c>
      <c r="N472" s="1">
        <f t="shared" si="7"/>
        <v>36676</v>
      </c>
    </row>
    <row r="473" spans="1:14" x14ac:dyDescent="0.35">
      <c r="A473">
        <v>243</v>
      </c>
      <c r="B473" s="2">
        <v>38351</v>
      </c>
      <c r="C473">
        <v>3</v>
      </c>
      <c r="D473">
        <v>3</v>
      </c>
      <c r="F473">
        <v>472</v>
      </c>
      <c r="G473" cm="1">
        <f t="array" ref="G473">_xlfn.IFNA(INDEX($D$2:$D$4001,_xlfn.XMATCH(G$1&amp;"-"&amp;$F473,YEAR($B$2:$B$4001)&amp;"-"&amp;$A$2:$A$4001,0,-1)),9)</f>
        <v>9</v>
      </c>
      <c r="H473" cm="1">
        <f t="array" ref="H473">IF(OR(AND(G473=9,H$1&gt;YEAR($N473))),9,_xlfn.IFNA(INDEX($D$2:$D$4001,_xlfn.XMATCH(H$1&amp;"-"&amp;$F473,YEAR($B$2:$B$4001)&amp;"-"&amp;$A$2:$A$4001,0,-1)),G473))</f>
        <v>9</v>
      </c>
      <c r="I473" cm="1">
        <f t="array" ref="I473">IF(OR(AND(H473=9,I$1&gt;YEAR($N473))),9,_xlfn.IFNA(INDEX($D$2:$D$4001,_xlfn.XMATCH(I$1&amp;"-"&amp;$F473,YEAR($B$2:$B$4001)&amp;"-"&amp;$A$2:$A$4001,0,-1)),H473))</f>
        <v>2</v>
      </c>
      <c r="J473" cm="1">
        <f t="array" ref="J473">IF(OR(AND(I473=9,J$1&gt;YEAR($N473))),9,_xlfn.IFNA(INDEX($D$2:$D$4001,_xlfn.XMATCH(J$1&amp;"-"&amp;$F473,YEAR($B$2:$B$4001)&amp;"-"&amp;$A$2:$A$4001,0,-1)),I473))</f>
        <v>2</v>
      </c>
      <c r="K473" cm="1">
        <f t="array" ref="K473">IF(OR(AND(J473=9,K$1&gt;YEAR($N473))),9,_xlfn.IFNA(INDEX($D$2:$D$4001,_xlfn.XMATCH(K$1&amp;"-"&amp;$F473,YEAR($B$2:$B$4001)&amp;"-"&amp;$A$2:$A$4001,0,-1)),J473))</f>
        <v>2</v>
      </c>
      <c r="L473" cm="1">
        <f t="array" ref="L473">IF(OR(AND(K473=9,L$1&gt;YEAR($N473))),9,_xlfn.IFNA(INDEX($D$2:$D$4001,_xlfn.XMATCH(L$1&amp;"-"&amp;$F473,YEAR($B$2:$B$4001)&amp;"-"&amp;$A$2:$A$4001,0,-1)),K473))</f>
        <v>2</v>
      </c>
      <c r="M473" cm="1">
        <f t="array" ref="M473">IF(OR(AND(L473=9,M$1&gt;YEAR($N473))),9,_xlfn.IFNA(INDEX($D$2:$D$4001,_xlfn.XMATCH(M$1&amp;"-"&amp;$F473,YEAR($B$2:$B$4001)&amp;"-"&amp;$A$2:$A$4001,0,-1)),L473))</f>
        <v>2</v>
      </c>
      <c r="N473" s="1">
        <f t="shared" si="7"/>
        <v>37041</v>
      </c>
    </row>
    <row r="474" spans="1:14" x14ac:dyDescent="0.35">
      <c r="A474">
        <v>244</v>
      </c>
      <c r="B474" s="2">
        <v>36301</v>
      </c>
      <c r="C474">
        <v>4</v>
      </c>
      <c r="D474">
        <v>4</v>
      </c>
      <c r="F474">
        <v>473</v>
      </c>
      <c r="G474" cm="1">
        <f t="array" ref="G474">_xlfn.IFNA(INDEX($D$2:$D$4001,_xlfn.XMATCH(G$1&amp;"-"&amp;$F474,YEAR($B$2:$B$4001)&amp;"-"&amp;$A$2:$A$4001,0,-1)),9)</f>
        <v>4</v>
      </c>
      <c r="H474" cm="1">
        <f t="array" ref="H474">IF(OR(AND(G474=9,H$1&gt;YEAR($N474))),9,_xlfn.IFNA(INDEX($D$2:$D$4001,_xlfn.XMATCH(H$1&amp;"-"&amp;$F474,YEAR($B$2:$B$4001)&amp;"-"&amp;$A$2:$A$4001,0,-1)),G474))</f>
        <v>4</v>
      </c>
      <c r="I474" cm="1">
        <f t="array" ref="I474">IF(OR(AND(H474=9,I$1&gt;YEAR($N474))),9,_xlfn.IFNA(INDEX($D$2:$D$4001,_xlfn.XMATCH(I$1&amp;"-"&amp;$F474,YEAR($B$2:$B$4001)&amp;"-"&amp;$A$2:$A$4001,0,-1)),H474))</f>
        <v>4</v>
      </c>
      <c r="J474" cm="1">
        <f t="array" ref="J474">IF(OR(AND(I474=9,J$1&gt;YEAR($N474))),9,_xlfn.IFNA(INDEX($D$2:$D$4001,_xlfn.XMATCH(J$1&amp;"-"&amp;$F474,YEAR($B$2:$B$4001)&amp;"-"&amp;$A$2:$A$4001,0,-1)),I474))</f>
        <v>4</v>
      </c>
      <c r="K474" cm="1">
        <f t="array" ref="K474">IF(OR(AND(J474=9,K$1&gt;YEAR($N474))),9,_xlfn.IFNA(INDEX($D$2:$D$4001,_xlfn.XMATCH(K$1&amp;"-"&amp;$F474,YEAR($B$2:$B$4001)&amp;"-"&amp;$A$2:$A$4001,0,-1)),J474))</f>
        <v>4</v>
      </c>
      <c r="L474" cm="1">
        <f t="array" ref="L474">IF(OR(AND(K474=9,L$1&gt;YEAR($N474))),9,_xlfn.IFNA(INDEX($D$2:$D$4001,_xlfn.XMATCH(L$1&amp;"-"&amp;$F474,YEAR($B$2:$B$4001)&amp;"-"&amp;$A$2:$A$4001,0,-1)),K474))</f>
        <v>4</v>
      </c>
      <c r="M474" cm="1">
        <f t="array" ref="M474">IF(OR(AND(L474=9,M$1&gt;YEAR($N474))),9,_xlfn.IFNA(INDEX($D$2:$D$4001,_xlfn.XMATCH(M$1&amp;"-"&amp;$F474,YEAR($B$2:$B$4001)&amp;"-"&amp;$A$2:$A$4001,0,-1)),L474))</f>
        <v>4</v>
      </c>
      <c r="N474" s="1">
        <f t="shared" si="7"/>
        <v>36402</v>
      </c>
    </row>
    <row r="475" spans="1:14" x14ac:dyDescent="0.35">
      <c r="A475">
        <v>244</v>
      </c>
      <c r="B475" s="2">
        <v>38281</v>
      </c>
      <c r="C475">
        <v>3</v>
      </c>
      <c r="D475">
        <v>3</v>
      </c>
      <c r="F475">
        <v>474</v>
      </c>
      <c r="G475" cm="1">
        <f t="array" ref="G475">_xlfn.IFNA(INDEX($D$2:$D$4001,_xlfn.XMATCH(G$1&amp;"-"&amp;$F475,YEAR($B$2:$B$4001)&amp;"-"&amp;$A$2:$A$4001,0,-1)),9)</f>
        <v>9</v>
      </c>
      <c r="H475" cm="1">
        <f t="array" ref="H475">IF(OR(AND(G475=9,H$1&gt;YEAR($N475))),9,_xlfn.IFNA(INDEX($D$2:$D$4001,_xlfn.XMATCH(H$1&amp;"-"&amp;$F475,YEAR($B$2:$B$4001)&amp;"-"&amp;$A$2:$A$4001,0,-1)),G475))</f>
        <v>6</v>
      </c>
      <c r="I475" cm="1">
        <f t="array" ref="I475">IF(OR(AND(H475=9,I$1&gt;YEAR($N475))),9,_xlfn.IFNA(INDEX($D$2:$D$4001,_xlfn.XMATCH(I$1&amp;"-"&amp;$F475,YEAR($B$2:$B$4001)&amp;"-"&amp;$A$2:$A$4001,0,-1)),H475))</f>
        <v>6</v>
      </c>
      <c r="J475" cm="1">
        <f t="array" ref="J475">IF(OR(AND(I475=9,J$1&gt;YEAR($N475))),9,_xlfn.IFNA(INDEX($D$2:$D$4001,_xlfn.XMATCH(J$1&amp;"-"&amp;$F475,YEAR($B$2:$B$4001)&amp;"-"&amp;$A$2:$A$4001,0,-1)),I475))</f>
        <v>6</v>
      </c>
      <c r="K475" cm="1">
        <f t="array" ref="K475">IF(OR(AND(J475=9,K$1&gt;YEAR($N475))),9,_xlfn.IFNA(INDEX($D$2:$D$4001,_xlfn.XMATCH(K$1&amp;"-"&amp;$F475,YEAR($B$2:$B$4001)&amp;"-"&amp;$A$2:$A$4001,0,-1)),J475))</f>
        <v>6</v>
      </c>
      <c r="L475" cm="1">
        <f t="array" ref="L475">IF(OR(AND(K475=9,L$1&gt;YEAR($N475))),9,_xlfn.IFNA(INDEX($D$2:$D$4001,_xlfn.XMATCH(L$1&amp;"-"&amp;$F475,YEAR($B$2:$B$4001)&amp;"-"&amp;$A$2:$A$4001,0,-1)),K475))</f>
        <v>6</v>
      </c>
      <c r="M475" cm="1">
        <f t="array" ref="M475">IF(OR(AND(L475=9,M$1&gt;YEAR($N475))),9,_xlfn.IFNA(INDEX($D$2:$D$4001,_xlfn.XMATCH(M$1&amp;"-"&amp;$F475,YEAR($B$2:$B$4001)&amp;"-"&amp;$A$2:$A$4001,0,-1)),L475))</f>
        <v>6</v>
      </c>
      <c r="N475" s="1">
        <f t="shared" si="7"/>
        <v>36676</v>
      </c>
    </row>
    <row r="476" spans="1:14" x14ac:dyDescent="0.35">
      <c r="A476">
        <v>245</v>
      </c>
      <c r="B476" s="2">
        <v>36524</v>
      </c>
      <c r="C476">
        <v>7</v>
      </c>
      <c r="D476">
        <v>7</v>
      </c>
      <c r="F476">
        <v>475</v>
      </c>
      <c r="G476" cm="1">
        <f t="array" ref="G476">_xlfn.IFNA(INDEX($D$2:$D$4001,_xlfn.XMATCH(G$1&amp;"-"&amp;$F476,YEAR($B$2:$B$4001)&amp;"-"&amp;$A$2:$A$4001,0,-1)),9)</f>
        <v>9</v>
      </c>
      <c r="H476" cm="1">
        <f t="array" ref="H476">IF(OR(AND(G476=9,H$1&gt;YEAR($N476))),9,_xlfn.IFNA(INDEX($D$2:$D$4001,_xlfn.XMATCH(H$1&amp;"-"&amp;$F476,YEAR($B$2:$B$4001)&amp;"-"&amp;$A$2:$A$4001,0,-1)),G476))</f>
        <v>9</v>
      </c>
      <c r="I476" cm="1">
        <f t="array" ref="I476">IF(OR(AND(H476=9,I$1&gt;YEAR($N476))),9,_xlfn.IFNA(INDEX($D$2:$D$4001,_xlfn.XMATCH(I$1&amp;"-"&amp;$F476,YEAR($B$2:$B$4001)&amp;"-"&amp;$A$2:$A$4001,0,-1)),H476))</f>
        <v>9</v>
      </c>
      <c r="J476" cm="1">
        <f t="array" ref="J476">IF(OR(AND(I476=9,J$1&gt;YEAR($N476))),9,_xlfn.IFNA(INDEX($D$2:$D$4001,_xlfn.XMATCH(J$1&amp;"-"&amp;$F476,YEAR($B$2:$B$4001)&amp;"-"&amp;$A$2:$A$4001,0,-1)),I476))</f>
        <v>9</v>
      </c>
      <c r="K476" cm="1">
        <f t="array" ref="K476">IF(OR(AND(J476=9,K$1&gt;YEAR($N476))),9,_xlfn.IFNA(INDEX($D$2:$D$4001,_xlfn.XMATCH(K$1&amp;"-"&amp;$F476,YEAR($B$2:$B$4001)&amp;"-"&amp;$A$2:$A$4001,0,-1)),J476))</f>
        <v>9</v>
      </c>
      <c r="L476" cm="1">
        <f t="array" ref="L476">IF(OR(AND(K476=9,L$1&gt;YEAR($N476))),9,_xlfn.IFNA(INDEX($D$2:$D$4001,_xlfn.XMATCH(L$1&amp;"-"&amp;$F476,YEAR($B$2:$B$4001)&amp;"-"&amp;$A$2:$A$4001,0,-1)),K476))</f>
        <v>2</v>
      </c>
      <c r="M476" cm="1">
        <f t="array" ref="M476">IF(OR(AND(L476=9,M$1&gt;YEAR($N476))),9,_xlfn.IFNA(INDEX($D$2:$D$4001,_xlfn.XMATCH(M$1&amp;"-"&amp;$F476,YEAR($B$2:$B$4001)&amp;"-"&amp;$A$2:$A$4001,0,-1)),L476))</f>
        <v>2</v>
      </c>
      <c r="N476" s="1">
        <f t="shared" si="7"/>
        <v>38220</v>
      </c>
    </row>
    <row r="477" spans="1:14" x14ac:dyDescent="0.35">
      <c r="A477">
        <v>245</v>
      </c>
      <c r="B477" s="2">
        <v>37863</v>
      </c>
      <c r="C477">
        <v>0</v>
      </c>
      <c r="D477">
        <v>0</v>
      </c>
      <c r="F477">
        <v>476</v>
      </c>
      <c r="G477" cm="1">
        <f t="array" ref="G477">_xlfn.IFNA(INDEX($D$2:$D$4001,_xlfn.XMATCH(G$1&amp;"-"&amp;$F477,YEAR($B$2:$B$4001)&amp;"-"&amp;$A$2:$A$4001,0,-1)),9)</f>
        <v>9</v>
      </c>
      <c r="H477" cm="1">
        <f t="array" ref="H477">IF(OR(AND(G477=9,H$1&gt;YEAR($N477))),9,_xlfn.IFNA(INDEX($D$2:$D$4001,_xlfn.XMATCH(H$1&amp;"-"&amp;$F477,YEAR($B$2:$B$4001)&amp;"-"&amp;$A$2:$A$4001,0,-1)),G477))</f>
        <v>4</v>
      </c>
      <c r="I477" cm="1">
        <f t="array" ref="I477">IF(OR(AND(H477=9,I$1&gt;YEAR($N477))),9,_xlfn.IFNA(INDEX($D$2:$D$4001,_xlfn.XMATCH(I$1&amp;"-"&amp;$F477,YEAR($B$2:$B$4001)&amp;"-"&amp;$A$2:$A$4001,0,-1)),H477))</f>
        <v>4</v>
      </c>
      <c r="J477" cm="1">
        <f t="array" ref="J477">IF(OR(AND(I477=9,J$1&gt;YEAR($N477))),9,_xlfn.IFNA(INDEX($D$2:$D$4001,_xlfn.XMATCH(J$1&amp;"-"&amp;$F477,YEAR($B$2:$B$4001)&amp;"-"&amp;$A$2:$A$4001,0,-1)),I477))</f>
        <v>4</v>
      </c>
      <c r="K477" cm="1">
        <f t="array" ref="K477">IF(OR(AND(J477=9,K$1&gt;YEAR($N477))),9,_xlfn.IFNA(INDEX($D$2:$D$4001,_xlfn.XMATCH(K$1&amp;"-"&amp;$F477,YEAR($B$2:$B$4001)&amp;"-"&amp;$A$2:$A$4001,0,-1)),J477))</f>
        <v>4</v>
      </c>
      <c r="L477" cm="1">
        <f t="array" ref="L477">IF(OR(AND(K477=9,L$1&gt;YEAR($N477))),9,_xlfn.IFNA(INDEX($D$2:$D$4001,_xlfn.XMATCH(L$1&amp;"-"&amp;$F477,YEAR($B$2:$B$4001)&amp;"-"&amp;$A$2:$A$4001,0,-1)),K477))</f>
        <v>3</v>
      </c>
      <c r="M477" cm="1">
        <f t="array" ref="M477">IF(OR(AND(L477=9,M$1&gt;YEAR($N477))),9,_xlfn.IFNA(INDEX($D$2:$D$4001,_xlfn.XMATCH(M$1&amp;"-"&amp;$F477,YEAR($B$2:$B$4001)&amp;"-"&amp;$A$2:$A$4001,0,-1)),L477))</f>
        <v>3</v>
      </c>
      <c r="N477" s="1">
        <f t="shared" si="7"/>
        <v>36860</v>
      </c>
    </row>
    <row r="478" spans="1:14" x14ac:dyDescent="0.35">
      <c r="A478">
        <v>246</v>
      </c>
      <c r="B478" s="2">
        <v>36676</v>
      </c>
      <c r="C478">
        <v>3</v>
      </c>
      <c r="D478">
        <v>3</v>
      </c>
      <c r="F478">
        <v>477</v>
      </c>
      <c r="G478" cm="1">
        <f t="array" ref="G478">_xlfn.IFNA(INDEX($D$2:$D$4001,_xlfn.XMATCH(G$1&amp;"-"&amp;$F478,YEAR($B$2:$B$4001)&amp;"-"&amp;$A$2:$A$4001,0,-1)),9)</f>
        <v>9</v>
      </c>
      <c r="H478" cm="1">
        <f t="array" ref="H478">IF(OR(AND(G478=9,H$1&gt;YEAR($N478))),9,_xlfn.IFNA(INDEX($D$2:$D$4001,_xlfn.XMATCH(H$1&amp;"-"&amp;$F478,YEAR($B$2:$B$4001)&amp;"-"&amp;$A$2:$A$4001,0,-1)),G478))</f>
        <v>9</v>
      </c>
      <c r="I478" cm="1">
        <f t="array" ref="I478">IF(OR(AND(H478=9,I$1&gt;YEAR($N478))),9,_xlfn.IFNA(INDEX($D$2:$D$4001,_xlfn.XMATCH(I$1&amp;"-"&amp;$F478,YEAR($B$2:$B$4001)&amp;"-"&amp;$A$2:$A$4001,0,-1)),H478))</f>
        <v>9</v>
      </c>
      <c r="J478" cm="1">
        <f t="array" ref="J478">IF(OR(AND(I478=9,J$1&gt;YEAR($N478))),9,_xlfn.IFNA(INDEX($D$2:$D$4001,_xlfn.XMATCH(J$1&amp;"-"&amp;$F478,YEAR($B$2:$B$4001)&amp;"-"&amp;$A$2:$A$4001,0,-1)),I478))</f>
        <v>2</v>
      </c>
      <c r="K478" cm="1">
        <f t="array" ref="K478">IF(OR(AND(J478=9,K$1&gt;YEAR($N478))),9,_xlfn.IFNA(INDEX($D$2:$D$4001,_xlfn.XMATCH(K$1&amp;"-"&amp;$F478,YEAR($B$2:$B$4001)&amp;"-"&amp;$A$2:$A$4001,0,-1)),J478))</f>
        <v>3</v>
      </c>
      <c r="L478" cm="1">
        <f t="array" ref="L478">IF(OR(AND(K478=9,L$1&gt;YEAR($N478))),9,_xlfn.IFNA(INDEX($D$2:$D$4001,_xlfn.XMATCH(L$1&amp;"-"&amp;$F478,YEAR($B$2:$B$4001)&amp;"-"&amp;$A$2:$A$4001,0,-1)),K478))</f>
        <v>3</v>
      </c>
      <c r="M478" cm="1">
        <f t="array" ref="M478">IF(OR(AND(L478=9,M$1&gt;YEAR($N478))),9,_xlfn.IFNA(INDEX($D$2:$D$4001,_xlfn.XMATCH(M$1&amp;"-"&amp;$F478,YEAR($B$2:$B$4001)&amp;"-"&amp;$A$2:$A$4001,0,-1)),L478))</f>
        <v>3</v>
      </c>
      <c r="N478" s="1">
        <f t="shared" si="7"/>
        <v>37406</v>
      </c>
    </row>
    <row r="479" spans="1:14" x14ac:dyDescent="0.35">
      <c r="A479">
        <v>246</v>
      </c>
      <c r="B479" s="2">
        <v>37124</v>
      </c>
      <c r="C479">
        <v>4</v>
      </c>
      <c r="D479">
        <v>4</v>
      </c>
      <c r="F479">
        <v>478</v>
      </c>
      <c r="G479" cm="1">
        <f t="array" ref="G479">_xlfn.IFNA(INDEX($D$2:$D$4001,_xlfn.XMATCH(G$1&amp;"-"&amp;$F479,YEAR($B$2:$B$4001)&amp;"-"&amp;$A$2:$A$4001,0,-1)),9)</f>
        <v>9</v>
      </c>
      <c r="H479" cm="1">
        <f t="array" ref="H479">IF(OR(AND(G479=9,H$1&gt;YEAR($N479))),9,_xlfn.IFNA(INDEX($D$2:$D$4001,_xlfn.XMATCH(H$1&amp;"-"&amp;$F479,YEAR($B$2:$B$4001)&amp;"-"&amp;$A$2:$A$4001,0,-1)),G479))</f>
        <v>9</v>
      </c>
      <c r="I479" cm="1">
        <f t="array" ref="I479">IF(OR(AND(H479=9,I$1&gt;YEAR($N479))),9,_xlfn.IFNA(INDEX($D$2:$D$4001,_xlfn.XMATCH(I$1&amp;"-"&amp;$F479,YEAR($B$2:$B$4001)&amp;"-"&amp;$A$2:$A$4001,0,-1)),H479))</f>
        <v>9</v>
      </c>
      <c r="J479" cm="1">
        <f t="array" ref="J479">IF(OR(AND(I479=9,J$1&gt;YEAR($N479))),9,_xlfn.IFNA(INDEX($D$2:$D$4001,_xlfn.XMATCH(J$1&amp;"-"&amp;$F479,YEAR($B$2:$B$4001)&amp;"-"&amp;$A$2:$A$4001,0,-1)),I479))</f>
        <v>9</v>
      </c>
      <c r="K479" cm="1">
        <f t="array" ref="K479">IF(OR(AND(J479=9,K$1&gt;YEAR($N479))),9,_xlfn.IFNA(INDEX($D$2:$D$4001,_xlfn.XMATCH(K$1&amp;"-"&amp;$F479,YEAR($B$2:$B$4001)&amp;"-"&amp;$A$2:$A$4001,0,-1)),J479))</f>
        <v>9</v>
      </c>
      <c r="L479" cm="1">
        <f t="array" ref="L479">IF(OR(AND(K479=9,L$1&gt;YEAR($N479))),9,_xlfn.IFNA(INDEX($D$2:$D$4001,_xlfn.XMATCH(L$1&amp;"-"&amp;$F479,YEAR($B$2:$B$4001)&amp;"-"&amp;$A$2:$A$4001,0,-1)),K479))</f>
        <v>2</v>
      </c>
      <c r="M479" cm="1">
        <f t="array" ref="M479">IF(OR(AND(L479=9,M$1&gt;YEAR($N479))),9,_xlfn.IFNA(INDEX($D$2:$D$4001,_xlfn.XMATCH(M$1&amp;"-"&amp;$F479,YEAR($B$2:$B$4001)&amp;"-"&amp;$A$2:$A$4001,0,-1)),L479))</f>
        <v>2</v>
      </c>
      <c r="N479" s="1">
        <f t="shared" si="7"/>
        <v>38128</v>
      </c>
    </row>
    <row r="480" spans="1:14" x14ac:dyDescent="0.35">
      <c r="A480">
        <v>246</v>
      </c>
      <c r="B480" s="2">
        <v>37467</v>
      </c>
      <c r="C480">
        <v>4</v>
      </c>
      <c r="D480">
        <v>4</v>
      </c>
      <c r="F480">
        <v>479</v>
      </c>
      <c r="G480" cm="1">
        <f t="array" ref="G480">_xlfn.IFNA(INDEX($D$2:$D$4001,_xlfn.XMATCH(G$1&amp;"-"&amp;$F480,YEAR($B$2:$B$4001)&amp;"-"&amp;$A$2:$A$4001,0,-1)),9)</f>
        <v>3</v>
      </c>
      <c r="H480" cm="1">
        <f t="array" ref="H480">IF(OR(AND(G480=9,H$1&gt;YEAR($N480))),9,_xlfn.IFNA(INDEX($D$2:$D$4001,_xlfn.XMATCH(H$1&amp;"-"&amp;$F480,YEAR($B$2:$B$4001)&amp;"-"&amp;$A$2:$A$4001,0,-1)),G480))</f>
        <v>3</v>
      </c>
      <c r="I480" cm="1">
        <f t="array" ref="I480">IF(OR(AND(H480=9,I$1&gt;YEAR($N480))),9,_xlfn.IFNA(INDEX($D$2:$D$4001,_xlfn.XMATCH(I$1&amp;"-"&amp;$F480,YEAR($B$2:$B$4001)&amp;"-"&amp;$A$2:$A$4001,0,-1)),H480))</f>
        <v>3</v>
      </c>
      <c r="J480" cm="1">
        <f t="array" ref="J480">IF(OR(AND(I480=9,J$1&gt;YEAR($N480))),9,_xlfn.IFNA(INDEX($D$2:$D$4001,_xlfn.XMATCH(J$1&amp;"-"&amp;$F480,YEAR($B$2:$B$4001)&amp;"-"&amp;$A$2:$A$4001,0,-1)),I480))</f>
        <v>3</v>
      </c>
      <c r="K480" cm="1">
        <f t="array" ref="K480">IF(OR(AND(J480=9,K$1&gt;YEAR($N480))),9,_xlfn.IFNA(INDEX($D$2:$D$4001,_xlfn.XMATCH(K$1&amp;"-"&amp;$F480,YEAR($B$2:$B$4001)&amp;"-"&amp;$A$2:$A$4001,0,-1)),J480))</f>
        <v>4</v>
      </c>
      <c r="L480" cm="1">
        <f t="array" ref="L480">IF(OR(AND(K480=9,L$1&gt;YEAR($N480))),9,_xlfn.IFNA(INDEX($D$2:$D$4001,_xlfn.XMATCH(L$1&amp;"-"&amp;$F480,YEAR($B$2:$B$4001)&amp;"-"&amp;$A$2:$A$4001,0,-1)),K480))</f>
        <v>4</v>
      </c>
      <c r="M480" cm="1">
        <f t="array" ref="M480">IF(OR(AND(L480=9,M$1&gt;YEAR($N480))),9,_xlfn.IFNA(INDEX($D$2:$D$4001,_xlfn.XMATCH(M$1&amp;"-"&amp;$F480,YEAR($B$2:$B$4001)&amp;"-"&amp;$A$2:$A$4001,0,-1)),L480))</f>
        <v>4</v>
      </c>
      <c r="N480" s="1">
        <f t="shared" si="7"/>
        <v>36335</v>
      </c>
    </row>
    <row r="481" spans="1:14" x14ac:dyDescent="0.35">
      <c r="A481">
        <v>246</v>
      </c>
      <c r="B481" s="2">
        <v>37985</v>
      </c>
      <c r="C481">
        <v>0</v>
      </c>
      <c r="D481">
        <v>0</v>
      </c>
      <c r="F481">
        <v>480</v>
      </c>
      <c r="G481" cm="1">
        <f t="array" ref="G481">_xlfn.IFNA(INDEX($D$2:$D$4001,_xlfn.XMATCH(G$1&amp;"-"&amp;$F481,YEAR($B$2:$B$4001)&amp;"-"&amp;$A$2:$A$4001,0,-1)),9)</f>
        <v>3</v>
      </c>
      <c r="H481" cm="1">
        <f t="array" ref="H481">IF(OR(AND(G481=9,H$1&gt;YEAR($N481))),9,_xlfn.IFNA(INDEX($D$2:$D$4001,_xlfn.XMATCH(H$1&amp;"-"&amp;$F481,YEAR($B$2:$B$4001)&amp;"-"&amp;$A$2:$A$4001,0,-1)),G481))</f>
        <v>3</v>
      </c>
      <c r="I481" cm="1">
        <f t="array" ref="I481">IF(OR(AND(H481=9,I$1&gt;YEAR($N481))),9,_xlfn.IFNA(INDEX($D$2:$D$4001,_xlfn.XMATCH(I$1&amp;"-"&amp;$F481,YEAR($B$2:$B$4001)&amp;"-"&amp;$A$2:$A$4001,0,-1)),H481))</f>
        <v>3</v>
      </c>
      <c r="J481" cm="1">
        <f t="array" ref="J481">IF(OR(AND(I481=9,J$1&gt;YEAR($N481))),9,_xlfn.IFNA(INDEX($D$2:$D$4001,_xlfn.XMATCH(J$1&amp;"-"&amp;$F481,YEAR($B$2:$B$4001)&amp;"-"&amp;$A$2:$A$4001,0,-1)),I481))</f>
        <v>3</v>
      </c>
      <c r="K481" cm="1">
        <f t="array" ref="K481">IF(OR(AND(J481=9,K$1&gt;YEAR($N481))),9,_xlfn.IFNA(INDEX($D$2:$D$4001,_xlfn.XMATCH(K$1&amp;"-"&amp;$F481,YEAR($B$2:$B$4001)&amp;"-"&amp;$A$2:$A$4001,0,-1)),J481))</f>
        <v>4</v>
      </c>
      <c r="L481" cm="1">
        <f t="array" ref="L481">IF(OR(AND(K481=9,L$1&gt;YEAR($N481))),9,_xlfn.IFNA(INDEX($D$2:$D$4001,_xlfn.XMATCH(L$1&amp;"-"&amp;$F481,YEAR($B$2:$B$4001)&amp;"-"&amp;$A$2:$A$4001,0,-1)),K481))</f>
        <v>4</v>
      </c>
      <c r="M481" cm="1">
        <f t="array" ref="M481">IF(OR(AND(L481=9,M$1&gt;YEAR($N481))),9,_xlfn.IFNA(INDEX($D$2:$D$4001,_xlfn.XMATCH(M$1&amp;"-"&amp;$F481,YEAR($B$2:$B$4001)&amp;"-"&amp;$A$2:$A$4001,0,-1)),L481))</f>
        <v>4</v>
      </c>
      <c r="N481" s="1">
        <f t="shared" si="7"/>
        <v>36362</v>
      </c>
    </row>
    <row r="482" spans="1:14" x14ac:dyDescent="0.35">
      <c r="A482">
        <v>247</v>
      </c>
      <c r="B482" s="2">
        <v>36301</v>
      </c>
      <c r="C482">
        <v>3</v>
      </c>
      <c r="D482">
        <v>3</v>
      </c>
      <c r="F482">
        <v>481</v>
      </c>
      <c r="G482" cm="1">
        <f t="array" ref="G482">_xlfn.IFNA(INDEX($D$2:$D$4001,_xlfn.XMATCH(G$1&amp;"-"&amp;$F482,YEAR($B$2:$B$4001)&amp;"-"&amp;$A$2:$A$4001,0,-1)),9)</f>
        <v>9</v>
      </c>
      <c r="H482" cm="1">
        <f t="array" ref="H482">IF(OR(AND(G482=9,H$1&gt;YEAR($N482))),9,_xlfn.IFNA(INDEX($D$2:$D$4001,_xlfn.XMATCH(H$1&amp;"-"&amp;$F482,YEAR($B$2:$B$4001)&amp;"-"&amp;$A$2:$A$4001,0,-1)),G482))</f>
        <v>3</v>
      </c>
      <c r="I482" cm="1">
        <f t="array" ref="I482">IF(OR(AND(H482=9,I$1&gt;YEAR($N482))),9,_xlfn.IFNA(INDEX($D$2:$D$4001,_xlfn.XMATCH(I$1&amp;"-"&amp;$F482,YEAR($B$2:$B$4001)&amp;"-"&amp;$A$2:$A$4001,0,-1)),H482))</f>
        <v>4</v>
      </c>
      <c r="J482" cm="1">
        <f t="array" ref="J482">IF(OR(AND(I482=9,J$1&gt;YEAR($N482))),9,_xlfn.IFNA(INDEX($D$2:$D$4001,_xlfn.XMATCH(J$1&amp;"-"&amp;$F482,YEAR($B$2:$B$4001)&amp;"-"&amp;$A$2:$A$4001,0,-1)),I482))</f>
        <v>5</v>
      </c>
      <c r="K482" cm="1">
        <f t="array" ref="K482">IF(OR(AND(J482=9,K$1&gt;YEAR($N482))),9,_xlfn.IFNA(INDEX($D$2:$D$4001,_xlfn.XMATCH(K$1&amp;"-"&amp;$F482,YEAR($B$2:$B$4001)&amp;"-"&amp;$A$2:$A$4001,0,-1)),J482))</f>
        <v>5</v>
      </c>
      <c r="L482" cm="1">
        <f t="array" ref="L482">IF(OR(AND(K482=9,L$1&gt;YEAR($N482))),9,_xlfn.IFNA(INDEX($D$2:$D$4001,_xlfn.XMATCH(L$1&amp;"-"&amp;$F482,YEAR($B$2:$B$4001)&amp;"-"&amp;$A$2:$A$4001,0,-1)),K482))</f>
        <v>5</v>
      </c>
      <c r="M482" cm="1">
        <f t="array" ref="M482">IF(OR(AND(L482=9,M$1&gt;YEAR($N482))),9,_xlfn.IFNA(INDEX($D$2:$D$4001,_xlfn.XMATCH(M$1&amp;"-"&amp;$F482,YEAR($B$2:$B$4001)&amp;"-"&amp;$A$2:$A$4001,0,-1)),L482))</f>
        <v>5</v>
      </c>
      <c r="N482" s="1">
        <f t="shared" si="7"/>
        <v>36707</v>
      </c>
    </row>
    <row r="483" spans="1:14" x14ac:dyDescent="0.35">
      <c r="A483">
        <v>247</v>
      </c>
      <c r="B483" s="2">
        <v>37124</v>
      </c>
      <c r="C483">
        <v>4</v>
      </c>
      <c r="D483">
        <v>4</v>
      </c>
      <c r="F483">
        <v>482</v>
      </c>
      <c r="G483" cm="1">
        <f t="array" ref="G483">_xlfn.IFNA(INDEX($D$2:$D$4001,_xlfn.XMATCH(G$1&amp;"-"&amp;$F483,YEAR($B$2:$B$4001)&amp;"-"&amp;$A$2:$A$4001,0,-1)),9)</f>
        <v>2</v>
      </c>
      <c r="H483" cm="1">
        <f t="array" ref="H483">IF(OR(AND(G483=9,H$1&gt;YEAR($N483))),9,_xlfn.IFNA(INDEX($D$2:$D$4001,_xlfn.XMATCH(H$1&amp;"-"&amp;$F483,YEAR($B$2:$B$4001)&amp;"-"&amp;$A$2:$A$4001,0,-1)),G483))</f>
        <v>2</v>
      </c>
      <c r="I483" cm="1">
        <f t="array" ref="I483">IF(OR(AND(H483=9,I$1&gt;YEAR($N483))),9,_xlfn.IFNA(INDEX($D$2:$D$4001,_xlfn.XMATCH(I$1&amp;"-"&amp;$F483,YEAR($B$2:$B$4001)&amp;"-"&amp;$A$2:$A$4001,0,-1)),H483))</f>
        <v>2</v>
      </c>
      <c r="J483" cm="1">
        <f t="array" ref="J483">IF(OR(AND(I483=9,J$1&gt;YEAR($N483))),9,_xlfn.IFNA(INDEX($D$2:$D$4001,_xlfn.XMATCH(J$1&amp;"-"&amp;$F483,YEAR($B$2:$B$4001)&amp;"-"&amp;$A$2:$A$4001,0,-1)),I483))</f>
        <v>2</v>
      </c>
      <c r="K483" cm="1">
        <f t="array" ref="K483">IF(OR(AND(J483=9,K$1&gt;YEAR($N483))),9,_xlfn.IFNA(INDEX($D$2:$D$4001,_xlfn.XMATCH(K$1&amp;"-"&amp;$F483,YEAR($B$2:$B$4001)&amp;"-"&amp;$A$2:$A$4001,0,-1)),J483))</f>
        <v>2</v>
      </c>
      <c r="L483" cm="1">
        <f t="array" ref="L483">IF(OR(AND(K483=9,L$1&gt;YEAR($N483))),9,_xlfn.IFNA(INDEX($D$2:$D$4001,_xlfn.XMATCH(L$1&amp;"-"&amp;$F483,YEAR($B$2:$B$4001)&amp;"-"&amp;$A$2:$A$4001,0,-1)),K483))</f>
        <v>2</v>
      </c>
      <c r="M483" cm="1">
        <f t="array" ref="M483">IF(OR(AND(L483=9,M$1&gt;YEAR($N483))),9,_xlfn.IFNA(INDEX($D$2:$D$4001,_xlfn.XMATCH(M$1&amp;"-"&amp;$F483,YEAR($B$2:$B$4001)&amp;"-"&amp;$A$2:$A$4001,0,-1)),L483))</f>
        <v>2</v>
      </c>
      <c r="N483" s="1">
        <f t="shared" si="7"/>
        <v>36304</v>
      </c>
    </row>
    <row r="484" spans="1:14" x14ac:dyDescent="0.35">
      <c r="A484">
        <v>247</v>
      </c>
      <c r="B484" s="2">
        <v>37255</v>
      </c>
      <c r="C484">
        <v>3</v>
      </c>
      <c r="D484">
        <v>3</v>
      </c>
      <c r="F484">
        <v>483</v>
      </c>
      <c r="G484" cm="1">
        <f t="array" ref="G484">_xlfn.IFNA(INDEX($D$2:$D$4001,_xlfn.XMATCH(G$1&amp;"-"&amp;$F484,YEAR($B$2:$B$4001)&amp;"-"&amp;$A$2:$A$4001,0,-1)),9)</f>
        <v>9</v>
      </c>
      <c r="H484" cm="1">
        <f t="array" ref="H484">IF(OR(AND(G484=9,H$1&gt;YEAR($N484))),9,_xlfn.IFNA(INDEX($D$2:$D$4001,_xlfn.XMATCH(H$1&amp;"-"&amp;$F484,YEAR($B$2:$B$4001)&amp;"-"&amp;$A$2:$A$4001,0,-1)),G484))</f>
        <v>3</v>
      </c>
      <c r="I484" cm="1">
        <f t="array" ref="I484">IF(OR(AND(H484=9,I$1&gt;YEAR($N484))),9,_xlfn.IFNA(INDEX($D$2:$D$4001,_xlfn.XMATCH(I$1&amp;"-"&amp;$F484,YEAR($B$2:$B$4001)&amp;"-"&amp;$A$2:$A$4001,0,-1)),H484))</f>
        <v>3</v>
      </c>
      <c r="J484" cm="1">
        <f t="array" ref="J484">IF(OR(AND(I484=9,J$1&gt;YEAR($N484))),9,_xlfn.IFNA(INDEX($D$2:$D$4001,_xlfn.XMATCH(J$1&amp;"-"&amp;$F484,YEAR($B$2:$B$4001)&amp;"-"&amp;$A$2:$A$4001,0,-1)),I484))</f>
        <v>3</v>
      </c>
      <c r="K484" cm="1">
        <f t="array" ref="K484">IF(OR(AND(J484=9,K$1&gt;YEAR($N484))),9,_xlfn.IFNA(INDEX($D$2:$D$4001,_xlfn.XMATCH(K$1&amp;"-"&amp;$F484,YEAR($B$2:$B$4001)&amp;"-"&amp;$A$2:$A$4001,0,-1)),J484))</f>
        <v>3</v>
      </c>
      <c r="L484" cm="1">
        <f t="array" ref="L484">IF(OR(AND(K484=9,L$1&gt;YEAR($N484))),9,_xlfn.IFNA(INDEX($D$2:$D$4001,_xlfn.XMATCH(L$1&amp;"-"&amp;$F484,YEAR($B$2:$B$4001)&amp;"-"&amp;$A$2:$A$4001,0,-1)),K484))</f>
        <v>3</v>
      </c>
      <c r="M484" cm="1">
        <f t="array" ref="M484">IF(OR(AND(L484=9,M$1&gt;YEAR($N484))),9,_xlfn.IFNA(INDEX($D$2:$D$4001,_xlfn.XMATCH(M$1&amp;"-"&amp;$F484,YEAR($B$2:$B$4001)&amp;"-"&amp;$A$2:$A$4001,0,-1)),L484))</f>
        <v>3</v>
      </c>
      <c r="N484" s="1">
        <f t="shared" si="7"/>
        <v>36667</v>
      </c>
    </row>
    <row r="485" spans="1:14" x14ac:dyDescent="0.35">
      <c r="A485">
        <v>247</v>
      </c>
      <c r="B485" s="2">
        <v>37401</v>
      </c>
      <c r="C485">
        <v>4</v>
      </c>
      <c r="D485">
        <v>4</v>
      </c>
      <c r="F485">
        <v>484</v>
      </c>
      <c r="G485" cm="1">
        <f t="array" ref="G485">_xlfn.IFNA(INDEX($D$2:$D$4001,_xlfn.XMATCH(G$1&amp;"-"&amp;$F485,YEAR($B$2:$B$4001)&amp;"-"&amp;$A$2:$A$4001,0,-1)),9)</f>
        <v>9</v>
      </c>
      <c r="H485" cm="1">
        <f t="array" ref="H485">IF(OR(AND(G485=9,H$1&gt;YEAR($N485))),9,_xlfn.IFNA(INDEX($D$2:$D$4001,_xlfn.XMATCH(H$1&amp;"-"&amp;$F485,YEAR($B$2:$B$4001)&amp;"-"&amp;$A$2:$A$4001,0,-1)),G485))</f>
        <v>9</v>
      </c>
      <c r="I485" cm="1">
        <f t="array" ref="I485">IF(OR(AND(H485=9,I$1&gt;YEAR($N485))),9,_xlfn.IFNA(INDEX($D$2:$D$4001,_xlfn.XMATCH(I$1&amp;"-"&amp;$F485,YEAR($B$2:$B$4001)&amp;"-"&amp;$A$2:$A$4001,0,-1)),H485))</f>
        <v>9</v>
      </c>
      <c r="J485" cm="1">
        <f t="array" ref="J485">IF(OR(AND(I485=9,J$1&gt;YEAR($N485))),9,_xlfn.IFNA(INDEX($D$2:$D$4001,_xlfn.XMATCH(J$1&amp;"-"&amp;$F485,YEAR($B$2:$B$4001)&amp;"-"&amp;$A$2:$A$4001,0,-1)),I485))</f>
        <v>3</v>
      </c>
      <c r="K485" cm="1">
        <f t="array" ref="K485">IF(OR(AND(J485=9,K$1&gt;YEAR($N485))),9,_xlfn.IFNA(INDEX($D$2:$D$4001,_xlfn.XMATCH(K$1&amp;"-"&amp;$F485,YEAR($B$2:$B$4001)&amp;"-"&amp;$A$2:$A$4001,0,-1)),J485))</f>
        <v>4</v>
      </c>
      <c r="L485" cm="1">
        <f t="array" ref="L485">IF(OR(AND(K485=9,L$1&gt;YEAR($N485))),9,_xlfn.IFNA(INDEX($D$2:$D$4001,_xlfn.XMATCH(L$1&amp;"-"&amp;$F485,YEAR($B$2:$B$4001)&amp;"-"&amp;$A$2:$A$4001,0,-1)),K485))</f>
        <v>4</v>
      </c>
      <c r="M485" cm="1">
        <f t="array" ref="M485">IF(OR(AND(L485=9,M$1&gt;YEAR($N485))),9,_xlfn.IFNA(INDEX($D$2:$D$4001,_xlfn.XMATCH(M$1&amp;"-"&amp;$F485,YEAR($B$2:$B$4001)&amp;"-"&amp;$A$2:$A$4001,0,-1)),L485))</f>
        <v>4</v>
      </c>
      <c r="N485" s="1">
        <f t="shared" si="7"/>
        <v>37620</v>
      </c>
    </row>
    <row r="486" spans="1:14" x14ac:dyDescent="0.35">
      <c r="A486">
        <v>248</v>
      </c>
      <c r="B486" s="2">
        <v>37032</v>
      </c>
      <c r="C486">
        <v>4</v>
      </c>
      <c r="D486">
        <v>4</v>
      </c>
      <c r="F486">
        <v>485</v>
      </c>
      <c r="G486" cm="1">
        <f t="array" ref="G486">_xlfn.IFNA(INDEX($D$2:$D$4001,_xlfn.XMATCH(G$1&amp;"-"&amp;$F486,YEAR($B$2:$B$4001)&amp;"-"&amp;$A$2:$A$4001,0,-1)),9)</f>
        <v>9</v>
      </c>
      <c r="H486" cm="1">
        <f t="array" ref="H486">IF(OR(AND(G486=9,H$1&gt;YEAR($N486))),9,_xlfn.IFNA(INDEX($D$2:$D$4001,_xlfn.XMATCH(H$1&amp;"-"&amp;$F486,YEAR($B$2:$B$4001)&amp;"-"&amp;$A$2:$A$4001,0,-1)),G486))</f>
        <v>9</v>
      </c>
      <c r="I486" cm="1">
        <f t="array" ref="I486">IF(OR(AND(H486=9,I$1&gt;YEAR($N486))),9,_xlfn.IFNA(INDEX($D$2:$D$4001,_xlfn.XMATCH(I$1&amp;"-"&amp;$F486,YEAR($B$2:$B$4001)&amp;"-"&amp;$A$2:$A$4001,0,-1)),H486))</f>
        <v>9</v>
      </c>
      <c r="J486" cm="1">
        <f t="array" ref="J486">IF(OR(AND(I486=9,J$1&gt;YEAR($N486))),9,_xlfn.IFNA(INDEX($D$2:$D$4001,_xlfn.XMATCH(J$1&amp;"-"&amp;$F486,YEAR($B$2:$B$4001)&amp;"-"&amp;$A$2:$A$4001,0,-1)),I486))</f>
        <v>9</v>
      </c>
      <c r="K486" cm="1">
        <f t="array" ref="K486">IF(OR(AND(J486=9,K$1&gt;YEAR($N486))),9,_xlfn.IFNA(INDEX($D$2:$D$4001,_xlfn.XMATCH(K$1&amp;"-"&amp;$F486,YEAR($B$2:$B$4001)&amp;"-"&amp;$A$2:$A$4001,0,-1)),J486))</f>
        <v>9</v>
      </c>
      <c r="L486" cm="1">
        <f t="array" ref="L486">IF(OR(AND(K486=9,L$1&gt;YEAR($N486))),9,_xlfn.IFNA(INDEX($D$2:$D$4001,_xlfn.XMATCH(L$1&amp;"-"&amp;$F486,YEAR($B$2:$B$4001)&amp;"-"&amp;$A$2:$A$4001,0,-1)),K486))</f>
        <v>0</v>
      </c>
      <c r="M486" cm="1">
        <f t="array" ref="M486">IF(OR(AND(L486=9,M$1&gt;YEAR($N486))),9,_xlfn.IFNA(INDEX($D$2:$D$4001,_xlfn.XMATCH(M$1&amp;"-"&amp;$F486,YEAR($B$2:$B$4001)&amp;"-"&amp;$A$2:$A$4001,0,-1)),L486))</f>
        <v>0</v>
      </c>
      <c r="N486" s="1">
        <f t="shared" si="7"/>
        <v>38128</v>
      </c>
    </row>
    <row r="487" spans="1:14" x14ac:dyDescent="0.35">
      <c r="A487">
        <v>248</v>
      </c>
      <c r="B487" s="2">
        <v>37032</v>
      </c>
      <c r="C487">
        <v>5</v>
      </c>
      <c r="D487">
        <v>5</v>
      </c>
      <c r="F487">
        <v>486</v>
      </c>
      <c r="G487" cm="1">
        <f t="array" ref="G487">_xlfn.IFNA(INDEX($D$2:$D$4001,_xlfn.XMATCH(G$1&amp;"-"&amp;$F487,YEAR($B$2:$B$4001)&amp;"-"&amp;$A$2:$A$4001,0,-1)),9)</f>
        <v>9</v>
      </c>
      <c r="H487" cm="1">
        <f t="array" ref="H487">IF(OR(AND(G487=9,H$1&gt;YEAR($N487))),9,_xlfn.IFNA(INDEX($D$2:$D$4001,_xlfn.XMATCH(H$1&amp;"-"&amp;$F487,YEAR($B$2:$B$4001)&amp;"-"&amp;$A$2:$A$4001,0,-1)),G487))</f>
        <v>9</v>
      </c>
      <c r="I487" cm="1">
        <f t="array" ref="I487">IF(OR(AND(H487=9,I$1&gt;YEAR($N487))),9,_xlfn.IFNA(INDEX($D$2:$D$4001,_xlfn.XMATCH(I$1&amp;"-"&amp;$F487,YEAR($B$2:$B$4001)&amp;"-"&amp;$A$2:$A$4001,0,-1)),H487))</f>
        <v>6</v>
      </c>
      <c r="J487" cm="1">
        <f t="array" ref="J487">IF(OR(AND(I487=9,J$1&gt;YEAR($N487))),9,_xlfn.IFNA(INDEX($D$2:$D$4001,_xlfn.XMATCH(J$1&amp;"-"&amp;$F487,YEAR($B$2:$B$4001)&amp;"-"&amp;$A$2:$A$4001,0,-1)),I487))</f>
        <v>6</v>
      </c>
      <c r="K487" cm="1">
        <f t="array" ref="K487">IF(OR(AND(J487=9,K$1&gt;YEAR($N487))),9,_xlfn.IFNA(INDEX($D$2:$D$4001,_xlfn.XMATCH(K$1&amp;"-"&amp;$F487,YEAR($B$2:$B$4001)&amp;"-"&amp;$A$2:$A$4001,0,-1)),J487))</f>
        <v>0</v>
      </c>
      <c r="L487" cm="1">
        <f t="array" ref="L487">IF(OR(AND(K487=9,L$1&gt;YEAR($N487))),9,_xlfn.IFNA(INDEX($D$2:$D$4001,_xlfn.XMATCH(L$1&amp;"-"&amp;$F487,YEAR($B$2:$B$4001)&amp;"-"&amp;$A$2:$A$4001,0,-1)),K487))</f>
        <v>0</v>
      </c>
      <c r="M487" cm="1">
        <f t="array" ref="M487">IF(OR(AND(L487=9,M$1&gt;YEAR($N487))),9,_xlfn.IFNA(INDEX($D$2:$D$4001,_xlfn.XMATCH(M$1&amp;"-"&amp;$F487,YEAR($B$2:$B$4001)&amp;"-"&amp;$A$2:$A$4001,0,-1)),L487))</f>
        <v>0</v>
      </c>
      <c r="N487" s="1">
        <f t="shared" si="7"/>
        <v>37255</v>
      </c>
    </row>
    <row r="488" spans="1:14" x14ac:dyDescent="0.35">
      <c r="A488">
        <v>248</v>
      </c>
      <c r="B488" s="2">
        <v>37032</v>
      </c>
      <c r="C488">
        <v>5</v>
      </c>
      <c r="D488">
        <v>5</v>
      </c>
      <c r="F488">
        <v>487</v>
      </c>
      <c r="G488" cm="1">
        <f t="array" ref="G488">_xlfn.IFNA(INDEX($D$2:$D$4001,_xlfn.XMATCH(G$1&amp;"-"&amp;$F488,YEAR($B$2:$B$4001)&amp;"-"&amp;$A$2:$A$4001,0,-1)),9)</f>
        <v>9</v>
      </c>
      <c r="H488" cm="1">
        <f t="array" ref="H488">IF(OR(AND(G488=9,H$1&gt;YEAR($N488))),9,_xlfn.IFNA(INDEX($D$2:$D$4001,_xlfn.XMATCH(H$1&amp;"-"&amp;$F488,YEAR($B$2:$B$4001)&amp;"-"&amp;$A$2:$A$4001,0,-1)),G488))</f>
        <v>3</v>
      </c>
      <c r="I488" cm="1">
        <f t="array" ref="I488">IF(OR(AND(H488=9,I$1&gt;YEAR($N488))),9,_xlfn.IFNA(INDEX($D$2:$D$4001,_xlfn.XMATCH(I$1&amp;"-"&amp;$F488,YEAR($B$2:$B$4001)&amp;"-"&amp;$A$2:$A$4001,0,-1)),H488))</f>
        <v>4</v>
      </c>
      <c r="J488" cm="1">
        <f t="array" ref="J488">IF(OR(AND(I488=9,J$1&gt;YEAR($N488))),9,_xlfn.IFNA(INDEX($D$2:$D$4001,_xlfn.XMATCH(J$1&amp;"-"&amp;$F488,YEAR($B$2:$B$4001)&amp;"-"&amp;$A$2:$A$4001,0,-1)),I488))</f>
        <v>4</v>
      </c>
      <c r="K488" cm="1">
        <f t="array" ref="K488">IF(OR(AND(J488=9,K$1&gt;YEAR($N488))),9,_xlfn.IFNA(INDEX($D$2:$D$4001,_xlfn.XMATCH(K$1&amp;"-"&amp;$F488,YEAR($B$2:$B$4001)&amp;"-"&amp;$A$2:$A$4001,0,-1)),J488))</f>
        <v>4</v>
      </c>
      <c r="L488" cm="1">
        <f t="array" ref="L488">IF(OR(AND(K488=9,L$1&gt;YEAR($N488))),9,_xlfn.IFNA(INDEX($D$2:$D$4001,_xlfn.XMATCH(L$1&amp;"-"&amp;$F488,YEAR($B$2:$B$4001)&amp;"-"&amp;$A$2:$A$4001,0,-1)),K488))</f>
        <v>4</v>
      </c>
      <c r="M488" cm="1">
        <f t="array" ref="M488">IF(OR(AND(L488=9,M$1&gt;YEAR($N488))),9,_xlfn.IFNA(INDEX($D$2:$D$4001,_xlfn.XMATCH(M$1&amp;"-"&amp;$F488,YEAR($B$2:$B$4001)&amp;"-"&amp;$A$2:$A$4001,0,-1)),L488))</f>
        <v>4</v>
      </c>
      <c r="N488" s="1">
        <f t="shared" si="7"/>
        <v>36790</v>
      </c>
    </row>
    <row r="489" spans="1:14" x14ac:dyDescent="0.35">
      <c r="A489">
        <v>248</v>
      </c>
      <c r="B489" s="2">
        <v>37620</v>
      </c>
      <c r="C489">
        <v>5</v>
      </c>
      <c r="D489">
        <v>5</v>
      </c>
      <c r="F489">
        <v>488</v>
      </c>
      <c r="G489" cm="1">
        <f t="array" ref="G489">_xlfn.IFNA(INDEX($D$2:$D$4001,_xlfn.XMATCH(G$1&amp;"-"&amp;$F489,YEAR($B$2:$B$4001)&amp;"-"&amp;$A$2:$A$4001,0,-1)),9)</f>
        <v>9</v>
      </c>
      <c r="H489" cm="1">
        <f t="array" ref="H489">IF(OR(AND(G489=9,H$1&gt;YEAR($N489))),9,_xlfn.IFNA(INDEX($D$2:$D$4001,_xlfn.XMATCH(H$1&amp;"-"&amp;$F489,YEAR($B$2:$B$4001)&amp;"-"&amp;$A$2:$A$4001,0,-1)),G489))</f>
        <v>3</v>
      </c>
      <c r="I489" cm="1">
        <f t="array" ref="I489">IF(OR(AND(H489=9,I$1&gt;YEAR($N489))),9,_xlfn.IFNA(INDEX($D$2:$D$4001,_xlfn.XMATCH(I$1&amp;"-"&amp;$F489,YEAR($B$2:$B$4001)&amp;"-"&amp;$A$2:$A$4001,0,-1)),H489))</f>
        <v>3</v>
      </c>
      <c r="J489" cm="1">
        <f t="array" ref="J489">IF(OR(AND(I489=9,J$1&gt;YEAR($N489))),9,_xlfn.IFNA(INDEX($D$2:$D$4001,_xlfn.XMATCH(J$1&amp;"-"&amp;$F489,YEAR($B$2:$B$4001)&amp;"-"&amp;$A$2:$A$4001,0,-1)),I489))</f>
        <v>3</v>
      </c>
      <c r="K489" cm="1">
        <f t="array" ref="K489">IF(OR(AND(J489=9,K$1&gt;YEAR($N489))),9,_xlfn.IFNA(INDEX($D$2:$D$4001,_xlfn.XMATCH(K$1&amp;"-"&amp;$F489,YEAR($B$2:$B$4001)&amp;"-"&amp;$A$2:$A$4001,0,-1)),J489))</f>
        <v>3</v>
      </c>
      <c r="L489" cm="1">
        <f t="array" ref="L489">IF(OR(AND(K489=9,L$1&gt;YEAR($N489))),9,_xlfn.IFNA(INDEX($D$2:$D$4001,_xlfn.XMATCH(L$1&amp;"-"&amp;$F489,YEAR($B$2:$B$4001)&amp;"-"&amp;$A$2:$A$4001,0,-1)),K489))</f>
        <v>3</v>
      </c>
      <c r="M489" cm="1">
        <f t="array" ref="M489">IF(OR(AND(L489=9,M$1&gt;YEAR($N489))),9,_xlfn.IFNA(INDEX($D$2:$D$4001,_xlfn.XMATCH(M$1&amp;"-"&amp;$F489,YEAR($B$2:$B$4001)&amp;"-"&amp;$A$2:$A$4001,0,-1)),L489))</f>
        <v>3</v>
      </c>
      <c r="N489" s="1">
        <f t="shared" si="7"/>
        <v>36890</v>
      </c>
    </row>
    <row r="490" spans="1:14" x14ac:dyDescent="0.35">
      <c r="A490">
        <v>248</v>
      </c>
      <c r="B490" s="2">
        <v>37762</v>
      </c>
      <c r="C490">
        <v>6</v>
      </c>
      <c r="D490">
        <v>6</v>
      </c>
      <c r="F490">
        <v>489</v>
      </c>
      <c r="G490" cm="1">
        <f t="array" ref="G490">_xlfn.IFNA(INDEX($D$2:$D$4001,_xlfn.XMATCH(G$1&amp;"-"&amp;$F490,YEAR($B$2:$B$4001)&amp;"-"&amp;$A$2:$A$4001,0,-1)),9)</f>
        <v>9</v>
      </c>
      <c r="H490" cm="1">
        <f t="array" ref="H490">IF(OR(AND(G490=9,H$1&gt;YEAR($N490))),9,_xlfn.IFNA(INDEX($D$2:$D$4001,_xlfn.XMATCH(H$1&amp;"-"&amp;$F490,YEAR($B$2:$B$4001)&amp;"-"&amp;$A$2:$A$4001,0,-1)),G490))</f>
        <v>9</v>
      </c>
      <c r="I490" cm="1">
        <f t="array" ref="I490">IF(OR(AND(H490=9,I$1&gt;YEAR($N490))),9,_xlfn.IFNA(INDEX($D$2:$D$4001,_xlfn.XMATCH(I$1&amp;"-"&amp;$F490,YEAR($B$2:$B$4001)&amp;"-"&amp;$A$2:$A$4001,0,-1)),H490))</f>
        <v>9</v>
      </c>
      <c r="J490" cm="1">
        <f t="array" ref="J490">IF(OR(AND(I490=9,J$1&gt;YEAR($N490))),9,_xlfn.IFNA(INDEX($D$2:$D$4001,_xlfn.XMATCH(J$1&amp;"-"&amp;$F490,YEAR($B$2:$B$4001)&amp;"-"&amp;$A$2:$A$4001,0,-1)),I490))</f>
        <v>3</v>
      </c>
      <c r="K490" cm="1">
        <f t="array" ref="K490">IF(OR(AND(J490=9,K$1&gt;YEAR($N490))),9,_xlfn.IFNA(INDEX($D$2:$D$4001,_xlfn.XMATCH(K$1&amp;"-"&amp;$F490,YEAR($B$2:$B$4001)&amp;"-"&amp;$A$2:$A$4001,0,-1)),J490))</f>
        <v>3</v>
      </c>
      <c r="L490" cm="1">
        <f t="array" ref="L490">IF(OR(AND(K490=9,L$1&gt;YEAR($N490))),9,_xlfn.IFNA(INDEX($D$2:$D$4001,_xlfn.XMATCH(L$1&amp;"-"&amp;$F490,YEAR($B$2:$B$4001)&amp;"-"&amp;$A$2:$A$4001,0,-1)),K490))</f>
        <v>3</v>
      </c>
      <c r="M490" cm="1">
        <f t="array" ref="M490">IF(OR(AND(L490=9,M$1&gt;YEAR($N490))),9,_xlfn.IFNA(INDEX($D$2:$D$4001,_xlfn.XMATCH(M$1&amp;"-"&amp;$F490,YEAR($B$2:$B$4001)&amp;"-"&amp;$A$2:$A$4001,0,-1)),L490))</f>
        <v>3</v>
      </c>
      <c r="N490" s="1">
        <f t="shared" si="7"/>
        <v>37618</v>
      </c>
    </row>
    <row r="491" spans="1:14" x14ac:dyDescent="0.35">
      <c r="A491">
        <v>248</v>
      </c>
      <c r="B491" s="2">
        <v>38533</v>
      </c>
      <c r="C491">
        <v>5</v>
      </c>
      <c r="D491">
        <v>5</v>
      </c>
      <c r="F491">
        <v>490</v>
      </c>
      <c r="G491" cm="1">
        <f t="array" ref="G491">_xlfn.IFNA(INDEX($D$2:$D$4001,_xlfn.XMATCH(G$1&amp;"-"&amp;$F491,YEAR($B$2:$B$4001)&amp;"-"&amp;$A$2:$A$4001,0,-1)),9)</f>
        <v>9</v>
      </c>
      <c r="H491" cm="1">
        <f t="array" ref="H491">IF(OR(AND(G491=9,H$1&gt;YEAR($N491))),9,_xlfn.IFNA(INDEX($D$2:$D$4001,_xlfn.XMATCH(H$1&amp;"-"&amp;$F491,YEAR($B$2:$B$4001)&amp;"-"&amp;$A$2:$A$4001,0,-1)),G491))</f>
        <v>9</v>
      </c>
      <c r="I491" cm="1">
        <f t="array" ref="I491">IF(OR(AND(H491=9,I$1&gt;YEAR($N491))),9,_xlfn.IFNA(INDEX($D$2:$D$4001,_xlfn.XMATCH(I$1&amp;"-"&amp;$F491,YEAR($B$2:$B$4001)&amp;"-"&amp;$A$2:$A$4001,0,-1)),H491))</f>
        <v>9</v>
      </c>
      <c r="J491" cm="1">
        <f t="array" ref="J491">IF(OR(AND(I491=9,J$1&gt;YEAR($N491))),9,_xlfn.IFNA(INDEX($D$2:$D$4001,_xlfn.XMATCH(J$1&amp;"-"&amp;$F491,YEAR($B$2:$B$4001)&amp;"-"&amp;$A$2:$A$4001,0,-1)),I491))</f>
        <v>9</v>
      </c>
      <c r="K491" cm="1">
        <f t="array" ref="K491">IF(OR(AND(J491=9,K$1&gt;YEAR($N491))),9,_xlfn.IFNA(INDEX($D$2:$D$4001,_xlfn.XMATCH(K$1&amp;"-"&amp;$F491,YEAR($B$2:$B$4001)&amp;"-"&amp;$A$2:$A$4001,0,-1)),J491))</f>
        <v>0</v>
      </c>
      <c r="L491" cm="1">
        <f t="array" ref="L491">IF(OR(AND(K491=9,L$1&gt;YEAR($N491))),9,_xlfn.IFNA(INDEX($D$2:$D$4001,_xlfn.XMATCH(L$1&amp;"-"&amp;$F491,YEAR($B$2:$B$4001)&amp;"-"&amp;$A$2:$A$4001,0,-1)),K491))</f>
        <v>0</v>
      </c>
      <c r="M491" cm="1">
        <f t="array" ref="M491">IF(OR(AND(L491=9,M$1&gt;YEAR($N491))),9,_xlfn.IFNA(INDEX($D$2:$D$4001,_xlfn.XMATCH(M$1&amp;"-"&amp;$F491,YEAR($B$2:$B$4001)&amp;"-"&amp;$A$2:$A$4001,0,-1)),L491))</f>
        <v>0</v>
      </c>
      <c r="N491" s="1">
        <f t="shared" si="7"/>
        <v>37885</v>
      </c>
    </row>
    <row r="492" spans="1:14" x14ac:dyDescent="0.35">
      <c r="A492">
        <v>249</v>
      </c>
      <c r="B492" s="2">
        <v>37216</v>
      </c>
      <c r="C492">
        <v>5</v>
      </c>
      <c r="D492">
        <v>5</v>
      </c>
      <c r="F492">
        <v>491</v>
      </c>
      <c r="G492" cm="1">
        <f t="array" ref="G492">_xlfn.IFNA(INDEX($D$2:$D$4001,_xlfn.XMATCH(G$1&amp;"-"&amp;$F492,YEAR($B$2:$B$4001)&amp;"-"&amp;$A$2:$A$4001,0,-1)),9)</f>
        <v>9</v>
      </c>
      <c r="H492" cm="1">
        <f t="array" ref="H492">IF(OR(AND(G492=9,H$1&gt;YEAR($N492))),9,_xlfn.IFNA(INDEX($D$2:$D$4001,_xlfn.XMATCH(H$1&amp;"-"&amp;$F492,YEAR($B$2:$B$4001)&amp;"-"&amp;$A$2:$A$4001,0,-1)),G492))</f>
        <v>9</v>
      </c>
      <c r="I492" cm="1">
        <f t="array" ref="I492">IF(OR(AND(H492=9,I$1&gt;YEAR($N492))),9,_xlfn.IFNA(INDEX($D$2:$D$4001,_xlfn.XMATCH(I$1&amp;"-"&amp;$F492,YEAR($B$2:$B$4001)&amp;"-"&amp;$A$2:$A$4001,0,-1)),H492))</f>
        <v>9</v>
      </c>
      <c r="J492" cm="1">
        <f t="array" ref="J492">IF(OR(AND(I492=9,J$1&gt;YEAR($N492))),9,_xlfn.IFNA(INDEX($D$2:$D$4001,_xlfn.XMATCH(J$1&amp;"-"&amp;$F492,YEAR($B$2:$B$4001)&amp;"-"&amp;$A$2:$A$4001,0,-1)),I492))</f>
        <v>9</v>
      </c>
      <c r="K492" cm="1">
        <f t="array" ref="K492">IF(OR(AND(J492=9,K$1&gt;YEAR($N492))),9,_xlfn.IFNA(INDEX($D$2:$D$4001,_xlfn.XMATCH(K$1&amp;"-"&amp;$F492,YEAR($B$2:$B$4001)&amp;"-"&amp;$A$2:$A$4001,0,-1)),J492))</f>
        <v>9</v>
      </c>
      <c r="L492" cm="1">
        <f t="array" ref="L492">IF(OR(AND(K492=9,L$1&gt;YEAR($N492))),9,_xlfn.IFNA(INDEX($D$2:$D$4001,_xlfn.XMATCH(L$1&amp;"-"&amp;$F492,YEAR($B$2:$B$4001)&amp;"-"&amp;$A$2:$A$4001,0,-1)),K492))</f>
        <v>3</v>
      </c>
      <c r="M492" cm="1">
        <f t="array" ref="M492">IF(OR(AND(L492=9,M$1&gt;YEAR($N492))),9,_xlfn.IFNA(INDEX($D$2:$D$4001,_xlfn.XMATCH(M$1&amp;"-"&amp;$F492,YEAR($B$2:$B$4001)&amp;"-"&amp;$A$2:$A$4001,0,-1)),L492))</f>
        <v>3</v>
      </c>
      <c r="N492" s="1">
        <f t="shared" si="7"/>
        <v>38129</v>
      </c>
    </row>
    <row r="493" spans="1:14" x14ac:dyDescent="0.35">
      <c r="A493">
        <v>249</v>
      </c>
      <c r="B493" s="2">
        <v>37529</v>
      </c>
      <c r="C493">
        <v>6</v>
      </c>
      <c r="D493">
        <v>6</v>
      </c>
      <c r="F493">
        <v>492</v>
      </c>
      <c r="G493" cm="1">
        <f t="array" ref="G493">_xlfn.IFNA(INDEX($D$2:$D$4001,_xlfn.XMATCH(G$1&amp;"-"&amp;$F493,YEAR($B$2:$B$4001)&amp;"-"&amp;$A$2:$A$4001,0,-1)),9)</f>
        <v>9</v>
      </c>
      <c r="H493" cm="1">
        <f t="array" ref="H493">IF(OR(AND(G493=9,H$1&gt;YEAR($N493))),9,_xlfn.IFNA(INDEX($D$2:$D$4001,_xlfn.XMATCH(H$1&amp;"-"&amp;$F493,YEAR($B$2:$B$4001)&amp;"-"&amp;$A$2:$A$4001,0,-1)),G493))</f>
        <v>9</v>
      </c>
      <c r="I493" cm="1">
        <f t="array" ref="I493">IF(OR(AND(H493=9,I$1&gt;YEAR($N493))),9,_xlfn.IFNA(INDEX($D$2:$D$4001,_xlfn.XMATCH(I$1&amp;"-"&amp;$F493,YEAR($B$2:$B$4001)&amp;"-"&amp;$A$2:$A$4001,0,-1)),H493))</f>
        <v>4</v>
      </c>
      <c r="J493" cm="1">
        <f t="array" ref="J493">IF(OR(AND(I493=9,J$1&gt;YEAR($N493))),9,_xlfn.IFNA(INDEX($D$2:$D$4001,_xlfn.XMATCH(J$1&amp;"-"&amp;$F493,YEAR($B$2:$B$4001)&amp;"-"&amp;$A$2:$A$4001,0,-1)),I493))</f>
        <v>4</v>
      </c>
      <c r="K493" cm="1">
        <f t="array" ref="K493">IF(OR(AND(J493=9,K$1&gt;YEAR($N493))),9,_xlfn.IFNA(INDEX($D$2:$D$4001,_xlfn.XMATCH(K$1&amp;"-"&amp;$F493,YEAR($B$2:$B$4001)&amp;"-"&amp;$A$2:$A$4001,0,-1)),J493))</f>
        <v>4</v>
      </c>
      <c r="L493" cm="1">
        <f t="array" ref="L493">IF(OR(AND(K493=9,L$1&gt;YEAR($N493))),9,_xlfn.IFNA(INDEX($D$2:$D$4001,_xlfn.XMATCH(L$1&amp;"-"&amp;$F493,YEAR($B$2:$B$4001)&amp;"-"&amp;$A$2:$A$4001,0,-1)),K493))</f>
        <v>0</v>
      </c>
      <c r="M493" cm="1">
        <f t="array" ref="M493">IF(OR(AND(L493=9,M$1&gt;YEAR($N493))),9,_xlfn.IFNA(INDEX($D$2:$D$4001,_xlfn.XMATCH(M$1&amp;"-"&amp;$F493,YEAR($B$2:$B$4001)&amp;"-"&amp;$A$2:$A$4001,0,-1)),L493))</f>
        <v>0</v>
      </c>
      <c r="N493" s="1">
        <f t="shared" si="7"/>
        <v>37041</v>
      </c>
    </row>
    <row r="494" spans="1:14" x14ac:dyDescent="0.35">
      <c r="A494">
        <v>249</v>
      </c>
      <c r="B494" s="2">
        <v>37771</v>
      </c>
      <c r="C494">
        <v>6</v>
      </c>
      <c r="D494">
        <v>6</v>
      </c>
      <c r="F494">
        <v>493</v>
      </c>
      <c r="G494" cm="1">
        <f t="array" ref="G494">_xlfn.IFNA(INDEX($D$2:$D$4001,_xlfn.XMATCH(G$1&amp;"-"&amp;$F494,YEAR($B$2:$B$4001)&amp;"-"&amp;$A$2:$A$4001,0,-1)),9)</f>
        <v>9</v>
      </c>
      <c r="H494" cm="1">
        <f t="array" ref="H494">IF(OR(AND(G494=9,H$1&gt;YEAR($N494))),9,_xlfn.IFNA(INDEX($D$2:$D$4001,_xlfn.XMATCH(H$1&amp;"-"&amp;$F494,YEAR($B$2:$B$4001)&amp;"-"&amp;$A$2:$A$4001,0,-1)),G494))</f>
        <v>9</v>
      </c>
      <c r="I494" cm="1">
        <f t="array" ref="I494">IF(OR(AND(H494=9,I$1&gt;YEAR($N494))),9,_xlfn.IFNA(INDEX($D$2:$D$4001,_xlfn.XMATCH(I$1&amp;"-"&amp;$F494,YEAR($B$2:$B$4001)&amp;"-"&amp;$A$2:$A$4001,0,-1)),H494))</f>
        <v>9</v>
      </c>
      <c r="J494" cm="1">
        <f t="array" ref="J494">IF(OR(AND(I494=9,J$1&gt;YEAR($N494))),9,_xlfn.IFNA(INDEX($D$2:$D$4001,_xlfn.XMATCH(J$1&amp;"-"&amp;$F494,YEAR($B$2:$B$4001)&amp;"-"&amp;$A$2:$A$4001,0,-1)),I494))</f>
        <v>9</v>
      </c>
      <c r="K494" cm="1">
        <f t="array" ref="K494">IF(OR(AND(J494=9,K$1&gt;YEAR($N494))),9,_xlfn.IFNA(INDEX($D$2:$D$4001,_xlfn.XMATCH(K$1&amp;"-"&amp;$F494,YEAR($B$2:$B$4001)&amp;"-"&amp;$A$2:$A$4001,0,-1)),J494))</f>
        <v>3</v>
      </c>
      <c r="L494" cm="1">
        <f t="array" ref="L494">IF(OR(AND(K494=9,L$1&gt;YEAR($N494))),9,_xlfn.IFNA(INDEX($D$2:$D$4001,_xlfn.XMATCH(L$1&amp;"-"&amp;$F494,YEAR($B$2:$B$4001)&amp;"-"&amp;$A$2:$A$4001,0,-1)),K494))</f>
        <v>3</v>
      </c>
      <c r="M494" cm="1">
        <f t="array" ref="M494">IF(OR(AND(L494=9,M$1&gt;YEAR($N494))),9,_xlfn.IFNA(INDEX($D$2:$D$4001,_xlfn.XMATCH(M$1&amp;"-"&amp;$F494,YEAR($B$2:$B$4001)&amp;"-"&amp;$A$2:$A$4001,0,-1)),L494))</f>
        <v>3</v>
      </c>
      <c r="N494" s="1">
        <f t="shared" si="7"/>
        <v>37802</v>
      </c>
    </row>
    <row r="495" spans="1:14" x14ac:dyDescent="0.35">
      <c r="A495">
        <v>250</v>
      </c>
      <c r="B495" s="2">
        <v>36860</v>
      </c>
      <c r="C495">
        <v>3</v>
      </c>
      <c r="D495">
        <v>3</v>
      </c>
      <c r="F495">
        <v>494</v>
      </c>
      <c r="G495" cm="1">
        <f t="array" ref="G495">_xlfn.IFNA(INDEX($D$2:$D$4001,_xlfn.XMATCH(G$1&amp;"-"&amp;$F495,YEAR($B$2:$B$4001)&amp;"-"&amp;$A$2:$A$4001,0,-1)),9)</f>
        <v>9</v>
      </c>
      <c r="H495" cm="1">
        <f t="array" ref="H495">IF(OR(AND(G495=9,H$1&gt;YEAR($N495))),9,_xlfn.IFNA(INDEX($D$2:$D$4001,_xlfn.XMATCH(H$1&amp;"-"&amp;$F495,YEAR($B$2:$B$4001)&amp;"-"&amp;$A$2:$A$4001,0,-1)),G495))</f>
        <v>9</v>
      </c>
      <c r="I495" cm="1">
        <f t="array" ref="I495">IF(OR(AND(H495=9,I$1&gt;YEAR($N495))),9,_xlfn.IFNA(INDEX($D$2:$D$4001,_xlfn.XMATCH(I$1&amp;"-"&amp;$F495,YEAR($B$2:$B$4001)&amp;"-"&amp;$A$2:$A$4001,0,-1)),H495))</f>
        <v>9</v>
      </c>
      <c r="J495" cm="1">
        <f t="array" ref="J495">IF(OR(AND(I495=9,J$1&gt;YEAR($N495))),9,_xlfn.IFNA(INDEX($D$2:$D$4001,_xlfn.XMATCH(J$1&amp;"-"&amp;$F495,YEAR($B$2:$B$4001)&amp;"-"&amp;$A$2:$A$4001,0,-1)),I495))</f>
        <v>9</v>
      </c>
      <c r="K495" cm="1">
        <f t="array" ref="K495">IF(OR(AND(J495=9,K$1&gt;YEAR($N495))),9,_xlfn.IFNA(INDEX($D$2:$D$4001,_xlfn.XMATCH(K$1&amp;"-"&amp;$F495,YEAR($B$2:$B$4001)&amp;"-"&amp;$A$2:$A$4001,0,-1)),J495))</f>
        <v>5</v>
      </c>
      <c r="L495" cm="1">
        <f t="array" ref="L495">IF(OR(AND(K495=9,L$1&gt;YEAR($N495))),9,_xlfn.IFNA(INDEX($D$2:$D$4001,_xlfn.XMATCH(L$1&amp;"-"&amp;$F495,YEAR($B$2:$B$4001)&amp;"-"&amp;$A$2:$A$4001,0,-1)),K495))</f>
        <v>0</v>
      </c>
      <c r="M495" cm="1">
        <f t="array" ref="M495">IF(OR(AND(L495=9,M$1&gt;YEAR($N495))),9,_xlfn.IFNA(INDEX($D$2:$D$4001,_xlfn.XMATCH(M$1&amp;"-"&amp;$F495,YEAR($B$2:$B$4001)&amp;"-"&amp;$A$2:$A$4001,0,-1)),L495))</f>
        <v>0</v>
      </c>
      <c r="N495" s="1">
        <f t="shared" si="7"/>
        <v>37794</v>
      </c>
    </row>
    <row r="496" spans="1:14" x14ac:dyDescent="0.35">
      <c r="A496">
        <v>250</v>
      </c>
      <c r="B496" s="2">
        <v>37041</v>
      </c>
      <c r="C496">
        <v>0</v>
      </c>
      <c r="D496">
        <v>0</v>
      </c>
      <c r="F496">
        <v>495</v>
      </c>
      <c r="G496" cm="1">
        <f t="array" ref="G496">_xlfn.IFNA(INDEX($D$2:$D$4001,_xlfn.XMATCH(G$1&amp;"-"&amp;$F496,YEAR($B$2:$B$4001)&amp;"-"&amp;$A$2:$A$4001,0,-1)),9)</f>
        <v>6</v>
      </c>
      <c r="H496" cm="1">
        <f t="array" ref="H496">IF(OR(AND(G496=9,H$1&gt;YEAR($N496))),9,_xlfn.IFNA(INDEX($D$2:$D$4001,_xlfn.XMATCH(H$1&amp;"-"&amp;$F496,YEAR($B$2:$B$4001)&amp;"-"&amp;$A$2:$A$4001,0,-1)),G496))</f>
        <v>6</v>
      </c>
      <c r="I496" cm="1">
        <f t="array" ref="I496">IF(OR(AND(H496=9,I$1&gt;YEAR($N496))),9,_xlfn.IFNA(INDEX($D$2:$D$4001,_xlfn.XMATCH(I$1&amp;"-"&amp;$F496,YEAR($B$2:$B$4001)&amp;"-"&amp;$A$2:$A$4001,0,-1)),H496))</f>
        <v>6</v>
      </c>
      <c r="J496" cm="1">
        <f t="array" ref="J496">IF(OR(AND(I496=9,J$1&gt;YEAR($N496))),9,_xlfn.IFNA(INDEX($D$2:$D$4001,_xlfn.XMATCH(J$1&amp;"-"&amp;$F496,YEAR($B$2:$B$4001)&amp;"-"&amp;$A$2:$A$4001,0,-1)),I496))</f>
        <v>6</v>
      </c>
      <c r="K496" cm="1">
        <f t="array" ref="K496">IF(OR(AND(J496=9,K$1&gt;YEAR($N496))),9,_xlfn.IFNA(INDEX($D$2:$D$4001,_xlfn.XMATCH(K$1&amp;"-"&amp;$F496,YEAR($B$2:$B$4001)&amp;"-"&amp;$A$2:$A$4001,0,-1)),J496))</f>
        <v>6</v>
      </c>
      <c r="L496" cm="1">
        <f t="array" ref="L496">IF(OR(AND(K496=9,L$1&gt;YEAR($N496))),9,_xlfn.IFNA(INDEX($D$2:$D$4001,_xlfn.XMATCH(L$1&amp;"-"&amp;$F496,YEAR($B$2:$B$4001)&amp;"-"&amp;$A$2:$A$4001,0,-1)),K496))</f>
        <v>6</v>
      </c>
      <c r="M496" cm="1">
        <f t="array" ref="M496">IF(OR(AND(L496=9,M$1&gt;YEAR($N496))),9,_xlfn.IFNA(INDEX($D$2:$D$4001,_xlfn.XMATCH(M$1&amp;"-"&amp;$F496,YEAR($B$2:$B$4001)&amp;"-"&amp;$A$2:$A$4001,0,-1)),L496))</f>
        <v>6</v>
      </c>
      <c r="N496" s="1">
        <f t="shared" si="7"/>
        <v>36301</v>
      </c>
    </row>
    <row r="497" spans="1:14" x14ac:dyDescent="0.35">
      <c r="A497">
        <v>250</v>
      </c>
      <c r="B497" s="2">
        <v>37255</v>
      </c>
      <c r="C497">
        <v>4</v>
      </c>
      <c r="D497">
        <v>4</v>
      </c>
      <c r="F497">
        <v>496</v>
      </c>
      <c r="G497" cm="1">
        <f t="array" ref="G497">_xlfn.IFNA(INDEX($D$2:$D$4001,_xlfn.XMATCH(G$1&amp;"-"&amp;$F497,YEAR($B$2:$B$4001)&amp;"-"&amp;$A$2:$A$4001,0,-1)),9)</f>
        <v>9</v>
      </c>
      <c r="H497" cm="1">
        <f t="array" ref="H497">IF(OR(AND(G497=9,H$1&gt;YEAR($N497))),9,_xlfn.IFNA(INDEX($D$2:$D$4001,_xlfn.XMATCH(H$1&amp;"-"&amp;$F497,YEAR($B$2:$B$4001)&amp;"-"&amp;$A$2:$A$4001,0,-1)),G497))</f>
        <v>9</v>
      </c>
      <c r="I497" cm="1">
        <f t="array" ref="I497">IF(OR(AND(H497=9,I$1&gt;YEAR($N497))),9,_xlfn.IFNA(INDEX($D$2:$D$4001,_xlfn.XMATCH(I$1&amp;"-"&amp;$F497,YEAR($B$2:$B$4001)&amp;"-"&amp;$A$2:$A$4001,0,-1)),H497))</f>
        <v>9</v>
      </c>
      <c r="J497" cm="1">
        <f t="array" ref="J497">IF(OR(AND(I497=9,J$1&gt;YEAR($N497))),9,_xlfn.IFNA(INDEX($D$2:$D$4001,_xlfn.XMATCH(J$1&amp;"-"&amp;$F497,YEAR($B$2:$B$4001)&amp;"-"&amp;$A$2:$A$4001,0,-1)),I497))</f>
        <v>4</v>
      </c>
      <c r="K497" cm="1">
        <f t="array" ref="K497">IF(OR(AND(J497=9,K$1&gt;YEAR($N497))),9,_xlfn.IFNA(INDEX($D$2:$D$4001,_xlfn.XMATCH(K$1&amp;"-"&amp;$F497,YEAR($B$2:$B$4001)&amp;"-"&amp;$A$2:$A$4001,0,-1)),J497))</f>
        <v>4</v>
      </c>
      <c r="L497" cm="1">
        <f t="array" ref="L497">IF(OR(AND(K497=9,L$1&gt;YEAR($N497))),9,_xlfn.IFNA(INDEX($D$2:$D$4001,_xlfn.XMATCH(L$1&amp;"-"&amp;$F497,YEAR($B$2:$B$4001)&amp;"-"&amp;$A$2:$A$4001,0,-1)),K497))</f>
        <v>4</v>
      </c>
      <c r="M497" cm="1">
        <f t="array" ref="M497">IF(OR(AND(L497=9,M$1&gt;YEAR($N497))),9,_xlfn.IFNA(INDEX($D$2:$D$4001,_xlfn.XMATCH(M$1&amp;"-"&amp;$F497,YEAR($B$2:$B$4001)&amp;"-"&amp;$A$2:$A$4001,0,-1)),L497))</f>
        <v>4</v>
      </c>
      <c r="N497" s="1">
        <f t="shared" si="7"/>
        <v>37559</v>
      </c>
    </row>
    <row r="498" spans="1:14" x14ac:dyDescent="0.35">
      <c r="A498">
        <v>251</v>
      </c>
      <c r="B498" s="2">
        <v>36301</v>
      </c>
      <c r="C498">
        <v>6</v>
      </c>
      <c r="D498">
        <v>6</v>
      </c>
      <c r="F498">
        <v>497</v>
      </c>
      <c r="G498" cm="1">
        <f t="array" ref="G498">_xlfn.IFNA(INDEX($D$2:$D$4001,_xlfn.XMATCH(G$1&amp;"-"&amp;$F498,YEAR($B$2:$B$4001)&amp;"-"&amp;$A$2:$A$4001,0,-1)),9)</f>
        <v>9</v>
      </c>
      <c r="H498" cm="1">
        <f t="array" ref="H498">IF(OR(AND(G498=9,H$1&gt;YEAR($N498))),9,_xlfn.IFNA(INDEX($D$2:$D$4001,_xlfn.XMATCH(H$1&amp;"-"&amp;$F498,YEAR($B$2:$B$4001)&amp;"-"&amp;$A$2:$A$4001,0,-1)),G498))</f>
        <v>2</v>
      </c>
      <c r="I498" cm="1">
        <f t="array" ref="I498">IF(OR(AND(H498=9,I$1&gt;YEAR($N498))),9,_xlfn.IFNA(INDEX($D$2:$D$4001,_xlfn.XMATCH(I$1&amp;"-"&amp;$F498,YEAR($B$2:$B$4001)&amp;"-"&amp;$A$2:$A$4001,0,-1)),H498))</f>
        <v>2</v>
      </c>
      <c r="J498" cm="1">
        <f t="array" ref="J498">IF(OR(AND(I498=9,J$1&gt;YEAR($N498))),9,_xlfn.IFNA(INDEX($D$2:$D$4001,_xlfn.XMATCH(J$1&amp;"-"&amp;$F498,YEAR($B$2:$B$4001)&amp;"-"&amp;$A$2:$A$4001,0,-1)),I498))</f>
        <v>2</v>
      </c>
      <c r="K498" cm="1">
        <f t="array" ref="K498">IF(OR(AND(J498=9,K$1&gt;YEAR($N498))),9,_xlfn.IFNA(INDEX($D$2:$D$4001,_xlfn.XMATCH(K$1&amp;"-"&amp;$F498,YEAR($B$2:$B$4001)&amp;"-"&amp;$A$2:$A$4001,0,-1)),J498))</f>
        <v>2</v>
      </c>
      <c r="L498" cm="1">
        <f t="array" ref="L498">IF(OR(AND(K498=9,L$1&gt;YEAR($N498))),9,_xlfn.IFNA(INDEX($D$2:$D$4001,_xlfn.XMATCH(L$1&amp;"-"&amp;$F498,YEAR($B$2:$B$4001)&amp;"-"&amp;$A$2:$A$4001,0,-1)),K498))</f>
        <v>2</v>
      </c>
      <c r="M498" cm="1">
        <f t="array" ref="M498">IF(OR(AND(L498=9,M$1&gt;YEAR($N498))),9,_xlfn.IFNA(INDEX($D$2:$D$4001,_xlfn.XMATCH(M$1&amp;"-"&amp;$F498,YEAR($B$2:$B$4001)&amp;"-"&amp;$A$2:$A$4001,0,-1)),L498))</f>
        <v>2</v>
      </c>
      <c r="N498" s="1">
        <f t="shared" si="7"/>
        <v>36890</v>
      </c>
    </row>
    <row r="499" spans="1:14" x14ac:dyDescent="0.35">
      <c r="A499">
        <v>251</v>
      </c>
      <c r="B499" s="2">
        <v>36881</v>
      </c>
      <c r="C499">
        <v>6</v>
      </c>
      <c r="D499">
        <v>6</v>
      </c>
      <c r="F499">
        <v>498</v>
      </c>
      <c r="G499" cm="1">
        <f t="array" ref="G499">_xlfn.IFNA(INDEX($D$2:$D$4001,_xlfn.XMATCH(G$1&amp;"-"&amp;$F499,YEAR($B$2:$B$4001)&amp;"-"&amp;$A$2:$A$4001,0,-1)),9)</f>
        <v>9</v>
      </c>
      <c r="H499" cm="1">
        <f t="array" ref="H499">IF(OR(AND(G499=9,H$1&gt;YEAR($N499))),9,_xlfn.IFNA(INDEX($D$2:$D$4001,_xlfn.XMATCH(H$1&amp;"-"&amp;$F499,YEAR($B$2:$B$4001)&amp;"-"&amp;$A$2:$A$4001,0,-1)),G499))</f>
        <v>9</v>
      </c>
      <c r="I499" cm="1">
        <f t="array" ref="I499">IF(OR(AND(H499=9,I$1&gt;YEAR($N499))),9,_xlfn.IFNA(INDEX($D$2:$D$4001,_xlfn.XMATCH(I$1&amp;"-"&amp;$F499,YEAR($B$2:$B$4001)&amp;"-"&amp;$A$2:$A$4001,0,-1)),H499))</f>
        <v>9</v>
      </c>
      <c r="J499" cm="1">
        <f t="array" ref="J499">IF(OR(AND(I499=9,J$1&gt;YEAR($N499))),9,_xlfn.IFNA(INDEX($D$2:$D$4001,_xlfn.XMATCH(J$1&amp;"-"&amp;$F499,YEAR($B$2:$B$4001)&amp;"-"&amp;$A$2:$A$4001,0,-1)),I499))</f>
        <v>9</v>
      </c>
      <c r="K499" cm="1">
        <f t="array" ref="K499">IF(OR(AND(J499=9,K$1&gt;YEAR($N499))),9,_xlfn.IFNA(INDEX($D$2:$D$4001,_xlfn.XMATCH(K$1&amp;"-"&amp;$F499,YEAR($B$2:$B$4001)&amp;"-"&amp;$A$2:$A$4001,0,-1)),J499))</f>
        <v>9</v>
      </c>
      <c r="L499" cm="1">
        <f t="array" ref="L499">IF(OR(AND(K499=9,L$1&gt;YEAR($N499))),9,_xlfn.IFNA(INDEX($D$2:$D$4001,_xlfn.XMATCH(L$1&amp;"-"&amp;$F499,YEAR($B$2:$B$4001)&amp;"-"&amp;$A$2:$A$4001,0,-1)),K499))</f>
        <v>6</v>
      </c>
      <c r="M499" cm="1">
        <f t="array" ref="M499">IF(OR(AND(L499=9,M$1&gt;YEAR($N499))),9,_xlfn.IFNA(INDEX($D$2:$D$4001,_xlfn.XMATCH(M$1&amp;"-"&amp;$F499,YEAR($B$2:$B$4001)&amp;"-"&amp;$A$2:$A$4001,0,-1)),L499))</f>
        <v>6</v>
      </c>
      <c r="N499" s="1">
        <f t="shared" si="7"/>
        <v>38189</v>
      </c>
    </row>
    <row r="500" spans="1:14" x14ac:dyDescent="0.35">
      <c r="A500">
        <v>251</v>
      </c>
      <c r="B500" s="2">
        <v>37041</v>
      </c>
      <c r="C500">
        <v>6</v>
      </c>
      <c r="D500">
        <v>6</v>
      </c>
      <c r="F500">
        <v>499</v>
      </c>
      <c r="G500" cm="1">
        <f t="array" ref="G500">_xlfn.IFNA(INDEX($D$2:$D$4001,_xlfn.XMATCH(G$1&amp;"-"&amp;$F500,YEAR($B$2:$B$4001)&amp;"-"&amp;$A$2:$A$4001,0,-1)),9)</f>
        <v>8</v>
      </c>
      <c r="H500" cm="1">
        <f t="array" ref="H500">IF(OR(AND(G500=9,H$1&gt;YEAR($N500))),9,_xlfn.IFNA(INDEX($D$2:$D$4001,_xlfn.XMATCH(H$1&amp;"-"&amp;$F500,YEAR($B$2:$B$4001)&amp;"-"&amp;$A$2:$A$4001,0,-1)),G500))</f>
        <v>8</v>
      </c>
      <c r="I500" cm="1">
        <f t="array" ref="I500">IF(OR(AND(H500=9,I$1&gt;YEAR($N500))),9,_xlfn.IFNA(INDEX($D$2:$D$4001,_xlfn.XMATCH(I$1&amp;"-"&amp;$F500,YEAR($B$2:$B$4001)&amp;"-"&amp;$A$2:$A$4001,0,-1)),H500))</f>
        <v>8</v>
      </c>
      <c r="J500" cm="1">
        <f t="array" ref="J500">IF(OR(AND(I500=9,J$1&gt;YEAR($N500))),9,_xlfn.IFNA(INDEX($D$2:$D$4001,_xlfn.XMATCH(J$1&amp;"-"&amp;$F500,YEAR($B$2:$B$4001)&amp;"-"&amp;$A$2:$A$4001,0,-1)),I500))</f>
        <v>8</v>
      </c>
      <c r="K500" cm="1">
        <f t="array" ref="K500">IF(OR(AND(J500=9,K$1&gt;YEAR($N500))),9,_xlfn.IFNA(INDEX($D$2:$D$4001,_xlfn.XMATCH(K$1&amp;"-"&amp;$F500,YEAR($B$2:$B$4001)&amp;"-"&amp;$A$2:$A$4001,0,-1)),J500))</f>
        <v>8</v>
      </c>
      <c r="L500" cm="1">
        <f t="array" ref="L500">IF(OR(AND(K500=9,L$1&gt;YEAR($N500))),9,_xlfn.IFNA(INDEX($D$2:$D$4001,_xlfn.XMATCH(L$1&amp;"-"&amp;$F500,YEAR($B$2:$B$4001)&amp;"-"&amp;$A$2:$A$4001,0,-1)),K500))</f>
        <v>8</v>
      </c>
      <c r="M500" cm="1">
        <f t="array" ref="M500">IF(OR(AND(L500=9,M$1&gt;YEAR($N500))),9,_xlfn.IFNA(INDEX($D$2:$D$4001,_xlfn.XMATCH(M$1&amp;"-"&amp;$F500,YEAR($B$2:$B$4001)&amp;"-"&amp;$A$2:$A$4001,0,-1)),L500))</f>
        <v>8</v>
      </c>
      <c r="N500" s="1">
        <f t="shared" si="7"/>
        <v>36485</v>
      </c>
    </row>
    <row r="501" spans="1:14" x14ac:dyDescent="0.35">
      <c r="A501">
        <v>251</v>
      </c>
      <c r="B501" s="2">
        <v>38290</v>
      </c>
      <c r="C501">
        <v>6</v>
      </c>
      <c r="D501">
        <v>6</v>
      </c>
      <c r="F501">
        <v>500</v>
      </c>
      <c r="G501" cm="1">
        <f t="array" ref="G501">_xlfn.IFNA(INDEX($D$2:$D$4001,_xlfn.XMATCH(G$1&amp;"-"&amp;$F501,YEAR($B$2:$B$4001)&amp;"-"&amp;$A$2:$A$4001,0,-1)),9)</f>
        <v>9</v>
      </c>
      <c r="H501" cm="1">
        <f t="array" ref="H501">IF(OR(AND(G501=9,H$1&gt;YEAR($N501))),9,_xlfn.IFNA(INDEX($D$2:$D$4001,_xlfn.XMATCH(H$1&amp;"-"&amp;$F501,YEAR($B$2:$B$4001)&amp;"-"&amp;$A$2:$A$4001,0,-1)),G501))</f>
        <v>9</v>
      </c>
      <c r="I501" cm="1">
        <f t="array" ref="I501">IF(OR(AND(H501=9,I$1&gt;YEAR($N501))),9,_xlfn.IFNA(INDEX($D$2:$D$4001,_xlfn.XMATCH(I$1&amp;"-"&amp;$F501,YEAR($B$2:$B$4001)&amp;"-"&amp;$A$2:$A$4001,0,-1)),H501))</f>
        <v>9</v>
      </c>
      <c r="J501" cm="1">
        <f t="array" ref="J501">IF(OR(AND(I501=9,J$1&gt;YEAR($N501))),9,_xlfn.IFNA(INDEX($D$2:$D$4001,_xlfn.XMATCH(J$1&amp;"-"&amp;$F501,YEAR($B$2:$B$4001)&amp;"-"&amp;$A$2:$A$4001,0,-1)),I501))</f>
        <v>9</v>
      </c>
      <c r="K501" cm="1">
        <f t="array" ref="K501">IF(OR(AND(J501=9,K$1&gt;YEAR($N501))),9,_xlfn.IFNA(INDEX($D$2:$D$4001,_xlfn.XMATCH(K$1&amp;"-"&amp;$F501,YEAR($B$2:$B$4001)&amp;"-"&amp;$A$2:$A$4001,0,-1)),J501))</f>
        <v>5</v>
      </c>
      <c r="L501" cm="1">
        <f t="array" ref="L501">IF(OR(AND(K501=9,L$1&gt;YEAR($N501))),9,_xlfn.IFNA(INDEX($D$2:$D$4001,_xlfn.XMATCH(L$1&amp;"-"&amp;$F501,YEAR($B$2:$B$4001)&amp;"-"&amp;$A$2:$A$4001,0,-1)),K501))</f>
        <v>5</v>
      </c>
      <c r="M501" cm="1">
        <f t="array" ref="M501">IF(OR(AND(L501=9,M$1&gt;YEAR($N501))),9,_xlfn.IFNA(INDEX($D$2:$D$4001,_xlfn.XMATCH(M$1&amp;"-"&amp;$F501,YEAR($B$2:$B$4001)&amp;"-"&amp;$A$2:$A$4001,0,-1)),L501))</f>
        <v>5</v>
      </c>
      <c r="N501" s="1">
        <f t="shared" si="7"/>
        <v>37762</v>
      </c>
    </row>
    <row r="502" spans="1:14" x14ac:dyDescent="0.35">
      <c r="A502">
        <v>251</v>
      </c>
      <c r="B502" s="2">
        <v>38351</v>
      </c>
      <c r="C502">
        <v>6</v>
      </c>
      <c r="D502">
        <v>6</v>
      </c>
      <c r="F502">
        <v>501</v>
      </c>
      <c r="G502" cm="1">
        <f t="array" ref="G502">_xlfn.IFNA(INDEX($D$2:$D$4001,_xlfn.XMATCH(G$1&amp;"-"&amp;$F502,YEAR($B$2:$B$4001)&amp;"-"&amp;$A$2:$A$4001,0,-1)),9)</f>
        <v>5</v>
      </c>
      <c r="H502" cm="1">
        <f t="array" ref="H502">IF(OR(AND(G502=9,H$1&gt;YEAR($N502))),9,_xlfn.IFNA(INDEX($D$2:$D$4001,_xlfn.XMATCH(H$1&amp;"-"&amp;$F502,YEAR($B$2:$B$4001)&amp;"-"&amp;$A$2:$A$4001,0,-1)),G502))</f>
        <v>6</v>
      </c>
      <c r="I502" cm="1">
        <f t="array" ref="I502">IF(OR(AND(H502=9,I$1&gt;YEAR($N502))),9,_xlfn.IFNA(INDEX($D$2:$D$4001,_xlfn.XMATCH(I$1&amp;"-"&amp;$F502,YEAR($B$2:$B$4001)&amp;"-"&amp;$A$2:$A$4001,0,-1)),H502))</f>
        <v>0</v>
      </c>
      <c r="J502" cm="1">
        <f t="array" ref="J502">IF(OR(AND(I502=9,J$1&gt;YEAR($N502))),9,_xlfn.IFNA(INDEX($D$2:$D$4001,_xlfn.XMATCH(J$1&amp;"-"&amp;$F502,YEAR($B$2:$B$4001)&amp;"-"&amp;$A$2:$A$4001,0,-1)),I502))</f>
        <v>0</v>
      </c>
      <c r="K502" cm="1">
        <f t="array" ref="K502">IF(OR(AND(J502=9,K$1&gt;YEAR($N502))),9,_xlfn.IFNA(INDEX($D$2:$D$4001,_xlfn.XMATCH(K$1&amp;"-"&amp;$F502,YEAR($B$2:$B$4001)&amp;"-"&amp;$A$2:$A$4001,0,-1)),J502))</f>
        <v>0</v>
      </c>
      <c r="L502" cm="1">
        <f t="array" ref="L502">IF(OR(AND(K502=9,L$1&gt;YEAR($N502))),9,_xlfn.IFNA(INDEX($D$2:$D$4001,_xlfn.XMATCH(L$1&amp;"-"&amp;$F502,YEAR($B$2:$B$4001)&amp;"-"&amp;$A$2:$A$4001,0,-1)),K502))</f>
        <v>0</v>
      </c>
      <c r="M502" cm="1">
        <f t="array" ref="M502">IF(OR(AND(L502=9,M$1&gt;YEAR($N502))),9,_xlfn.IFNA(INDEX($D$2:$D$4001,_xlfn.XMATCH(M$1&amp;"-"&amp;$F502,YEAR($B$2:$B$4001)&amp;"-"&amp;$A$2:$A$4001,0,-1)),L502))</f>
        <v>0</v>
      </c>
      <c r="N502" s="1">
        <f t="shared" si="7"/>
        <v>36524</v>
      </c>
    </row>
    <row r="503" spans="1:14" x14ac:dyDescent="0.35">
      <c r="A503">
        <v>252</v>
      </c>
      <c r="B503" s="2">
        <v>36890</v>
      </c>
      <c r="C503">
        <v>4</v>
      </c>
      <c r="D503">
        <v>4</v>
      </c>
      <c r="F503">
        <v>502</v>
      </c>
      <c r="G503" cm="1">
        <f t="array" ref="G503">_xlfn.IFNA(INDEX($D$2:$D$4001,_xlfn.XMATCH(G$1&amp;"-"&amp;$F503,YEAR($B$2:$B$4001)&amp;"-"&amp;$A$2:$A$4001,0,-1)),9)</f>
        <v>9</v>
      </c>
      <c r="H503" cm="1">
        <f t="array" ref="H503">IF(OR(AND(G503=9,H$1&gt;YEAR($N503))),9,_xlfn.IFNA(INDEX($D$2:$D$4001,_xlfn.XMATCH(H$1&amp;"-"&amp;$F503,YEAR($B$2:$B$4001)&amp;"-"&amp;$A$2:$A$4001,0,-1)),G503))</f>
        <v>9</v>
      </c>
      <c r="I503" cm="1">
        <f t="array" ref="I503">IF(OR(AND(H503=9,I$1&gt;YEAR($N503))),9,_xlfn.IFNA(INDEX($D$2:$D$4001,_xlfn.XMATCH(I$1&amp;"-"&amp;$F503,YEAR($B$2:$B$4001)&amp;"-"&amp;$A$2:$A$4001,0,-1)),H503))</f>
        <v>9</v>
      </c>
      <c r="J503" cm="1">
        <f t="array" ref="J503">IF(OR(AND(I503=9,J$1&gt;YEAR($N503))),9,_xlfn.IFNA(INDEX($D$2:$D$4001,_xlfn.XMATCH(J$1&amp;"-"&amp;$F503,YEAR($B$2:$B$4001)&amp;"-"&amp;$A$2:$A$4001,0,-1)),I503))</f>
        <v>6</v>
      </c>
      <c r="K503" cm="1">
        <f t="array" ref="K503">IF(OR(AND(J503=9,K$1&gt;YEAR($N503))),9,_xlfn.IFNA(INDEX($D$2:$D$4001,_xlfn.XMATCH(K$1&amp;"-"&amp;$F503,YEAR($B$2:$B$4001)&amp;"-"&amp;$A$2:$A$4001,0,-1)),J503))</f>
        <v>0</v>
      </c>
      <c r="L503" cm="1">
        <f t="array" ref="L503">IF(OR(AND(K503=9,L$1&gt;YEAR($N503))),9,_xlfn.IFNA(INDEX($D$2:$D$4001,_xlfn.XMATCH(L$1&amp;"-"&amp;$F503,YEAR($B$2:$B$4001)&amp;"-"&amp;$A$2:$A$4001,0,-1)),K503))</f>
        <v>0</v>
      </c>
      <c r="M503" cm="1">
        <f t="array" ref="M503">IF(OR(AND(L503=9,M$1&gt;YEAR($N503))),9,_xlfn.IFNA(INDEX($D$2:$D$4001,_xlfn.XMATCH(M$1&amp;"-"&amp;$F503,YEAR($B$2:$B$4001)&amp;"-"&amp;$A$2:$A$4001,0,-1)),L503))</f>
        <v>0</v>
      </c>
      <c r="N503" s="1">
        <f t="shared" si="7"/>
        <v>37620</v>
      </c>
    </row>
    <row r="504" spans="1:14" x14ac:dyDescent="0.35">
      <c r="A504">
        <v>252</v>
      </c>
      <c r="B504" s="2">
        <v>37590</v>
      </c>
      <c r="C504">
        <v>4</v>
      </c>
      <c r="D504">
        <v>4</v>
      </c>
      <c r="F504">
        <v>503</v>
      </c>
      <c r="G504" cm="1">
        <f t="array" ref="G504">_xlfn.IFNA(INDEX($D$2:$D$4001,_xlfn.XMATCH(G$1&amp;"-"&amp;$F504,YEAR($B$2:$B$4001)&amp;"-"&amp;$A$2:$A$4001,0,-1)),9)</f>
        <v>3</v>
      </c>
      <c r="H504" cm="1">
        <f t="array" ref="H504">IF(OR(AND(G504=9,H$1&gt;YEAR($N504))),9,_xlfn.IFNA(INDEX($D$2:$D$4001,_xlfn.XMATCH(H$1&amp;"-"&amp;$F504,YEAR($B$2:$B$4001)&amp;"-"&amp;$A$2:$A$4001,0,-1)),G504))</f>
        <v>3</v>
      </c>
      <c r="I504" cm="1">
        <f t="array" ref="I504">IF(OR(AND(H504=9,I$1&gt;YEAR($N504))),9,_xlfn.IFNA(INDEX($D$2:$D$4001,_xlfn.XMATCH(I$1&amp;"-"&amp;$F504,YEAR($B$2:$B$4001)&amp;"-"&amp;$A$2:$A$4001,0,-1)),H504))</f>
        <v>3</v>
      </c>
      <c r="J504" cm="1">
        <f t="array" ref="J504">IF(OR(AND(I504=9,J$1&gt;YEAR($N504))),9,_xlfn.IFNA(INDEX($D$2:$D$4001,_xlfn.XMATCH(J$1&amp;"-"&amp;$F504,YEAR($B$2:$B$4001)&amp;"-"&amp;$A$2:$A$4001,0,-1)),I504))</f>
        <v>3</v>
      </c>
      <c r="K504" cm="1">
        <f t="array" ref="K504">IF(OR(AND(J504=9,K$1&gt;YEAR($N504))),9,_xlfn.IFNA(INDEX($D$2:$D$4001,_xlfn.XMATCH(K$1&amp;"-"&amp;$F504,YEAR($B$2:$B$4001)&amp;"-"&amp;$A$2:$A$4001,0,-1)),J504))</f>
        <v>2</v>
      </c>
      <c r="L504" cm="1">
        <f t="array" ref="L504">IF(OR(AND(K504=9,L$1&gt;YEAR($N504))),9,_xlfn.IFNA(INDEX($D$2:$D$4001,_xlfn.XMATCH(L$1&amp;"-"&amp;$F504,YEAR($B$2:$B$4001)&amp;"-"&amp;$A$2:$A$4001,0,-1)),K504))</f>
        <v>2</v>
      </c>
      <c r="M504" cm="1">
        <f t="array" ref="M504">IF(OR(AND(L504=9,M$1&gt;YEAR($N504))),9,_xlfn.IFNA(INDEX($D$2:$D$4001,_xlfn.XMATCH(M$1&amp;"-"&amp;$F504,YEAR($B$2:$B$4001)&amp;"-"&amp;$A$2:$A$4001,0,-1)),L504))</f>
        <v>2</v>
      </c>
      <c r="N504" s="1">
        <f t="shared" si="7"/>
        <v>36301</v>
      </c>
    </row>
    <row r="505" spans="1:14" x14ac:dyDescent="0.35">
      <c r="A505">
        <v>253</v>
      </c>
      <c r="B505" s="2">
        <v>36667</v>
      </c>
      <c r="C505">
        <v>5</v>
      </c>
      <c r="D505">
        <v>5</v>
      </c>
      <c r="F505">
        <v>504</v>
      </c>
      <c r="G505" cm="1">
        <f t="array" ref="G505">_xlfn.IFNA(INDEX($D$2:$D$4001,_xlfn.XMATCH(G$1&amp;"-"&amp;$F505,YEAR($B$2:$B$4001)&amp;"-"&amp;$A$2:$A$4001,0,-1)),9)</f>
        <v>5</v>
      </c>
      <c r="H505" cm="1">
        <f t="array" ref="H505">IF(OR(AND(G505=9,H$1&gt;YEAR($N505))),9,_xlfn.IFNA(INDEX($D$2:$D$4001,_xlfn.XMATCH(H$1&amp;"-"&amp;$F505,YEAR($B$2:$B$4001)&amp;"-"&amp;$A$2:$A$4001,0,-1)),G505))</f>
        <v>4</v>
      </c>
      <c r="I505" cm="1">
        <f t="array" ref="I505">IF(OR(AND(H505=9,I$1&gt;YEAR($N505))),9,_xlfn.IFNA(INDEX($D$2:$D$4001,_xlfn.XMATCH(I$1&amp;"-"&amp;$F505,YEAR($B$2:$B$4001)&amp;"-"&amp;$A$2:$A$4001,0,-1)),H505))</f>
        <v>5</v>
      </c>
      <c r="J505" cm="1">
        <f t="array" ref="J505">IF(OR(AND(I505=9,J$1&gt;YEAR($N505))),9,_xlfn.IFNA(INDEX($D$2:$D$4001,_xlfn.XMATCH(J$1&amp;"-"&amp;$F505,YEAR($B$2:$B$4001)&amp;"-"&amp;$A$2:$A$4001,0,-1)),I505))</f>
        <v>5</v>
      </c>
      <c r="K505" cm="1">
        <f t="array" ref="K505">IF(OR(AND(J505=9,K$1&gt;YEAR($N505))),9,_xlfn.IFNA(INDEX($D$2:$D$4001,_xlfn.XMATCH(K$1&amp;"-"&amp;$F505,YEAR($B$2:$B$4001)&amp;"-"&amp;$A$2:$A$4001,0,-1)),J505))</f>
        <v>6</v>
      </c>
      <c r="L505" cm="1">
        <f t="array" ref="L505">IF(OR(AND(K505=9,L$1&gt;YEAR($N505))),9,_xlfn.IFNA(INDEX($D$2:$D$4001,_xlfn.XMATCH(L$1&amp;"-"&amp;$F505,YEAR($B$2:$B$4001)&amp;"-"&amp;$A$2:$A$4001,0,-1)),K505))</f>
        <v>6</v>
      </c>
      <c r="M505" cm="1">
        <f t="array" ref="M505">IF(OR(AND(L505=9,M$1&gt;YEAR($N505))),9,_xlfn.IFNA(INDEX($D$2:$D$4001,_xlfn.XMATCH(M$1&amp;"-"&amp;$F505,YEAR($B$2:$B$4001)&amp;"-"&amp;$A$2:$A$4001,0,-1)),L505))</f>
        <v>6</v>
      </c>
      <c r="N505" s="1">
        <f t="shared" si="7"/>
        <v>36393</v>
      </c>
    </row>
    <row r="506" spans="1:14" x14ac:dyDescent="0.35">
      <c r="A506">
        <v>254</v>
      </c>
      <c r="B506" s="2">
        <v>37124</v>
      </c>
      <c r="C506">
        <v>6</v>
      </c>
      <c r="D506">
        <v>6</v>
      </c>
      <c r="F506">
        <v>505</v>
      </c>
      <c r="G506" cm="1">
        <f t="array" ref="G506">_xlfn.IFNA(INDEX($D$2:$D$4001,_xlfn.XMATCH(G$1&amp;"-"&amp;$F506,YEAR($B$2:$B$4001)&amp;"-"&amp;$A$2:$A$4001,0,-1)),9)</f>
        <v>5</v>
      </c>
      <c r="H506" cm="1">
        <f t="array" ref="H506">IF(OR(AND(G506=9,H$1&gt;YEAR($N506))),9,_xlfn.IFNA(INDEX($D$2:$D$4001,_xlfn.XMATCH(H$1&amp;"-"&amp;$F506,YEAR($B$2:$B$4001)&amp;"-"&amp;$A$2:$A$4001,0,-1)),G506))</f>
        <v>0</v>
      </c>
      <c r="I506" cm="1">
        <f t="array" ref="I506">IF(OR(AND(H506=9,I$1&gt;YEAR($N506))),9,_xlfn.IFNA(INDEX($D$2:$D$4001,_xlfn.XMATCH(I$1&amp;"-"&amp;$F506,YEAR($B$2:$B$4001)&amp;"-"&amp;$A$2:$A$4001,0,-1)),H506))</f>
        <v>0</v>
      </c>
      <c r="J506" cm="1">
        <f t="array" ref="J506">IF(OR(AND(I506=9,J$1&gt;YEAR($N506))),9,_xlfn.IFNA(INDEX($D$2:$D$4001,_xlfn.XMATCH(J$1&amp;"-"&amp;$F506,YEAR($B$2:$B$4001)&amp;"-"&amp;$A$2:$A$4001,0,-1)),I506))</f>
        <v>0</v>
      </c>
      <c r="K506" cm="1">
        <f t="array" ref="K506">IF(OR(AND(J506=9,K$1&gt;YEAR($N506))),9,_xlfn.IFNA(INDEX($D$2:$D$4001,_xlfn.XMATCH(K$1&amp;"-"&amp;$F506,YEAR($B$2:$B$4001)&amp;"-"&amp;$A$2:$A$4001,0,-1)),J506))</f>
        <v>0</v>
      </c>
      <c r="L506" cm="1">
        <f t="array" ref="L506">IF(OR(AND(K506=9,L$1&gt;YEAR($N506))),9,_xlfn.IFNA(INDEX($D$2:$D$4001,_xlfn.XMATCH(L$1&amp;"-"&amp;$F506,YEAR($B$2:$B$4001)&amp;"-"&amp;$A$2:$A$4001,0,-1)),K506))</f>
        <v>0</v>
      </c>
      <c r="M506" cm="1">
        <f t="array" ref="M506">IF(OR(AND(L506=9,M$1&gt;YEAR($N506))),9,_xlfn.IFNA(INDEX($D$2:$D$4001,_xlfn.XMATCH(M$1&amp;"-"&amp;$F506,YEAR($B$2:$B$4001)&amp;"-"&amp;$A$2:$A$4001,0,-1)),L506))</f>
        <v>0</v>
      </c>
      <c r="N506" s="1">
        <f t="shared" si="7"/>
        <v>36310</v>
      </c>
    </row>
    <row r="507" spans="1:14" x14ac:dyDescent="0.35">
      <c r="A507">
        <v>254</v>
      </c>
      <c r="B507" s="2">
        <v>37771</v>
      </c>
      <c r="C507">
        <v>6</v>
      </c>
      <c r="D507">
        <v>6</v>
      </c>
      <c r="F507">
        <v>506</v>
      </c>
      <c r="G507" cm="1">
        <f t="array" ref="G507">_xlfn.IFNA(INDEX($D$2:$D$4001,_xlfn.XMATCH(G$1&amp;"-"&amp;$F507,YEAR($B$2:$B$4001)&amp;"-"&amp;$A$2:$A$4001,0,-1)),9)</f>
        <v>9</v>
      </c>
      <c r="H507" cm="1">
        <f t="array" ref="H507">IF(OR(AND(G507=9,H$1&gt;YEAR($N507))),9,_xlfn.IFNA(INDEX($D$2:$D$4001,_xlfn.XMATCH(H$1&amp;"-"&amp;$F507,YEAR($B$2:$B$4001)&amp;"-"&amp;$A$2:$A$4001,0,-1)),G507))</f>
        <v>9</v>
      </c>
      <c r="I507" cm="1">
        <f t="array" ref="I507">IF(OR(AND(H507=9,I$1&gt;YEAR($N507))),9,_xlfn.IFNA(INDEX($D$2:$D$4001,_xlfn.XMATCH(I$1&amp;"-"&amp;$F507,YEAR($B$2:$B$4001)&amp;"-"&amp;$A$2:$A$4001,0,-1)),H507))</f>
        <v>9</v>
      </c>
      <c r="J507" cm="1">
        <f t="array" ref="J507">IF(OR(AND(I507=9,J$1&gt;YEAR($N507))),9,_xlfn.IFNA(INDEX($D$2:$D$4001,_xlfn.XMATCH(J$1&amp;"-"&amp;$F507,YEAR($B$2:$B$4001)&amp;"-"&amp;$A$2:$A$4001,0,-1)),I507))</f>
        <v>9</v>
      </c>
      <c r="K507" cm="1">
        <f t="array" ref="K507">IF(OR(AND(J507=9,K$1&gt;YEAR($N507))),9,_xlfn.IFNA(INDEX($D$2:$D$4001,_xlfn.XMATCH(K$1&amp;"-"&amp;$F507,YEAR($B$2:$B$4001)&amp;"-"&amp;$A$2:$A$4001,0,-1)),J507))</f>
        <v>0</v>
      </c>
      <c r="L507" cm="1">
        <f t="array" ref="L507">IF(OR(AND(K507=9,L$1&gt;YEAR($N507))),9,_xlfn.IFNA(INDEX($D$2:$D$4001,_xlfn.XMATCH(L$1&amp;"-"&amp;$F507,YEAR($B$2:$B$4001)&amp;"-"&amp;$A$2:$A$4001,0,-1)),K507))</f>
        <v>0</v>
      </c>
      <c r="M507" cm="1">
        <f t="array" ref="M507">IF(OR(AND(L507=9,M$1&gt;YEAR($N507))),9,_xlfn.IFNA(INDEX($D$2:$D$4001,_xlfn.XMATCH(M$1&amp;"-"&amp;$F507,YEAR($B$2:$B$4001)&amp;"-"&amp;$A$2:$A$4001,0,-1)),L507))</f>
        <v>0</v>
      </c>
      <c r="N507" s="1">
        <f t="shared" si="7"/>
        <v>37894</v>
      </c>
    </row>
    <row r="508" spans="1:14" x14ac:dyDescent="0.35">
      <c r="A508">
        <v>255</v>
      </c>
      <c r="B508" s="2">
        <v>37041</v>
      </c>
      <c r="C508">
        <v>5</v>
      </c>
      <c r="D508">
        <v>5</v>
      </c>
      <c r="F508">
        <v>507</v>
      </c>
      <c r="G508" cm="1">
        <f t="array" ref="G508">_xlfn.IFNA(INDEX($D$2:$D$4001,_xlfn.XMATCH(G$1&amp;"-"&amp;$F508,YEAR($B$2:$B$4001)&amp;"-"&amp;$A$2:$A$4001,0,-1)),9)</f>
        <v>3</v>
      </c>
      <c r="H508" cm="1">
        <f t="array" ref="H508">IF(OR(AND(G508=9,H$1&gt;YEAR($N508))),9,_xlfn.IFNA(INDEX($D$2:$D$4001,_xlfn.XMATCH(H$1&amp;"-"&amp;$F508,YEAR($B$2:$B$4001)&amp;"-"&amp;$A$2:$A$4001,0,-1)),G508))</f>
        <v>3</v>
      </c>
      <c r="I508" cm="1">
        <f t="array" ref="I508">IF(OR(AND(H508=9,I$1&gt;YEAR($N508))),9,_xlfn.IFNA(INDEX($D$2:$D$4001,_xlfn.XMATCH(I$1&amp;"-"&amp;$F508,YEAR($B$2:$B$4001)&amp;"-"&amp;$A$2:$A$4001,0,-1)),H508))</f>
        <v>3</v>
      </c>
      <c r="J508" cm="1">
        <f t="array" ref="J508">IF(OR(AND(I508=9,J$1&gt;YEAR($N508))),9,_xlfn.IFNA(INDEX($D$2:$D$4001,_xlfn.XMATCH(J$1&amp;"-"&amp;$F508,YEAR($B$2:$B$4001)&amp;"-"&amp;$A$2:$A$4001,0,-1)),I508))</f>
        <v>3</v>
      </c>
      <c r="K508" cm="1">
        <f t="array" ref="K508">IF(OR(AND(J508=9,K$1&gt;YEAR($N508))),9,_xlfn.IFNA(INDEX($D$2:$D$4001,_xlfn.XMATCH(K$1&amp;"-"&amp;$F508,YEAR($B$2:$B$4001)&amp;"-"&amp;$A$2:$A$4001,0,-1)),J508))</f>
        <v>3</v>
      </c>
      <c r="L508" cm="1">
        <f t="array" ref="L508">IF(OR(AND(K508=9,L$1&gt;YEAR($N508))),9,_xlfn.IFNA(INDEX($D$2:$D$4001,_xlfn.XMATCH(L$1&amp;"-"&amp;$F508,YEAR($B$2:$B$4001)&amp;"-"&amp;$A$2:$A$4001,0,-1)),K508))</f>
        <v>3</v>
      </c>
      <c r="M508" cm="1">
        <f t="array" ref="M508">IF(OR(AND(L508=9,M$1&gt;YEAR($N508))),9,_xlfn.IFNA(INDEX($D$2:$D$4001,_xlfn.XMATCH(M$1&amp;"-"&amp;$F508,YEAR($B$2:$B$4001)&amp;"-"&amp;$A$2:$A$4001,0,-1)),L508))</f>
        <v>3</v>
      </c>
      <c r="N508" s="1">
        <f t="shared" si="7"/>
        <v>36424</v>
      </c>
    </row>
    <row r="509" spans="1:14" x14ac:dyDescent="0.35">
      <c r="A509">
        <v>255</v>
      </c>
      <c r="B509" s="2">
        <v>37955</v>
      </c>
      <c r="C509">
        <v>6</v>
      </c>
      <c r="D509">
        <v>6</v>
      </c>
      <c r="F509">
        <v>508</v>
      </c>
      <c r="G509" cm="1">
        <f t="array" ref="G509">_xlfn.IFNA(INDEX($D$2:$D$4001,_xlfn.XMATCH(G$1&amp;"-"&amp;$F509,YEAR($B$2:$B$4001)&amp;"-"&amp;$A$2:$A$4001,0,-1)),9)</f>
        <v>9</v>
      </c>
      <c r="H509" cm="1">
        <f t="array" ref="H509">IF(OR(AND(G509=9,H$1&gt;YEAR($N509))),9,_xlfn.IFNA(INDEX($D$2:$D$4001,_xlfn.XMATCH(H$1&amp;"-"&amp;$F509,YEAR($B$2:$B$4001)&amp;"-"&amp;$A$2:$A$4001,0,-1)),G509))</f>
        <v>9</v>
      </c>
      <c r="I509" cm="1">
        <f t="array" ref="I509">IF(OR(AND(H509=9,I$1&gt;YEAR($N509))),9,_xlfn.IFNA(INDEX($D$2:$D$4001,_xlfn.XMATCH(I$1&amp;"-"&amp;$F509,YEAR($B$2:$B$4001)&amp;"-"&amp;$A$2:$A$4001,0,-1)),H509))</f>
        <v>9</v>
      </c>
      <c r="J509" cm="1">
        <f t="array" ref="J509">IF(OR(AND(I509=9,J$1&gt;YEAR($N509))),9,_xlfn.IFNA(INDEX($D$2:$D$4001,_xlfn.XMATCH(J$1&amp;"-"&amp;$F509,YEAR($B$2:$B$4001)&amp;"-"&amp;$A$2:$A$4001,0,-1)),I509))</f>
        <v>9</v>
      </c>
      <c r="K509" cm="1">
        <f t="array" ref="K509">IF(OR(AND(J509=9,K$1&gt;YEAR($N509))),9,_xlfn.IFNA(INDEX($D$2:$D$4001,_xlfn.XMATCH(K$1&amp;"-"&amp;$F509,YEAR($B$2:$B$4001)&amp;"-"&amp;$A$2:$A$4001,0,-1)),J509))</f>
        <v>0</v>
      </c>
      <c r="L509" cm="1">
        <f t="array" ref="L509">IF(OR(AND(K509=9,L$1&gt;YEAR($N509))),9,_xlfn.IFNA(INDEX($D$2:$D$4001,_xlfn.XMATCH(L$1&amp;"-"&amp;$F509,YEAR($B$2:$B$4001)&amp;"-"&amp;$A$2:$A$4001,0,-1)),K509))</f>
        <v>0</v>
      </c>
      <c r="M509" cm="1">
        <f t="array" ref="M509">IF(OR(AND(L509=9,M$1&gt;YEAR($N509))),9,_xlfn.IFNA(INDEX($D$2:$D$4001,_xlfn.XMATCH(M$1&amp;"-"&amp;$F509,YEAR($B$2:$B$4001)&amp;"-"&amp;$A$2:$A$4001,0,-1)),L509))</f>
        <v>0</v>
      </c>
      <c r="N509" s="1">
        <f t="shared" si="7"/>
        <v>37985</v>
      </c>
    </row>
    <row r="510" spans="1:14" x14ac:dyDescent="0.35">
      <c r="A510">
        <v>256</v>
      </c>
      <c r="B510" s="2">
        <v>36301</v>
      </c>
      <c r="C510">
        <v>3</v>
      </c>
      <c r="D510">
        <v>3</v>
      </c>
      <c r="F510">
        <v>509</v>
      </c>
      <c r="G510" cm="1">
        <f t="array" ref="G510">_xlfn.IFNA(INDEX($D$2:$D$4001,_xlfn.XMATCH(G$1&amp;"-"&amp;$F510,YEAR($B$2:$B$4001)&amp;"-"&amp;$A$2:$A$4001,0,-1)),9)</f>
        <v>9</v>
      </c>
      <c r="H510" cm="1">
        <f t="array" ref="H510">IF(OR(AND(G510=9,H$1&gt;YEAR($N510))),9,_xlfn.IFNA(INDEX($D$2:$D$4001,_xlfn.XMATCH(H$1&amp;"-"&amp;$F510,YEAR($B$2:$B$4001)&amp;"-"&amp;$A$2:$A$4001,0,-1)),G510))</f>
        <v>9</v>
      </c>
      <c r="I510" cm="1">
        <f t="array" ref="I510">IF(OR(AND(H510=9,I$1&gt;YEAR($N510))),9,_xlfn.IFNA(INDEX($D$2:$D$4001,_xlfn.XMATCH(I$1&amp;"-"&amp;$F510,YEAR($B$2:$B$4001)&amp;"-"&amp;$A$2:$A$4001,0,-1)),H510))</f>
        <v>9</v>
      </c>
      <c r="J510" cm="1">
        <f t="array" ref="J510">IF(OR(AND(I510=9,J$1&gt;YEAR($N510))),9,_xlfn.IFNA(INDEX($D$2:$D$4001,_xlfn.XMATCH(J$1&amp;"-"&amp;$F510,YEAR($B$2:$B$4001)&amp;"-"&amp;$A$2:$A$4001,0,-1)),I510))</f>
        <v>4</v>
      </c>
      <c r="K510" cm="1">
        <f t="array" ref="K510">IF(OR(AND(J510=9,K$1&gt;YEAR($N510))),9,_xlfn.IFNA(INDEX($D$2:$D$4001,_xlfn.XMATCH(K$1&amp;"-"&amp;$F510,YEAR($B$2:$B$4001)&amp;"-"&amp;$A$2:$A$4001,0,-1)),J510))</f>
        <v>4</v>
      </c>
      <c r="L510" cm="1">
        <f t="array" ref="L510">IF(OR(AND(K510=9,L$1&gt;YEAR($N510))),9,_xlfn.IFNA(INDEX($D$2:$D$4001,_xlfn.XMATCH(L$1&amp;"-"&amp;$F510,YEAR($B$2:$B$4001)&amp;"-"&amp;$A$2:$A$4001,0,-1)),K510))</f>
        <v>4</v>
      </c>
      <c r="M510" cm="1">
        <f t="array" ref="M510">IF(OR(AND(L510=9,M$1&gt;YEAR($N510))),9,_xlfn.IFNA(INDEX($D$2:$D$4001,_xlfn.XMATCH(M$1&amp;"-"&amp;$F510,YEAR($B$2:$B$4001)&amp;"-"&amp;$A$2:$A$4001,0,-1)),L510))</f>
        <v>4</v>
      </c>
      <c r="N510" s="1">
        <f t="shared" si="7"/>
        <v>37620</v>
      </c>
    </row>
    <row r="511" spans="1:14" x14ac:dyDescent="0.35">
      <c r="A511">
        <v>256</v>
      </c>
      <c r="B511" s="2">
        <v>37041</v>
      </c>
      <c r="C511">
        <v>4</v>
      </c>
      <c r="D511">
        <v>4</v>
      </c>
      <c r="F511">
        <v>510</v>
      </c>
      <c r="G511" cm="1">
        <f t="array" ref="G511">_xlfn.IFNA(INDEX($D$2:$D$4001,_xlfn.XMATCH(G$1&amp;"-"&amp;$F511,YEAR($B$2:$B$4001)&amp;"-"&amp;$A$2:$A$4001,0,-1)),9)</f>
        <v>9</v>
      </c>
      <c r="H511" cm="1">
        <f t="array" ref="H511">IF(OR(AND(G511=9,H$1&gt;YEAR($N511))),9,_xlfn.IFNA(INDEX($D$2:$D$4001,_xlfn.XMATCH(H$1&amp;"-"&amp;$F511,YEAR($B$2:$B$4001)&amp;"-"&amp;$A$2:$A$4001,0,-1)),G511))</f>
        <v>3</v>
      </c>
      <c r="I511" cm="1">
        <f t="array" ref="I511">IF(OR(AND(H511=9,I$1&gt;YEAR($N511))),9,_xlfn.IFNA(INDEX($D$2:$D$4001,_xlfn.XMATCH(I$1&amp;"-"&amp;$F511,YEAR($B$2:$B$4001)&amp;"-"&amp;$A$2:$A$4001,0,-1)),H511))</f>
        <v>3</v>
      </c>
      <c r="J511" cm="1">
        <f t="array" ref="J511">IF(OR(AND(I511=9,J$1&gt;YEAR($N511))),9,_xlfn.IFNA(INDEX($D$2:$D$4001,_xlfn.XMATCH(J$1&amp;"-"&amp;$F511,YEAR($B$2:$B$4001)&amp;"-"&amp;$A$2:$A$4001,0,-1)),I511))</f>
        <v>3</v>
      </c>
      <c r="K511" cm="1">
        <f t="array" ref="K511">IF(OR(AND(J511=9,K$1&gt;YEAR($N511))),9,_xlfn.IFNA(INDEX($D$2:$D$4001,_xlfn.XMATCH(K$1&amp;"-"&amp;$F511,YEAR($B$2:$B$4001)&amp;"-"&amp;$A$2:$A$4001,0,-1)),J511))</f>
        <v>3</v>
      </c>
      <c r="L511" cm="1">
        <f t="array" ref="L511">IF(OR(AND(K511=9,L$1&gt;YEAR($N511))),9,_xlfn.IFNA(INDEX($D$2:$D$4001,_xlfn.XMATCH(L$1&amp;"-"&amp;$F511,YEAR($B$2:$B$4001)&amp;"-"&amp;$A$2:$A$4001,0,-1)),K511))</f>
        <v>3</v>
      </c>
      <c r="M511" cm="1">
        <f t="array" ref="M511">IF(OR(AND(L511=9,M$1&gt;YEAR($N511))),9,_xlfn.IFNA(INDEX($D$2:$D$4001,_xlfn.XMATCH(M$1&amp;"-"&amp;$F511,YEAR($B$2:$B$4001)&amp;"-"&amp;$A$2:$A$4001,0,-1)),L511))</f>
        <v>3</v>
      </c>
      <c r="N511" s="1">
        <f t="shared" si="7"/>
        <v>36860</v>
      </c>
    </row>
    <row r="512" spans="1:14" x14ac:dyDescent="0.35">
      <c r="A512">
        <v>257</v>
      </c>
      <c r="B512" s="2">
        <v>37185</v>
      </c>
      <c r="C512">
        <v>4</v>
      </c>
      <c r="D512">
        <v>4</v>
      </c>
      <c r="F512">
        <v>511</v>
      </c>
      <c r="G512" cm="1">
        <f t="array" ref="G512">_xlfn.IFNA(INDEX($D$2:$D$4001,_xlfn.XMATCH(G$1&amp;"-"&amp;$F512,YEAR($B$2:$B$4001)&amp;"-"&amp;$A$2:$A$4001,0,-1)),9)</f>
        <v>9</v>
      </c>
      <c r="H512" cm="1">
        <f t="array" ref="H512">IF(OR(AND(G512=9,H$1&gt;YEAR($N512))),9,_xlfn.IFNA(INDEX($D$2:$D$4001,_xlfn.XMATCH(H$1&amp;"-"&amp;$F512,YEAR($B$2:$B$4001)&amp;"-"&amp;$A$2:$A$4001,0,-1)),G512))</f>
        <v>9</v>
      </c>
      <c r="I512" cm="1">
        <f t="array" ref="I512">IF(OR(AND(H512=9,I$1&gt;YEAR($N512))),9,_xlfn.IFNA(INDEX($D$2:$D$4001,_xlfn.XMATCH(I$1&amp;"-"&amp;$F512,YEAR($B$2:$B$4001)&amp;"-"&amp;$A$2:$A$4001,0,-1)),H512))</f>
        <v>9</v>
      </c>
      <c r="J512" cm="1">
        <f t="array" ref="J512">IF(OR(AND(I512=9,J$1&gt;YEAR($N512))),9,_xlfn.IFNA(INDEX($D$2:$D$4001,_xlfn.XMATCH(J$1&amp;"-"&amp;$F512,YEAR($B$2:$B$4001)&amp;"-"&amp;$A$2:$A$4001,0,-1)),I512))</f>
        <v>9</v>
      </c>
      <c r="K512" cm="1">
        <f t="array" ref="K512">IF(OR(AND(J512=9,K$1&gt;YEAR($N512))),9,_xlfn.IFNA(INDEX($D$2:$D$4001,_xlfn.XMATCH(K$1&amp;"-"&amp;$F512,YEAR($B$2:$B$4001)&amp;"-"&amp;$A$2:$A$4001,0,-1)),J512))</f>
        <v>4</v>
      </c>
      <c r="L512" cm="1">
        <f t="array" ref="L512">IF(OR(AND(K512=9,L$1&gt;YEAR($N512))),9,_xlfn.IFNA(INDEX($D$2:$D$4001,_xlfn.XMATCH(L$1&amp;"-"&amp;$F512,YEAR($B$2:$B$4001)&amp;"-"&amp;$A$2:$A$4001,0,-1)),K512))</f>
        <v>4</v>
      </c>
      <c r="M512" cm="1">
        <f t="array" ref="M512">IF(OR(AND(L512=9,M$1&gt;YEAR($N512))),9,_xlfn.IFNA(INDEX($D$2:$D$4001,_xlfn.XMATCH(M$1&amp;"-"&amp;$F512,YEAR($B$2:$B$4001)&amp;"-"&amp;$A$2:$A$4001,0,-1)),L512))</f>
        <v>4</v>
      </c>
      <c r="N512" s="1">
        <f t="shared" si="7"/>
        <v>37762</v>
      </c>
    </row>
    <row r="513" spans="1:14" x14ac:dyDescent="0.35">
      <c r="A513">
        <v>257</v>
      </c>
      <c r="B513" s="2">
        <v>37985</v>
      </c>
      <c r="C513">
        <v>4</v>
      </c>
      <c r="D513">
        <v>4</v>
      </c>
      <c r="F513">
        <v>512</v>
      </c>
      <c r="G513" cm="1">
        <f t="array" ref="G513">_xlfn.IFNA(INDEX($D$2:$D$4001,_xlfn.XMATCH(G$1&amp;"-"&amp;$F513,YEAR($B$2:$B$4001)&amp;"-"&amp;$A$2:$A$4001,0,-1)),9)</f>
        <v>9</v>
      </c>
      <c r="H513" cm="1">
        <f t="array" ref="H513">IF(OR(AND(G513=9,H$1&gt;YEAR($N513))),9,_xlfn.IFNA(INDEX($D$2:$D$4001,_xlfn.XMATCH(H$1&amp;"-"&amp;$F513,YEAR($B$2:$B$4001)&amp;"-"&amp;$A$2:$A$4001,0,-1)),G513))</f>
        <v>9</v>
      </c>
      <c r="I513" cm="1">
        <f t="array" ref="I513">IF(OR(AND(H513=9,I$1&gt;YEAR($N513))),9,_xlfn.IFNA(INDEX($D$2:$D$4001,_xlfn.XMATCH(I$1&amp;"-"&amp;$F513,YEAR($B$2:$B$4001)&amp;"-"&amp;$A$2:$A$4001,0,-1)),H513))</f>
        <v>9</v>
      </c>
      <c r="J513" cm="1">
        <f t="array" ref="J513">IF(OR(AND(I513=9,J$1&gt;YEAR($N513))),9,_xlfn.IFNA(INDEX($D$2:$D$4001,_xlfn.XMATCH(J$1&amp;"-"&amp;$F513,YEAR($B$2:$B$4001)&amp;"-"&amp;$A$2:$A$4001,0,-1)),I513))</f>
        <v>4</v>
      </c>
      <c r="K513" cm="1">
        <f t="array" ref="K513">IF(OR(AND(J513=9,K$1&gt;YEAR($N513))),9,_xlfn.IFNA(INDEX($D$2:$D$4001,_xlfn.XMATCH(K$1&amp;"-"&amp;$F513,YEAR($B$2:$B$4001)&amp;"-"&amp;$A$2:$A$4001,0,-1)),J513))</f>
        <v>4</v>
      </c>
      <c r="L513" cm="1">
        <f t="array" ref="L513">IF(OR(AND(K513=9,L$1&gt;YEAR($N513))),9,_xlfn.IFNA(INDEX($D$2:$D$4001,_xlfn.XMATCH(L$1&amp;"-"&amp;$F513,YEAR($B$2:$B$4001)&amp;"-"&amp;$A$2:$A$4001,0,-1)),K513))</f>
        <v>4</v>
      </c>
      <c r="M513" cm="1">
        <f t="array" ref="M513">IF(OR(AND(L513=9,M$1&gt;YEAR($N513))),9,_xlfn.IFNA(INDEX($D$2:$D$4001,_xlfn.XMATCH(M$1&amp;"-"&amp;$F513,YEAR($B$2:$B$4001)&amp;"-"&amp;$A$2:$A$4001,0,-1)),L513))</f>
        <v>4</v>
      </c>
      <c r="N513" s="1">
        <f t="shared" si="7"/>
        <v>37520</v>
      </c>
    </row>
    <row r="514" spans="1:14" x14ac:dyDescent="0.35">
      <c r="A514">
        <v>257</v>
      </c>
      <c r="B514" s="2">
        <v>38229</v>
      </c>
      <c r="C514">
        <v>4</v>
      </c>
      <c r="D514">
        <v>4</v>
      </c>
      <c r="F514">
        <v>513</v>
      </c>
      <c r="G514" cm="1">
        <f t="array" ref="G514">_xlfn.IFNA(INDEX($D$2:$D$4001,_xlfn.XMATCH(G$1&amp;"-"&amp;$F514,YEAR($B$2:$B$4001)&amp;"-"&amp;$A$2:$A$4001,0,-1)),9)</f>
        <v>9</v>
      </c>
      <c r="H514" cm="1">
        <f t="array" ref="H514">IF(OR(AND(G514=9,H$1&gt;YEAR($N514))),9,_xlfn.IFNA(INDEX($D$2:$D$4001,_xlfn.XMATCH(H$1&amp;"-"&amp;$F514,YEAR($B$2:$B$4001)&amp;"-"&amp;$A$2:$A$4001,0,-1)),G514))</f>
        <v>4</v>
      </c>
      <c r="I514" cm="1">
        <f t="array" ref="I514">IF(OR(AND(H514=9,I$1&gt;YEAR($N514))),9,_xlfn.IFNA(INDEX($D$2:$D$4001,_xlfn.XMATCH(I$1&amp;"-"&amp;$F514,YEAR($B$2:$B$4001)&amp;"-"&amp;$A$2:$A$4001,0,-1)),H514))</f>
        <v>4</v>
      </c>
      <c r="J514" cm="1">
        <f t="array" ref="J514">IF(OR(AND(I514=9,J$1&gt;YEAR($N514))),9,_xlfn.IFNA(INDEX($D$2:$D$4001,_xlfn.XMATCH(J$1&amp;"-"&amp;$F514,YEAR($B$2:$B$4001)&amp;"-"&amp;$A$2:$A$4001,0,-1)),I514))</f>
        <v>4</v>
      </c>
      <c r="K514" cm="1">
        <f t="array" ref="K514">IF(OR(AND(J514=9,K$1&gt;YEAR($N514))),9,_xlfn.IFNA(INDEX($D$2:$D$4001,_xlfn.XMATCH(K$1&amp;"-"&amp;$F514,YEAR($B$2:$B$4001)&amp;"-"&amp;$A$2:$A$4001,0,-1)),J514))</f>
        <v>4</v>
      </c>
      <c r="L514" cm="1">
        <f t="array" ref="L514">IF(OR(AND(K514=9,L$1&gt;YEAR($N514))),9,_xlfn.IFNA(INDEX($D$2:$D$4001,_xlfn.XMATCH(L$1&amp;"-"&amp;$F514,YEAR($B$2:$B$4001)&amp;"-"&amp;$A$2:$A$4001,0,-1)),K514))</f>
        <v>4</v>
      </c>
      <c r="M514" cm="1">
        <f t="array" ref="M514">IF(OR(AND(L514=9,M$1&gt;YEAR($N514))),9,_xlfn.IFNA(INDEX($D$2:$D$4001,_xlfn.XMATCH(M$1&amp;"-"&amp;$F514,YEAR($B$2:$B$4001)&amp;"-"&amp;$A$2:$A$4001,0,-1)),L514))</f>
        <v>4</v>
      </c>
      <c r="N514" s="1">
        <f t="shared" si="7"/>
        <v>36667</v>
      </c>
    </row>
    <row r="515" spans="1:14" x14ac:dyDescent="0.35">
      <c r="A515">
        <v>257</v>
      </c>
      <c r="B515" s="2">
        <v>38655</v>
      </c>
      <c r="C515">
        <v>5</v>
      </c>
      <c r="D515">
        <v>5</v>
      </c>
      <c r="F515">
        <v>514</v>
      </c>
      <c r="G515" cm="1">
        <f t="array" ref="G515">_xlfn.IFNA(INDEX($D$2:$D$4001,_xlfn.XMATCH(G$1&amp;"-"&amp;$F515,YEAR($B$2:$B$4001)&amp;"-"&amp;$A$2:$A$4001,0,-1)),9)</f>
        <v>9</v>
      </c>
      <c r="H515" cm="1">
        <f t="array" ref="H515">IF(OR(AND(G515=9,H$1&gt;YEAR($N515))),9,_xlfn.IFNA(INDEX($D$2:$D$4001,_xlfn.XMATCH(H$1&amp;"-"&amp;$F515,YEAR($B$2:$B$4001)&amp;"-"&amp;$A$2:$A$4001,0,-1)),G515))</f>
        <v>9</v>
      </c>
      <c r="I515" cm="1">
        <f t="array" ref="I515">IF(OR(AND(H515=9,I$1&gt;YEAR($N515))),9,_xlfn.IFNA(INDEX($D$2:$D$4001,_xlfn.XMATCH(I$1&amp;"-"&amp;$F515,YEAR($B$2:$B$4001)&amp;"-"&amp;$A$2:$A$4001,0,-1)),H515))</f>
        <v>9</v>
      </c>
      <c r="J515" cm="1">
        <f t="array" ref="J515">IF(OR(AND(I515=9,J$1&gt;YEAR($N515))),9,_xlfn.IFNA(INDEX($D$2:$D$4001,_xlfn.XMATCH(J$1&amp;"-"&amp;$F515,YEAR($B$2:$B$4001)&amp;"-"&amp;$A$2:$A$4001,0,-1)),I515))</f>
        <v>9</v>
      </c>
      <c r="K515" cm="1">
        <f t="array" ref="K515">IF(OR(AND(J515=9,K$1&gt;YEAR($N515))),9,_xlfn.IFNA(INDEX($D$2:$D$4001,_xlfn.XMATCH(K$1&amp;"-"&amp;$F515,YEAR($B$2:$B$4001)&amp;"-"&amp;$A$2:$A$4001,0,-1)),J515))</f>
        <v>2</v>
      </c>
      <c r="L515" cm="1">
        <f t="array" ref="L515">IF(OR(AND(K515=9,L$1&gt;YEAR($N515))),9,_xlfn.IFNA(INDEX($D$2:$D$4001,_xlfn.XMATCH(L$1&amp;"-"&amp;$F515,YEAR($B$2:$B$4001)&amp;"-"&amp;$A$2:$A$4001,0,-1)),K515))</f>
        <v>2</v>
      </c>
      <c r="M515" cm="1">
        <f t="array" ref="M515">IF(OR(AND(L515=9,M$1&gt;YEAR($N515))),9,_xlfn.IFNA(INDEX($D$2:$D$4001,_xlfn.XMATCH(M$1&amp;"-"&amp;$F515,YEAR($B$2:$B$4001)&amp;"-"&amp;$A$2:$A$4001,0,-1)),L515))</f>
        <v>2</v>
      </c>
      <c r="N515" s="1">
        <f t="shared" ref="N515:N578" si="8">_xlfn.MINIFS($B$2:$B$4001,$A$2:$A$4001,F515)</f>
        <v>37762</v>
      </c>
    </row>
    <row r="516" spans="1:14" x14ac:dyDescent="0.35">
      <c r="A516">
        <v>258</v>
      </c>
      <c r="B516" s="2">
        <v>37102</v>
      </c>
      <c r="C516">
        <v>3</v>
      </c>
      <c r="D516">
        <v>3</v>
      </c>
      <c r="F516">
        <v>515</v>
      </c>
      <c r="G516" cm="1">
        <f t="array" ref="G516">_xlfn.IFNA(INDEX($D$2:$D$4001,_xlfn.XMATCH(G$1&amp;"-"&amp;$F516,YEAR($B$2:$B$4001)&amp;"-"&amp;$A$2:$A$4001,0,-1)),9)</f>
        <v>1</v>
      </c>
      <c r="H516" cm="1">
        <f t="array" ref="H516">IF(OR(AND(G516=9,H$1&gt;YEAR($N516))),9,_xlfn.IFNA(INDEX($D$2:$D$4001,_xlfn.XMATCH(H$1&amp;"-"&amp;$F516,YEAR($B$2:$B$4001)&amp;"-"&amp;$A$2:$A$4001,0,-1)),G516))</f>
        <v>1</v>
      </c>
      <c r="I516" cm="1">
        <f t="array" ref="I516">IF(OR(AND(H516=9,I$1&gt;YEAR($N516))),9,_xlfn.IFNA(INDEX($D$2:$D$4001,_xlfn.XMATCH(I$1&amp;"-"&amp;$F516,YEAR($B$2:$B$4001)&amp;"-"&amp;$A$2:$A$4001,0,-1)),H516))</f>
        <v>0</v>
      </c>
      <c r="J516" cm="1">
        <f t="array" ref="J516">IF(OR(AND(I516=9,J$1&gt;YEAR($N516))),9,_xlfn.IFNA(INDEX($D$2:$D$4001,_xlfn.XMATCH(J$1&amp;"-"&amp;$F516,YEAR($B$2:$B$4001)&amp;"-"&amp;$A$2:$A$4001,0,-1)),I516))</f>
        <v>0</v>
      </c>
      <c r="K516" cm="1">
        <f t="array" ref="K516">IF(OR(AND(J516=9,K$1&gt;YEAR($N516))),9,_xlfn.IFNA(INDEX($D$2:$D$4001,_xlfn.XMATCH(K$1&amp;"-"&amp;$F516,YEAR($B$2:$B$4001)&amp;"-"&amp;$A$2:$A$4001,0,-1)),J516))</f>
        <v>0</v>
      </c>
      <c r="L516" cm="1">
        <f t="array" ref="L516">IF(OR(AND(K516=9,L$1&gt;YEAR($N516))),9,_xlfn.IFNA(INDEX($D$2:$D$4001,_xlfn.XMATCH(L$1&amp;"-"&amp;$F516,YEAR($B$2:$B$4001)&amp;"-"&amp;$A$2:$A$4001,0,-1)),K516))</f>
        <v>0</v>
      </c>
      <c r="M516" cm="1">
        <f t="array" ref="M516">IF(OR(AND(L516=9,M$1&gt;YEAR($N516))),9,_xlfn.IFNA(INDEX($D$2:$D$4001,_xlfn.XMATCH(M$1&amp;"-"&amp;$F516,YEAR($B$2:$B$4001)&amp;"-"&amp;$A$2:$A$4001,0,-1)),L516))</f>
        <v>0</v>
      </c>
      <c r="N516" s="1">
        <f t="shared" si="8"/>
        <v>36306</v>
      </c>
    </row>
    <row r="517" spans="1:14" x14ac:dyDescent="0.35">
      <c r="A517">
        <v>259</v>
      </c>
      <c r="B517" s="2">
        <v>36524</v>
      </c>
      <c r="C517">
        <v>5</v>
      </c>
      <c r="D517">
        <v>5</v>
      </c>
      <c r="F517">
        <v>516</v>
      </c>
      <c r="G517" cm="1">
        <f t="array" ref="G517">_xlfn.IFNA(INDEX($D$2:$D$4001,_xlfn.XMATCH(G$1&amp;"-"&amp;$F517,YEAR($B$2:$B$4001)&amp;"-"&amp;$A$2:$A$4001,0,-1)),9)</f>
        <v>9</v>
      </c>
      <c r="H517" cm="1">
        <f t="array" ref="H517">IF(OR(AND(G517=9,H$1&gt;YEAR($N517))),9,_xlfn.IFNA(INDEX($D$2:$D$4001,_xlfn.XMATCH(H$1&amp;"-"&amp;$F517,YEAR($B$2:$B$4001)&amp;"-"&amp;$A$2:$A$4001,0,-1)),G517))</f>
        <v>9</v>
      </c>
      <c r="I517" cm="1">
        <f t="array" ref="I517">IF(OR(AND(H517=9,I$1&gt;YEAR($N517))),9,_xlfn.IFNA(INDEX($D$2:$D$4001,_xlfn.XMATCH(I$1&amp;"-"&amp;$F517,YEAR($B$2:$B$4001)&amp;"-"&amp;$A$2:$A$4001,0,-1)),H517))</f>
        <v>2</v>
      </c>
      <c r="J517" cm="1">
        <f t="array" ref="J517">IF(OR(AND(I517=9,J$1&gt;YEAR($N517))),9,_xlfn.IFNA(INDEX($D$2:$D$4001,_xlfn.XMATCH(J$1&amp;"-"&amp;$F517,YEAR($B$2:$B$4001)&amp;"-"&amp;$A$2:$A$4001,0,-1)),I517))</f>
        <v>2</v>
      </c>
      <c r="K517" cm="1">
        <f t="array" ref="K517">IF(OR(AND(J517=9,K$1&gt;YEAR($N517))),9,_xlfn.IFNA(INDEX($D$2:$D$4001,_xlfn.XMATCH(K$1&amp;"-"&amp;$F517,YEAR($B$2:$B$4001)&amp;"-"&amp;$A$2:$A$4001,0,-1)),J517))</f>
        <v>2</v>
      </c>
      <c r="L517" cm="1">
        <f t="array" ref="L517">IF(OR(AND(K517=9,L$1&gt;YEAR($N517))),9,_xlfn.IFNA(INDEX($D$2:$D$4001,_xlfn.XMATCH(L$1&amp;"-"&amp;$F517,YEAR($B$2:$B$4001)&amp;"-"&amp;$A$2:$A$4001,0,-1)),K517))</f>
        <v>2</v>
      </c>
      <c r="M517" cm="1">
        <f t="array" ref="M517">IF(OR(AND(L517=9,M$1&gt;YEAR($N517))),9,_xlfn.IFNA(INDEX($D$2:$D$4001,_xlfn.XMATCH(M$1&amp;"-"&amp;$F517,YEAR($B$2:$B$4001)&amp;"-"&amp;$A$2:$A$4001,0,-1)),L517))</f>
        <v>2</v>
      </c>
      <c r="N517" s="1">
        <f t="shared" si="8"/>
        <v>37041</v>
      </c>
    </row>
    <row r="518" spans="1:14" x14ac:dyDescent="0.35">
      <c r="A518">
        <v>259</v>
      </c>
      <c r="B518" s="2">
        <v>36890</v>
      </c>
      <c r="C518">
        <v>5</v>
      </c>
      <c r="D518">
        <v>5</v>
      </c>
      <c r="F518">
        <v>517</v>
      </c>
      <c r="G518" cm="1">
        <f t="array" ref="G518">_xlfn.IFNA(INDEX($D$2:$D$4001,_xlfn.XMATCH(G$1&amp;"-"&amp;$F518,YEAR($B$2:$B$4001)&amp;"-"&amp;$A$2:$A$4001,0,-1)),9)</f>
        <v>4</v>
      </c>
      <c r="H518" cm="1">
        <f t="array" ref="H518">IF(OR(AND(G518=9,H$1&gt;YEAR($N518))),9,_xlfn.IFNA(INDEX($D$2:$D$4001,_xlfn.XMATCH(H$1&amp;"-"&amp;$F518,YEAR($B$2:$B$4001)&amp;"-"&amp;$A$2:$A$4001,0,-1)),G518))</f>
        <v>4</v>
      </c>
      <c r="I518" cm="1">
        <f t="array" ref="I518">IF(OR(AND(H518=9,I$1&gt;YEAR($N518))),9,_xlfn.IFNA(INDEX($D$2:$D$4001,_xlfn.XMATCH(I$1&amp;"-"&amp;$F518,YEAR($B$2:$B$4001)&amp;"-"&amp;$A$2:$A$4001,0,-1)),H518))</f>
        <v>4</v>
      </c>
      <c r="J518" cm="1">
        <f t="array" ref="J518">IF(OR(AND(I518=9,J$1&gt;YEAR($N518))),9,_xlfn.IFNA(INDEX($D$2:$D$4001,_xlfn.XMATCH(J$1&amp;"-"&amp;$F518,YEAR($B$2:$B$4001)&amp;"-"&amp;$A$2:$A$4001,0,-1)),I518))</f>
        <v>4</v>
      </c>
      <c r="K518" cm="1">
        <f t="array" ref="K518">IF(OR(AND(J518=9,K$1&gt;YEAR($N518))),9,_xlfn.IFNA(INDEX($D$2:$D$4001,_xlfn.XMATCH(K$1&amp;"-"&amp;$F518,YEAR($B$2:$B$4001)&amp;"-"&amp;$A$2:$A$4001,0,-1)),J518))</f>
        <v>4</v>
      </c>
      <c r="L518" cm="1">
        <f t="array" ref="L518">IF(OR(AND(K518=9,L$1&gt;YEAR($N518))),9,_xlfn.IFNA(INDEX($D$2:$D$4001,_xlfn.XMATCH(L$1&amp;"-"&amp;$F518,YEAR($B$2:$B$4001)&amp;"-"&amp;$A$2:$A$4001,0,-1)),K518))</f>
        <v>4</v>
      </c>
      <c r="M518" cm="1">
        <f t="array" ref="M518">IF(OR(AND(L518=9,M$1&gt;YEAR($N518))),9,_xlfn.IFNA(INDEX($D$2:$D$4001,_xlfn.XMATCH(M$1&amp;"-"&amp;$F518,YEAR($B$2:$B$4001)&amp;"-"&amp;$A$2:$A$4001,0,-1)),L518))</f>
        <v>4</v>
      </c>
      <c r="N518" s="1">
        <f t="shared" si="8"/>
        <v>36310</v>
      </c>
    </row>
    <row r="519" spans="1:14" x14ac:dyDescent="0.35">
      <c r="A519">
        <v>259</v>
      </c>
      <c r="B519" s="2">
        <v>37255</v>
      </c>
      <c r="C519">
        <v>6</v>
      </c>
      <c r="D519">
        <v>6</v>
      </c>
      <c r="F519">
        <v>518</v>
      </c>
      <c r="G519" cm="1">
        <f t="array" ref="G519">_xlfn.IFNA(INDEX($D$2:$D$4001,_xlfn.XMATCH(G$1&amp;"-"&amp;$F519,YEAR($B$2:$B$4001)&amp;"-"&amp;$A$2:$A$4001,0,-1)),9)</f>
        <v>9</v>
      </c>
      <c r="H519" cm="1">
        <f t="array" ref="H519">IF(OR(AND(G519=9,H$1&gt;YEAR($N519))),9,_xlfn.IFNA(INDEX($D$2:$D$4001,_xlfn.XMATCH(H$1&amp;"-"&amp;$F519,YEAR($B$2:$B$4001)&amp;"-"&amp;$A$2:$A$4001,0,-1)),G519))</f>
        <v>9</v>
      </c>
      <c r="I519" cm="1">
        <f t="array" ref="I519">IF(OR(AND(H519=9,I$1&gt;YEAR($N519))),9,_xlfn.IFNA(INDEX($D$2:$D$4001,_xlfn.XMATCH(I$1&amp;"-"&amp;$F519,YEAR($B$2:$B$4001)&amp;"-"&amp;$A$2:$A$4001,0,-1)),H519))</f>
        <v>9</v>
      </c>
      <c r="J519" cm="1">
        <f t="array" ref="J519">IF(OR(AND(I519=9,J$1&gt;YEAR($N519))),9,_xlfn.IFNA(INDEX($D$2:$D$4001,_xlfn.XMATCH(J$1&amp;"-"&amp;$F519,YEAR($B$2:$B$4001)&amp;"-"&amp;$A$2:$A$4001,0,-1)),I519))</f>
        <v>2</v>
      </c>
      <c r="K519" cm="1">
        <f t="array" ref="K519">IF(OR(AND(J519=9,K$1&gt;YEAR($N519))),9,_xlfn.IFNA(INDEX($D$2:$D$4001,_xlfn.XMATCH(K$1&amp;"-"&amp;$F519,YEAR($B$2:$B$4001)&amp;"-"&amp;$A$2:$A$4001,0,-1)),J519))</f>
        <v>0</v>
      </c>
      <c r="L519" cm="1">
        <f t="array" ref="L519">IF(OR(AND(K519=9,L$1&gt;YEAR($N519))),9,_xlfn.IFNA(INDEX($D$2:$D$4001,_xlfn.XMATCH(L$1&amp;"-"&amp;$F519,YEAR($B$2:$B$4001)&amp;"-"&amp;$A$2:$A$4001,0,-1)),K519))</f>
        <v>0</v>
      </c>
      <c r="M519" cm="1">
        <f t="array" ref="M519">IF(OR(AND(L519=9,M$1&gt;YEAR($N519))),9,_xlfn.IFNA(INDEX($D$2:$D$4001,_xlfn.XMATCH(M$1&amp;"-"&amp;$F519,YEAR($B$2:$B$4001)&amp;"-"&amp;$A$2:$A$4001,0,-1)),L519))</f>
        <v>0</v>
      </c>
      <c r="N519" s="1">
        <f t="shared" si="8"/>
        <v>37620</v>
      </c>
    </row>
    <row r="520" spans="1:14" x14ac:dyDescent="0.35">
      <c r="A520">
        <v>259</v>
      </c>
      <c r="B520" s="2">
        <v>38130</v>
      </c>
      <c r="C520">
        <v>5</v>
      </c>
      <c r="D520">
        <v>5</v>
      </c>
      <c r="F520">
        <v>519</v>
      </c>
      <c r="G520" cm="1">
        <f t="array" ref="G520">_xlfn.IFNA(INDEX($D$2:$D$4001,_xlfn.XMATCH(G$1&amp;"-"&amp;$F520,YEAR($B$2:$B$4001)&amp;"-"&amp;$A$2:$A$4001,0,-1)),9)</f>
        <v>3</v>
      </c>
      <c r="H520" cm="1">
        <f t="array" ref="H520">IF(OR(AND(G520=9,H$1&gt;YEAR($N520))),9,_xlfn.IFNA(INDEX($D$2:$D$4001,_xlfn.XMATCH(H$1&amp;"-"&amp;$F520,YEAR($B$2:$B$4001)&amp;"-"&amp;$A$2:$A$4001,0,-1)),G520))</f>
        <v>3</v>
      </c>
      <c r="I520" cm="1">
        <f t="array" ref="I520">IF(OR(AND(H520=9,I$1&gt;YEAR($N520))),9,_xlfn.IFNA(INDEX($D$2:$D$4001,_xlfn.XMATCH(I$1&amp;"-"&amp;$F520,YEAR($B$2:$B$4001)&amp;"-"&amp;$A$2:$A$4001,0,-1)),H520))</f>
        <v>3</v>
      </c>
      <c r="J520" cm="1">
        <f t="array" ref="J520">IF(OR(AND(I520=9,J$1&gt;YEAR($N520))),9,_xlfn.IFNA(INDEX($D$2:$D$4001,_xlfn.XMATCH(J$1&amp;"-"&amp;$F520,YEAR($B$2:$B$4001)&amp;"-"&amp;$A$2:$A$4001,0,-1)),I520))</f>
        <v>0</v>
      </c>
      <c r="K520" cm="1">
        <f t="array" ref="K520">IF(OR(AND(J520=9,K$1&gt;YEAR($N520))),9,_xlfn.IFNA(INDEX($D$2:$D$4001,_xlfn.XMATCH(K$1&amp;"-"&amp;$F520,YEAR($B$2:$B$4001)&amp;"-"&amp;$A$2:$A$4001,0,-1)),J520))</f>
        <v>0</v>
      </c>
      <c r="L520" cm="1">
        <f t="array" ref="L520">IF(OR(AND(K520=9,L$1&gt;YEAR($N520))),9,_xlfn.IFNA(INDEX($D$2:$D$4001,_xlfn.XMATCH(L$1&amp;"-"&amp;$F520,YEAR($B$2:$B$4001)&amp;"-"&amp;$A$2:$A$4001,0,-1)),K520))</f>
        <v>0</v>
      </c>
      <c r="M520" cm="1">
        <f t="array" ref="M520">IF(OR(AND(L520=9,M$1&gt;YEAR($N520))),9,_xlfn.IFNA(INDEX($D$2:$D$4001,_xlfn.XMATCH(M$1&amp;"-"&amp;$F520,YEAR($B$2:$B$4001)&amp;"-"&amp;$A$2:$A$4001,0,-1)),L520))</f>
        <v>0</v>
      </c>
      <c r="N520" s="1">
        <f t="shared" si="8"/>
        <v>36524</v>
      </c>
    </row>
    <row r="521" spans="1:14" x14ac:dyDescent="0.35">
      <c r="A521">
        <v>260</v>
      </c>
      <c r="B521" s="2">
        <v>36393</v>
      </c>
      <c r="C521">
        <v>0</v>
      </c>
      <c r="D521">
        <v>0</v>
      </c>
      <c r="F521">
        <v>520</v>
      </c>
      <c r="G521" cm="1">
        <f t="array" ref="G521">_xlfn.IFNA(INDEX($D$2:$D$4001,_xlfn.XMATCH(G$1&amp;"-"&amp;$F521,YEAR($B$2:$B$4001)&amp;"-"&amp;$A$2:$A$4001,0,-1)),9)</f>
        <v>9</v>
      </c>
      <c r="H521" cm="1">
        <f t="array" ref="H521">IF(OR(AND(G521=9,H$1&gt;YEAR($N521))),9,_xlfn.IFNA(INDEX($D$2:$D$4001,_xlfn.XMATCH(H$1&amp;"-"&amp;$F521,YEAR($B$2:$B$4001)&amp;"-"&amp;$A$2:$A$4001,0,-1)),G521))</f>
        <v>9</v>
      </c>
      <c r="I521" cm="1">
        <f t="array" ref="I521">IF(OR(AND(H521=9,I$1&gt;YEAR($N521))),9,_xlfn.IFNA(INDEX($D$2:$D$4001,_xlfn.XMATCH(I$1&amp;"-"&amp;$F521,YEAR($B$2:$B$4001)&amp;"-"&amp;$A$2:$A$4001,0,-1)),H521))</f>
        <v>9</v>
      </c>
      <c r="J521" cm="1">
        <f t="array" ref="J521">IF(OR(AND(I521=9,J$1&gt;YEAR($N521))),9,_xlfn.IFNA(INDEX($D$2:$D$4001,_xlfn.XMATCH(J$1&amp;"-"&amp;$F521,YEAR($B$2:$B$4001)&amp;"-"&amp;$A$2:$A$4001,0,-1)),I521))</f>
        <v>3</v>
      </c>
      <c r="K521" cm="1">
        <f t="array" ref="K521">IF(OR(AND(J521=9,K$1&gt;YEAR($N521))),9,_xlfn.IFNA(INDEX($D$2:$D$4001,_xlfn.XMATCH(K$1&amp;"-"&amp;$F521,YEAR($B$2:$B$4001)&amp;"-"&amp;$A$2:$A$4001,0,-1)),J521))</f>
        <v>3</v>
      </c>
      <c r="L521" cm="1">
        <f t="array" ref="L521">IF(OR(AND(K521=9,L$1&gt;YEAR($N521))),9,_xlfn.IFNA(INDEX($D$2:$D$4001,_xlfn.XMATCH(L$1&amp;"-"&amp;$F521,YEAR($B$2:$B$4001)&amp;"-"&amp;$A$2:$A$4001,0,-1)),K521))</f>
        <v>3</v>
      </c>
      <c r="M521" cm="1">
        <f t="array" ref="M521">IF(OR(AND(L521=9,M$1&gt;YEAR($N521))),9,_xlfn.IFNA(INDEX($D$2:$D$4001,_xlfn.XMATCH(M$1&amp;"-"&amp;$F521,YEAR($B$2:$B$4001)&amp;"-"&amp;$A$2:$A$4001,0,-1)),L521))</f>
        <v>3</v>
      </c>
      <c r="N521" s="1">
        <f t="shared" si="8"/>
        <v>37620</v>
      </c>
    </row>
    <row r="522" spans="1:14" x14ac:dyDescent="0.35">
      <c r="A522">
        <v>261</v>
      </c>
      <c r="B522" s="2">
        <v>37406</v>
      </c>
      <c r="C522">
        <v>3</v>
      </c>
      <c r="D522">
        <v>3</v>
      </c>
      <c r="F522">
        <v>521</v>
      </c>
      <c r="G522" cm="1">
        <f t="array" ref="G522">_xlfn.IFNA(INDEX($D$2:$D$4001,_xlfn.XMATCH(G$1&amp;"-"&amp;$F522,YEAR($B$2:$B$4001)&amp;"-"&amp;$A$2:$A$4001,0,-1)),9)</f>
        <v>9</v>
      </c>
      <c r="H522" cm="1">
        <f t="array" ref="H522">IF(OR(AND(G522=9,H$1&gt;YEAR($N522))),9,_xlfn.IFNA(INDEX($D$2:$D$4001,_xlfn.XMATCH(H$1&amp;"-"&amp;$F522,YEAR($B$2:$B$4001)&amp;"-"&amp;$A$2:$A$4001,0,-1)),G522))</f>
        <v>9</v>
      </c>
      <c r="I522" cm="1">
        <f t="array" ref="I522">IF(OR(AND(H522=9,I$1&gt;YEAR($N522))),9,_xlfn.IFNA(INDEX($D$2:$D$4001,_xlfn.XMATCH(I$1&amp;"-"&amp;$F522,YEAR($B$2:$B$4001)&amp;"-"&amp;$A$2:$A$4001,0,-1)),H522))</f>
        <v>3</v>
      </c>
      <c r="J522" cm="1">
        <f t="array" ref="J522">IF(OR(AND(I522=9,J$1&gt;YEAR($N522))),9,_xlfn.IFNA(INDEX($D$2:$D$4001,_xlfn.XMATCH(J$1&amp;"-"&amp;$F522,YEAR($B$2:$B$4001)&amp;"-"&amp;$A$2:$A$4001,0,-1)),I522))</f>
        <v>3</v>
      </c>
      <c r="K522" cm="1">
        <f t="array" ref="K522">IF(OR(AND(J522=9,K$1&gt;YEAR($N522))),9,_xlfn.IFNA(INDEX($D$2:$D$4001,_xlfn.XMATCH(K$1&amp;"-"&amp;$F522,YEAR($B$2:$B$4001)&amp;"-"&amp;$A$2:$A$4001,0,-1)),J522))</f>
        <v>3</v>
      </c>
      <c r="L522" cm="1">
        <f t="array" ref="L522">IF(OR(AND(K522=9,L$1&gt;YEAR($N522))),9,_xlfn.IFNA(INDEX($D$2:$D$4001,_xlfn.XMATCH(L$1&amp;"-"&amp;$F522,YEAR($B$2:$B$4001)&amp;"-"&amp;$A$2:$A$4001,0,-1)),K522))</f>
        <v>3</v>
      </c>
      <c r="M522" cm="1">
        <f t="array" ref="M522">IF(OR(AND(L522=9,M$1&gt;YEAR($N522))),9,_xlfn.IFNA(INDEX($D$2:$D$4001,_xlfn.XMATCH(M$1&amp;"-"&amp;$F522,YEAR($B$2:$B$4001)&amp;"-"&amp;$A$2:$A$4001,0,-1)),L522))</f>
        <v>3</v>
      </c>
      <c r="N522" s="1">
        <f t="shared" si="8"/>
        <v>37041</v>
      </c>
    </row>
    <row r="523" spans="1:14" x14ac:dyDescent="0.35">
      <c r="A523">
        <v>261</v>
      </c>
      <c r="B523" s="2">
        <v>37771</v>
      </c>
      <c r="C523">
        <v>4</v>
      </c>
      <c r="D523">
        <v>4</v>
      </c>
      <c r="F523">
        <v>522</v>
      </c>
      <c r="G523" cm="1">
        <f t="array" ref="G523">_xlfn.IFNA(INDEX($D$2:$D$4001,_xlfn.XMATCH(G$1&amp;"-"&amp;$F523,YEAR($B$2:$B$4001)&amp;"-"&amp;$A$2:$A$4001,0,-1)),9)</f>
        <v>9</v>
      </c>
      <c r="H523" cm="1">
        <f t="array" ref="H523">IF(OR(AND(G523=9,H$1&gt;YEAR($N523))),9,_xlfn.IFNA(INDEX($D$2:$D$4001,_xlfn.XMATCH(H$1&amp;"-"&amp;$F523,YEAR($B$2:$B$4001)&amp;"-"&amp;$A$2:$A$4001,0,-1)),G523))</f>
        <v>3</v>
      </c>
      <c r="I523" cm="1">
        <f t="array" ref="I523">IF(OR(AND(H523=9,I$1&gt;YEAR($N523))),9,_xlfn.IFNA(INDEX($D$2:$D$4001,_xlfn.XMATCH(I$1&amp;"-"&amp;$F523,YEAR($B$2:$B$4001)&amp;"-"&amp;$A$2:$A$4001,0,-1)),H523))</f>
        <v>3</v>
      </c>
      <c r="J523" cm="1">
        <f t="array" ref="J523">IF(OR(AND(I523=9,J$1&gt;YEAR($N523))),9,_xlfn.IFNA(INDEX($D$2:$D$4001,_xlfn.XMATCH(J$1&amp;"-"&amp;$F523,YEAR($B$2:$B$4001)&amp;"-"&amp;$A$2:$A$4001,0,-1)),I523))</f>
        <v>3</v>
      </c>
      <c r="K523" cm="1">
        <f t="array" ref="K523">IF(OR(AND(J523=9,K$1&gt;YEAR($N523))),9,_xlfn.IFNA(INDEX($D$2:$D$4001,_xlfn.XMATCH(K$1&amp;"-"&amp;$F523,YEAR($B$2:$B$4001)&amp;"-"&amp;$A$2:$A$4001,0,-1)),J523))</f>
        <v>4</v>
      </c>
      <c r="L523" cm="1">
        <f t="array" ref="L523">IF(OR(AND(K523=9,L$1&gt;YEAR($N523))),9,_xlfn.IFNA(INDEX($D$2:$D$4001,_xlfn.XMATCH(L$1&amp;"-"&amp;$F523,YEAR($B$2:$B$4001)&amp;"-"&amp;$A$2:$A$4001,0,-1)),K523))</f>
        <v>4</v>
      </c>
      <c r="M523" cm="1">
        <f t="array" ref="M523">IF(OR(AND(L523=9,M$1&gt;YEAR($N523))),9,_xlfn.IFNA(INDEX($D$2:$D$4001,_xlfn.XMATCH(M$1&amp;"-"&amp;$F523,YEAR($B$2:$B$4001)&amp;"-"&amp;$A$2:$A$4001,0,-1)),L523))</f>
        <v>4</v>
      </c>
      <c r="N523" s="1">
        <f t="shared" si="8"/>
        <v>36676</v>
      </c>
    </row>
    <row r="524" spans="1:14" x14ac:dyDescent="0.35">
      <c r="A524">
        <v>261</v>
      </c>
      <c r="B524" s="2">
        <v>37985</v>
      </c>
      <c r="C524">
        <v>4</v>
      </c>
      <c r="D524">
        <v>4</v>
      </c>
      <c r="F524">
        <v>523</v>
      </c>
      <c r="G524" cm="1">
        <f t="array" ref="G524">_xlfn.IFNA(INDEX($D$2:$D$4001,_xlfn.XMATCH(G$1&amp;"-"&amp;$F524,YEAR($B$2:$B$4001)&amp;"-"&amp;$A$2:$A$4001,0,-1)),9)</f>
        <v>5</v>
      </c>
      <c r="H524" cm="1">
        <f t="array" ref="H524">IF(OR(AND(G524=9,H$1&gt;YEAR($N524))),9,_xlfn.IFNA(INDEX($D$2:$D$4001,_xlfn.XMATCH(H$1&amp;"-"&amp;$F524,YEAR($B$2:$B$4001)&amp;"-"&amp;$A$2:$A$4001,0,-1)),G524))</f>
        <v>5</v>
      </c>
      <c r="I524" cm="1">
        <f t="array" ref="I524">IF(OR(AND(H524=9,I$1&gt;YEAR($N524))),9,_xlfn.IFNA(INDEX($D$2:$D$4001,_xlfn.XMATCH(I$1&amp;"-"&amp;$F524,YEAR($B$2:$B$4001)&amp;"-"&amp;$A$2:$A$4001,0,-1)),H524))</f>
        <v>0</v>
      </c>
      <c r="J524" cm="1">
        <f t="array" ref="J524">IF(OR(AND(I524=9,J$1&gt;YEAR($N524))),9,_xlfn.IFNA(INDEX($D$2:$D$4001,_xlfn.XMATCH(J$1&amp;"-"&amp;$F524,YEAR($B$2:$B$4001)&amp;"-"&amp;$A$2:$A$4001,0,-1)),I524))</f>
        <v>0</v>
      </c>
      <c r="K524" cm="1">
        <f t="array" ref="K524">IF(OR(AND(J524=9,K$1&gt;YEAR($N524))),9,_xlfn.IFNA(INDEX($D$2:$D$4001,_xlfn.XMATCH(K$1&amp;"-"&amp;$F524,YEAR($B$2:$B$4001)&amp;"-"&amp;$A$2:$A$4001,0,-1)),J524))</f>
        <v>0</v>
      </c>
      <c r="L524" cm="1">
        <f t="array" ref="L524">IF(OR(AND(K524=9,L$1&gt;YEAR($N524))),9,_xlfn.IFNA(INDEX($D$2:$D$4001,_xlfn.XMATCH(L$1&amp;"-"&amp;$F524,YEAR($B$2:$B$4001)&amp;"-"&amp;$A$2:$A$4001,0,-1)),K524))</f>
        <v>0</v>
      </c>
      <c r="M524" cm="1">
        <f t="array" ref="M524">IF(OR(AND(L524=9,M$1&gt;YEAR($N524))),9,_xlfn.IFNA(INDEX($D$2:$D$4001,_xlfn.XMATCH(M$1&amp;"-"&amp;$F524,YEAR($B$2:$B$4001)&amp;"-"&amp;$A$2:$A$4001,0,-1)),L524))</f>
        <v>0</v>
      </c>
      <c r="N524" s="1">
        <f t="shared" si="8"/>
        <v>36301</v>
      </c>
    </row>
    <row r="525" spans="1:14" x14ac:dyDescent="0.35">
      <c r="A525">
        <v>262</v>
      </c>
      <c r="B525" s="2">
        <v>36829</v>
      </c>
      <c r="C525">
        <v>2</v>
      </c>
      <c r="D525">
        <v>2</v>
      </c>
      <c r="F525">
        <v>524</v>
      </c>
      <c r="G525" cm="1">
        <f t="array" ref="G525">_xlfn.IFNA(INDEX($D$2:$D$4001,_xlfn.XMATCH(G$1&amp;"-"&amp;$F525,YEAR($B$2:$B$4001)&amp;"-"&amp;$A$2:$A$4001,0,-1)),9)</f>
        <v>9</v>
      </c>
      <c r="H525" cm="1">
        <f t="array" ref="H525">IF(OR(AND(G525=9,H$1&gt;YEAR($N525))),9,_xlfn.IFNA(INDEX($D$2:$D$4001,_xlfn.XMATCH(H$1&amp;"-"&amp;$F525,YEAR($B$2:$B$4001)&amp;"-"&amp;$A$2:$A$4001,0,-1)),G525))</f>
        <v>2</v>
      </c>
      <c r="I525" cm="1">
        <f t="array" ref="I525">IF(OR(AND(H525=9,I$1&gt;YEAR($N525))),9,_xlfn.IFNA(INDEX($D$2:$D$4001,_xlfn.XMATCH(I$1&amp;"-"&amp;$F525,YEAR($B$2:$B$4001)&amp;"-"&amp;$A$2:$A$4001,0,-1)),H525))</f>
        <v>2</v>
      </c>
      <c r="J525" cm="1">
        <f t="array" ref="J525">IF(OR(AND(I525=9,J$1&gt;YEAR($N525))),9,_xlfn.IFNA(INDEX($D$2:$D$4001,_xlfn.XMATCH(J$1&amp;"-"&amp;$F525,YEAR($B$2:$B$4001)&amp;"-"&amp;$A$2:$A$4001,0,-1)),I525))</f>
        <v>1</v>
      </c>
      <c r="K525" cm="1">
        <f t="array" ref="K525">IF(OR(AND(J525=9,K$1&gt;YEAR($N525))),9,_xlfn.IFNA(INDEX($D$2:$D$4001,_xlfn.XMATCH(K$1&amp;"-"&amp;$F525,YEAR($B$2:$B$4001)&amp;"-"&amp;$A$2:$A$4001,0,-1)),J525))</f>
        <v>1</v>
      </c>
      <c r="L525" cm="1">
        <f t="array" ref="L525">IF(OR(AND(K525=9,L$1&gt;YEAR($N525))),9,_xlfn.IFNA(INDEX($D$2:$D$4001,_xlfn.XMATCH(L$1&amp;"-"&amp;$F525,YEAR($B$2:$B$4001)&amp;"-"&amp;$A$2:$A$4001,0,-1)),K525))</f>
        <v>1</v>
      </c>
      <c r="M525" cm="1">
        <f t="array" ref="M525">IF(OR(AND(L525=9,M$1&gt;YEAR($N525))),9,_xlfn.IFNA(INDEX($D$2:$D$4001,_xlfn.XMATCH(M$1&amp;"-"&amp;$F525,YEAR($B$2:$B$4001)&amp;"-"&amp;$A$2:$A$4001,0,-1)),L525))</f>
        <v>1</v>
      </c>
      <c r="N525" s="1">
        <f t="shared" si="8"/>
        <v>36667</v>
      </c>
    </row>
    <row r="526" spans="1:14" x14ac:dyDescent="0.35">
      <c r="A526">
        <v>262</v>
      </c>
      <c r="B526" s="2">
        <v>37620</v>
      </c>
      <c r="C526">
        <v>1</v>
      </c>
      <c r="D526">
        <v>1</v>
      </c>
      <c r="F526">
        <v>525</v>
      </c>
      <c r="G526" cm="1">
        <f t="array" ref="G526">_xlfn.IFNA(INDEX($D$2:$D$4001,_xlfn.XMATCH(G$1&amp;"-"&amp;$F526,YEAR($B$2:$B$4001)&amp;"-"&amp;$A$2:$A$4001,0,-1)),9)</f>
        <v>9</v>
      </c>
      <c r="H526" cm="1">
        <f t="array" ref="H526">IF(OR(AND(G526=9,H$1&gt;YEAR($N526))),9,_xlfn.IFNA(INDEX($D$2:$D$4001,_xlfn.XMATCH(H$1&amp;"-"&amp;$F526,YEAR($B$2:$B$4001)&amp;"-"&amp;$A$2:$A$4001,0,-1)),G526))</f>
        <v>9</v>
      </c>
      <c r="I526" cm="1">
        <f t="array" ref="I526">IF(OR(AND(H526=9,I$1&gt;YEAR($N526))),9,_xlfn.IFNA(INDEX($D$2:$D$4001,_xlfn.XMATCH(I$1&amp;"-"&amp;$F526,YEAR($B$2:$B$4001)&amp;"-"&amp;$A$2:$A$4001,0,-1)),H526))</f>
        <v>9</v>
      </c>
      <c r="J526" cm="1">
        <f t="array" ref="J526">IF(OR(AND(I526=9,J$1&gt;YEAR($N526))),9,_xlfn.IFNA(INDEX($D$2:$D$4001,_xlfn.XMATCH(J$1&amp;"-"&amp;$F526,YEAR($B$2:$B$4001)&amp;"-"&amp;$A$2:$A$4001,0,-1)),I526))</f>
        <v>9</v>
      </c>
      <c r="K526" cm="1">
        <f t="array" ref="K526">IF(OR(AND(J526=9,K$1&gt;YEAR($N526))),9,_xlfn.IFNA(INDEX($D$2:$D$4001,_xlfn.XMATCH(K$1&amp;"-"&amp;$F526,YEAR($B$2:$B$4001)&amp;"-"&amp;$A$2:$A$4001,0,-1)),J526))</f>
        <v>4</v>
      </c>
      <c r="L526" cm="1">
        <f t="array" ref="L526">IF(OR(AND(K526=9,L$1&gt;YEAR($N526))),9,_xlfn.IFNA(INDEX($D$2:$D$4001,_xlfn.XMATCH(L$1&amp;"-"&amp;$F526,YEAR($B$2:$B$4001)&amp;"-"&amp;$A$2:$A$4001,0,-1)),K526))</f>
        <v>4</v>
      </c>
      <c r="M526" cm="1">
        <f t="array" ref="M526">IF(OR(AND(L526=9,M$1&gt;YEAR($N526))),9,_xlfn.IFNA(INDEX($D$2:$D$4001,_xlfn.XMATCH(M$1&amp;"-"&amp;$F526,YEAR($B$2:$B$4001)&amp;"-"&amp;$A$2:$A$4001,0,-1)),L526))</f>
        <v>4</v>
      </c>
      <c r="N526" s="1">
        <f t="shared" si="8"/>
        <v>37924</v>
      </c>
    </row>
    <row r="527" spans="1:14" x14ac:dyDescent="0.35">
      <c r="A527">
        <v>263</v>
      </c>
      <c r="B527" s="2">
        <v>37397</v>
      </c>
      <c r="C527">
        <v>5</v>
      </c>
      <c r="D527">
        <v>5</v>
      </c>
      <c r="F527">
        <v>526</v>
      </c>
      <c r="G527" cm="1">
        <f t="array" ref="G527">_xlfn.IFNA(INDEX($D$2:$D$4001,_xlfn.XMATCH(G$1&amp;"-"&amp;$F527,YEAR($B$2:$B$4001)&amp;"-"&amp;$A$2:$A$4001,0,-1)),9)</f>
        <v>9</v>
      </c>
      <c r="H527" cm="1">
        <f t="array" ref="H527">IF(OR(AND(G527=9,H$1&gt;YEAR($N527))),9,_xlfn.IFNA(INDEX($D$2:$D$4001,_xlfn.XMATCH(H$1&amp;"-"&amp;$F527,YEAR($B$2:$B$4001)&amp;"-"&amp;$A$2:$A$4001,0,-1)),G527))</f>
        <v>9</v>
      </c>
      <c r="I527" cm="1">
        <f t="array" ref="I527">IF(OR(AND(H527=9,I$1&gt;YEAR($N527))),9,_xlfn.IFNA(INDEX($D$2:$D$4001,_xlfn.XMATCH(I$1&amp;"-"&amp;$F527,YEAR($B$2:$B$4001)&amp;"-"&amp;$A$2:$A$4001,0,-1)),H527))</f>
        <v>9</v>
      </c>
      <c r="J527" cm="1">
        <f t="array" ref="J527">IF(OR(AND(I527=9,J$1&gt;YEAR($N527))),9,_xlfn.IFNA(INDEX($D$2:$D$4001,_xlfn.XMATCH(J$1&amp;"-"&amp;$F527,YEAR($B$2:$B$4001)&amp;"-"&amp;$A$2:$A$4001,0,-1)),I527))</f>
        <v>3</v>
      </c>
      <c r="K527" cm="1">
        <f t="array" ref="K527">IF(OR(AND(J527=9,K$1&gt;YEAR($N527))),9,_xlfn.IFNA(INDEX($D$2:$D$4001,_xlfn.XMATCH(K$1&amp;"-"&amp;$F527,YEAR($B$2:$B$4001)&amp;"-"&amp;$A$2:$A$4001,0,-1)),J527))</f>
        <v>3</v>
      </c>
      <c r="L527" cm="1">
        <f t="array" ref="L527">IF(OR(AND(K527=9,L$1&gt;YEAR($N527))),9,_xlfn.IFNA(INDEX($D$2:$D$4001,_xlfn.XMATCH(L$1&amp;"-"&amp;$F527,YEAR($B$2:$B$4001)&amp;"-"&amp;$A$2:$A$4001,0,-1)),K527))</f>
        <v>3</v>
      </c>
      <c r="M527" cm="1">
        <f t="array" ref="M527">IF(OR(AND(L527=9,M$1&gt;YEAR($N527))),9,_xlfn.IFNA(INDEX($D$2:$D$4001,_xlfn.XMATCH(M$1&amp;"-"&amp;$F527,YEAR($B$2:$B$4001)&amp;"-"&amp;$A$2:$A$4001,0,-1)),L527))</f>
        <v>3</v>
      </c>
      <c r="N527" s="1">
        <f t="shared" si="8"/>
        <v>37550</v>
      </c>
    </row>
    <row r="528" spans="1:14" x14ac:dyDescent="0.35">
      <c r="A528">
        <v>263</v>
      </c>
      <c r="B528" s="2">
        <v>37590</v>
      </c>
      <c r="C528">
        <v>6</v>
      </c>
      <c r="D528">
        <v>6</v>
      </c>
      <c r="F528">
        <v>527</v>
      </c>
      <c r="G528" cm="1">
        <f t="array" ref="G528">_xlfn.IFNA(INDEX($D$2:$D$4001,_xlfn.XMATCH(G$1&amp;"-"&amp;$F528,YEAR($B$2:$B$4001)&amp;"-"&amp;$A$2:$A$4001,0,-1)),9)</f>
        <v>9</v>
      </c>
      <c r="H528" cm="1">
        <f t="array" ref="H528">IF(OR(AND(G528=9,H$1&gt;YEAR($N528))),9,_xlfn.IFNA(INDEX($D$2:$D$4001,_xlfn.XMATCH(H$1&amp;"-"&amp;$F528,YEAR($B$2:$B$4001)&amp;"-"&amp;$A$2:$A$4001,0,-1)),G528))</f>
        <v>9</v>
      </c>
      <c r="I528" cm="1">
        <f t="array" ref="I528">IF(OR(AND(H528=9,I$1&gt;YEAR($N528))),9,_xlfn.IFNA(INDEX($D$2:$D$4001,_xlfn.XMATCH(I$1&amp;"-"&amp;$F528,YEAR($B$2:$B$4001)&amp;"-"&amp;$A$2:$A$4001,0,-1)),H528))</f>
        <v>9</v>
      </c>
      <c r="J528" cm="1">
        <f t="array" ref="J528">IF(OR(AND(I528=9,J$1&gt;YEAR($N528))),9,_xlfn.IFNA(INDEX($D$2:$D$4001,_xlfn.XMATCH(J$1&amp;"-"&amp;$F528,YEAR($B$2:$B$4001)&amp;"-"&amp;$A$2:$A$4001,0,-1)),I528))</f>
        <v>9</v>
      </c>
      <c r="K528" cm="1">
        <f t="array" ref="K528">IF(OR(AND(J528=9,K$1&gt;YEAR($N528))),9,_xlfn.IFNA(INDEX($D$2:$D$4001,_xlfn.XMATCH(K$1&amp;"-"&amp;$F528,YEAR($B$2:$B$4001)&amp;"-"&amp;$A$2:$A$4001,0,-1)),J528))</f>
        <v>9</v>
      </c>
      <c r="L528" cm="1">
        <f t="array" ref="L528">IF(OR(AND(K528=9,L$1&gt;YEAR($N528))),9,_xlfn.IFNA(INDEX($D$2:$D$4001,_xlfn.XMATCH(L$1&amp;"-"&amp;$F528,YEAR($B$2:$B$4001)&amp;"-"&amp;$A$2:$A$4001,0,-1)),K528))</f>
        <v>4</v>
      </c>
      <c r="M528" cm="1">
        <f t="array" ref="M528">IF(OR(AND(L528=9,M$1&gt;YEAR($N528))),9,_xlfn.IFNA(INDEX($D$2:$D$4001,_xlfn.XMATCH(M$1&amp;"-"&amp;$F528,YEAR($B$2:$B$4001)&amp;"-"&amp;$A$2:$A$4001,0,-1)),L528))</f>
        <v>4</v>
      </c>
      <c r="N528" s="1">
        <f t="shared" si="8"/>
        <v>38162</v>
      </c>
    </row>
    <row r="529" spans="1:14" x14ac:dyDescent="0.35">
      <c r="A529">
        <v>264</v>
      </c>
      <c r="B529" s="2">
        <v>36667</v>
      </c>
      <c r="C529">
        <v>3</v>
      </c>
      <c r="D529">
        <v>3</v>
      </c>
      <c r="F529">
        <v>528</v>
      </c>
      <c r="G529" cm="1">
        <f t="array" ref="G529">_xlfn.IFNA(INDEX($D$2:$D$4001,_xlfn.XMATCH(G$1&amp;"-"&amp;$F529,YEAR($B$2:$B$4001)&amp;"-"&amp;$A$2:$A$4001,0,-1)),9)</f>
        <v>9</v>
      </c>
      <c r="H529" cm="1">
        <f t="array" ref="H529">IF(OR(AND(G529=9,H$1&gt;YEAR($N529))),9,_xlfn.IFNA(INDEX($D$2:$D$4001,_xlfn.XMATCH(H$1&amp;"-"&amp;$F529,YEAR($B$2:$B$4001)&amp;"-"&amp;$A$2:$A$4001,0,-1)),G529))</f>
        <v>4</v>
      </c>
      <c r="I529" cm="1">
        <f t="array" ref="I529">IF(OR(AND(H529=9,I$1&gt;YEAR($N529))),9,_xlfn.IFNA(INDEX($D$2:$D$4001,_xlfn.XMATCH(I$1&amp;"-"&amp;$F529,YEAR($B$2:$B$4001)&amp;"-"&amp;$A$2:$A$4001,0,-1)),H529))</f>
        <v>4</v>
      </c>
      <c r="J529" cm="1">
        <f t="array" ref="J529">IF(OR(AND(I529=9,J$1&gt;YEAR($N529))),9,_xlfn.IFNA(INDEX($D$2:$D$4001,_xlfn.XMATCH(J$1&amp;"-"&amp;$F529,YEAR($B$2:$B$4001)&amp;"-"&amp;$A$2:$A$4001,0,-1)),I529))</f>
        <v>0</v>
      </c>
      <c r="K529" cm="1">
        <f t="array" ref="K529">IF(OR(AND(J529=9,K$1&gt;YEAR($N529))),9,_xlfn.IFNA(INDEX($D$2:$D$4001,_xlfn.XMATCH(K$1&amp;"-"&amp;$F529,YEAR($B$2:$B$4001)&amp;"-"&amp;$A$2:$A$4001,0,-1)),J529))</f>
        <v>0</v>
      </c>
      <c r="L529" cm="1">
        <f t="array" ref="L529">IF(OR(AND(K529=9,L$1&gt;YEAR($N529))),9,_xlfn.IFNA(INDEX($D$2:$D$4001,_xlfn.XMATCH(L$1&amp;"-"&amp;$F529,YEAR($B$2:$B$4001)&amp;"-"&amp;$A$2:$A$4001,0,-1)),K529))</f>
        <v>0</v>
      </c>
      <c r="M529" cm="1">
        <f t="array" ref="M529">IF(OR(AND(L529=9,M$1&gt;YEAR($N529))),9,_xlfn.IFNA(INDEX($D$2:$D$4001,_xlfn.XMATCH(M$1&amp;"-"&amp;$F529,YEAR($B$2:$B$4001)&amp;"-"&amp;$A$2:$A$4001,0,-1)),L529))</f>
        <v>0</v>
      </c>
      <c r="N529" s="1">
        <f t="shared" si="8"/>
        <v>36674</v>
      </c>
    </row>
    <row r="530" spans="1:14" x14ac:dyDescent="0.35">
      <c r="A530">
        <v>264</v>
      </c>
      <c r="B530" s="2">
        <v>37063</v>
      </c>
      <c r="C530">
        <v>4</v>
      </c>
      <c r="D530">
        <v>4</v>
      </c>
      <c r="F530">
        <v>529</v>
      </c>
      <c r="G530" cm="1">
        <f t="array" ref="G530">_xlfn.IFNA(INDEX($D$2:$D$4001,_xlfn.XMATCH(G$1&amp;"-"&amp;$F530,YEAR($B$2:$B$4001)&amp;"-"&amp;$A$2:$A$4001,0,-1)),9)</f>
        <v>9</v>
      </c>
      <c r="H530" cm="1">
        <f t="array" ref="H530">IF(OR(AND(G530=9,H$1&gt;YEAR($N530))),9,_xlfn.IFNA(INDEX($D$2:$D$4001,_xlfn.XMATCH(H$1&amp;"-"&amp;$F530,YEAR($B$2:$B$4001)&amp;"-"&amp;$A$2:$A$4001,0,-1)),G530))</f>
        <v>9</v>
      </c>
      <c r="I530" cm="1">
        <f t="array" ref="I530">IF(OR(AND(H530=9,I$1&gt;YEAR($N530))),9,_xlfn.IFNA(INDEX($D$2:$D$4001,_xlfn.XMATCH(I$1&amp;"-"&amp;$F530,YEAR($B$2:$B$4001)&amp;"-"&amp;$A$2:$A$4001,0,-1)),H530))</f>
        <v>9</v>
      </c>
      <c r="J530" cm="1">
        <f t="array" ref="J530">IF(OR(AND(I530=9,J$1&gt;YEAR($N530))),9,_xlfn.IFNA(INDEX($D$2:$D$4001,_xlfn.XMATCH(J$1&amp;"-"&amp;$F530,YEAR($B$2:$B$4001)&amp;"-"&amp;$A$2:$A$4001,0,-1)),I530))</f>
        <v>9</v>
      </c>
      <c r="K530" cm="1">
        <f t="array" ref="K530">IF(OR(AND(J530=9,K$1&gt;YEAR($N530))),9,_xlfn.IFNA(INDEX($D$2:$D$4001,_xlfn.XMATCH(K$1&amp;"-"&amp;$F530,YEAR($B$2:$B$4001)&amp;"-"&amp;$A$2:$A$4001,0,-1)),J530))</f>
        <v>9</v>
      </c>
      <c r="L530" cm="1">
        <f t="array" ref="L530">IF(OR(AND(K530=9,L$1&gt;YEAR($N530))),9,_xlfn.IFNA(INDEX($D$2:$D$4001,_xlfn.XMATCH(L$1&amp;"-"&amp;$F530,YEAR($B$2:$B$4001)&amp;"-"&amp;$A$2:$A$4001,0,-1)),K530))</f>
        <v>3</v>
      </c>
      <c r="M530" cm="1">
        <f t="array" ref="M530">IF(OR(AND(L530=9,M$1&gt;YEAR($N530))),9,_xlfn.IFNA(INDEX($D$2:$D$4001,_xlfn.XMATCH(M$1&amp;"-"&amp;$F530,YEAR($B$2:$B$4001)&amp;"-"&amp;$A$2:$A$4001,0,-1)),L530))</f>
        <v>3</v>
      </c>
      <c r="N530" s="1">
        <f t="shared" si="8"/>
        <v>38351</v>
      </c>
    </row>
    <row r="531" spans="1:14" x14ac:dyDescent="0.35">
      <c r="A531">
        <v>264</v>
      </c>
      <c r="B531" s="2">
        <v>38655</v>
      </c>
      <c r="C531">
        <v>5</v>
      </c>
      <c r="D531">
        <v>5</v>
      </c>
      <c r="F531">
        <v>530</v>
      </c>
      <c r="G531" cm="1">
        <f t="array" ref="G531">_xlfn.IFNA(INDEX($D$2:$D$4001,_xlfn.XMATCH(G$1&amp;"-"&amp;$F531,YEAR($B$2:$B$4001)&amp;"-"&amp;$A$2:$A$4001,0,-1)),9)</f>
        <v>5</v>
      </c>
      <c r="H531" cm="1">
        <f t="array" ref="H531">IF(OR(AND(G531=9,H$1&gt;YEAR($N531))),9,_xlfn.IFNA(INDEX($D$2:$D$4001,_xlfn.XMATCH(H$1&amp;"-"&amp;$F531,YEAR($B$2:$B$4001)&amp;"-"&amp;$A$2:$A$4001,0,-1)),G531))</f>
        <v>8</v>
      </c>
      <c r="I531" cm="1">
        <f t="array" ref="I531">IF(OR(AND(H531=9,I$1&gt;YEAR($N531))),9,_xlfn.IFNA(INDEX($D$2:$D$4001,_xlfn.XMATCH(I$1&amp;"-"&amp;$F531,YEAR($B$2:$B$4001)&amp;"-"&amp;$A$2:$A$4001,0,-1)),H531))</f>
        <v>8</v>
      </c>
      <c r="J531" cm="1">
        <f t="array" ref="J531">IF(OR(AND(I531=9,J$1&gt;YEAR($N531))),9,_xlfn.IFNA(INDEX($D$2:$D$4001,_xlfn.XMATCH(J$1&amp;"-"&amp;$F531,YEAR($B$2:$B$4001)&amp;"-"&amp;$A$2:$A$4001,0,-1)),I531))</f>
        <v>8</v>
      </c>
      <c r="K531" cm="1">
        <f t="array" ref="K531">IF(OR(AND(J531=9,K$1&gt;YEAR($N531))),9,_xlfn.IFNA(INDEX($D$2:$D$4001,_xlfn.XMATCH(K$1&amp;"-"&amp;$F531,YEAR($B$2:$B$4001)&amp;"-"&amp;$A$2:$A$4001,0,-1)),J531))</f>
        <v>8</v>
      </c>
      <c r="L531" cm="1">
        <f t="array" ref="L531">IF(OR(AND(K531=9,L$1&gt;YEAR($N531))),9,_xlfn.IFNA(INDEX($D$2:$D$4001,_xlfn.XMATCH(L$1&amp;"-"&amp;$F531,YEAR($B$2:$B$4001)&amp;"-"&amp;$A$2:$A$4001,0,-1)),K531))</f>
        <v>8</v>
      </c>
      <c r="M531" cm="1">
        <f t="array" ref="M531">IF(OR(AND(L531=9,M$1&gt;YEAR($N531))),9,_xlfn.IFNA(INDEX($D$2:$D$4001,_xlfn.XMATCH(M$1&amp;"-"&amp;$F531,YEAR($B$2:$B$4001)&amp;"-"&amp;$A$2:$A$4001,0,-1)),L531))</f>
        <v>8</v>
      </c>
      <c r="N531" s="1">
        <f t="shared" si="8"/>
        <v>36332</v>
      </c>
    </row>
    <row r="532" spans="1:14" x14ac:dyDescent="0.35">
      <c r="A532">
        <v>265</v>
      </c>
      <c r="B532" s="2">
        <v>36667</v>
      </c>
      <c r="C532">
        <v>8</v>
      </c>
      <c r="D532">
        <v>8</v>
      </c>
      <c r="F532">
        <v>531</v>
      </c>
      <c r="G532" cm="1">
        <f t="array" ref="G532">_xlfn.IFNA(INDEX($D$2:$D$4001,_xlfn.XMATCH(G$1&amp;"-"&amp;$F532,YEAR($B$2:$B$4001)&amp;"-"&amp;$A$2:$A$4001,0,-1)),9)</f>
        <v>9</v>
      </c>
      <c r="H532" cm="1">
        <f t="array" ref="H532">IF(OR(AND(G532=9,H$1&gt;YEAR($N532))),9,_xlfn.IFNA(INDEX($D$2:$D$4001,_xlfn.XMATCH(H$1&amp;"-"&amp;$F532,YEAR($B$2:$B$4001)&amp;"-"&amp;$A$2:$A$4001,0,-1)),G532))</f>
        <v>9</v>
      </c>
      <c r="I532" cm="1">
        <f t="array" ref="I532">IF(OR(AND(H532=9,I$1&gt;YEAR($N532))),9,_xlfn.IFNA(INDEX($D$2:$D$4001,_xlfn.XMATCH(I$1&amp;"-"&amp;$F532,YEAR($B$2:$B$4001)&amp;"-"&amp;$A$2:$A$4001,0,-1)),H532))</f>
        <v>9</v>
      </c>
      <c r="J532" cm="1">
        <f t="array" ref="J532">IF(OR(AND(I532=9,J$1&gt;YEAR($N532))),9,_xlfn.IFNA(INDEX($D$2:$D$4001,_xlfn.XMATCH(J$1&amp;"-"&amp;$F532,YEAR($B$2:$B$4001)&amp;"-"&amp;$A$2:$A$4001,0,-1)),I532))</f>
        <v>9</v>
      </c>
      <c r="K532" cm="1">
        <f t="array" ref="K532">IF(OR(AND(J532=9,K$1&gt;YEAR($N532))),9,_xlfn.IFNA(INDEX($D$2:$D$4001,_xlfn.XMATCH(K$1&amp;"-"&amp;$F532,YEAR($B$2:$B$4001)&amp;"-"&amp;$A$2:$A$4001,0,-1)),J532))</f>
        <v>2</v>
      </c>
      <c r="L532" cm="1">
        <f t="array" ref="L532">IF(OR(AND(K532=9,L$1&gt;YEAR($N532))),9,_xlfn.IFNA(INDEX($D$2:$D$4001,_xlfn.XMATCH(L$1&amp;"-"&amp;$F532,YEAR($B$2:$B$4001)&amp;"-"&amp;$A$2:$A$4001,0,-1)),K532))</f>
        <v>2</v>
      </c>
      <c r="M532" cm="1">
        <f t="array" ref="M532">IF(OR(AND(L532=9,M$1&gt;YEAR($N532))),9,_xlfn.IFNA(INDEX($D$2:$D$4001,_xlfn.XMATCH(M$1&amp;"-"&amp;$F532,YEAR($B$2:$B$4001)&amp;"-"&amp;$A$2:$A$4001,0,-1)),L532))</f>
        <v>2</v>
      </c>
      <c r="N532" s="1">
        <f t="shared" si="8"/>
        <v>37985</v>
      </c>
    </row>
    <row r="533" spans="1:14" x14ac:dyDescent="0.35">
      <c r="A533">
        <v>266</v>
      </c>
      <c r="B533" s="2">
        <v>36667</v>
      </c>
      <c r="C533">
        <v>4</v>
      </c>
      <c r="D533">
        <v>4</v>
      </c>
      <c r="F533">
        <v>532</v>
      </c>
      <c r="G533" cm="1">
        <f t="array" ref="G533">_xlfn.IFNA(INDEX($D$2:$D$4001,_xlfn.XMATCH(G$1&amp;"-"&amp;$F533,YEAR($B$2:$B$4001)&amp;"-"&amp;$A$2:$A$4001,0,-1)),9)</f>
        <v>9</v>
      </c>
      <c r="H533" cm="1">
        <f t="array" ref="H533">IF(OR(AND(G533=9,H$1&gt;YEAR($N533))),9,_xlfn.IFNA(INDEX($D$2:$D$4001,_xlfn.XMATCH(H$1&amp;"-"&amp;$F533,YEAR($B$2:$B$4001)&amp;"-"&amp;$A$2:$A$4001,0,-1)),G533))</f>
        <v>9</v>
      </c>
      <c r="I533" cm="1">
        <f t="array" ref="I533">IF(OR(AND(H533=9,I$1&gt;YEAR($N533))),9,_xlfn.IFNA(INDEX($D$2:$D$4001,_xlfn.XMATCH(I$1&amp;"-"&amp;$F533,YEAR($B$2:$B$4001)&amp;"-"&amp;$A$2:$A$4001,0,-1)),H533))</f>
        <v>9</v>
      </c>
      <c r="J533" cm="1">
        <f t="array" ref="J533">IF(OR(AND(I533=9,J$1&gt;YEAR($N533))),9,_xlfn.IFNA(INDEX($D$2:$D$4001,_xlfn.XMATCH(J$1&amp;"-"&amp;$F533,YEAR($B$2:$B$4001)&amp;"-"&amp;$A$2:$A$4001,0,-1)),I533))</f>
        <v>3</v>
      </c>
      <c r="K533" cm="1">
        <f t="array" ref="K533">IF(OR(AND(J533=9,K$1&gt;YEAR($N533))),9,_xlfn.IFNA(INDEX($D$2:$D$4001,_xlfn.XMATCH(K$1&amp;"-"&amp;$F533,YEAR($B$2:$B$4001)&amp;"-"&amp;$A$2:$A$4001,0,-1)),J533))</f>
        <v>3</v>
      </c>
      <c r="L533" cm="1">
        <f t="array" ref="L533">IF(OR(AND(K533=9,L$1&gt;YEAR($N533))),9,_xlfn.IFNA(INDEX($D$2:$D$4001,_xlfn.XMATCH(L$1&amp;"-"&amp;$F533,YEAR($B$2:$B$4001)&amp;"-"&amp;$A$2:$A$4001,0,-1)),K533))</f>
        <v>3</v>
      </c>
      <c r="M533" cm="1">
        <f t="array" ref="M533">IF(OR(AND(L533=9,M$1&gt;YEAR($N533))),9,_xlfn.IFNA(INDEX($D$2:$D$4001,_xlfn.XMATCH(M$1&amp;"-"&amp;$F533,YEAR($B$2:$B$4001)&amp;"-"&amp;$A$2:$A$4001,0,-1)),L533))</f>
        <v>3</v>
      </c>
      <c r="N533" s="1">
        <f t="shared" si="8"/>
        <v>37620</v>
      </c>
    </row>
    <row r="534" spans="1:14" x14ac:dyDescent="0.35">
      <c r="A534">
        <v>266</v>
      </c>
      <c r="B534" s="2">
        <v>37071</v>
      </c>
      <c r="C534">
        <v>4</v>
      </c>
      <c r="D534">
        <v>4</v>
      </c>
      <c r="F534">
        <v>533</v>
      </c>
      <c r="G534" cm="1">
        <f t="array" ref="G534">_xlfn.IFNA(INDEX($D$2:$D$4001,_xlfn.XMATCH(G$1&amp;"-"&amp;$F534,YEAR($B$2:$B$4001)&amp;"-"&amp;$A$2:$A$4001,0,-1)),9)</f>
        <v>9</v>
      </c>
      <c r="H534" cm="1">
        <f t="array" ref="H534">IF(OR(AND(G534=9,H$1&gt;YEAR($N534))),9,_xlfn.IFNA(INDEX($D$2:$D$4001,_xlfn.XMATCH(H$1&amp;"-"&amp;$F534,YEAR($B$2:$B$4001)&amp;"-"&amp;$A$2:$A$4001,0,-1)),G534))</f>
        <v>4</v>
      </c>
      <c r="I534" cm="1">
        <f t="array" ref="I534">IF(OR(AND(H534=9,I$1&gt;YEAR($N534))),9,_xlfn.IFNA(INDEX($D$2:$D$4001,_xlfn.XMATCH(I$1&amp;"-"&amp;$F534,YEAR($B$2:$B$4001)&amp;"-"&amp;$A$2:$A$4001,0,-1)),H534))</f>
        <v>4</v>
      </c>
      <c r="J534" cm="1">
        <f t="array" ref="J534">IF(OR(AND(I534=9,J$1&gt;YEAR($N534))),9,_xlfn.IFNA(INDEX($D$2:$D$4001,_xlfn.XMATCH(J$1&amp;"-"&amp;$F534,YEAR($B$2:$B$4001)&amp;"-"&amp;$A$2:$A$4001,0,-1)),I534))</f>
        <v>4</v>
      </c>
      <c r="K534" cm="1">
        <f t="array" ref="K534">IF(OR(AND(J534=9,K$1&gt;YEAR($N534))),9,_xlfn.IFNA(INDEX($D$2:$D$4001,_xlfn.XMATCH(K$1&amp;"-"&amp;$F534,YEAR($B$2:$B$4001)&amp;"-"&amp;$A$2:$A$4001,0,-1)),J534))</f>
        <v>4</v>
      </c>
      <c r="L534" cm="1">
        <f t="array" ref="L534">IF(OR(AND(K534=9,L$1&gt;YEAR($N534))),9,_xlfn.IFNA(INDEX($D$2:$D$4001,_xlfn.XMATCH(L$1&amp;"-"&amp;$F534,YEAR($B$2:$B$4001)&amp;"-"&amp;$A$2:$A$4001,0,-1)),K534))</f>
        <v>4</v>
      </c>
      <c r="M534" cm="1">
        <f t="array" ref="M534">IF(OR(AND(L534=9,M$1&gt;YEAR($N534))),9,_xlfn.IFNA(INDEX($D$2:$D$4001,_xlfn.XMATCH(M$1&amp;"-"&amp;$F534,YEAR($B$2:$B$4001)&amp;"-"&amp;$A$2:$A$4001,0,-1)),L534))</f>
        <v>4</v>
      </c>
      <c r="N534" s="1">
        <f t="shared" si="8"/>
        <v>36890</v>
      </c>
    </row>
    <row r="535" spans="1:14" x14ac:dyDescent="0.35">
      <c r="A535">
        <v>266</v>
      </c>
      <c r="B535" s="2">
        <v>37437</v>
      </c>
      <c r="C535">
        <v>3</v>
      </c>
      <c r="D535">
        <v>3</v>
      </c>
      <c r="F535">
        <v>534</v>
      </c>
      <c r="G535" cm="1">
        <f t="array" ref="G535">_xlfn.IFNA(INDEX($D$2:$D$4001,_xlfn.XMATCH(G$1&amp;"-"&amp;$F535,YEAR($B$2:$B$4001)&amp;"-"&amp;$A$2:$A$4001,0,-1)),9)</f>
        <v>9</v>
      </c>
      <c r="H535" cm="1">
        <f t="array" ref="H535">IF(OR(AND(G535=9,H$1&gt;YEAR($N535))),9,_xlfn.IFNA(INDEX($D$2:$D$4001,_xlfn.XMATCH(H$1&amp;"-"&amp;$F535,YEAR($B$2:$B$4001)&amp;"-"&amp;$A$2:$A$4001,0,-1)),G535))</f>
        <v>9</v>
      </c>
      <c r="I535" cm="1">
        <f t="array" ref="I535">IF(OR(AND(H535=9,I$1&gt;YEAR($N535))),9,_xlfn.IFNA(INDEX($D$2:$D$4001,_xlfn.XMATCH(I$1&amp;"-"&amp;$F535,YEAR($B$2:$B$4001)&amp;"-"&amp;$A$2:$A$4001,0,-1)),H535))</f>
        <v>9</v>
      </c>
      <c r="J535" cm="1">
        <f t="array" ref="J535">IF(OR(AND(I535=9,J$1&gt;YEAR($N535))),9,_xlfn.IFNA(INDEX($D$2:$D$4001,_xlfn.XMATCH(J$1&amp;"-"&amp;$F535,YEAR($B$2:$B$4001)&amp;"-"&amp;$A$2:$A$4001,0,-1)),I535))</f>
        <v>3</v>
      </c>
      <c r="K535" cm="1">
        <f t="array" ref="K535">IF(OR(AND(J535=9,K$1&gt;YEAR($N535))),9,_xlfn.IFNA(INDEX($D$2:$D$4001,_xlfn.XMATCH(K$1&amp;"-"&amp;$F535,YEAR($B$2:$B$4001)&amp;"-"&amp;$A$2:$A$4001,0,-1)),J535))</f>
        <v>3</v>
      </c>
      <c r="L535" cm="1">
        <f t="array" ref="L535">IF(OR(AND(K535=9,L$1&gt;YEAR($N535))),9,_xlfn.IFNA(INDEX($D$2:$D$4001,_xlfn.XMATCH(L$1&amp;"-"&amp;$F535,YEAR($B$2:$B$4001)&amp;"-"&amp;$A$2:$A$4001,0,-1)),K535))</f>
        <v>3</v>
      </c>
      <c r="M535" cm="1">
        <f t="array" ref="M535">IF(OR(AND(L535=9,M$1&gt;YEAR($N535))),9,_xlfn.IFNA(INDEX($D$2:$D$4001,_xlfn.XMATCH(M$1&amp;"-"&amp;$F535,YEAR($B$2:$B$4001)&amp;"-"&amp;$A$2:$A$4001,0,-1)),L535))</f>
        <v>3</v>
      </c>
      <c r="N535" s="1">
        <f t="shared" si="8"/>
        <v>37559</v>
      </c>
    </row>
    <row r="536" spans="1:14" x14ac:dyDescent="0.35">
      <c r="A536">
        <v>267</v>
      </c>
      <c r="B536" s="2">
        <v>38137</v>
      </c>
      <c r="C536">
        <v>3</v>
      </c>
      <c r="D536">
        <v>3</v>
      </c>
      <c r="F536">
        <v>535</v>
      </c>
      <c r="G536" cm="1">
        <f t="array" ref="G536">_xlfn.IFNA(INDEX($D$2:$D$4001,_xlfn.XMATCH(G$1&amp;"-"&amp;$F536,YEAR($B$2:$B$4001)&amp;"-"&amp;$A$2:$A$4001,0,-1)),9)</f>
        <v>9</v>
      </c>
      <c r="H536" cm="1">
        <f t="array" ref="H536">IF(OR(AND(G536=9,H$1&gt;YEAR($N536))),9,_xlfn.IFNA(INDEX($D$2:$D$4001,_xlfn.XMATCH(H$1&amp;"-"&amp;$F536,YEAR($B$2:$B$4001)&amp;"-"&amp;$A$2:$A$4001,0,-1)),G536))</f>
        <v>4</v>
      </c>
      <c r="I536" cm="1">
        <f t="array" ref="I536">IF(OR(AND(H536=9,I$1&gt;YEAR($N536))),9,_xlfn.IFNA(INDEX($D$2:$D$4001,_xlfn.XMATCH(I$1&amp;"-"&amp;$F536,YEAR($B$2:$B$4001)&amp;"-"&amp;$A$2:$A$4001,0,-1)),H536))</f>
        <v>4</v>
      </c>
      <c r="J536" cm="1">
        <f t="array" ref="J536">IF(OR(AND(I536=9,J$1&gt;YEAR($N536))),9,_xlfn.IFNA(INDEX($D$2:$D$4001,_xlfn.XMATCH(J$1&amp;"-"&amp;$F536,YEAR($B$2:$B$4001)&amp;"-"&amp;$A$2:$A$4001,0,-1)),I536))</f>
        <v>4</v>
      </c>
      <c r="K536" cm="1">
        <f t="array" ref="K536">IF(OR(AND(J536=9,K$1&gt;YEAR($N536))),9,_xlfn.IFNA(INDEX($D$2:$D$4001,_xlfn.XMATCH(K$1&amp;"-"&amp;$F536,YEAR($B$2:$B$4001)&amp;"-"&amp;$A$2:$A$4001,0,-1)),J536))</f>
        <v>4</v>
      </c>
      <c r="L536" cm="1">
        <f t="array" ref="L536">IF(OR(AND(K536=9,L$1&gt;YEAR($N536))),9,_xlfn.IFNA(INDEX($D$2:$D$4001,_xlfn.XMATCH(L$1&amp;"-"&amp;$F536,YEAR($B$2:$B$4001)&amp;"-"&amp;$A$2:$A$4001,0,-1)),K536))</f>
        <v>4</v>
      </c>
      <c r="M536" cm="1">
        <f t="array" ref="M536">IF(OR(AND(L536=9,M$1&gt;YEAR($N536))),9,_xlfn.IFNA(INDEX($D$2:$D$4001,_xlfn.XMATCH(M$1&amp;"-"&amp;$F536,YEAR($B$2:$B$4001)&amp;"-"&amp;$A$2:$A$4001,0,-1)),L536))</f>
        <v>4</v>
      </c>
      <c r="N536" s="1">
        <f t="shared" si="8"/>
        <v>36890</v>
      </c>
    </row>
    <row r="537" spans="1:14" x14ac:dyDescent="0.35">
      <c r="A537">
        <v>268</v>
      </c>
      <c r="B537" s="2">
        <v>36370</v>
      </c>
      <c r="C537">
        <v>6</v>
      </c>
      <c r="D537">
        <v>6</v>
      </c>
      <c r="F537">
        <v>536</v>
      </c>
      <c r="G537" cm="1">
        <f t="array" ref="G537">_xlfn.IFNA(INDEX($D$2:$D$4001,_xlfn.XMATCH(G$1&amp;"-"&amp;$F537,YEAR($B$2:$B$4001)&amp;"-"&amp;$A$2:$A$4001,0,-1)),9)</f>
        <v>3</v>
      </c>
      <c r="H537" cm="1">
        <f t="array" ref="H537">IF(OR(AND(G537=9,H$1&gt;YEAR($N537))),9,_xlfn.IFNA(INDEX($D$2:$D$4001,_xlfn.XMATCH(H$1&amp;"-"&amp;$F537,YEAR($B$2:$B$4001)&amp;"-"&amp;$A$2:$A$4001,0,-1)),G537))</f>
        <v>3</v>
      </c>
      <c r="I537" cm="1">
        <f t="array" ref="I537">IF(OR(AND(H537=9,I$1&gt;YEAR($N537))),9,_xlfn.IFNA(INDEX($D$2:$D$4001,_xlfn.XMATCH(I$1&amp;"-"&amp;$F537,YEAR($B$2:$B$4001)&amp;"-"&amp;$A$2:$A$4001,0,-1)),H537))</f>
        <v>2</v>
      </c>
      <c r="J537" cm="1">
        <f t="array" ref="J537">IF(OR(AND(I537=9,J$1&gt;YEAR($N537))),9,_xlfn.IFNA(INDEX($D$2:$D$4001,_xlfn.XMATCH(J$1&amp;"-"&amp;$F537,YEAR($B$2:$B$4001)&amp;"-"&amp;$A$2:$A$4001,0,-1)),I537))</f>
        <v>2</v>
      </c>
      <c r="K537" cm="1">
        <f t="array" ref="K537">IF(OR(AND(J537=9,K$1&gt;YEAR($N537))),9,_xlfn.IFNA(INDEX($D$2:$D$4001,_xlfn.XMATCH(K$1&amp;"-"&amp;$F537,YEAR($B$2:$B$4001)&amp;"-"&amp;$A$2:$A$4001,0,-1)),J537))</f>
        <v>2</v>
      </c>
      <c r="L537" cm="1">
        <f t="array" ref="L537">IF(OR(AND(K537=9,L$1&gt;YEAR($N537))),9,_xlfn.IFNA(INDEX($D$2:$D$4001,_xlfn.XMATCH(L$1&amp;"-"&amp;$F537,YEAR($B$2:$B$4001)&amp;"-"&amp;$A$2:$A$4001,0,-1)),K537))</f>
        <v>2</v>
      </c>
      <c r="M537" cm="1">
        <f t="array" ref="M537">IF(OR(AND(L537=9,M$1&gt;YEAR($N537))),9,_xlfn.IFNA(INDEX($D$2:$D$4001,_xlfn.XMATCH(M$1&amp;"-"&amp;$F537,YEAR($B$2:$B$4001)&amp;"-"&amp;$A$2:$A$4001,0,-1)),L537))</f>
        <v>2</v>
      </c>
      <c r="N537" s="1">
        <f t="shared" si="8"/>
        <v>36301</v>
      </c>
    </row>
    <row r="538" spans="1:14" x14ac:dyDescent="0.35">
      <c r="A538">
        <v>268</v>
      </c>
      <c r="B538" s="2">
        <v>37072</v>
      </c>
      <c r="C538">
        <v>7</v>
      </c>
      <c r="D538">
        <v>7</v>
      </c>
      <c r="F538">
        <v>537</v>
      </c>
      <c r="G538" cm="1">
        <f t="array" ref="G538">_xlfn.IFNA(INDEX($D$2:$D$4001,_xlfn.XMATCH(G$1&amp;"-"&amp;$F538,YEAR($B$2:$B$4001)&amp;"-"&amp;$A$2:$A$4001,0,-1)),9)</f>
        <v>9</v>
      </c>
      <c r="H538" cm="1">
        <f t="array" ref="H538">IF(OR(AND(G538=9,H$1&gt;YEAR($N538))),9,_xlfn.IFNA(INDEX($D$2:$D$4001,_xlfn.XMATCH(H$1&amp;"-"&amp;$F538,YEAR($B$2:$B$4001)&amp;"-"&amp;$A$2:$A$4001,0,-1)),G538))</f>
        <v>9</v>
      </c>
      <c r="I538" cm="1">
        <f t="array" ref="I538">IF(OR(AND(H538=9,I$1&gt;YEAR($N538))),9,_xlfn.IFNA(INDEX($D$2:$D$4001,_xlfn.XMATCH(I$1&amp;"-"&amp;$F538,YEAR($B$2:$B$4001)&amp;"-"&amp;$A$2:$A$4001,0,-1)),H538))</f>
        <v>0</v>
      </c>
      <c r="J538" cm="1">
        <f t="array" ref="J538">IF(OR(AND(I538=9,J$1&gt;YEAR($N538))),9,_xlfn.IFNA(INDEX($D$2:$D$4001,_xlfn.XMATCH(J$1&amp;"-"&amp;$F538,YEAR($B$2:$B$4001)&amp;"-"&amp;$A$2:$A$4001,0,-1)),I538))</f>
        <v>0</v>
      </c>
      <c r="K538" cm="1">
        <f t="array" ref="K538">IF(OR(AND(J538=9,K$1&gt;YEAR($N538))),9,_xlfn.IFNA(INDEX($D$2:$D$4001,_xlfn.XMATCH(K$1&amp;"-"&amp;$F538,YEAR($B$2:$B$4001)&amp;"-"&amp;$A$2:$A$4001,0,-1)),J538))</f>
        <v>0</v>
      </c>
      <c r="L538" cm="1">
        <f t="array" ref="L538">IF(OR(AND(K538=9,L$1&gt;YEAR($N538))),9,_xlfn.IFNA(INDEX($D$2:$D$4001,_xlfn.XMATCH(L$1&amp;"-"&amp;$F538,YEAR($B$2:$B$4001)&amp;"-"&amp;$A$2:$A$4001,0,-1)),K538))</f>
        <v>0</v>
      </c>
      <c r="M538" cm="1">
        <f t="array" ref="M538">IF(OR(AND(L538=9,M$1&gt;YEAR($N538))),9,_xlfn.IFNA(INDEX($D$2:$D$4001,_xlfn.XMATCH(M$1&amp;"-"&amp;$F538,YEAR($B$2:$B$4001)&amp;"-"&amp;$A$2:$A$4001,0,-1)),L538))</f>
        <v>0</v>
      </c>
      <c r="N538" s="1">
        <f t="shared" si="8"/>
        <v>37063</v>
      </c>
    </row>
    <row r="539" spans="1:14" x14ac:dyDescent="0.35">
      <c r="A539">
        <v>268</v>
      </c>
      <c r="B539" s="2">
        <v>37255</v>
      </c>
      <c r="C539">
        <v>0</v>
      </c>
      <c r="D539">
        <v>0</v>
      </c>
      <c r="F539">
        <v>538</v>
      </c>
      <c r="G539" cm="1">
        <f t="array" ref="G539">_xlfn.IFNA(INDEX($D$2:$D$4001,_xlfn.XMATCH(G$1&amp;"-"&amp;$F539,YEAR($B$2:$B$4001)&amp;"-"&amp;$A$2:$A$4001,0,-1)),9)</f>
        <v>4</v>
      </c>
      <c r="H539" cm="1">
        <f t="array" ref="H539">IF(OR(AND(G539=9,H$1&gt;YEAR($N539))),9,_xlfn.IFNA(INDEX($D$2:$D$4001,_xlfn.XMATCH(H$1&amp;"-"&amp;$F539,YEAR($B$2:$B$4001)&amp;"-"&amp;$A$2:$A$4001,0,-1)),G539))</f>
        <v>4</v>
      </c>
      <c r="I539" cm="1">
        <f t="array" ref="I539">IF(OR(AND(H539=9,I$1&gt;YEAR($N539))),9,_xlfn.IFNA(INDEX($D$2:$D$4001,_xlfn.XMATCH(I$1&amp;"-"&amp;$F539,YEAR($B$2:$B$4001)&amp;"-"&amp;$A$2:$A$4001,0,-1)),H539))</f>
        <v>4</v>
      </c>
      <c r="J539" cm="1">
        <f t="array" ref="J539">IF(OR(AND(I539=9,J$1&gt;YEAR($N539))),9,_xlfn.IFNA(INDEX($D$2:$D$4001,_xlfn.XMATCH(J$1&amp;"-"&amp;$F539,YEAR($B$2:$B$4001)&amp;"-"&amp;$A$2:$A$4001,0,-1)),I539))</f>
        <v>4</v>
      </c>
      <c r="K539" cm="1">
        <f t="array" ref="K539">IF(OR(AND(J539=9,K$1&gt;YEAR($N539))),9,_xlfn.IFNA(INDEX($D$2:$D$4001,_xlfn.XMATCH(K$1&amp;"-"&amp;$F539,YEAR($B$2:$B$4001)&amp;"-"&amp;$A$2:$A$4001,0,-1)),J539))</f>
        <v>4</v>
      </c>
      <c r="L539" cm="1">
        <f t="array" ref="L539">IF(OR(AND(K539=9,L$1&gt;YEAR($N539))),9,_xlfn.IFNA(INDEX($D$2:$D$4001,_xlfn.XMATCH(L$1&amp;"-"&amp;$F539,YEAR($B$2:$B$4001)&amp;"-"&amp;$A$2:$A$4001,0,-1)),K539))</f>
        <v>4</v>
      </c>
      <c r="M539" cm="1">
        <f t="array" ref="M539">IF(OR(AND(L539=9,M$1&gt;YEAR($N539))),9,_xlfn.IFNA(INDEX($D$2:$D$4001,_xlfn.XMATCH(M$1&amp;"-"&amp;$F539,YEAR($B$2:$B$4001)&amp;"-"&amp;$A$2:$A$4001,0,-1)),L539))</f>
        <v>4</v>
      </c>
      <c r="N539" s="1">
        <f t="shared" si="8"/>
        <v>36332</v>
      </c>
    </row>
    <row r="540" spans="1:14" x14ac:dyDescent="0.35">
      <c r="A540">
        <v>269</v>
      </c>
      <c r="B540" s="2">
        <v>36667</v>
      </c>
      <c r="C540">
        <v>4</v>
      </c>
      <c r="D540">
        <v>4</v>
      </c>
      <c r="F540">
        <v>539</v>
      </c>
      <c r="G540" cm="1">
        <f t="array" ref="G540">_xlfn.IFNA(INDEX($D$2:$D$4001,_xlfn.XMATCH(G$1&amp;"-"&amp;$F540,YEAR($B$2:$B$4001)&amp;"-"&amp;$A$2:$A$4001,0,-1)),9)</f>
        <v>9</v>
      </c>
      <c r="H540" cm="1">
        <f t="array" ref="H540">IF(OR(AND(G540=9,H$1&gt;YEAR($N540))),9,_xlfn.IFNA(INDEX($D$2:$D$4001,_xlfn.XMATCH(H$1&amp;"-"&amp;$F540,YEAR($B$2:$B$4001)&amp;"-"&amp;$A$2:$A$4001,0,-1)),G540))</f>
        <v>9</v>
      </c>
      <c r="I540" cm="1">
        <f t="array" ref="I540">IF(OR(AND(H540=9,I$1&gt;YEAR($N540))),9,_xlfn.IFNA(INDEX($D$2:$D$4001,_xlfn.XMATCH(I$1&amp;"-"&amp;$F540,YEAR($B$2:$B$4001)&amp;"-"&amp;$A$2:$A$4001,0,-1)),H540))</f>
        <v>9</v>
      </c>
      <c r="J540" cm="1">
        <f t="array" ref="J540">IF(OR(AND(I540=9,J$1&gt;YEAR($N540))),9,_xlfn.IFNA(INDEX($D$2:$D$4001,_xlfn.XMATCH(J$1&amp;"-"&amp;$F540,YEAR($B$2:$B$4001)&amp;"-"&amp;$A$2:$A$4001,0,-1)),I540))</f>
        <v>4</v>
      </c>
      <c r="K540" cm="1">
        <f t="array" ref="K540">IF(OR(AND(J540=9,K$1&gt;YEAR($N540))),9,_xlfn.IFNA(INDEX($D$2:$D$4001,_xlfn.XMATCH(K$1&amp;"-"&amp;$F540,YEAR($B$2:$B$4001)&amp;"-"&amp;$A$2:$A$4001,0,-1)),J540))</f>
        <v>4</v>
      </c>
      <c r="L540" cm="1">
        <f t="array" ref="L540">IF(OR(AND(K540=9,L$1&gt;YEAR($N540))),9,_xlfn.IFNA(INDEX($D$2:$D$4001,_xlfn.XMATCH(L$1&amp;"-"&amp;$F540,YEAR($B$2:$B$4001)&amp;"-"&amp;$A$2:$A$4001,0,-1)),K540))</f>
        <v>4</v>
      </c>
      <c r="M540" cm="1">
        <f t="array" ref="M540">IF(OR(AND(L540=9,M$1&gt;YEAR($N540))),9,_xlfn.IFNA(INDEX($D$2:$D$4001,_xlfn.XMATCH(M$1&amp;"-"&amp;$F540,YEAR($B$2:$B$4001)&amp;"-"&amp;$A$2:$A$4001,0,-1)),L540))</f>
        <v>4</v>
      </c>
      <c r="N540" s="1">
        <f t="shared" si="8"/>
        <v>37397</v>
      </c>
    </row>
    <row r="541" spans="1:14" x14ac:dyDescent="0.35">
      <c r="A541">
        <v>269</v>
      </c>
      <c r="B541" s="2">
        <v>37493</v>
      </c>
      <c r="C541">
        <v>6</v>
      </c>
      <c r="D541">
        <v>6</v>
      </c>
      <c r="F541">
        <v>540</v>
      </c>
      <c r="G541" cm="1">
        <f t="array" ref="G541">_xlfn.IFNA(INDEX($D$2:$D$4001,_xlfn.XMATCH(G$1&amp;"-"&amp;$F541,YEAR($B$2:$B$4001)&amp;"-"&amp;$A$2:$A$4001,0,-1)),9)</f>
        <v>9</v>
      </c>
      <c r="H541" cm="1">
        <f t="array" ref="H541">IF(OR(AND(G541=9,H$1&gt;YEAR($N541))),9,_xlfn.IFNA(INDEX($D$2:$D$4001,_xlfn.XMATCH(H$1&amp;"-"&amp;$F541,YEAR($B$2:$B$4001)&amp;"-"&amp;$A$2:$A$4001,0,-1)),G541))</f>
        <v>9</v>
      </c>
      <c r="I541" cm="1">
        <f t="array" ref="I541">IF(OR(AND(H541=9,I$1&gt;YEAR($N541))),9,_xlfn.IFNA(INDEX($D$2:$D$4001,_xlfn.XMATCH(I$1&amp;"-"&amp;$F541,YEAR($B$2:$B$4001)&amp;"-"&amp;$A$2:$A$4001,0,-1)),H541))</f>
        <v>9</v>
      </c>
      <c r="J541" cm="1">
        <f t="array" ref="J541">IF(OR(AND(I541=9,J$1&gt;YEAR($N541))),9,_xlfn.IFNA(INDEX($D$2:$D$4001,_xlfn.XMATCH(J$1&amp;"-"&amp;$F541,YEAR($B$2:$B$4001)&amp;"-"&amp;$A$2:$A$4001,0,-1)),I541))</f>
        <v>9</v>
      </c>
      <c r="K541" cm="1">
        <f t="array" ref="K541">IF(OR(AND(J541=9,K$1&gt;YEAR($N541))),9,_xlfn.IFNA(INDEX($D$2:$D$4001,_xlfn.XMATCH(K$1&amp;"-"&amp;$F541,YEAR($B$2:$B$4001)&amp;"-"&amp;$A$2:$A$4001,0,-1)),J541))</f>
        <v>3</v>
      </c>
      <c r="L541" cm="1">
        <f t="array" ref="L541">IF(OR(AND(K541=9,L$1&gt;YEAR($N541))),9,_xlfn.IFNA(INDEX($D$2:$D$4001,_xlfn.XMATCH(L$1&amp;"-"&amp;$F541,YEAR($B$2:$B$4001)&amp;"-"&amp;$A$2:$A$4001,0,-1)),K541))</f>
        <v>3</v>
      </c>
      <c r="M541" cm="1">
        <f t="array" ref="M541">IF(OR(AND(L541=9,M$1&gt;YEAR($N541))),9,_xlfn.IFNA(INDEX($D$2:$D$4001,_xlfn.XMATCH(M$1&amp;"-"&amp;$F541,YEAR($B$2:$B$4001)&amp;"-"&amp;$A$2:$A$4001,0,-1)),L541))</f>
        <v>3</v>
      </c>
      <c r="N541" s="1">
        <f t="shared" si="8"/>
        <v>37985</v>
      </c>
    </row>
    <row r="542" spans="1:14" x14ac:dyDescent="0.35">
      <c r="A542">
        <v>269</v>
      </c>
      <c r="B542" s="2">
        <v>37520</v>
      </c>
      <c r="C542">
        <v>5</v>
      </c>
      <c r="D542">
        <v>5</v>
      </c>
      <c r="F542">
        <v>541</v>
      </c>
      <c r="G542" cm="1">
        <f t="array" ref="G542">_xlfn.IFNA(INDEX($D$2:$D$4001,_xlfn.XMATCH(G$1&amp;"-"&amp;$F542,YEAR($B$2:$B$4001)&amp;"-"&amp;$A$2:$A$4001,0,-1)),9)</f>
        <v>9</v>
      </c>
      <c r="H542" cm="1">
        <f t="array" ref="H542">IF(OR(AND(G542=9,H$1&gt;YEAR($N542))),9,_xlfn.IFNA(INDEX($D$2:$D$4001,_xlfn.XMATCH(H$1&amp;"-"&amp;$F542,YEAR($B$2:$B$4001)&amp;"-"&amp;$A$2:$A$4001,0,-1)),G542))</f>
        <v>9</v>
      </c>
      <c r="I542" cm="1">
        <f t="array" ref="I542">IF(OR(AND(H542=9,I$1&gt;YEAR($N542))),9,_xlfn.IFNA(INDEX($D$2:$D$4001,_xlfn.XMATCH(I$1&amp;"-"&amp;$F542,YEAR($B$2:$B$4001)&amp;"-"&amp;$A$2:$A$4001,0,-1)),H542))</f>
        <v>5</v>
      </c>
      <c r="J542" cm="1">
        <f t="array" ref="J542">IF(OR(AND(I542=9,J$1&gt;YEAR($N542))),9,_xlfn.IFNA(INDEX($D$2:$D$4001,_xlfn.XMATCH(J$1&amp;"-"&amp;$F542,YEAR($B$2:$B$4001)&amp;"-"&amp;$A$2:$A$4001,0,-1)),I542))</f>
        <v>5</v>
      </c>
      <c r="K542" cm="1">
        <f t="array" ref="K542">IF(OR(AND(J542=9,K$1&gt;YEAR($N542))),9,_xlfn.IFNA(INDEX($D$2:$D$4001,_xlfn.XMATCH(K$1&amp;"-"&amp;$F542,YEAR($B$2:$B$4001)&amp;"-"&amp;$A$2:$A$4001,0,-1)),J542))</f>
        <v>6</v>
      </c>
      <c r="L542" cm="1">
        <f t="array" ref="L542">IF(OR(AND(K542=9,L$1&gt;YEAR($N542))),9,_xlfn.IFNA(INDEX($D$2:$D$4001,_xlfn.XMATCH(L$1&amp;"-"&amp;$F542,YEAR($B$2:$B$4001)&amp;"-"&amp;$A$2:$A$4001,0,-1)),K542))</f>
        <v>6</v>
      </c>
      <c r="M542" cm="1">
        <f t="array" ref="M542">IF(OR(AND(L542=9,M$1&gt;YEAR($N542))),9,_xlfn.IFNA(INDEX($D$2:$D$4001,_xlfn.XMATCH(M$1&amp;"-"&amp;$F542,YEAR($B$2:$B$4001)&amp;"-"&amp;$A$2:$A$4001,0,-1)),L542))</f>
        <v>6</v>
      </c>
      <c r="N542" s="1">
        <f t="shared" si="8"/>
        <v>37255</v>
      </c>
    </row>
    <row r="543" spans="1:14" x14ac:dyDescent="0.35">
      <c r="A543">
        <v>269</v>
      </c>
      <c r="B543" s="2">
        <v>37771</v>
      </c>
      <c r="C543">
        <v>6</v>
      </c>
      <c r="D543">
        <v>6</v>
      </c>
      <c r="F543">
        <v>542</v>
      </c>
      <c r="G543" cm="1">
        <f t="array" ref="G543">_xlfn.IFNA(INDEX($D$2:$D$4001,_xlfn.XMATCH(G$1&amp;"-"&amp;$F543,YEAR($B$2:$B$4001)&amp;"-"&amp;$A$2:$A$4001,0,-1)),9)</f>
        <v>9</v>
      </c>
      <c r="H543" cm="1">
        <f t="array" ref="H543">IF(OR(AND(G543=9,H$1&gt;YEAR($N543))),9,_xlfn.IFNA(INDEX($D$2:$D$4001,_xlfn.XMATCH(H$1&amp;"-"&amp;$F543,YEAR($B$2:$B$4001)&amp;"-"&amp;$A$2:$A$4001,0,-1)),G543))</f>
        <v>9</v>
      </c>
      <c r="I543" cm="1">
        <f t="array" ref="I543">IF(OR(AND(H543=9,I$1&gt;YEAR($N543))),9,_xlfn.IFNA(INDEX($D$2:$D$4001,_xlfn.XMATCH(I$1&amp;"-"&amp;$F543,YEAR($B$2:$B$4001)&amp;"-"&amp;$A$2:$A$4001,0,-1)),H543))</f>
        <v>3</v>
      </c>
      <c r="J543" cm="1">
        <f t="array" ref="J543">IF(OR(AND(I543=9,J$1&gt;YEAR($N543))),9,_xlfn.IFNA(INDEX($D$2:$D$4001,_xlfn.XMATCH(J$1&amp;"-"&amp;$F543,YEAR($B$2:$B$4001)&amp;"-"&amp;$A$2:$A$4001,0,-1)),I543))</f>
        <v>3</v>
      </c>
      <c r="K543" cm="1">
        <f t="array" ref="K543">IF(OR(AND(J543=9,K$1&gt;YEAR($N543))),9,_xlfn.IFNA(INDEX($D$2:$D$4001,_xlfn.XMATCH(K$1&amp;"-"&amp;$F543,YEAR($B$2:$B$4001)&amp;"-"&amp;$A$2:$A$4001,0,-1)),J543))</f>
        <v>3</v>
      </c>
      <c r="L543" cm="1">
        <f t="array" ref="L543">IF(OR(AND(K543=9,L$1&gt;YEAR($N543))),9,_xlfn.IFNA(INDEX($D$2:$D$4001,_xlfn.XMATCH(L$1&amp;"-"&amp;$F543,YEAR($B$2:$B$4001)&amp;"-"&amp;$A$2:$A$4001,0,-1)),K543))</f>
        <v>3</v>
      </c>
      <c r="M543" cm="1">
        <f t="array" ref="M543">IF(OR(AND(L543=9,M$1&gt;YEAR($N543))),9,_xlfn.IFNA(INDEX($D$2:$D$4001,_xlfn.XMATCH(M$1&amp;"-"&amp;$F543,YEAR($B$2:$B$4001)&amp;"-"&amp;$A$2:$A$4001,0,-1)),L543))</f>
        <v>3</v>
      </c>
      <c r="N543" s="1">
        <f t="shared" si="8"/>
        <v>37041</v>
      </c>
    </row>
    <row r="544" spans="1:14" x14ac:dyDescent="0.35">
      <c r="A544">
        <v>269</v>
      </c>
      <c r="B544" s="2">
        <v>38493</v>
      </c>
      <c r="C544">
        <v>6</v>
      </c>
      <c r="D544">
        <v>6</v>
      </c>
      <c r="F544">
        <v>543</v>
      </c>
      <c r="G544" cm="1">
        <f t="array" ref="G544">_xlfn.IFNA(INDEX($D$2:$D$4001,_xlfn.XMATCH(G$1&amp;"-"&amp;$F544,YEAR($B$2:$B$4001)&amp;"-"&amp;$A$2:$A$4001,0,-1)),9)</f>
        <v>5</v>
      </c>
      <c r="H544" cm="1">
        <f t="array" ref="H544">IF(OR(AND(G544=9,H$1&gt;YEAR($N544))),9,_xlfn.IFNA(INDEX($D$2:$D$4001,_xlfn.XMATCH(H$1&amp;"-"&amp;$F544,YEAR($B$2:$B$4001)&amp;"-"&amp;$A$2:$A$4001,0,-1)),G544))</f>
        <v>5</v>
      </c>
      <c r="I544" cm="1">
        <f t="array" ref="I544">IF(OR(AND(H544=9,I$1&gt;YEAR($N544))),9,_xlfn.IFNA(INDEX($D$2:$D$4001,_xlfn.XMATCH(I$1&amp;"-"&amp;$F544,YEAR($B$2:$B$4001)&amp;"-"&amp;$A$2:$A$4001,0,-1)),H544))</f>
        <v>5</v>
      </c>
      <c r="J544" cm="1">
        <f t="array" ref="J544">IF(OR(AND(I544=9,J$1&gt;YEAR($N544))),9,_xlfn.IFNA(INDEX($D$2:$D$4001,_xlfn.XMATCH(J$1&amp;"-"&amp;$F544,YEAR($B$2:$B$4001)&amp;"-"&amp;$A$2:$A$4001,0,-1)),I544))</f>
        <v>5</v>
      </c>
      <c r="K544" cm="1">
        <f t="array" ref="K544">IF(OR(AND(J544=9,K$1&gt;YEAR($N544))),9,_xlfn.IFNA(INDEX($D$2:$D$4001,_xlfn.XMATCH(K$1&amp;"-"&amp;$F544,YEAR($B$2:$B$4001)&amp;"-"&amp;$A$2:$A$4001,0,-1)),J544))</f>
        <v>5</v>
      </c>
      <c r="L544" cm="1">
        <f t="array" ref="L544">IF(OR(AND(K544=9,L$1&gt;YEAR($N544))),9,_xlfn.IFNA(INDEX($D$2:$D$4001,_xlfn.XMATCH(L$1&amp;"-"&amp;$F544,YEAR($B$2:$B$4001)&amp;"-"&amp;$A$2:$A$4001,0,-1)),K544))</f>
        <v>5</v>
      </c>
      <c r="M544" cm="1">
        <f t="array" ref="M544">IF(OR(AND(L544=9,M$1&gt;YEAR($N544))),9,_xlfn.IFNA(INDEX($D$2:$D$4001,_xlfn.XMATCH(M$1&amp;"-"&amp;$F544,YEAR($B$2:$B$4001)&amp;"-"&amp;$A$2:$A$4001,0,-1)),L544))</f>
        <v>5</v>
      </c>
      <c r="N544" s="1">
        <f t="shared" si="8"/>
        <v>36362</v>
      </c>
    </row>
    <row r="545" spans="1:14" x14ac:dyDescent="0.35">
      <c r="A545">
        <v>270</v>
      </c>
      <c r="B545" s="2">
        <v>37428</v>
      </c>
      <c r="C545">
        <v>5</v>
      </c>
      <c r="D545">
        <v>5</v>
      </c>
      <c r="F545">
        <v>544</v>
      </c>
      <c r="G545" cm="1">
        <f t="array" ref="G545">_xlfn.IFNA(INDEX($D$2:$D$4001,_xlfn.XMATCH(G$1&amp;"-"&amp;$F545,YEAR($B$2:$B$4001)&amp;"-"&amp;$A$2:$A$4001,0,-1)),9)</f>
        <v>9</v>
      </c>
      <c r="H545" cm="1">
        <f t="array" ref="H545">IF(OR(AND(G545=9,H$1&gt;YEAR($N545))),9,_xlfn.IFNA(INDEX($D$2:$D$4001,_xlfn.XMATCH(H$1&amp;"-"&amp;$F545,YEAR($B$2:$B$4001)&amp;"-"&amp;$A$2:$A$4001,0,-1)),G545))</f>
        <v>3</v>
      </c>
      <c r="I545" cm="1">
        <f t="array" ref="I545">IF(OR(AND(H545=9,I$1&gt;YEAR($N545))),9,_xlfn.IFNA(INDEX($D$2:$D$4001,_xlfn.XMATCH(I$1&amp;"-"&amp;$F545,YEAR($B$2:$B$4001)&amp;"-"&amp;$A$2:$A$4001,0,-1)),H545))</f>
        <v>3</v>
      </c>
      <c r="J545" cm="1">
        <f t="array" ref="J545">IF(OR(AND(I545=9,J$1&gt;YEAR($N545))),9,_xlfn.IFNA(INDEX($D$2:$D$4001,_xlfn.XMATCH(J$1&amp;"-"&amp;$F545,YEAR($B$2:$B$4001)&amp;"-"&amp;$A$2:$A$4001,0,-1)),I545))</f>
        <v>0</v>
      </c>
      <c r="K545" cm="1">
        <f t="array" ref="K545">IF(OR(AND(J545=9,K$1&gt;YEAR($N545))),9,_xlfn.IFNA(INDEX($D$2:$D$4001,_xlfn.XMATCH(K$1&amp;"-"&amp;$F545,YEAR($B$2:$B$4001)&amp;"-"&amp;$A$2:$A$4001,0,-1)),J545))</f>
        <v>0</v>
      </c>
      <c r="L545" cm="1">
        <f t="array" ref="L545">IF(OR(AND(K545=9,L$1&gt;YEAR($N545))),9,_xlfn.IFNA(INDEX($D$2:$D$4001,_xlfn.XMATCH(L$1&amp;"-"&amp;$F545,YEAR($B$2:$B$4001)&amp;"-"&amp;$A$2:$A$4001,0,-1)),K545))</f>
        <v>0</v>
      </c>
      <c r="M545" cm="1">
        <f t="array" ref="M545">IF(OR(AND(L545=9,M$1&gt;YEAR($N545))),9,_xlfn.IFNA(INDEX($D$2:$D$4001,_xlfn.XMATCH(M$1&amp;"-"&amp;$F545,YEAR($B$2:$B$4001)&amp;"-"&amp;$A$2:$A$4001,0,-1)),L545))</f>
        <v>0</v>
      </c>
      <c r="N545" s="1">
        <f t="shared" si="8"/>
        <v>36853</v>
      </c>
    </row>
    <row r="546" spans="1:14" x14ac:dyDescent="0.35">
      <c r="A546">
        <v>270</v>
      </c>
      <c r="B546" s="2">
        <v>37985</v>
      </c>
      <c r="C546">
        <v>5</v>
      </c>
      <c r="D546">
        <v>5</v>
      </c>
      <c r="F546">
        <v>545</v>
      </c>
      <c r="G546" cm="1">
        <f t="array" ref="G546">_xlfn.IFNA(INDEX($D$2:$D$4001,_xlfn.XMATCH(G$1&amp;"-"&amp;$F546,YEAR($B$2:$B$4001)&amp;"-"&amp;$A$2:$A$4001,0,-1)),9)</f>
        <v>9</v>
      </c>
      <c r="H546" cm="1">
        <f t="array" ref="H546">IF(OR(AND(G546=9,H$1&gt;YEAR($N546))),9,_xlfn.IFNA(INDEX($D$2:$D$4001,_xlfn.XMATCH(H$1&amp;"-"&amp;$F546,YEAR($B$2:$B$4001)&amp;"-"&amp;$A$2:$A$4001,0,-1)),G546))</f>
        <v>9</v>
      </c>
      <c r="I546" cm="1">
        <f t="array" ref="I546">IF(OR(AND(H546=9,I$1&gt;YEAR($N546))),9,_xlfn.IFNA(INDEX($D$2:$D$4001,_xlfn.XMATCH(I$1&amp;"-"&amp;$F546,YEAR($B$2:$B$4001)&amp;"-"&amp;$A$2:$A$4001,0,-1)),H546))</f>
        <v>9</v>
      </c>
      <c r="J546" cm="1">
        <f t="array" ref="J546">IF(OR(AND(I546=9,J$1&gt;YEAR($N546))),9,_xlfn.IFNA(INDEX($D$2:$D$4001,_xlfn.XMATCH(J$1&amp;"-"&amp;$F546,YEAR($B$2:$B$4001)&amp;"-"&amp;$A$2:$A$4001,0,-1)),I546))</f>
        <v>3</v>
      </c>
      <c r="K546" cm="1">
        <f t="array" ref="K546">IF(OR(AND(J546=9,K$1&gt;YEAR($N546))),9,_xlfn.IFNA(INDEX($D$2:$D$4001,_xlfn.XMATCH(K$1&amp;"-"&amp;$F546,YEAR($B$2:$B$4001)&amp;"-"&amp;$A$2:$A$4001,0,-1)),J546))</f>
        <v>3</v>
      </c>
      <c r="L546" cm="1">
        <f t="array" ref="L546">IF(OR(AND(K546=9,L$1&gt;YEAR($N546))),9,_xlfn.IFNA(INDEX($D$2:$D$4001,_xlfn.XMATCH(L$1&amp;"-"&amp;$F546,YEAR($B$2:$B$4001)&amp;"-"&amp;$A$2:$A$4001,0,-1)),K546))</f>
        <v>3</v>
      </c>
      <c r="M546" cm="1">
        <f t="array" ref="M546">IF(OR(AND(L546=9,M$1&gt;YEAR($N546))),9,_xlfn.IFNA(INDEX($D$2:$D$4001,_xlfn.XMATCH(M$1&amp;"-"&amp;$F546,YEAR($B$2:$B$4001)&amp;"-"&amp;$A$2:$A$4001,0,-1)),L546))</f>
        <v>3</v>
      </c>
      <c r="N546" s="1">
        <f t="shared" si="8"/>
        <v>37590</v>
      </c>
    </row>
    <row r="547" spans="1:14" x14ac:dyDescent="0.35">
      <c r="A547">
        <v>271</v>
      </c>
      <c r="B547" s="2">
        <v>36890</v>
      </c>
      <c r="C547">
        <v>3</v>
      </c>
      <c r="D547">
        <v>3</v>
      </c>
      <c r="F547">
        <v>546</v>
      </c>
      <c r="G547" cm="1">
        <f t="array" ref="G547">_xlfn.IFNA(INDEX($D$2:$D$4001,_xlfn.XMATCH(G$1&amp;"-"&amp;$F547,YEAR($B$2:$B$4001)&amp;"-"&amp;$A$2:$A$4001,0,-1)),9)</f>
        <v>9</v>
      </c>
      <c r="H547" cm="1">
        <f t="array" ref="H547">IF(OR(AND(G547=9,H$1&gt;YEAR($N547))),9,_xlfn.IFNA(INDEX($D$2:$D$4001,_xlfn.XMATCH(H$1&amp;"-"&amp;$F547,YEAR($B$2:$B$4001)&amp;"-"&amp;$A$2:$A$4001,0,-1)),G547))</f>
        <v>9</v>
      </c>
      <c r="I547" cm="1">
        <f t="array" ref="I547">IF(OR(AND(H547=9,I$1&gt;YEAR($N547))),9,_xlfn.IFNA(INDEX($D$2:$D$4001,_xlfn.XMATCH(I$1&amp;"-"&amp;$F547,YEAR($B$2:$B$4001)&amp;"-"&amp;$A$2:$A$4001,0,-1)),H547))</f>
        <v>4</v>
      </c>
      <c r="J547" cm="1">
        <f t="array" ref="J547">IF(OR(AND(I547=9,J$1&gt;YEAR($N547))),9,_xlfn.IFNA(INDEX($D$2:$D$4001,_xlfn.XMATCH(J$1&amp;"-"&amp;$F547,YEAR($B$2:$B$4001)&amp;"-"&amp;$A$2:$A$4001,0,-1)),I547))</f>
        <v>4</v>
      </c>
      <c r="K547" cm="1">
        <f t="array" ref="K547">IF(OR(AND(J547=9,K$1&gt;YEAR($N547))),9,_xlfn.IFNA(INDEX($D$2:$D$4001,_xlfn.XMATCH(K$1&amp;"-"&amp;$F547,YEAR($B$2:$B$4001)&amp;"-"&amp;$A$2:$A$4001,0,-1)),J547))</f>
        <v>4</v>
      </c>
      <c r="L547" cm="1">
        <f t="array" ref="L547">IF(OR(AND(K547=9,L$1&gt;YEAR($N547))),9,_xlfn.IFNA(INDEX($D$2:$D$4001,_xlfn.XMATCH(L$1&amp;"-"&amp;$F547,YEAR($B$2:$B$4001)&amp;"-"&amp;$A$2:$A$4001,0,-1)),K547))</f>
        <v>4</v>
      </c>
      <c r="M547" cm="1">
        <f t="array" ref="M547">IF(OR(AND(L547=9,M$1&gt;YEAR($N547))),9,_xlfn.IFNA(INDEX($D$2:$D$4001,_xlfn.XMATCH(M$1&amp;"-"&amp;$F547,YEAR($B$2:$B$4001)&amp;"-"&amp;$A$2:$A$4001,0,-1)),L547))</f>
        <v>4</v>
      </c>
      <c r="N547" s="1">
        <f t="shared" si="8"/>
        <v>37102</v>
      </c>
    </row>
    <row r="548" spans="1:14" x14ac:dyDescent="0.35">
      <c r="A548">
        <v>271</v>
      </c>
      <c r="B548" s="2">
        <v>37102</v>
      </c>
      <c r="C548">
        <v>2</v>
      </c>
      <c r="D548">
        <v>2</v>
      </c>
      <c r="F548">
        <v>547</v>
      </c>
      <c r="G548" cm="1">
        <f t="array" ref="G548">_xlfn.IFNA(INDEX($D$2:$D$4001,_xlfn.XMATCH(G$1&amp;"-"&amp;$F548,YEAR($B$2:$B$4001)&amp;"-"&amp;$A$2:$A$4001,0,-1)),9)</f>
        <v>9</v>
      </c>
      <c r="H548" cm="1">
        <f t="array" ref="H548">IF(OR(AND(G548=9,H$1&gt;YEAR($N548))),9,_xlfn.IFNA(INDEX($D$2:$D$4001,_xlfn.XMATCH(H$1&amp;"-"&amp;$F548,YEAR($B$2:$B$4001)&amp;"-"&amp;$A$2:$A$4001,0,-1)),G548))</f>
        <v>9</v>
      </c>
      <c r="I548" cm="1">
        <f t="array" ref="I548">IF(OR(AND(H548=9,I$1&gt;YEAR($N548))),9,_xlfn.IFNA(INDEX($D$2:$D$4001,_xlfn.XMATCH(I$1&amp;"-"&amp;$F548,YEAR($B$2:$B$4001)&amp;"-"&amp;$A$2:$A$4001,0,-1)),H548))</f>
        <v>6</v>
      </c>
      <c r="J548" cm="1">
        <f t="array" ref="J548">IF(OR(AND(I548=9,J$1&gt;YEAR($N548))),9,_xlfn.IFNA(INDEX($D$2:$D$4001,_xlfn.XMATCH(J$1&amp;"-"&amp;$F548,YEAR($B$2:$B$4001)&amp;"-"&amp;$A$2:$A$4001,0,-1)),I548))</f>
        <v>6</v>
      </c>
      <c r="K548" cm="1">
        <f t="array" ref="K548">IF(OR(AND(J548=9,K$1&gt;YEAR($N548))),9,_xlfn.IFNA(INDEX($D$2:$D$4001,_xlfn.XMATCH(K$1&amp;"-"&amp;$F548,YEAR($B$2:$B$4001)&amp;"-"&amp;$A$2:$A$4001,0,-1)),J548))</f>
        <v>8</v>
      </c>
      <c r="L548" cm="1">
        <f t="array" ref="L548">IF(OR(AND(K548=9,L$1&gt;YEAR($N548))),9,_xlfn.IFNA(INDEX($D$2:$D$4001,_xlfn.XMATCH(L$1&amp;"-"&amp;$F548,YEAR($B$2:$B$4001)&amp;"-"&amp;$A$2:$A$4001,0,-1)),K548))</f>
        <v>8</v>
      </c>
      <c r="M548" cm="1">
        <f t="array" ref="M548">IF(OR(AND(L548=9,M$1&gt;YEAR($N548))),9,_xlfn.IFNA(INDEX($D$2:$D$4001,_xlfn.XMATCH(M$1&amp;"-"&amp;$F548,YEAR($B$2:$B$4001)&amp;"-"&amp;$A$2:$A$4001,0,-1)),L548))</f>
        <v>8</v>
      </c>
      <c r="N548" s="1">
        <f t="shared" si="8"/>
        <v>37041</v>
      </c>
    </row>
    <row r="549" spans="1:14" x14ac:dyDescent="0.35">
      <c r="A549">
        <v>272</v>
      </c>
      <c r="B549" s="2">
        <v>37032</v>
      </c>
      <c r="C549">
        <v>3</v>
      </c>
      <c r="D549">
        <v>3</v>
      </c>
      <c r="F549">
        <v>548</v>
      </c>
      <c r="G549" cm="1">
        <f t="array" ref="G549">_xlfn.IFNA(INDEX($D$2:$D$4001,_xlfn.XMATCH(G$1&amp;"-"&amp;$F549,YEAR($B$2:$B$4001)&amp;"-"&amp;$A$2:$A$4001,0,-1)),9)</f>
        <v>9</v>
      </c>
      <c r="H549" cm="1">
        <f t="array" ref="H549">IF(OR(AND(G549=9,H$1&gt;YEAR($N549))),9,_xlfn.IFNA(INDEX($D$2:$D$4001,_xlfn.XMATCH(H$1&amp;"-"&amp;$F549,YEAR($B$2:$B$4001)&amp;"-"&amp;$A$2:$A$4001,0,-1)),G549))</f>
        <v>3</v>
      </c>
      <c r="I549" cm="1">
        <f t="array" ref="I549">IF(OR(AND(H549=9,I$1&gt;YEAR($N549))),9,_xlfn.IFNA(INDEX($D$2:$D$4001,_xlfn.XMATCH(I$1&amp;"-"&amp;$F549,YEAR($B$2:$B$4001)&amp;"-"&amp;$A$2:$A$4001,0,-1)),H549))</f>
        <v>3</v>
      </c>
      <c r="J549" cm="1">
        <f t="array" ref="J549">IF(OR(AND(I549=9,J$1&gt;YEAR($N549))),9,_xlfn.IFNA(INDEX($D$2:$D$4001,_xlfn.XMATCH(J$1&amp;"-"&amp;$F549,YEAR($B$2:$B$4001)&amp;"-"&amp;$A$2:$A$4001,0,-1)),I549))</f>
        <v>3</v>
      </c>
      <c r="K549" cm="1">
        <f t="array" ref="K549">IF(OR(AND(J549=9,K$1&gt;YEAR($N549))),9,_xlfn.IFNA(INDEX($D$2:$D$4001,_xlfn.XMATCH(K$1&amp;"-"&amp;$F549,YEAR($B$2:$B$4001)&amp;"-"&amp;$A$2:$A$4001,0,-1)),J549))</f>
        <v>3</v>
      </c>
      <c r="L549" cm="1">
        <f t="array" ref="L549">IF(OR(AND(K549=9,L$1&gt;YEAR($N549))),9,_xlfn.IFNA(INDEX($D$2:$D$4001,_xlfn.XMATCH(L$1&amp;"-"&amp;$F549,YEAR($B$2:$B$4001)&amp;"-"&amp;$A$2:$A$4001,0,-1)),K549))</f>
        <v>3</v>
      </c>
      <c r="M549" cm="1">
        <f t="array" ref="M549">IF(OR(AND(L549=9,M$1&gt;YEAR($N549))),9,_xlfn.IFNA(INDEX($D$2:$D$4001,_xlfn.XMATCH(M$1&amp;"-"&amp;$F549,YEAR($B$2:$B$4001)&amp;"-"&amp;$A$2:$A$4001,0,-1)),L549))</f>
        <v>3</v>
      </c>
      <c r="N549" s="1">
        <f t="shared" si="8"/>
        <v>36890</v>
      </c>
    </row>
    <row r="550" spans="1:14" x14ac:dyDescent="0.35">
      <c r="A550">
        <v>272</v>
      </c>
      <c r="B550" s="2">
        <v>37397</v>
      </c>
      <c r="C550">
        <v>4</v>
      </c>
      <c r="D550">
        <v>4</v>
      </c>
      <c r="F550">
        <v>549</v>
      </c>
      <c r="G550" cm="1">
        <f t="array" ref="G550">_xlfn.IFNA(INDEX($D$2:$D$4001,_xlfn.XMATCH(G$1&amp;"-"&amp;$F550,YEAR($B$2:$B$4001)&amp;"-"&amp;$A$2:$A$4001,0,-1)),9)</f>
        <v>9</v>
      </c>
      <c r="H550" cm="1">
        <f t="array" ref="H550">IF(OR(AND(G550=9,H$1&gt;YEAR($N550))),9,_xlfn.IFNA(INDEX($D$2:$D$4001,_xlfn.XMATCH(H$1&amp;"-"&amp;$F550,YEAR($B$2:$B$4001)&amp;"-"&amp;$A$2:$A$4001,0,-1)),G550))</f>
        <v>9</v>
      </c>
      <c r="I550" cm="1">
        <f t="array" ref="I550">IF(OR(AND(H550=9,I$1&gt;YEAR($N550))),9,_xlfn.IFNA(INDEX($D$2:$D$4001,_xlfn.XMATCH(I$1&amp;"-"&amp;$F550,YEAR($B$2:$B$4001)&amp;"-"&amp;$A$2:$A$4001,0,-1)),H550))</f>
        <v>9</v>
      </c>
      <c r="J550" cm="1">
        <f t="array" ref="J550">IF(OR(AND(I550=9,J$1&gt;YEAR($N550))),9,_xlfn.IFNA(INDEX($D$2:$D$4001,_xlfn.XMATCH(J$1&amp;"-"&amp;$F550,YEAR($B$2:$B$4001)&amp;"-"&amp;$A$2:$A$4001,0,-1)),I550))</f>
        <v>9</v>
      </c>
      <c r="K550" cm="1">
        <f t="array" ref="K550">IF(OR(AND(J550=9,K$1&gt;YEAR($N550))),9,_xlfn.IFNA(INDEX($D$2:$D$4001,_xlfn.XMATCH(K$1&amp;"-"&amp;$F550,YEAR($B$2:$B$4001)&amp;"-"&amp;$A$2:$A$4001,0,-1)),J550))</f>
        <v>3</v>
      </c>
      <c r="L550" cm="1">
        <f t="array" ref="L550">IF(OR(AND(K550=9,L$1&gt;YEAR($N550))),9,_xlfn.IFNA(INDEX($D$2:$D$4001,_xlfn.XMATCH(L$1&amp;"-"&amp;$F550,YEAR($B$2:$B$4001)&amp;"-"&amp;$A$2:$A$4001,0,-1)),K550))</f>
        <v>3</v>
      </c>
      <c r="M550" cm="1">
        <f t="array" ref="M550">IF(OR(AND(L550=9,M$1&gt;YEAR($N550))),9,_xlfn.IFNA(INDEX($D$2:$D$4001,_xlfn.XMATCH(M$1&amp;"-"&amp;$F550,YEAR($B$2:$B$4001)&amp;"-"&amp;$A$2:$A$4001,0,-1)),L550))</f>
        <v>3</v>
      </c>
      <c r="N550" s="1">
        <f t="shared" si="8"/>
        <v>37955</v>
      </c>
    </row>
    <row r="551" spans="1:14" x14ac:dyDescent="0.35">
      <c r="A551">
        <v>273</v>
      </c>
      <c r="B551" s="2">
        <v>37041</v>
      </c>
      <c r="C551">
        <v>4</v>
      </c>
      <c r="D551">
        <v>4</v>
      </c>
      <c r="F551">
        <v>550</v>
      </c>
      <c r="G551" cm="1">
        <f t="array" ref="G551">_xlfn.IFNA(INDEX($D$2:$D$4001,_xlfn.XMATCH(G$1&amp;"-"&amp;$F551,YEAR($B$2:$B$4001)&amp;"-"&amp;$A$2:$A$4001,0,-1)),9)</f>
        <v>3</v>
      </c>
      <c r="H551" cm="1">
        <f t="array" ref="H551">IF(OR(AND(G551=9,H$1&gt;YEAR($N551))),9,_xlfn.IFNA(INDEX($D$2:$D$4001,_xlfn.XMATCH(H$1&amp;"-"&amp;$F551,YEAR($B$2:$B$4001)&amp;"-"&amp;$A$2:$A$4001,0,-1)),G551))</f>
        <v>3</v>
      </c>
      <c r="I551" cm="1">
        <f t="array" ref="I551">IF(OR(AND(H551=9,I$1&gt;YEAR($N551))),9,_xlfn.IFNA(INDEX($D$2:$D$4001,_xlfn.XMATCH(I$1&amp;"-"&amp;$F551,YEAR($B$2:$B$4001)&amp;"-"&amp;$A$2:$A$4001,0,-1)),H551))</f>
        <v>3</v>
      </c>
      <c r="J551" cm="1">
        <f t="array" ref="J551">IF(OR(AND(I551=9,J$1&gt;YEAR($N551))),9,_xlfn.IFNA(INDEX($D$2:$D$4001,_xlfn.XMATCH(J$1&amp;"-"&amp;$F551,YEAR($B$2:$B$4001)&amp;"-"&amp;$A$2:$A$4001,0,-1)),I551))</f>
        <v>0</v>
      </c>
      <c r="K551" cm="1">
        <f t="array" ref="K551">IF(OR(AND(J551=9,K$1&gt;YEAR($N551))),9,_xlfn.IFNA(INDEX($D$2:$D$4001,_xlfn.XMATCH(K$1&amp;"-"&amp;$F551,YEAR($B$2:$B$4001)&amp;"-"&amp;$A$2:$A$4001,0,-1)),J551))</f>
        <v>0</v>
      </c>
      <c r="L551" cm="1">
        <f t="array" ref="L551">IF(OR(AND(K551=9,L$1&gt;YEAR($N551))),9,_xlfn.IFNA(INDEX($D$2:$D$4001,_xlfn.XMATCH(L$1&amp;"-"&amp;$F551,YEAR($B$2:$B$4001)&amp;"-"&amp;$A$2:$A$4001,0,-1)),K551))</f>
        <v>0</v>
      </c>
      <c r="M551" cm="1">
        <f t="array" ref="M551">IF(OR(AND(L551=9,M$1&gt;YEAR($N551))),9,_xlfn.IFNA(INDEX($D$2:$D$4001,_xlfn.XMATCH(M$1&amp;"-"&amp;$F551,YEAR($B$2:$B$4001)&amp;"-"&amp;$A$2:$A$4001,0,-1)),L551))</f>
        <v>0</v>
      </c>
      <c r="N551" s="1">
        <f t="shared" si="8"/>
        <v>36310</v>
      </c>
    </row>
    <row r="552" spans="1:14" x14ac:dyDescent="0.35">
      <c r="A552">
        <v>273</v>
      </c>
      <c r="B552" s="2">
        <v>37762</v>
      </c>
      <c r="C552">
        <v>5</v>
      </c>
      <c r="D552">
        <v>5</v>
      </c>
      <c r="F552">
        <v>551</v>
      </c>
      <c r="G552" cm="1">
        <f t="array" ref="G552">_xlfn.IFNA(INDEX($D$2:$D$4001,_xlfn.XMATCH(G$1&amp;"-"&amp;$F552,YEAR($B$2:$B$4001)&amp;"-"&amp;$A$2:$A$4001,0,-1)),9)</f>
        <v>9</v>
      </c>
      <c r="H552" cm="1">
        <f t="array" ref="H552">IF(OR(AND(G552=9,H$1&gt;YEAR($N552))),9,_xlfn.IFNA(INDEX($D$2:$D$4001,_xlfn.XMATCH(H$1&amp;"-"&amp;$F552,YEAR($B$2:$B$4001)&amp;"-"&amp;$A$2:$A$4001,0,-1)),G552))</f>
        <v>0</v>
      </c>
      <c r="I552" cm="1">
        <f t="array" ref="I552">IF(OR(AND(H552=9,I$1&gt;YEAR($N552))),9,_xlfn.IFNA(INDEX($D$2:$D$4001,_xlfn.XMATCH(I$1&amp;"-"&amp;$F552,YEAR($B$2:$B$4001)&amp;"-"&amp;$A$2:$A$4001,0,-1)),H552))</f>
        <v>0</v>
      </c>
      <c r="J552" cm="1">
        <f t="array" ref="J552">IF(OR(AND(I552=9,J$1&gt;YEAR($N552))),9,_xlfn.IFNA(INDEX($D$2:$D$4001,_xlfn.XMATCH(J$1&amp;"-"&amp;$F552,YEAR($B$2:$B$4001)&amp;"-"&amp;$A$2:$A$4001,0,-1)),I552))</f>
        <v>3</v>
      </c>
      <c r="K552" cm="1">
        <f t="array" ref="K552">IF(OR(AND(J552=9,K$1&gt;YEAR($N552))),9,_xlfn.IFNA(INDEX($D$2:$D$4001,_xlfn.XMATCH(K$1&amp;"-"&amp;$F552,YEAR($B$2:$B$4001)&amp;"-"&amp;$A$2:$A$4001,0,-1)),J552))</f>
        <v>2</v>
      </c>
      <c r="L552" cm="1">
        <f t="array" ref="L552">IF(OR(AND(K552=9,L$1&gt;YEAR($N552))),9,_xlfn.IFNA(INDEX($D$2:$D$4001,_xlfn.XMATCH(L$1&amp;"-"&amp;$F552,YEAR($B$2:$B$4001)&amp;"-"&amp;$A$2:$A$4001,0,-1)),K552))</f>
        <v>2</v>
      </c>
      <c r="M552" cm="1">
        <f t="array" ref="M552">IF(OR(AND(L552=9,M$1&gt;YEAR($N552))),9,_xlfn.IFNA(INDEX($D$2:$D$4001,_xlfn.XMATCH(M$1&amp;"-"&amp;$F552,YEAR($B$2:$B$4001)&amp;"-"&amp;$A$2:$A$4001,0,-1)),L552))</f>
        <v>2</v>
      </c>
      <c r="N552" s="1">
        <f t="shared" si="8"/>
        <v>36728</v>
      </c>
    </row>
    <row r="553" spans="1:14" x14ac:dyDescent="0.35">
      <c r="A553">
        <v>273</v>
      </c>
      <c r="B553" s="2">
        <v>37771</v>
      </c>
      <c r="C553">
        <v>4</v>
      </c>
      <c r="D553">
        <v>4</v>
      </c>
      <c r="F553">
        <v>552</v>
      </c>
      <c r="G553" cm="1">
        <f t="array" ref="G553">_xlfn.IFNA(INDEX($D$2:$D$4001,_xlfn.XMATCH(G$1&amp;"-"&amp;$F553,YEAR($B$2:$B$4001)&amp;"-"&amp;$A$2:$A$4001,0,-1)),9)</f>
        <v>9</v>
      </c>
      <c r="H553" cm="1">
        <f t="array" ref="H553">IF(OR(AND(G553=9,H$1&gt;YEAR($N553))),9,_xlfn.IFNA(INDEX($D$2:$D$4001,_xlfn.XMATCH(H$1&amp;"-"&amp;$F553,YEAR($B$2:$B$4001)&amp;"-"&amp;$A$2:$A$4001,0,-1)),G553))</f>
        <v>9</v>
      </c>
      <c r="I553" cm="1">
        <f t="array" ref="I553">IF(OR(AND(H553=9,I$1&gt;YEAR($N553))),9,_xlfn.IFNA(INDEX($D$2:$D$4001,_xlfn.XMATCH(I$1&amp;"-"&amp;$F553,YEAR($B$2:$B$4001)&amp;"-"&amp;$A$2:$A$4001,0,-1)),H553))</f>
        <v>9</v>
      </c>
      <c r="J553" cm="1">
        <f t="array" ref="J553">IF(OR(AND(I553=9,J$1&gt;YEAR($N553))),9,_xlfn.IFNA(INDEX($D$2:$D$4001,_xlfn.XMATCH(J$1&amp;"-"&amp;$F553,YEAR($B$2:$B$4001)&amp;"-"&amp;$A$2:$A$4001,0,-1)),I553))</f>
        <v>3</v>
      </c>
      <c r="K553" cm="1">
        <f t="array" ref="K553">IF(OR(AND(J553=9,K$1&gt;YEAR($N553))),9,_xlfn.IFNA(INDEX($D$2:$D$4001,_xlfn.XMATCH(K$1&amp;"-"&amp;$F553,YEAR($B$2:$B$4001)&amp;"-"&amp;$A$2:$A$4001,0,-1)),J553))</f>
        <v>3</v>
      </c>
      <c r="L553" cm="1">
        <f t="array" ref="L553">IF(OR(AND(K553=9,L$1&gt;YEAR($N553))),9,_xlfn.IFNA(INDEX($D$2:$D$4001,_xlfn.XMATCH(L$1&amp;"-"&amp;$F553,YEAR($B$2:$B$4001)&amp;"-"&amp;$A$2:$A$4001,0,-1)),K553))</f>
        <v>3</v>
      </c>
      <c r="M553" cm="1">
        <f t="array" ref="M553">IF(OR(AND(L553=9,M$1&gt;YEAR($N553))),9,_xlfn.IFNA(INDEX($D$2:$D$4001,_xlfn.XMATCH(M$1&amp;"-"&amp;$F553,YEAR($B$2:$B$4001)&amp;"-"&amp;$A$2:$A$4001,0,-1)),L553))</f>
        <v>3</v>
      </c>
      <c r="N553" s="1">
        <f t="shared" si="8"/>
        <v>37406</v>
      </c>
    </row>
    <row r="554" spans="1:14" x14ac:dyDescent="0.35">
      <c r="A554">
        <v>273</v>
      </c>
      <c r="B554" s="2">
        <v>38128</v>
      </c>
      <c r="C554">
        <v>5</v>
      </c>
      <c r="D554">
        <v>5</v>
      </c>
      <c r="F554">
        <v>553</v>
      </c>
      <c r="G554" cm="1">
        <f t="array" ref="G554">_xlfn.IFNA(INDEX($D$2:$D$4001,_xlfn.XMATCH(G$1&amp;"-"&amp;$F554,YEAR($B$2:$B$4001)&amp;"-"&amp;$A$2:$A$4001,0,-1)),9)</f>
        <v>9</v>
      </c>
      <c r="H554" cm="1">
        <f t="array" ref="H554">IF(OR(AND(G554=9,H$1&gt;YEAR($N554))),9,_xlfn.IFNA(INDEX($D$2:$D$4001,_xlfn.XMATCH(H$1&amp;"-"&amp;$F554,YEAR($B$2:$B$4001)&amp;"-"&amp;$A$2:$A$4001,0,-1)),G554))</f>
        <v>6</v>
      </c>
      <c r="I554" cm="1">
        <f t="array" ref="I554">IF(OR(AND(H554=9,I$1&gt;YEAR($N554))),9,_xlfn.IFNA(INDEX($D$2:$D$4001,_xlfn.XMATCH(I$1&amp;"-"&amp;$F554,YEAR($B$2:$B$4001)&amp;"-"&amp;$A$2:$A$4001,0,-1)),H554))</f>
        <v>6</v>
      </c>
      <c r="J554" cm="1">
        <f t="array" ref="J554">IF(OR(AND(I554=9,J$1&gt;YEAR($N554))),9,_xlfn.IFNA(INDEX($D$2:$D$4001,_xlfn.XMATCH(J$1&amp;"-"&amp;$F554,YEAR($B$2:$B$4001)&amp;"-"&amp;$A$2:$A$4001,0,-1)),I554))</f>
        <v>8</v>
      </c>
      <c r="K554" cm="1">
        <f t="array" ref="K554">IF(OR(AND(J554=9,K$1&gt;YEAR($N554))),9,_xlfn.IFNA(INDEX($D$2:$D$4001,_xlfn.XMATCH(K$1&amp;"-"&amp;$F554,YEAR($B$2:$B$4001)&amp;"-"&amp;$A$2:$A$4001,0,-1)),J554))</f>
        <v>8</v>
      </c>
      <c r="L554" cm="1">
        <f t="array" ref="L554">IF(OR(AND(K554=9,L$1&gt;YEAR($N554))),9,_xlfn.IFNA(INDEX($D$2:$D$4001,_xlfn.XMATCH(L$1&amp;"-"&amp;$F554,YEAR($B$2:$B$4001)&amp;"-"&amp;$A$2:$A$4001,0,-1)),K554))</f>
        <v>8</v>
      </c>
      <c r="M554" cm="1">
        <f t="array" ref="M554">IF(OR(AND(L554=9,M$1&gt;YEAR($N554))),9,_xlfn.IFNA(INDEX($D$2:$D$4001,_xlfn.XMATCH(M$1&amp;"-"&amp;$F554,YEAR($B$2:$B$4001)&amp;"-"&amp;$A$2:$A$4001,0,-1)),L554))</f>
        <v>8</v>
      </c>
      <c r="N554" s="1">
        <f t="shared" si="8"/>
        <v>36667</v>
      </c>
    </row>
    <row r="555" spans="1:14" x14ac:dyDescent="0.35">
      <c r="A555">
        <v>274</v>
      </c>
      <c r="B555" s="2">
        <v>37164</v>
      </c>
      <c r="C555">
        <v>3</v>
      </c>
      <c r="D555">
        <v>3</v>
      </c>
      <c r="F555">
        <v>554</v>
      </c>
      <c r="G555" cm="1">
        <f t="array" ref="G555">_xlfn.IFNA(INDEX($D$2:$D$4001,_xlfn.XMATCH(G$1&amp;"-"&amp;$F555,YEAR($B$2:$B$4001)&amp;"-"&amp;$A$2:$A$4001,0,-1)),9)</f>
        <v>9</v>
      </c>
      <c r="H555" cm="1">
        <f t="array" ref="H555">IF(OR(AND(G555=9,H$1&gt;YEAR($N555))),9,_xlfn.IFNA(INDEX($D$2:$D$4001,_xlfn.XMATCH(H$1&amp;"-"&amp;$F555,YEAR($B$2:$B$4001)&amp;"-"&amp;$A$2:$A$4001,0,-1)),G555))</f>
        <v>4</v>
      </c>
      <c r="I555" cm="1">
        <f t="array" ref="I555">IF(OR(AND(H555=9,I$1&gt;YEAR($N555))),9,_xlfn.IFNA(INDEX($D$2:$D$4001,_xlfn.XMATCH(I$1&amp;"-"&amp;$F555,YEAR($B$2:$B$4001)&amp;"-"&amp;$A$2:$A$4001,0,-1)),H555))</f>
        <v>4</v>
      </c>
      <c r="J555" cm="1">
        <f t="array" ref="J555">IF(OR(AND(I555=9,J$1&gt;YEAR($N555))),9,_xlfn.IFNA(INDEX($D$2:$D$4001,_xlfn.XMATCH(J$1&amp;"-"&amp;$F555,YEAR($B$2:$B$4001)&amp;"-"&amp;$A$2:$A$4001,0,-1)),I555))</f>
        <v>4</v>
      </c>
      <c r="K555" cm="1">
        <f t="array" ref="K555">IF(OR(AND(J555=9,K$1&gt;YEAR($N555))),9,_xlfn.IFNA(INDEX($D$2:$D$4001,_xlfn.XMATCH(K$1&amp;"-"&amp;$F555,YEAR($B$2:$B$4001)&amp;"-"&amp;$A$2:$A$4001,0,-1)),J555))</f>
        <v>4</v>
      </c>
      <c r="L555" cm="1">
        <f t="array" ref="L555">IF(OR(AND(K555=9,L$1&gt;YEAR($N555))),9,_xlfn.IFNA(INDEX($D$2:$D$4001,_xlfn.XMATCH(L$1&amp;"-"&amp;$F555,YEAR($B$2:$B$4001)&amp;"-"&amp;$A$2:$A$4001,0,-1)),K555))</f>
        <v>4</v>
      </c>
      <c r="M555" cm="1">
        <f t="array" ref="M555">IF(OR(AND(L555=9,M$1&gt;YEAR($N555))),9,_xlfn.IFNA(INDEX($D$2:$D$4001,_xlfn.XMATCH(M$1&amp;"-"&amp;$F555,YEAR($B$2:$B$4001)&amp;"-"&amp;$A$2:$A$4001,0,-1)),L555))</f>
        <v>4</v>
      </c>
      <c r="N555" s="1">
        <f t="shared" si="8"/>
        <v>36728</v>
      </c>
    </row>
    <row r="556" spans="1:14" x14ac:dyDescent="0.35">
      <c r="A556">
        <v>275</v>
      </c>
      <c r="B556" s="2">
        <v>36341</v>
      </c>
      <c r="C556">
        <v>2</v>
      </c>
      <c r="D556">
        <v>2</v>
      </c>
      <c r="F556">
        <v>555</v>
      </c>
      <c r="G556" cm="1">
        <f t="array" ref="G556">_xlfn.IFNA(INDEX($D$2:$D$4001,_xlfn.XMATCH(G$1&amp;"-"&amp;$F556,YEAR($B$2:$B$4001)&amp;"-"&amp;$A$2:$A$4001,0,-1)),9)</f>
        <v>9</v>
      </c>
      <c r="H556" cm="1">
        <f t="array" ref="H556">IF(OR(AND(G556=9,H$1&gt;YEAR($N556))),9,_xlfn.IFNA(INDEX($D$2:$D$4001,_xlfn.XMATCH(H$1&amp;"-"&amp;$F556,YEAR($B$2:$B$4001)&amp;"-"&amp;$A$2:$A$4001,0,-1)),G556))</f>
        <v>9</v>
      </c>
      <c r="I556" cm="1">
        <f t="array" ref="I556">IF(OR(AND(H556=9,I$1&gt;YEAR($N556))),9,_xlfn.IFNA(INDEX($D$2:$D$4001,_xlfn.XMATCH(I$1&amp;"-"&amp;$F556,YEAR($B$2:$B$4001)&amp;"-"&amp;$A$2:$A$4001,0,-1)),H556))</f>
        <v>6</v>
      </c>
      <c r="J556" cm="1">
        <f t="array" ref="J556">IF(OR(AND(I556=9,J$1&gt;YEAR($N556))),9,_xlfn.IFNA(INDEX($D$2:$D$4001,_xlfn.XMATCH(J$1&amp;"-"&amp;$F556,YEAR($B$2:$B$4001)&amp;"-"&amp;$A$2:$A$4001,0,-1)),I556))</f>
        <v>6</v>
      </c>
      <c r="K556" cm="1">
        <f t="array" ref="K556">IF(OR(AND(J556=9,K$1&gt;YEAR($N556))),9,_xlfn.IFNA(INDEX($D$2:$D$4001,_xlfn.XMATCH(K$1&amp;"-"&amp;$F556,YEAR($B$2:$B$4001)&amp;"-"&amp;$A$2:$A$4001,0,-1)),J556))</f>
        <v>7</v>
      </c>
      <c r="L556" cm="1">
        <f t="array" ref="L556">IF(OR(AND(K556=9,L$1&gt;YEAR($N556))),9,_xlfn.IFNA(INDEX($D$2:$D$4001,_xlfn.XMATCH(L$1&amp;"-"&amp;$F556,YEAR($B$2:$B$4001)&amp;"-"&amp;$A$2:$A$4001,0,-1)),K556))</f>
        <v>7</v>
      </c>
      <c r="M556" cm="1">
        <f t="array" ref="M556">IF(OR(AND(L556=9,M$1&gt;YEAR($N556))),9,_xlfn.IFNA(INDEX($D$2:$D$4001,_xlfn.XMATCH(M$1&amp;"-"&amp;$F556,YEAR($B$2:$B$4001)&amp;"-"&amp;$A$2:$A$4001,0,-1)),L556))</f>
        <v>7</v>
      </c>
      <c r="N556" s="1">
        <f t="shared" si="8"/>
        <v>37032</v>
      </c>
    </row>
    <row r="557" spans="1:14" x14ac:dyDescent="0.35">
      <c r="A557">
        <v>276</v>
      </c>
      <c r="B557" s="2">
        <v>36310</v>
      </c>
      <c r="C557">
        <v>2</v>
      </c>
      <c r="D557">
        <v>2</v>
      </c>
      <c r="F557">
        <v>556</v>
      </c>
      <c r="G557" cm="1">
        <f t="array" ref="G557">_xlfn.IFNA(INDEX($D$2:$D$4001,_xlfn.XMATCH(G$1&amp;"-"&amp;$F557,YEAR($B$2:$B$4001)&amp;"-"&amp;$A$2:$A$4001,0,-1)),9)</f>
        <v>9</v>
      </c>
      <c r="H557" cm="1">
        <f t="array" ref="H557">IF(OR(AND(G557=9,H$1&gt;YEAR($N557))),9,_xlfn.IFNA(INDEX($D$2:$D$4001,_xlfn.XMATCH(H$1&amp;"-"&amp;$F557,YEAR($B$2:$B$4001)&amp;"-"&amp;$A$2:$A$4001,0,-1)),G557))</f>
        <v>9</v>
      </c>
      <c r="I557" cm="1">
        <f t="array" ref="I557">IF(OR(AND(H557=9,I$1&gt;YEAR($N557))),9,_xlfn.IFNA(INDEX($D$2:$D$4001,_xlfn.XMATCH(I$1&amp;"-"&amp;$F557,YEAR($B$2:$B$4001)&amp;"-"&amp;$A$2:$A$4001,0,-1)),H557))</f>
        <v>5</v>
      </c>
      <c r="J557" cm="1">
        <f t="array" ref="J557">IF(OR(AND(I557=9,J$1&gt;YEAR($N557))),9,_xlfn.IFNA(INDEX($D$2:$D$4001,_xlfn.XMATCH(J$1&amp;"-"&amp;$F557,YEAR($B$2:$B$4001)&amp;"-"&amp;$A$2:$A$4001,0,-1)),I557))</f>
        <v>5</v>
      </c>
      <c r="K557" cm="1">
        <f t="array" ref="K557">IF(OR(AND(J557=9,K$1&gt;YEAR($N557))),9,_xlfn.IFNA(INDEX($D$2:$D$4001,_xlfn.XMATCH(K$1&amp;"-"&amp;$F557,YEAR($B$2:$B$4001)&amp;"-"&amp;$A$2:$A$4001,0,-1)),J557))</f>
        <v>5</v>
      </c>
      <c r="L557" cm="1">
        <f t="array" ref="L557">IF(OR(AND(K557=9,L$1&gt;YEAR($N557))),9,_xlfn.IFNA(INDEX($D$2:$D$4001,_xlfn.XMATCH(L$1&amp;"-"&amp;$F557,YEAR($B$2:$B$4001)&amp;"-"&amp;$A$2:$A$4001,0,-1)),K557))</f>
        <v>5</v>
      </c>
      <c r="M557" cm="1">
        <f t="array" ref="M557">IF(OR(AND(L557=9,M$1&gt;YEAR($N557))),9,_xlfn.IFNA(INDEX($D$2:$D$4001,_xlfn.XMATCH(M$1&amp;"-"&amp;$F557,YEAR($B$2:$B$4001)&amp;"-"&amp;$A$2:$A$4001,0,-1)),L557))</f>
        <v>6</v>
      </c>
      <c r="N557" s="1">
        <f t="shared" si="8"/>
        <v>37255</v>
      </c>
    </row>
    <row r="558" spans="1:14" x14ac:dyDescent="0.35">
      <c r="A558">
        <v>277</v>
      </c>
      <c r="B558" s="2">
        <v>38498</v>
      </c>
      <c r="C558">
        <v>2</v>
      </c>
      <c r="D558">
        <v>2</v>
      </c>
      <c r="F558">
        <v>557</v>
      </c>
      <c r="G558" cm="1">
        <f t="array" ref="G558">_xlfn.IFNA(INDEX($D$2:$D$4001,_xlfn.XMATCH(G$1&amp;"-"&amp;$F558,YEAR($B$2:$B$4001)&amp;"-"&amp;$A$2:$A$4001,0,-1)),9)</f>
        <v>9</v>
      </c>
      <c r="H558" cm="1">
        <f t="array" ref="H558">IF(OR(AND(G558=9,H$1&gt;YEAR($N558))),9,_xlfn.IFNA(INDEX($D$2:$D$4001,_xlfn.XMATCH(H$1&amp;"-"&amp;$F558,YEAR($B$2:$B$4001)&amp;"-"&amp;$A$2:$A$4001,0,-1)),G558))</f>
        <v>9</v>
      </c>
      <c r="I558" cm="1">
        <f t="array" ref="I558">IF(OR(AND(H558=9,I$1&gt;YEAR($N558))),9,_xlfn.IFNA(INDEX($D$2:$D$4001,_xlfn.XMATCH(I$1&amp;"-"&amp;$F558,YEAR($B$2:$B$4001)&amp;"-"&amp;$A$2:$A$4001,0,-1)),H558))</f>
        <v>3</v>
      </c>
      <c r="J558" cm="1">
        <f t="array" ref="J558">IF(OR(AND(I558=9,J$1&gt;YEAR($N558))),9,_xlfn.IFNA(INDEX($D$2:$D$4001,_xlfn.XMATCH(J$1&amp;"-"&amp;$F558,YEAR($B$2:$B$4001)&amp;"-"&amp;$A$2:$A$4001,0,-1)),I558))</f>
        <v>3</v>
      </c>
      <c r="K558" cm="1">
        <f t="array" ref="K558">IF(OR(AND(J558=9,K$1&gt;YEAR($N558))),9,_xlfn.IFNA(INDEX($D$2:$D$4001,_xlfn.XMATCH(K$1&amp;"-"&amp;$F558,YEAR($B$2:$B$4001)&amp;"-"&amp;$A$2:$A$4001,0,-1)),J558))</f>
        <v>3</v>
      </c>
      <c r="L558" cm="1">
        <f t="array" ref="L558">IF(OR(AND(K558=9,L$1&gt;YEAR($N558))),9,_xlfn.IFNA(INDEX($D$2:$D$4001,_xlfn.XMATCH(L$1&amp;"-"&amp;$F558,YEAR($B$2:$B$4001)&amp;"-"&amp;$A$2:$A$4001,0,-1)),K558))</f>
        <v>3</v>
      </c>
      <c r="M558" cm="1">
        <f t="array" ref="M558">IF(OR(AND(L558=9,M$1&gt;YEAR($N558))),9,_xlfn.IFNA(INDEX($D$2:$D$4001,_xlfn.XMATCH(M$1&amp;"-"&amp;$F558,YEAR($B$2:$B$4001)&amp;"-"&amp;$A$2:$A$4001,0,-1)),L558))</f>
        <v>3</v>
      </c>
      <c r="N558" s="1">
        <f t="shared" si="8"/>
        <v>37157</v>
      </c>
    </row>
    <row r="559" spans="1:14" x14ac:dyDescent="0.35">
      <c r="A559">
        <v>278</v>
      </c>
      <c r="B559" s="2">
        <v>36371</v>
      </c>
      <c r="C559">
        <v>0</v>
      </c>
      <c r="D559">
        <v>0</v>
      </c>
      <c r="F559">
        <v>558</v>
      </c>
      <c r="G559" cm="1">
        <f t="array" ref="G559">_xlfn.IFNA(INDEX($D$2:$D$4001,_xlfn.XMATCH(G$1&amp;"-"&amp;$F559,YEAR($B$2:$B$4001)&amp;"-"&amp;$A$2:$A$4001,0,-1)),9)</f>
        <v>6</v>
      </c>
      <c r="H559" cm="1">
        <f t="array" ref="H559">IF(OR(AND(G559=9,H$1&gt;YEAR($N559))),9,_xlfn.IFNA(INDEX($D$2:$D$4001,_xlfn.XMATCH(H$1&amp;"-"&amp;$F559,YEAR($B$2:$B$4001)&amp;"-"&amp;$A$2:$A$4001,0,-1)),G559))</f>
        <v>6</v>
      </c>
      <c r="I559" cm="1">
        <f t="array" ref="I559">IF(OR(AND(H559=9,I$1&gt;YEAR($N559))),9,_xlfn.IFNA(INDEX($D$2:$D$4001,_xlfn.XMATCH(I$1&amp;"-"&amp;$F559,YEAR($B$2:$B$4001)&amp;"-"&amp;$A$2:$A$4001,0,-1)),H559))</f>
        <v>6</v>
      </c>
      <c r="J559" cm="1">
        <f t="array" ref="J559">IF(OR(AND(I559=9,J$1&gt;YEAR($N559))),9,_xlfn.IFNA(INDEX($D$2:$D$4001,_xlfn.XMATCH(J$1&amp;"-"&amp;$F559,YEAR($B$2:$B$4001)&amp;"-"&amp;$A$2:$A$4001,0,-1)),I559))</f>
        <v>6</v>
      </c>
      <c r="K559" cm="1">
        <f t="array" ref="K559">IF(OR(AND(J559=9,K$1&gt;YEAR($N559))),9,_xlfn.IFNA(INDEX($D$2:$D$4001,_xlfn.XMATCH(K$1&amp;"-"&amp;$F559,YEAR($B$2:$B$4001)&amp;"-"&amp;$A$2:$A$4001,0,-1)),J559))</f>
        <v>6</v>
      </c>
      <c r="L559" cm="1">
        <f t="array" ref="L559">IF(OR(AND(K559=9,L$1&gt;YEAR($N559))),9,_xlfn.IFNA(INDEX($D$2:$D$4001,_xlfn.XMATCH(L$1&amp;"-"&amp;$F559,YEAR($B$2:$B$4001)&amp;"-"&amp;$A$2:$A$4001,0,-1)),K559))</f>
        <v>6</v>
      </c>
      <c r="M559" cm="1">
        <f t="array" ref="M559">IF(OR(AND(L559=9,M$1&gt;YEAR($N559))),9,_xlfn.IFNA(INDEX($D$2:$D$4001,_xlfn.XMATCH(M$1&amp;"-"&amp;$F559,YEAR($B$2:$B$4001)&amp;"-"&amp;$A$2:$A$4001,0,-1)),L559))</f>
        <v>6</v>
      </c>
      <c r="N559" s="1">
        <f t="shared" si="8"/>
        <v>36524</v>
      </c>
    </row>
    <row r="560" spans="1:14" x14ac:dyDescent="0.35">
      <c r="A560">
        <v>279</v>
      </c>
      <c r="B560" s="2">
        <v>36768</v>
      </c>
      <c r="C560">
        <v>5</v>
      </c>
      <c r="D560">
        <v>5</v>
      </c>
      <c r="F560">
        <v>559</v>
      </c>
      <c r="G560" cm="1">
        <f t="array" ref="G560">_xlfn.IFNA(INDEX($D$2:$D$4001,_xlfn.XMATCH(G$1&amp;"-"&amp;$F560,YEAR($B$2:$B$4001)&amp;"-"&amp;$A$2:$A$4001,0,-1)),9)</f>
        <v>6</v>
      </c>
      <c r="H560" cm="1">
        <f t="array" ref="H560">IF(OR(AND(G560=9,H$1&gt;YEAR($N560))),9,_xlfn.IFNA(INDEX($D$2:$D$4001,_xlfn.XMATCH(H$1&amp;"-"&amp;$F560,YEAR($B$2:$B$4001)&amp;"-"&amp;$A$2:$A$4001,0,-1)),G560))</f>
        <v>6</v>
      </c>
      <c r="I560" cm="1">
        <f t="array" ref="I560">IF(OR(AND(H560=9,I$1&gt;YEAR($N560))),9,_xlfn.IFNA(INDEX($D$2:$D$4001,_xlfn.XMATCH(I$1&amp;"-"&amp;$F560,YEAR($B$2:$B$4001)&amp;"-"&amp;$A$2:$A$4001,0,-1)),H560))</f>
        <v>6</v>
      </c>
      <c r="J560" cm="1">
        <f t="array" ref="J560">IF(OR(AND(I560=9,J$1&gt;YEAR($N560))),9,_xlfn.IFNA(INDEX($D$2:$D$4001,_xlfn.XMATCH(J$1&amp;"-"&amp;$F560,YEAR($B$2:$B$4001)&amp;"-"&amp;$A$2:$A$4001,0,-1)),I560))</f>
        <v>6</v>
      </c>
      <c r="K560" cm="1">
        <f t="array" ref="K560">IF(OR(AND(J560=9,K$1&gt;YEAR($N560))),9,_xlfn.IFNA(INDEX($D$2:$D$4001,_xlfn.XMATCH(K$1&amp;"-"&amp;$F560,YEAR($B$2:$B$4001)&amp;"-"&amp;$A$2:$A$4001,0,-1)),J560))</f>
        <v>0</v>
      </c>
      <c r="L560" cm="1">
        <f t="array" ref="L560">IF(OR(AND(K560=9,L$1&gt;YEAR($N560))),9,_xlfn.IFNA(INDEX($D$2:$D$4001,_xlfn.XMATCH(L$1&amp;"-"&amp;$F560,YEAR($B$2:$B$4001)&amp;"-"&amp;$A$2:$A$4001,0,-1)),K560))</f>
        <v>0</v>
      </c>
      <c r="M560" cm="1">
        <f t="array" ref="M560">IF(OR(AND(L560=9,M$1&gt;YEAR($N560))),9,_xlfn.IFNA(INDEX($D$2:$D$4001,_xlfn.XMATCH(M$1&amp;"-"&amp;$F560,YEAR($B$2:$B$4001)&amp;"-"&amp;$A$2:$A$4001,0,-1)),L560))</f>
        <v>0</v>
      </c>
      <c r="N560" s="1">
        <f t="shared" si="8"/>
        <v>36463</v>
      </c>
    </row>
    <row r="561" spans="1:14" x14ac:dyDescent="0.35">
      <c r="A561">
        <v>279</v>
      </c>
      <c r="B561" s="2">
        <v>37032</v>
      </c>
      <c r="C561">
        <v>4</v>
      </c>
      <c r="D561">
        <v>4</v>
      </c>
      <c r="F561">
        <v>560</v>
      </c>
      <c r="G561" cm="1">
        <f t="array" ref="G561">_xlfn.IFNA(INDEX($D$2:$D$4001,_xlfn.XMATCH(G$1&amp;"-"&amp;$F561,YEAR($B$2:$B$4001)&amp;"-"&amp;$A$2:$A$4001,0,-1)),9)</f>
        <v>9</v>
      </c>
      <c r="H561" cm="1">
        <f t="array" ref="H561">IF(OR(AND(G561=9,H$1&gt;YEAR($N561))),9,_xlfn.IFNA(INDEX($D$2:$D$4001,_xlfn.XMATCH(H$1&amp;"-"&amp;$F561,YEAR($B$2:$B$4001)&amp;"-"&amp;$A$2:$A$4001,0,-1)),G561))</f>
        <v>9</v>
      </c>
      <c r="I561" cm="1">
        <f t="array" ref="I561">IF(OR(AND(H561=9,I$1&gt;YEAR($N561))),9,_xlfn.IFNA(INDEX($D$2:$D$4001,_xlfn.XMATCH(I$1&amp;"-"&amp;$F561,YEAR($B$2:$B$4001)&amp;"-"&amp;$A$2:$A$4001,0,-1)),H561))</f>
        <v>9</v>
      </c>
      <c r="J561" cm="1">
        <f t="array" ref="J561">IF(OR(AND(I561=9,J$1&gt;YEAR($N561))),9,_xlfn.IFNA(INDEX($D$2:$D$4001,_xlfn.XMATCH(J$1&amp;"-"&amp;$F561,YEAR($B$2:$B$4001)&amp;"-"&amp;$A$2:$A$4001,0,-1)),I561))</f>
        <v>3</v>
      </c>
      <c r="K561" cm="1">
        <f t="array" ref="K561">IF(OR(AND(J561=9,K$1&gt;YEAR($N561))),9,_xlfn.IFNA(INDEX($D$2:$D$4001,_xlfn.XMATCH(K$1&amp;"-"&amp;$F561,YEAR($B$2:$B$4001)&amp;"-"&amp;$A$2:$A$4001,0,-1)),J561))</f>
        <v>3</v>
      </c>
      <c r="L561" cm="1">
        <f t="array" ref="L561">IF(OR(AND(K561=9,L$1&gt;YEAR($N561))),9,_xlfn.IFNA(INDEX($D$2:$D$4001,_xlfn.XMATCH(L$1&amp;"-"&amp;$F561,YEAR($B$2:$B$4001)&amp;"-"&amp;$A$2:$A$4001,0,-1)),K561))</f>
        <v>2</v>
      </c>
      <c r="M561" cm="1">
        <f t="array" ref="M561">IF(OR(AND(L561=9,M$1&gt;YEAR($N561))),9,_xlfn.IFNA(INDEX($D$2:$D$4001,_xlfn.XMATCH(M$1&amp;"-"&amp;$F561,YEAR($B$2:$B$4001)&amp;"-"&amp;$A$2:$A$4001,0,-1)),L561))</f>
        <v>2</v>
      </c>
      <c r="N561" s="1">
        <f t="shared" si="8"/>
        <v>37489</v>
      </c>
    </row>
    <row r="562" spans="1:14" x14ac:dyDescent="0.35">
      <c r="A562">
        <v>279</v>
      </c>
      <c r="B562" s="2">
        <v>37397</v>
      </c>
      <c r="C562">
        <v>0</v>
      </c>
      <c r="D562">
        <v>0</v>
      </c>
      <c r="F562">
        <v>561</v>
      </c>
      <c r="G562" cm="1">
        <f t="array" ref="G562">_xlfn.IFNA(INDEX($D$2:$D$4001,_xlfn.XMATCH(G$1&amp;"-"&amp;$F562,YEAR($B$2:$B$4001)&amp;"-"&amp;$A$2:$A$4001,0,-1)),9)</f>
        <v>9</v>
      </c>
      <c r="H562" cm="1">
        <f t="array" ref="H562">IF(OR(AND(G562=9,H$1&gt;YEAR($N562))),9,_xlfn.IFNA(INDEX($D$2:$D$4001,_xlfn.XMATCH(H$1&amp;"-"&amp;$F562,YEAR($B$2:$B$4001)&amp;"-"&amp;$A$2:$A$4001,0,-1)),G562))</f>
        <v>9</v>
      </c>
      <c r="I562" cm="1">
        <f t="array" ref="I562">IF(OR(AND(H562=9,I$1&gt;YEAR($N562))),9,_xlfn.IFNA(INDEX($D$2:$D$4001,_xlfn.XMATCH(I$1&amp;"-"&amp;$F562,YEAR($B$2:$B$4001)&amp;"-"&amp;$A$2:$A$4001,0,-1)),H562))</f>
        <v>9</v>
      </c>
      <c r="J562" cm="1">
        <f t="array" ref="J562">IF(OR(AND(I562=9,J$1&gt;YEAR($N562))),9,_xlfn.IFNA(INDEX($D$2:$D$4001,_xlfn.XMATCH(J$1&amp;"-"&amp;$F562,YEAR($B$2:$B$4001)&amp;"-"&amp;$A$2:$A$4001,0,-1)),I562))</f>
        <v>2</v>
      </c>
      <c r="K562" cm="1">
        <f t="array" ref="K562">IF(OR(AND(J562=9,K$1&gt;YEAR($N562))),9,_xlfn.IFNA(INDEX($D$2:$D$4001,_xlfn.XMATCH(K$1&amp;"-"&amp;$F562,YEAR($B$2:$B$4001)&amp;"-"&amp;$A$2:$A$4001,0,-1)),J562))</f>
        <v>2</v>
      </c>
      <c r="L562" cm="1">
        <f t="array" ref="L562">IF(OR(AND(K562=9,L$1&gt;YEAR($N562))),9,_xlfn.IFNA(INDEX($D$2:$D$4001,_xlfn.XMATCH(L$1&amp;"-"&amp;$F562,YEAR($B$2:$B$4001)&amp;"-"&amp;$A$2:$A$4001,0,-1)),K562))</f>
        <v>2</v>
      </c>
      <c r="M562" cm="1">
        <f t="array" ref="M562">IF(OR(AND(L562=9,M$1&gt;YEAR($N562))),9,_xlfn.IFNA(INDEX($D$2:$D$4001,_xlfn.XMATCH(M$1&amp;"-"&amp;$F562,YEAR($B$2:$B$4001)&amp;"-"&amp;$A$2:$A$4001,0,-1)),L562))</f>
        <v>2</v>
      </c>
      <c r="N562" s="1">
        <f t="shared" si="8"/>
        <v>37489</v>
      </c>
    </row>
    <row r="563" spans="1:14" x14ac:dyDescent="0.35">
      <c r="A563">
        <v>280</v>
      </c>
      <c r="B563" s="2">
        <v>37185</v>
      </c>
      <c r="C563">
        <v>4</v>
      </c>
      <c r="D563">
        <v>4</v>
      </c>
      <c r="F563">
        <v>562</v>
      </c>
      <c r="G563" cm="1">
        <f t="array" ref="G563">_xlfn.IFNA(INDEX($D$2:$D$4001,_xlfn.XMATCH(G$1&amp;"-"&amp;$F563,YEAR($B$2:$B$4001)&amp;"-"&amp;$A$2:$A$4001,0,-1)),9)</f>
        <v>9</v>
      </c>
      <c r="H563" cm="1">
        <f t="array" ref="H563">IF(OR(AND(G563=9,H$1&gt;YEAR($N563))),9,_xlfn.IFNA(INDEX($D$2:$D$4001,_xlfn.XMATCH(H$1&amp;"-"&amp;$F563,YEAR($B$2:$B$4001)&amp;"-"&amp;$A$2:$A$4001,0,-1)),G563))</f>
        <v>9</v>
      </c>
      <c r="I563" cm="1">
        <f t="array" ref="I563">IF(OR(AND(H563=9,I$1&gt;YEAR($N563))),9,_xlfn.IFNA(INDEX($D$2:$D$4001,_xlfn.XMATCH(I$1&amp;"-"&amp;$F563,YEAR($B$2:$B$4001)&amp;"-"&amp;$A$2:$A$4001,0,-1)),H563))</f>
        <v>9</v>
      </c>
      <c r="J563" cm="1">
        <f t="array" ref="J563">IF(OR(AND(I563=9,J$1&gt;YEAR($N563))),9,_xlfn.IFNA(INDEX($D$2:$D$4001,_xlfn.XMATCH(J$1&amp;"-"&amp;$F563,YEAR($B$2:$B$4001)&amp;"-"&amp;$A$2:$A$4001,0,-1)),I563))</f>
        <v>3</v>
      </c>
      <c r="K563" cm="1">
        <f t="array" ref="K563">IF(OR(AND(J563=9,K$1&gt;YEAR($N563))),9,_xlfn.IFNA(INDEX($D$2:$D$4001,_xlfn.XMATCH(K$1&amp;"-"&amp;$F563,YEAR($B$2:$B$4001)&amp;"-"&amp;$A$2:$A$4001,0,-1)),J563))</f>
        <v>3</v>
      </c>
      <c r="L563" cm="1">
        <f t="array" ref="L563">IF(OR(AND(K563=9,L$1&gt;YEAR($N563))),9,_xlfn.IFNA(INDEX($D$2:$D$4001,_xlfn.XMATCH(L$1&amp;"-"&amp;$F563,YEAR($B$2:$B$4001)&amp;"-"&amp;$A$2:$A$4001,0,-1)),K563))</f>
        <v>2</v>
      </c>
      <c r="M563" cm="1">
        <f t="array" ref="M563">IF(OR(AND(L563=9,M$1&gt;YEAR($N563))),9,_xlfn.IFNA(INDEX($D$2:$D$4001,_xlfn.XMATCH(M$1&amp;"-"&amp;$F563,YEAR($B$2:$B$4001)&amp;"-"&amp;$A$2:$A$4001,0,-1)),L563))</f>
        <v>2</v>
      </c>
      <c r="N563" s="1">
        <f t="shared" si="8"/>
        <v>37458</v>
      </c>
    </row>
    <row r="564" spans="1:14" x14ac:dyDescent="0.35">
      <c r="A564">
        <v>280</v>
      </c>
      <c r="B564" s="2">
        <v>37406</v>
      </c>
      <c r="C564">
        <v>4</v>
      </c>
      <c r="D564">
        <v>4</v>
      </c>
      <c r="F564">
        <v>563</v>
      </c>
      <c r="G564" cm="1">
        <f t="array" ref="G564">_xlfn.IFNA(INDEX($D$2:$D$4001,_xlfn.XMATCH(G$1&amp;"-"&amp;$F564,YEAR($B$2:$B$4001)&amp;"-"&amp;$A$2:$A$4001,0,-1)),9)</f>
        <v>9</v>
      </c>
      <c r="H564" cm="1">
        <f t="array" ref="H564">IF(OR(AND(G564=9,H$1&gt;YEAR($N564))),9,_xlfn.IFNA(INDEX($D$2:$D$4001,_xlfn.XMATCH(H$1&amp;"-"&amp;$F564,YEAR($B$2:$B$4001)&amp;"-"&amp;$A$2:$A$4001,0,-1)),G564))</f>
        <v>9</v>
      </c>
      <c r="I564" cm="1">
        <f t="array" ref="I564">IF(OR(AND(H564=9,I$1&gt;YEAR($N564))),9,_xlfn.IFNA(INDEX($D$2:$D$4001,_xlfn.XMATCH(I$1&amp;"-"&amp;$F564,YEAR($B$2:$B$4001)&amp;"-"&amp;$A$2:$A$4001,0,-1)),H564))</f>
        <v>9</v>
      </c>
      <c r="J564" cm="1">
        <f t="array" ref="J564">IF(OR(AND(I564=9,J$1&gt;YEAR($N564))),9,_xlfn.IFNA(INDEX($D$2:$D$4001,_xlfn.XMATCH(J$1&amp;"-"&amp;$F564,YEAR($B$2:$B$4001)&amp;"-"&amp;$A$2:$A$4001,0,-1)),I564))</f>
        <v>2</v>
      </c>
      <c r="K564" cm="1">
        <f t="array" ref="K564">IF(OR(AND(J564=9,K$1&gt;YEAR($N564))),9,_xlfn.IFNA(INDEX($D$2:$D$4001,_xlfn.XMATCH(K$1&amp;"-"&amp;$F564,YEAR($B$2:$B$4001)&amp;"-"&amp;$A$2:$A$4001,0,-1)),J564))</f>
        <v>0</v>
      </c>
      <c r="L564" cm="1">
        <f t="array" ref="L564">IF(OR(AND(K564=9,L$1&gt;YEAR($N564))),9,_xlfn.IFNA(INDEX($D$2:$D$4001,_xlfn.XMATCH(L$1&amp;"-"&amp;$F564,YEAR($B$2:$B$4001)&amp;"-"&amp;$A$2:$A$4001,0,-1)),K564))</f>
        <v>0</v>
      </c>
      <c r="M564" cm="1">
        <f t="array" ref="M564">IF(OR(AND(L564=9,M$1&gt;YEAR($N564))),9,_xlfn.IFNA(INDEX($D$2:$D$4001,_xlfn.XMATCH(M$1&amp;"-"&amp;$F564,YEAR($B$2:$B$4001)&amp;"-"&amp;$A$2:$A$4001,0,-1)),L564))</f>
        <v>0</v>
      </c>
      <c r="N564" s="1">
        <f t="shared" si="8"/>
        <v>37406</v>
      </c>
    </row>
    <row r="565" spans="1:14" x14ac:dyDescent="0.35">
      <c r="A565">
        <v>280</v>
      </c>
      <c r="B565" s="2">
        <v>37894</v>
      </c>
      <c r="C565">
        <v>4</v>
      </c>
      <c r="D565">
        <v>4</v>
      </c>
      <c r="F565">
        <v>564</v>
      </c>
      <c r="G565" cm="1">
        <f t="array" ref="G565">_xlfn.IFNA(INDEX($D$2:$D$4001,_xlfn.XMATCH(G$1&amp;"-"&amp;$F565,YEAR($B$2:$B$4001)&amp;"-"&amp;$A$2:$A$4001,0,-1)),9)</f>
        <v>4</v>
      </c>
      <c r="H565" cm="1">
        <f t="array" ref="H565">IF(OR(AND(G565=9,H$1&gt;YEAR($N565))),9,_xlfn.IFNA(INDEX($D$2:$D$4001,_xlfn.XMATCH(H$1&amp;"-"&amp;$F565,YEAR($B$2:$B$4001)&amp;"-"&amp;$A$2:$A$4001,0,-1)),G565))</f>
        <v>3</v>
      </c>
      <c r="I565" cm="1">
        <f t="array" ref="I565">IF(OR(AND(H565=9,I$1&gt;YEAR($N565))),9,_xlfn.IFNA(INDEX($D$2:$D$4001,_xlfn.XMATCH(I$1&amp;"-"&amp;$F565,YEAR($B$2:$B$4001)&amp;"-"&amp;$A$2:$A$4001,0,-1)),H565))</f>
        <v>3</v>
      </c>
      <c r="J565" cm="1">
        <f t="array" ref="J565">IF(OR(AND(I565=9,J$1&gt;YEAR($N565))),9,_xlfn.IFNA(INDEX($D$2:$D$4001,_xlfn.XMATCH(J$1&amp;"-"&amp;$F565,YEAR($B$2:$B$4001)&amp;"-"&amp;$A$2:$A$4001,0,-1)),I565))</f>
        <v>3</v>
      </c>
      <c r="K565" cm="1">
        <f t="array" ref="K565">IF(OR(AND(J565=9,K$1&gt;YEAR($N565))),9,_xlfn.IFNA(INDEX($D$2:$D$4001,_xlfn.XMATCH(K$1&amp;"-"&amp;$F565,YEAR($B$2:$B$4001)&amp;"-"&amp;$A$2:$A$4001,0,-1)),J565))</f>
        <v>3</v>
      </c>
      <c r="L565" cm="1">
        <f t="array" ref="L565">IF(OR(AND(K565=9,L$1&gt;YEAR($N565))),9,_xlfn.IFNA(INDEX($D$2:$D$4001,_xlfn.XMATCH(L$1&amp;"-"&amp;$F565,YEAR($B$2:$B$4001)&amp;"-"&amp;$A$2:$A$4001,0,-1)),K565))</f>
        <v>3</v>
      </c>
      <c r="M565" cm="1">
        <f t="array" ref="M565">IF(OR(AND(L565=9,M$1&gt;YEAR($N565))),9,_xlfn.IFNA(INDEX($D$2:$D$4001,_xlfn.XMATCH(M$1&amp;"-"&amp;$F565,YEAR($B$2:$B$4001)&amp;"-"&amp;$A$2:$A$4001,0,-1)),L565))</f>
        <v>3</v>
      </c>
      <c r="N565" s="1">
        <f t="shared" si="8"/>
        <v>36463</v>
      </c>
    </row>
    <row r="566" spans="1:14" x14ac:dyDescent="0.35">
      <c r="A566">
        <v>280</v>
      </c>
      <c r="B566" s="2">
        <v>37985</v>
      </c>
      <c r="C566">
        <v>5</v>
      </c>
      <c r="D566">
        <v>5</v>
      </c>
      <c r="F566">
        <v>565</v>
      </c>
      <c r="G566" cm="1">
        <f t="array" ref="G566">_xlfn.IFNA(INDEX($D$2:$D$4001,_xlfn.XMATCH(G$1&amp;"-"&amp;$F566,YEAR($B$2:$B$4001)&amp;"-"&amp;$A$2:$A$4001,0,-1)),9)</f>
        <v>9</v>
      </c>
      <c r="H566" cm="1">
        <f t="array" ref="H566">IF(OR(AND(G566=9,H$1&gt;YEAR($N566))),9,_xlfn.IFNA(INDEX($D$2:$D$4001,_xlfn.XMATCH(H$1&amp;"-"&amp;$F566,YEAR($B$2:$B$4001)&amp;"-"&amp;$A$2:$A$4001,0,-1)),G566))</f>
        <v>9</v>
      </c>
      <c r="I566" cm="1">
        <f t="array" ref="I566">IF(OR(AND(H566=9,I$1&gt;YEAR($N566))),9,_xlfn.IFNA(INDEX($D$2:$D$4001,_xlfn.XMATCH(I$1&amp;"-"&amp;$F566,YEAR($B$2:$B$4001)&amp;"-"&amp;$A$2:$A$4001,0,-1)),H566))</f>
        <v>9</v>
      </c>
      <c r="J566" cm="1">
        <f t="array" ref="J566">IF(OR(AND(I566=9,J$1&gt;YEAR($N566))),9,_xlfn.IFNA(INDEX($D$2:$D$4001,_xlfn.XMATCH(J$1&amp;"-"&amp;$F566,YEAR($B$2:$B$4001)&amp;"-"&amp;$A$2:$A$4001,0,-1)),I566))</f>
        <v>9</v>
      </c>
      <c r="K566" cm="1">
        <f t="array" ref="K566">IF(OR(AND(J566=9,K$1&gt;YEAR($N566))),9,_xlfn.IFNA(INDEX($D$2:$D$4001,_xlfn.XMATCH(K$1&amp;"-"&amp;$F566,YEAR($B$2:$B$4001)&amp;"-"&amp;$A$2:$A$4001,0,-1)),J566))</f>
        <v>9</v>
      </c>
      <c r="L566" cm="1">
        <f t="array" ref="L566">IF(OR(AND(K566=9,L$1&gt;YEAR($N566))),9,_xlfn.IFNA(INDEX($D$2:$D$4001,_xlfn.XMATCH(L$1&amp;"-"&amp;$F566,YEAR($B$2:$B$4001)&amp;"-"&amp;$A$2:$A$4001,0,-1)),K566))</f>
        <v>0</v>
      </c>
      <c r="M566" cm="1">
        <f t="array" ref="M566">IF(OR(AND(L566=9,M$1&gt;YEAR($N566))),9,_xlfn.IFNA(INDEX($D$2:$D$4001,_xlfn.XMATCH(M$1&amp;"-"&amp;$F566,YEAR($B$2:$B$4001)&amp;"-"&amp;$A$2:$A$4001,0,-1)),L566))</f>
        <v>0</v>
      </c>
      <c r="N566" s="1">
        <f t="shared" si="8"/>
        <v>38128</v>
      </c>
    </row>
    <row r="567" spans="1:14" x14ac:dyDescent="0.35">
      <c r="A567">
        <v>280</v>
      </c>
      <c r="B567" s="2">
        <v>38133</v>
      </c>
      <c r="C567">
        <v>6</v>
      </c>
      <c r="D567">
        <v>6</v>
      </c>
      <c r="F567">
        <v>566</v>
      </c>
      <c r="G567" cm="1">
        <f t="array" ref="G567">_xlfn.IFNA(INDEX($D$2:$D$4001,_xlfn.XMATCH(G$1&amp;"-"&amp;$F567,YEAR($B$2:$B$4001)&amp;"-"&amp;$A$2:$A$4001,0,-1)),9)</f>
        <v>9</v>
      </c>
      <c r="H567" cm="1">
        <f t="array" ref="H567">IF(OR(AND(G567=9,H$1&gt;YEAR($N567))),9,_xlfn.IFNA(INDEX($D$2:$D$4001,_xlfn.XMATCH(H$1&amp;"-"&amp;$F567,YEAR($B$2:$B$4001)&amp;"-"&amp;$A$2:$A$4001,0,-1)),G567))</f>
        <v>9</v>
      </c>
      <c r="I567" cm="1">
        <f t="array" ref="I567">IF(OR(AND(H567=9,I$1&gt;YEAR($N567))),9,_xlfn.IFNA(INDEX($D$2:$D$4001,_xlfn.XMATCH(I$1&amp;"-"&amp;$F567,YEAR($B$2:$B$4001)&amp;"-"&amp;$A$2:$A$4001,0,-1)),H567))</f>
        <v>9</v>
      </c>
      <c r="J567" cm="1">
        <f t="array" ref="J567">IF(OR(AND(I567=9,J$1&gt;YEAR($N567))),9,_xlfn.IFNA(INDEX($D$2:$D$4001,_xlfn.XMATCH(J$1&amp;"-"&amp;$F567,YEAR($B$2:$B$4001)&amp;"-"&amp;$A$2:$A$4001,0,-1)),I567))</f>
        <v>2</v>
      </c>
      <c r="K567" cm="1">
        <f t="array" ref="K567">IF(OR(AND(J567=9,K$1&gt;YEAR($N567))),9,_xlfn.IFNA(INDEX($D$2:$D$4001,_xlfn.XMATCH(K$1&amp;"-"&amp;$F567,YEAR($B$2:$B$4001)&amp;"-"&amp;$A$2:$A$4001,0,-1)),J567))</f>
        <v>2</v>
      </c>
      <c r="L567" cm="1">
        <f t="array" ref="L567">IF(OR(AND(K567=9,L$1&gt;YEAR($N567))),9,_xlfn.IFNA(INDEX($D$2:$D$4001,_xlfn.XMATCH(L$1&amp;"-"&amp;$F567,YEAR($B$2:$B$4001)&amp;"-"&amp;$A$2:$A$4001,0,-1)),K567))</f>
        <v>2</v>
      </c>
      <c r="M567" cm="1">
        <f t="array" ref="M567">IF(OR(AND(L567=9,M$1&gt;YEAR($N567))),9,_xlfn.IFNA(INDEX($D$2:$D$4001,_xlfn.XMATCH(M$1&amp;"-"&amp;$F567,YEAR($B$2:$B$4001)&amp;"-"&amp;$A$2:$A$4001,0,-1)),L567))</f>
        <v>2</v>
      </c>
      <c r="N567" s="1">
        <f t="shared" si="8"/>
        <v>37620</v>
      </c>
    </row>
    <row r="568" spans="1:14" x14ac:dyDescent="0.35">
      <c r="A568">
        <v>281</v>
      </c>
      <c r="B568" s="2">
        <v>36301</v>
      </c>
      <c r="C568">
        <v>5</v>
      </c>
      <c r="D568">
        <v>5</v>
      </c>
      <c r="F568">
        <v>567</v>
      </c>
      <c r="G568" cm="1">
        <f t="array" ref="G568">_xlfn.IFNA(INDEX($D$2:$D$4001,_xlfn.XMATCH(G$1&amp;"-"&amp;$F568,YEAR($B$2:$B$4001)&amp;"-"&amp;$A$2:$A$4001,0,-1)),9)</f>
        <v>9</v>
      </c>
      <c r="H568" cm="1">
        <f t="array" ref="H568">IF(OR(AND(G568=9,H$1&gt;YEAR($N568))),9,_xlfn.IFNA(INDEX($D$2:$D$4001,_xlfn.XMATCH(H$1&amp;"-"&amp;$F568,YEAR($B$2:$B$4001)&amp;"-"&amp;$A$2:$A$4001,0,-1)),G568))</f>
        <v>9</v>
      </c>
      <c r="I568" cm="1">
        <f t="array" ref="I568">IF(OR(AND(H568=9,I$1&gt;YEAR($N568))),9,_xlfn.IFNA(INDEX($D$2:$D$4001,_xlfn.XMATCH(I$1&amp;"-"&amp;$F568,YEAR($B$2:$B$4001)&amp;"-"&amp;$A$2:$A$4001,0,-1)),H568))</f>
        <v>9</v>
      </c>
      <c r="J568" cm="1">
        <f t="array" ref="J568">IF(OR(AND(I568=9,J$1&gt;YEAR($N568))),9,_xlfn.IFNA(INDEX($D$2:$D$4001,_xlfn.XMATCH(J$1&amp;"-"&amp;$F568,YEAR($B$2:$B$4001)&amp;"-"&amp;$A$2:$A$4001,0,-1)),I568))</f>
        <v>2</v>
      </c>
      <c r="K568" cm="1">
        <f t="array" ref="K568">IF(OR(AND(J568=9,K$1&gt;YEAR($N568))),9,_xlfn.IFNA(INDEX($D$2:$D$4001,_xlfn.XMATCH(K$1&amp;"-"&amp;$F568,YEAR($B$2:$B$4001)&amp;"-"&amp;$A$2:$A$4001,0,-1)),J568))</f>
        <v>2</v>
      </c>
      <c r="L568" cm="1">
        <f t="array" ref="L568">IF(OR(AND(K568=9,L$1&gt;YEAR($N568))),9,_xlfn.IFNA(INDEX($D$2:$D$4001,_xlfn.XMATCH(L$1&amp;"-"&amp;$F568,YEAR($B$2:$B$4001)&amp;"-"&amp;$A$2:$A$4001,0,-1)),K568))</f>
        <v>2</v>
      </c>
      <c r="M568" cm="1">
        <f t="array" ref="M568">IF(OR(AND(L568=9,M$1&gt;YEAR($N568))),9,_xlfn.IFNA(INDEX($D$2:$D$4001,_xlfn.XMATCH(M$1&amp;"-"&amp;$F568,YEAR($B$2:$B$4001)&amp;"-"&amp;$A$2:$A$4001,0,-1)),L568))</f>
        <v>2</v>
      </c>
      <c r="N568" s="1">
        <f t="shared" si="8"/>
        <v>37611</v>
      </c>
    </row>
    <row r="569" spans="1:14" x14ac:dyDescent="0.35">
      <c r="A569">
        <v>281</v>
      </c>
      <c r="B569" s="2">
        <v>36890</v>
      </c>
      <c r="C569">
        <v>4</v>
      </c>
      <c r="D569">
        <v>4</v>
      </c>
      <c r="F569">
        <v>568</v>
      </c>
      <c r="G569" cm="1">
        <f t="array" ref="G569">_xlfn.IFNA(INDEX($D$2:$D$4001,_xlfn.XMATCH(G$1&amp;"-"&amp;$F569,YEAR($B$2:$B$4001)&amp;"-"&amp;$A$2:$A$4001,0,-1)),9)</f>
        <v>9</v>
      </c>
      <c r="H569" cm="1">
        <f t="array" ref="H569">IF(OR(AND(G569=9,H$1&gt;YEAR($N569))),9,_xlfn.IFNA(INDEX($D$2:$D$4001,_xlfn.XMATCH(H$1&amp;"-"&amp;$F569,YEAR($B$2:$B$4001)&amp;"-"&amp;$A$2:$A$4001,0,-1)),G569))</f>
        <v>9</v>
      </c>
      <c r="I569" cm="1">
        <f t="array" ref="I569">IF(OR(AND(H569=9,I$1&gt;YEAR($N569))),9,_xlfn.IFNA(INDEX($D$2:$D$4001,_xlfn.XMATCH(I$1&amp;"-"&amp;$F569,YEAR($B$2:$B$4001)&amp;"-"&amp;$A$2:$A$4001,0,-1)),H569))</f>
        <v>9</v>
      </c>
      <c r="J569" cm="1">
        <f t="array" ref="J569">IF(OR(AND(I569=9,J$1&gt;YEAR($N569))),9,_xlfn.IFNA(INDEX($D$2:$D$4001,_xlfn.XMATCH(J$1&amp;"-"&amp;$F569,YEAR($B$2:$B$4001)&amp;"-"&amp;$A$2:$A$4001,0,-1)),I569))</f>
        <v>2</v>
      </c>
      <c r="K569" cm="1">
        <f t="array" ref="K569">IF(OR(AND(J569=9,K$1&gt;YEAR($N569))),9,_xlfn.IFNA(INDEX($D$2:$D$4001,_xlfn.XMATCH(K$1&amp;"-"&amp;$F569,YEAR($B$2:$B$4001)&amp;"-"&amp;$A$2:$A$4001,0,-1)),J569))</f>
        <v>2</v>
      </c>
      <c r="L569" cm="1">
        <f t="array" ref="L569">IF(OR(AND(K569=9,L$1&gt;YEAR($N569))),9,_xlfn.IFNA(INDEX($D$2:$D$4001,_xlfn.XMATCH(L$1&amp;"-"&amp;$F569,YEAR($B$2:$B$4001)&amp;"-"&amp;$A$2:$A$4001,0,-1)),K569))</f>
        <v>2</v>
      </c>
      <c r="M569" cm="1">
        <f t="array" ref="M569">IF(OR(AND(L569=9,M$1&gt;YEAR($N569))),9,_xlfn.IFNA(INDEX($D$2:$D$4001,_xlfn.XMATCH(M$1&amp;"-"&amp;$F569,YEAR($B$2:$B$4001)&amp;"-"&amp;$A$2:$A$4001,0,-1)),L569))</f>
        <v>2</v>
      </c>
      <c r="N569" s="1">
        <f t="shared" si="8"/>
        <v>37620</v>
      </c>
    </row>
    <row r="570" spans="1:14" x14ac:dyDescent="0.35">
      <c r="A570">
        <v>281</v>
      </c>
      <c r="B570" s="2">
        <v>37124</v>
      </c>
      <c r="C570">
        <v>4</v>
      </c>
      <c r="D570">
        <v>4</v>
      </c>
      <c r="F570">
        <v>569</v>
      </c>
      <c r="G570" cm="1">
        <f t="array" ref="G570">_xlfn.IFNA(INDEX($D$2:$D$4001,_xlfn.XMATCH(G$1&amp;"-"&amp;$F570,YEAR($B$2:$B$4001)&amp;"-"&amp;$A$2:$A$4001,0,-1)),9)</f>
        <v>9</v>
      </c>
      <c r="H570" cm="1">
        <f t="array" ref="H570">IF(OR(AND(G570=9,H$1&gt;YEAR($N570))),9,_xlfn.IFNA(INDEX($D$2:$D$4001,_xlfn.XMATCH(H$1&amp;"-"&amp;$F570,YEAR($B$2:$B$4001)&amp;"-"&amp;$A$2:$A$4001,0,-1)),G570))</f>
        <v>9</v>
      </c>
      <c r="I570" cm="1">
        <f t="array" ref="I570">IF(OR(AND(H570=9,I$1&gt;YEAR($N570))),9,_xlfn.IFNA(INDEX($D$2:$D$4001,_xlfn.XMATCH(I$1&amp;"-"&amp;$F570,YEAR($B$2:$B$4001)&amp;"-"&amp;$A$2:$A$4001,0,-1)),H570))</f>
        <v>9</v>
      </c>
      <c r="J570" cm="1">
        <f t="array" ref="J570">IF(OR(AND(I570=9,J$1&gt;YEAR($N570))),9,_xlfn.IFNA(INDEX($D$2:$D$4001,_xlfn.XMATCH(J$1&amp;"-"&amp;$F570,YEAR($B$2:$B$4001)&amp;"-"&amp;$A$2:$A$4001,0,-1)),I570))</f>
        <v>3</v>
      </c>
      <c r="K570" cm="1">
        <f t="array" ref="K570">IF(OR(AND(J570=9,K$1&gt;YEAR($N570))),9,_xlfn.IFNA(INDEX($D$2:$D$4001,_xlfn.XMATCH(K$1&amp;"-"&amp;$F570,YEAR($B$2:$B$4001)&amp;"-"&amp;$A$2:$A$4001,0,-1)),J570))</f>
        <v>3</v>
      </c>
      <c r="L570" cm="1">
        <f t="array" ref="L570">IF(OR(AND(K570=9,L$1&gt;YEAR($N570))),9,_xlfn.IFNA(INDEX($D$2:$D$4001,_xlfn.XMATCH(L$1&amp;"-"&amp;$F570,YEAR($B$2:$B$4001)&amp;"-"&amp;$A$2:$A$4001,0,-1)),K570))</f>
        <v>3</v>
      </c>
      <c r="M570" cm="1">
        <f t="array" ref="M570">IF(OR(AND(L570=9,M$1&gt;YEAR($N570))),9,_xlfn.IFNA(INDEX($D$2:$D$4001,_xlfn.XMATCH(M$1&amp;"-"&amp;$F570,YEAR($B$2:$B$4001)&amp;"-"&amp;$A$2:$A$4001,0,-1)),L570))</f>
        <v>3</v>
      </c>
      <c r="N570" s="1">
        <f t="shared" si="8"/>
        <v>37590</v>
      </c>
    </row>
    <row r="571" spans="1:14" x14ac:dyDescent="0.35">
      <c r="A571">
        <v>281</v>
      </c>
      <c r="B571" s="2">
        <v>37397</v>
      </c>
      <c r="C571">
        <v>0</v>
      </c>
      <c r="D571">
        <v>0</v>
      </c>
      <c r="F571">
        <v>570</v>
      </c>
      <c r="G571" cm="1">
        <f t="array" ref="G571">_xlfn.IFNA(INDEX($D$2:$D$4001,_xlfn.XMATCH(G$1&amp;"-"&amp;$F571,YEAR($B$2:$B$4001)&amp;"-"&amp;$A$2:$A$4001,0,-1)),9)</f>
        <v>9</v>
      </c>
      <c r="H571" cm="1">
        <f t="array" ref="H571">IF(OR(AND(G571=9,H$1&gt;YEAR($N571))),9,_xlfn.IFNA(INDEX($D$2:$D$4001,_xlfn.XMATCH(H$1&amp;"-"&amp;$F571,YEAR($B$2:$B$4001)&amp;"-"&amp;$A$2:$A$4001,0,-1)),G571))</f>
        <v>9</v>
      </c>
      <c r="I571" cm="1">
        <f t="array" ref="I571">IF(OR(AND(H571=9,I$1&gt;YEAR($N571))),9,_xlfn.IFNA(INDEX($D$2:$D$4001,_xlfn.XMATCH(I$1&amp;"-"&amp;$F571,YEAR($B$2:$B$4001)&amp;"-"&amp;$A$2:$A$4001,0,-1)),H571))</f>
        <v>9</v>
      </c>
      <c r="J571" cm="1">
        <f t="array" ref="J571">IF(OR(AND(I571=9,J$1&gt;YEAR($N571))),9,_xlfn.IFNA(INDEX($D$2:$D$4001,_xlfn.XMATCH(J$1&amp;"-"&amp;$F571,YEAR($B$2:$B$4001)&amp;"-"&amp;$A$2:$A$4001,0,-1)),I571))</f>
        <v>2</v>
      </c>
      <c r="K571" cm="1">
        <f t="array" ref="K571">IF(OR(AND(J571=9,K$1&gt;YEAR($N571))),9,_xlfn.IFNA(INDEX($D$2:$D$4001,_xlfn.XMATCH(K$1&amp;"-"&amp;$F571,YEAR($B$2:$B$4001)&amp;"-"&amp;$A$2:$A$4001,0,-1)),J571))</f>
        <v>2</v>
      </c>
      <c r="L571" cm="1">
        <f t="array" ref="L571">IF(OR(AND(K571=9,L$1&gt;YEAR($N571))),9,_xlfn.IFNA(INDEX($D$2:$D$4001,_xlfn.XMATCH(L$1&amp;"-"&amp;$F571,YEAR($B$2:$B$4001)&amp;"-"&amp;$A$2:$A$4001,0,-1)),K571))</f>
        <v>2</v>
      </c>
      <c r="M571" cm="1">
        <f t="array" ref="M571">IF(OR(AND(L571=9,M$1&gt;YEAR($N571))),9,_xlfn.IFNA(INDEX($D$2:$D$4001,_xlfn.XMATCH(M$1&amp;"-"&amp;$F571,YEAR($B$2:$B$4001)&amp;"-"&amp;$A$2:$A$4001,0,-1)),L571))</f>
        <v>2</v>
      </c>
      <c r="N571" s="1">
        <f t="shared" si="8"/>
        <v>37620</v>
      </c>
    </row>
    <row r="572" spans="1:14" x14ac:dyDescent="0.35">
      <c r="A572">
        <v>282</v>
      </c>
      <c r="B572" s="2">
        <v>37255</v>
      </c>
      <c r="C572">
        <v>3</v>
      </c>
      <c r="D572">
        <v>3</v>
      </c>
      <c r="F572">
        <v>571</v>
      </c>
      <c r="G572" cm="1">
        <f t="array" ref="G572">_xlfn.IFNA(INDEX($D$2:$D$4001,_xlfn.XMATCH(G$1&amp;"-"&amp;$F572,YEAR($B$2:$B$4001)&amp;"-"&amp;$A$2:$A$4001,0,-1)),9)</f>
        <v>5</v>
      </c>
      <c r="H572" cm="1">
        <f t="array" ref="H572">IF(OR(AND(G572=9,H$1&gt;YEAR($N572))),9,_xlfn.IFNA(INDEX($D$2:$D$4001,_xlfn.XMATCH(H$1&amp;"-"&amp;$F572,YEAR($B$2:$B$4001)&amp;"-"&amp;$A$2:$A$4001,0,-1)),G572))</f>
        <v>5</v>
      </c>
      <c r="I572" cm="1">
        <f t="array" ref="I572">IF(OR(AND(H572=9,I$1&gt;YEAR($N572))),9,_xlfn.IFNA(INDEX($D$2:$D$4001,_xlfn.XMATCH(I$1&amp;"-"&amp;$F572,YEAR($B$2:$B$4001)&amp;"-"&amp;$A$2:$A$4001,0,-1)),H572))</f>
        <v>6</v>
      </c>
      <c r="J572" cm="1">
        <f t="array" ref="J572">IF(OR(AND(I572=9,J$1&gt;YEAR($N572))),9,_xlfn.IFNA(INDEX($D$2:$D$4001,_xlfn.XMATCH(J$1&amp;"-"&amp;$F572,YEAR($B$2:$B$4001)&amp;"-"&amp;$A$2:$A$4001,0,-1)),I572))</f>
        <v>6</v>
      </c>
      <c r="K572" cm="1">
        <f t="array" ref="K572">IF(OR(AND(J572=9,K$1&gt;YEAR($N572))),9,_xlfn.IFNA(INDEX($D$2:$D$4001,_xlfn.XMATCH(K$1&amp;"-"&amp;$F572,YEAR($B$2:$B$4001)&amp;"-"&amp;$A$2:$A$4001,0,-1)),J572))</f>
        <v>6</v>
      </c>
      <c r="L572" cm="1">
        <f t="array" ref="L572">IF(OR(AND(K572=9,L$1&gt;YEAR($N572))),9,_xlfn.IFNA(INDEX($D$2:$D$4001,_xlfn.XMATCH(L$1&amp;"-"&amp;$F572,YEAR($B$2:$B$4001)&amp;"-"&amp;$A$2:$A$4001,0,-1)),K572))</f>
        <v>6</v>
      </c>
      <c r="M572" cm="1">
        <f t="array" ref="M572">IF(OR(AND(L572=9,M$1&gt;YEAR($N572))),9,_xlfn.IFNA(INDEX($D$2:$D$4001,_xlfn.XMATCH(M$1&amp;"-"&amp;$F572,YEAR($B$2:$B$4001)&amp;"-"&amp;$A$2:$A$4001,0,-1)),L572))</f>
        <v>6</v>
      </c>
      <c r="N572" s="1">
        <f t="shared" si="8"/>
        <v>36310</v>
      </c>
    </row>
    <row r="573" spans="1:14" x14ac:dyDescent="0.35">
      <c r="A573">
        <v>283</v>
      </c>
      <c r="B573" s="2">
        <v>36890</v>
      </c>
      <c r="C573">
        <v>3</v>
      </c>
      <c r="D573">
        <v>3</v>
      </c>
      <c r="F573">
        <v>572</v>
      </c>
      <c r="G573" cm="1">
        <f t="array" ref="G573">_xlfn.IFNA(INDEX($D$2:$D$4001,_xlfn.XMATCH(G$1&amp;"-"&amp;$F573,YEAR($B$2:$B$4001)&amp;"-"&amp;$A$2:$A$4001,0,-1)),9)</f>
        <v>9</v>
      </c>
      <c r="H573" cm="1">
        <f t="array" ref="H573">IF(OR(AND(G573=9,H$1&gt;YEAR($N573))),9,_xlfn.IFNA(INDEX($D$2:$D$4001,_xlfn.XMATCH(H$1&amp;"-"&amp;$F573,YEAR($B$2:$B$4001)&amp;"-"&amp;$A$2:$A$4001,0,-1)),G573))</f>
        <v>9</v>
      </c>
      <c r="I573" cm="1">
        <f t="array" ref="I573">IF(OR(AND(H573=9,I$1&gt;YEAR($N573))),9,_xlfn.IFNA(INDEX($D$2:$D$4001,_xlfn.XMATCH(I$1&amp;"-"&amp;$F573,YEAR($B$2:$B$4001)&amp;"-"&amp;$A$2:$A$4001,0,-1)),H573))</f>
        <v>9</v>
      </c>
      <c r="J573" cm="1">
        <f t="array" ref="J573">IF(OR(AND(I573=9,J$1&gt;YEAR($N573))),9,_xlfn.IFNA(INDEX($D$2:$D$4001,_xlfn.XMATCH(J$1&amp;"-"&amp;$F573,YEAR($B$2:$B$4001)&amp;"-"&amp;$A$2:$A$4001,0,-1)),I573))</f>
        <v>9</v>
      </c>
      <c r="K573" cm="1">
        <f t="array" ref="K573">IF(OR(AND(J573=9,K$1&gt;YEAR($N573))),9,_xlfn.IFNA(INDEX($D$2:$D$4001,_xlfn.XMATCH(K$1&amp;"-"&amp;$F573,YEAR($B$2:$B$4001)&amp;"-"&amp;$A$2:$A$4001,0,-1)),J573))</f>
        <v>9</v>
      </c>
      <c r="L573" cm="1">
        <f t="array" ref="L573">IF(OR(AND(K573=9,L$1&gt;YEAR($N573))),9,_xlfn.IFNA(INDEX($D$2:$D$4001,_xlfn.XMATCH(L$1&amp;"-"&amp;$F573,YEAR($B$2:$B$4001)&amp;"-"&amp;$A$2:$A$4001,0,-1)),K573))</f>
        <v>4</v>
      </c>
      <c r="M573" cm="1">
        <f t="array" ref="M573">IF(OR(AND(L573=9,M$1&gt;YEAR($N573))),9,_xlfn.IFNA(INDEX($D$2:$D$4001,_xlfn.XMATCH(M$1&amp;"-"&amp;$F573,YEAR($B$2:$B$4001)&amp;"-"&amp;$A$2:$A$4001,0,-1)),L573))</f>
        <v>4</v>
      </c>
      <c r="N573" s="1">
        <f t="shared" si="8"/>
        <v>38351</v>
      </c>
    </row>
    <row r="574" spans="1:14" x14ac:dyDescent="0.35">
      <c r="A574">
        <v>283</v>
      </c>
      <c r="B574" s="2">
        <v>37032</v>
      </c>
      <c r="C574">
        <v>4</v>
      </c>
      <c r="D574">
        <v>4</v>
      </c>
      <c r="F574">
        <v>573</v>
      </c>
      <c r="G574" cm="1">
        <f t="array" ref="G574">_xlfn.IFNA(INDEX($D$2:$D$4001,_xlfn.XMATCH(G$1&amp;"-"&amp;$F574,YEAR($B$2:$B$4001)&amp;"-"&amp;$A$2:$A$4001,0,-1)),9)</f>
        <v>5</v>
      </c>
      <c r="H574" cm="1">
        <f t="array" ref="H574">IF(OR(AND(G574=9,H$1&gt;YEAR($N574))),9,_xlfn.IFNA(INDEX($D$2:$D$4001,_xlfn.XMATCH(H$1&amp;"-"&amp;$F574,YEAR($B$2:$B$4001)&amp;"-"&amp;$A$2:$A$4001,0,-1)),G574))</f>
        <v>0</v>
      </c>
      <c r="I574" cm="1">
        <f t="array" ref="I574">IF(OR(AND(H574=9,I$1&gt;YEAR($N574))),9,_xlfn.IFNA(INDEX($D$2:$D$4001,_xlfn.XMATCH(I$1&amp;"-"&amp;$F574,YEAR($B$2:$B$4001)&amp;"-"&amp;$A$2:$A$4001,0,-1)),H574))</f>
        <v>0</v>
      </c>
      <c r="J574" cm="1">
        <f t="array" ref="J574">IF(OR(AND(I574=9,J$1&gt;YEAR($N574))),9,_xlfn.IFNA(INDEX($D$2:$D$4001,_xlfn.XMATCH(J$1&amp;"-"&amp;$F574,YEAR($B$2:$B$4001)&amp;"-"&amp;$A$2:$A$4001,0,-1)),I574))</f>
        <v>0</v>
      </c>
      <c r="K574" cm="1">
        <f t="array" ref="K574">IF(OR(AND(J574=9,K$1&gt;YEAR($N574))),9,_xlfn.IFNA(INDEX($D$2:$D$4001,_xlfn.XMATCH(K$1&amp;"-"&amp;$F574,YEAR($B$2:$B$4001)&amp;"-"&amp;$A$2:$A$4001,0,-1)),J574))</f>
        <v>0</v>
      </c>
      <c r="L574" cm="1">
        <f t="array" ref="L574">IF(OR(AND(K574=9,L$1&gt;YEAR($N574))),9,_xlfn.IFNA(INDEX($D$2:$D$4001,_xlfn.XMATCH(L$1&amp;"-"&amp;$F574,YEAR($B$2:$B$4001)&amp;"-"&amp;$A$2:$A$4001,0,-1)),K574))</f>
        <v>0</v>
      </c>
      <c r="M574" cm="1">
        <f t="array" ref="M574">IF(OR(AND(L574=9,M$1&gt;YEAR($N574))),9,_xlfn.IFNA(INDEX($D$2:$D$4001,_xlfn.XMATCH(M$1&amp;"-"&amp;$F574,YEAR($B$2:$B$4001)&amp;"-"&amp;$A$2:$A$4001,0,-1)),L574))</f>
        <v>0</v>
      </c>
      <c r="N574" s="1">
        <f t="shared" si="8"/>
        <v>36310</v>
      </c>
    </row>
    <row r="575" spans="1:14" x14ac:dyDescent="0.35">
      <c r="A575">
        <v>283</v>
      </c>
      <c r="B575" s="2">
        <v>37406</v>
      </c>
      <c r="C575">
        <v>4</v>
      </c>
      <c r="D575">
        <v>4</v>
      </c>
      <c r="F575">
        <v>574</v>
      </c>
      <c r="G575" cm="1">
        <f t="array" ref="G575">_xlfn.IFNA(INDEX($D$2:$D$4001,_xlfn.XMATCH(G$1&amp;"-"&amp;$F575,YEAR($B$2:$B$4001)&amp;"-"&amp;$A$2:$A$4001,0,-1)),9)</f>
        <v>9</v>
      </c>
      <c r="H575" cm="1">
        <f t="array" ref="H575">IF(OR(AND(G575=9,H$1&gt;YEAR($N575))),9,_xlfn.IFNA(INDEX($D$2:$D$4001,_xlfn.XMATCH(H$1&amp;"-"&amp;$F575,YEAR($B$2:$B$4001)&amp;"-"&amp;$A$2:$A$4001,0,-1)),G575))</f>
        <v>9</v>
      </c>
      <c r="I575" cm="1">
        <f t="array" ref="I575">IF(OR(AND(H575=9,I$1&gt;YEAR($N575))),9,_xlfn.IFNA(INDEX($D$2:$D$4001,_xlfn.XMATCH(I$1&amp;"-"&amp;$F575,YEAR($B$2:$B$4001)&amp;"-"&amp;$A$2:$A$4001,0,-1)),H575))</f>
        <v>9</v>
      </c>
      <c r="J575" cm="1">
        <f t="array" ref="J575">IF(OR(AND(I575=9,J$1&gt;YEAR($N575))),9,_xlfn.IFNA(INDEX($D$2:$D$4001,_xlfn.XMATCH(J$1&amp;"-"&amp;$F575,YEAR($B$2:$B$4001)&amp;"-"&amp;$A$2:$A$4001,0,-1)),I575))</f>
        <v>9</v>
      </c>
      <c r="K575" cm="1">
        <f t="array" ref="K575">IF(OR(AND(J575=9,K$1&gt;YEAR($N575))),9,_xlfn.IFNA(INDEX($D$2:$D$4001,_xlfn.XMATCH(K$1&amp;"-"&amp;$F575,YEAR($B$2:$B$4001)&amp;"-"&amp;$A$2:$A$4001,0,-1)),J575))</f>
        <v>3</v>
      </c>
      <c r="L575" cm="1">
        <f t="array" ref="L575">IF(OR(AND(K575=9,L$1&gt;YEAR($N575))),9,_xlfn.IFNA(INDEX($D$2:$D$4001,_xlfn.XMATCH(L$1&amp;"-"&amp;$F575,YEAR($B$2:$B$4001)&amp;"-"&amp;$A$2:$A$4001,0,-1)),K575))</f>
        <v>3</v>
      </c>
      <c r="M575" cm="1">
        <f t="array" ref="M575">IF(OR(AND(L575=9,M$1&gt;YEAR($N575))),9,_xlfn.IFNA(INDEX($D$2:$D$4001,_xlfn.XMATCH(M$1&amp;"-"&amp;$F575,YEAR($B$2:$B$4001)&amp;"-"&amp;$A$2:$A$4001,0,-1)),L575))</f>
        <v>3</v>
      </c>
      <c r="N575" s="1">
        <f t="shared" si="8"/>
        <v>37771</v>
      </c>
    </row>
    <row r="576" spans="1:14" x14ac:dyDescent="0.35">
      <c r="A576">
        <v>283</v>
      </c>
      <c r="B576" s="2">
        <v>37620</v>
      </c>
      <c r="C576">
        <v>5</v>
      </c>
      <c r="D576">
        <v>5</v>
      </c>
      <c r="F576">
        <v>575</v>
      </c>
      <c r="G576" cm="1">
        <f t="array" ref="G576">_xlfn.IFNA(INDEX($D$2:$D$4001,_xlfn.XMATCH(G$1&amp;"-"&amp;$F576,YEAR($B$2:$B$4001)&amp;"-"&amp;$A$2:$A$4001,0,-1)),9)</f>
        <v>9</v>
      </c>
      <c r="H576" cm="1">
        <f t="array" ref="H576">IF(OR(AND(G576=9,H$1&gt;YEAR($N576))),9,_xlfn.IFNA(INDEX($D$2:$D$4001,_xlfn.XMATCH(H$1&amp;"-"&amp;$F576,YEAR($B$2:$B$4001)&amp;"-"&amp;$A$2:$A$4001,0,-1)),G576))</f>
        <v>9</v>
      </c>
      <c r="I576" cm="1">
        <f t="array" ref="I576">IF(OR(AND(H576=9,I$1&gt;YEAR($N576))),9,_xlfn.IFNA(INDEX($D$2:$D$4001,_xlfn.XMATCH(I$1&amp;"-"&amp;$F576,YEAR($B$2:$B$4001)&amp;"-"&amp;$A$2:$A$4001,0,-1)),H576))</f>
        <v>2</v>
      </c>
      <c r="J576" cm="1">
        <f t="array" ref="J576">IF(OR(AND(I576=9,J$1&gt;YEAR($N576))),9,_xlfn.IFNA(INDEX($D$2:$D$4001,_xlfn.XMATCH(J$1&amp;"-"&amp;$F576,YEAR($B$2:$B$4001)&amp;"-"&amp;$A$2:$A$4001,0,-1)),I576))</f>
        <v>2</v>
      </c>
      <c r="K576" cm="1">
        <f t="array" ref="K576">IF(OR(AND(J576=9,K$1&gt;YEAR($N576))),9,_xlfn.IFNA(INDEX($D$2:$D$4001,_xlfn.XMATCH(K$1&amp;"-"&amp;$F576,YEAR($B$2:$B$4001)&amp;"-"&amp;$A$2:$A$4001,0,-1)),J576))</f>
        <v>2</v>
      </c>
      <c r="L576" cm="1">
        <f t="array" ref="L576">IF(OR(AND(K576=9,L$1&gt;YEAR($N576))),9,_xlfn.IFNA(INDEX($D$2:$D$4001,_xlfn.XMATCH(L$1&amp;"-"&amp;$F576,YEAR($B$2:$B$4001)&amp;"-"&amp;$A$2:$A$4001,0,-1)),K576))</f>
        <v>2</v>
      </c>
      <c r="M576" cm="1">
        <f t="array" ref="M576">IF(OR(AND(L576=9,M$1&gt;YEAR($N576))),9,_xlfn.IFNA(INDEX($D$2:$D$4001,_xlfn.XMATCH(M$1&amp;"-"&amp;$F576,YEAR($B$2:$B$4001)&amp;"-"&amp;$A$2:$A$4001,0,-1)),L576))</f>
        <v>2</v>
      </c>
      <c r="N576" s="1">
        <f t="shared" si="8"/>
        <v>37133</v>
      </c>
    </row>
    <row r="577" spans="1:14" x14ac:dyDescent="0.35">
      <c r="A577">
        <v>283</v>
      </c>
      <c r="B577" s="2">
        <v>37762</v>
      </c>
      <c r="C577">
        <v>6</v>
      </c>
      <c r="D577">
        <v>6</v>
      </c>
      <c r="F577">
        <v>576</v>
      </c>
      <c r="G577" cm="1">
        <f t="array" ref="G577">_xlfn.IFNA(INDEX($D$2:$D$4001,_xlfn.XMATCH(G$1&amp;"-"&amp;$F577,YEAR($B$2:$B$4001)&amp;"-"&amp;$A$2:$A$4001,0,-1)),9)</f>
        <v>4</v>
      </c>
      <c r="H577" cm="1">
        <f t="array" ref="H577">IF(OR(AND(G577=9,H$1&gt;YEAR($N577))),9,_xlfn.IFNA(INDEX($D$2:$D$4001,_xlfn.XMATCH(H$1&amp;"-"&amp;$F577,YEAR($B$2:$B$4001)&amp;"-"&amp;$A$2:$A$4001,0,-1)),G577))</f>
        <v>4</v>
      </c>
      <c r="I577" cm="1">
        <f t="array" ref="I577">IF(OR(AND(H577=9,I$1&gt;YEAR($N577))),9,_xlfn.IFNA(INDEX($D$2:$D$4001,_xlfn.XMATCH(I$1&amp;"-"&amp;$F577,YEAR($B$2:$B$4001)&amp;"-"&amp;$A$2:$A$4001,0,-1)),H577))</f>
        <v>4</v>
      </c>
      <c r="J577" cm="1">
        <f t="array" ref="J577">IF(OR(AND(I577=9,J$1&gt;YEAR($N577))),9,_xlfn.IFNA(INDEX($D$2:$D$4001,_xlfn.XMATCH(J$1&amp;"-"&amp;$F577,YEAR($B$2:$B$4001)&amp;"-"&amp;$A$2:$A$4001,0,-1)),I577))</f>
        <v>4</v>
      </c>
      <c r="K577" cm="1">
        <f t="array" ref="K577">IF(OR(AND(J577=9,K$1&gt;YEAR($N577))),9,_xlfn.IFNA(INDEX($D$2:$D$4001,_xlfn.XMATCH(K$1&amp;"-"&amp;$F577,YEAR($B$2:$B$4001)&amp;"-"&amp;$A$2:$A$4001,0,-1)),J577))</f>
        <v>4</v>
      </c>
      <c r="L577" cm="1">
        <f t="array" ref="L577">IF(OR(AND(K577=9,L$1&gt;YEAR($N577))),9,_xlfn.IFNA(INDEX($D$2:$D$4001,_xlfn.XMATCH(L$1&amp;"-"&amp;$F577,YEAR($B$2:$B$4001)&amp;"-"&amp;$A$2:$A$4001,0,-1)),K577))</f>
        <v>4</v>
      </c>
      <c r="M577" cm="1">
        <f t="array" ref="M577">IF(OR(AND(L577=9,M$1&gt;YEAR($N577))),9,_xlfn.IFNA(INDEX($D$2:$D$4001,_xlfn.XMATCH(M$1&amp;"-"&amp;$F577,YEAR($B$2:$B$4001)&amp;"-"&amp;$A$2:$A$4001,0,-1)),L577))</f>
        <v>4</v>
      </c>
      <c r="N577" s="1">
        <f t="shared" si="8"/>
        <v>36308</v>
      </c>
    </row>
    <row r="578" spans="1:14" x14ac:dyDescent="0.35">
      <c r="A578">
        <v>283</v>
      </c>
      <c r="B578" s="2">
        <v>38493</v>
      </c>
      <c r="C578">
        <v>6</v>
      </c>
      <c r="D578">
        <v>6</v>
      </c>
      <c r="F578">
        <v>577</v>
      </c>
      <c r="G578" cm="1">
        <f t="array" ref="G578">_xlfn.IFNA(INDEX($D$2:$D$4001,_xlfn.XMATCH(G$1&amp;"-"&amp;$F578,YEAR($B$2:$B$4001)&amp;"-"&amp;$A$2:$A$4001,0,-1)),9)</f>
        <v>3</v>
      </c>
      <c r="H578" cm="1">
        <f t="array" ref="H578">IF(OR(AND(G578=9,H$1&gt;YEAR($N578))),9,_xlfn.IFNA(INDEX($D$2:$D$4001,_xlfn.XMATCH(H$1&amp;"-"&amp;$F578,YEAR($B$2:$B$4001)&amp;"-"&amp;$A$2:$A$4001,0,-1)),G578))</f>
        <v>3</v>
      </c>
      <c r="I578" cm="1">
        <f t="array" ref="I578">IF(OR(AND(H578=9,I$1&gt;YEAR($N578))),9,_xlfn.IFNA(INDEX($D$2:$D$4001,_xlfn.XMATCH(I$1&amp;"-"&amp;$F578,YEAR($B$2:$B$4001)&amp;"-"&amp;$A$2:$A$4001,0,-1)),H578))</f>
        <v>3</v>
      </c>
      <c r="J578" cm="1">
        <f t="array" ref="J578">IF(OR(AND(I578=9,J$1&gt;YEAR($N578))),9,_xlfn.IFNA(INDEX($D$2:$D$4001,_xlfn.XMATCH(J$1&amp;"-"&amp;$F578,YEAR($B$2:$B$4001)&amp;"-"&amp;$A$2:$A$4001,0,-1)),I578))</f>
        <v>3</v>
      </c>
      <c r="K578" cm="1">
        <f t="array" ref="K578">IF(OR(AND(J578=9,K$1&gt;YEAR($N578))),9,_xlfn.IFNA(INDEX($D$2:$D$4001,_xlfn.XMATCH(K$1&amp;"-"&amp;$F578,YEAR($B$2:$B$4001)&amp;"-"&amp;$A$2:$A$4001,0,-1)),J578))</f>
        <v>3</v>
      </c>
      <c r="L578" cm="1">
        <f t="array" ref="L578">IF(OR(AND(K578=9,L$1&gt;YEAR($N578))),9,_xlfn.IFNA(INDEX($D$2:$D$4001,_xlfn.XMATCH(L$1&amp;"-"&amp;$F578,YEAR($B$2:$B$4001)&amp;"-"&amp;$A$2:$A$4001,0,-1)),K578))</f>
        <v>3</v>
      </c>
      <c r="M578" cm="1">
        <f t="array" ref="M578">IF(OR(AND(L578=9,M$1&gt;YEAR($N578))),9,_xlfn.IFNA(INDEX($D$2:$D$4001,_xlfn.XMATCH(M$1&amp;"-"&amp;$F578,YEAR($B$2:$B$4001)&amp;"-"&amp;$A$2:$A$4001,0,-1)),L578))</f>
        <v>3</v>
      </c>
      <c r="N578" s="1">
        <f t="shared" si="8"/>
        <v>36301</v>
      </c>
    </row>
    <row r="579" spans="1:14" x14ac:dyDescent="0.35">
      <c r="A579">
        <v>284</v>
      </c>
      <c r="B579" s="2">
        <v>36737</v>
      </c>
      <c r="C579">
        <v>0</v>
      </c>
      <c r="D579">
        <v>0</v>
      </c>
      <c r="F579">
        <v>578</v>
      </c>
      <c r="G579" cm="1">
        <f t="array" ref="G579">_xlfn.IFNA(INDEX($D$2:$D$4001,_xlfn.XMATCH(G$1&amp;"-"&amp;$F579,YEAR($B$2:$B$4001)&amp;"-"&amp;$A$2:$A$4001,0,-1)),9)</f>
        <v>3</v>
      </c>
      <c r="H579" cm="1">
        <f t="array" ref="H579">IF(OR(AND(G579=9,H$1&gt;YEAR($N579))),9,_xlfn.IFNA(INDEX($D$2:$D$4001,_xlfn.XMATCH(H$1&amp;"-"&amp;$F579,YEAR($B$2:$B$4001)&amp;"-"&amp;$A$2:$A$4001,0,-1)),G579))</f>
        <v>3</v>
      </c>
      <c r="I579" cm="1">
        <f t="array" ref="I579">IF(OR(AND(H579=9,I$1&gt;YEAR($N579))),9,_xlfn.IFNA(INDEX($D$2:$D$4001,_xlfn.XMATCH(I$1&amp;"-"&amp;$F579,YEAR($B$2:$B$4001)&amp;"-"&amp;$A$2:$A$4001,0,-1)),H579))</f>
        <v>3</v>
      </c>
      <c r="J579" cm="1">
        <f t="array" ref="J579">IF(OR(AND(I579=9,J$1&gt;YEAR($N579))),9,_xlfn.IFNA(INDEX($D$2:$D$4001,_xlfn.XMATCH(J$1&amp;"-"&amp;$F579,YEAR($B$2:$B$4001)&amp;"-"&amp;$A$2:$A$4001,0,-1)),I579))</f>
        <v>3</v>
      </c>
      <c r="K579" cm="1">
        <f t="array" ref="K579">IF(OR(AND(J579=9,K$1&gt;YEAR($N579))),9,_xlfn.IFNA(INDEX($D$2:$D$4001,_xlfn.XMATCH(K$1&amp;"-"&amp;$F579,YEAR($B$2:$B$4001)&amp;"-"&amp;$A$2:$A$4001,0,-1)),J579))</f>
        <v>3</v>
      </c>
      <c r="L579" cm="1">
        <f t="array" ref="L579">IF(OR(AND(K579=9,L$1&gt;YEAR($N579))),9,_xlfn.IFNA(INDEX($D$2:$D$4001,_xlfn.XMATCH(L$1&amp;"-"&amp;$F579,YEAR($B$2:$B$4001)&amp;"-"&amp;$A$2:$A$4001,0,-1)),K579))</f>
        <v>3</v>
      </c>
      <c r="M579" cm="1">
        <f t="array" ref="M579">IF(OR(AND(L579=9,M$1&gt;YEAR($N579))),9,_xlfn.IFNA(INDEX($D$2:$D$4001,_xlfn.XMATCH(M$1&amp;"-"&amp;$F579,YEAR($B$2:$B$4001)&amp;"-"&amp;$A$2:$A$4001,0,-1)),L579))</f>
        <v>3</v>
      </c>
      <c r="N579" s="1">
        <f t="shared" ref="N579:N642" si="9">_xlfn.MINIFS($B$2:$B$4001,$A$2:$A$4001,F579)</f>
        <v>36301</v>
      </c>
    </row>
    <row r="580" spans="1:14" x14ac:dyDescent="0.35">
      <c r="A580">
        <v>285</v>
      </c>
      <c r="B580" s="2">
        <v>36524</v>
      </c>
      <c r="C580">
        <v>6</v>
      </c>
      <c r="D580">
        <v>6</v>
      </c>
      <c r="F580">
        <v>579</v>
      </c>
      <c r="G580" cm="1">
        <f t="array" ref="G580">_xlfn.IFNA(INDEX($D$2:$D$4001,_xlfn.XMATCH(G$1&amp;"-"&amp;$F580,YEAR($B$2:$B$4001)&amp;"-"&amp;$A$2:$A$4001,0,-1)),9)</f>
        <v>9</v>
      </c>
      <c r="H580" cm="1">
        <f t="array" ref="H580">IF(OR(AND(G580=9,H$1&gt;YEAR($N580))),9,_xlfn.IFNA(INDEX($D$2:$D$4001,_xlfn.XMATCH(H$1&amp;"-"&amp;$F580,YEAR($B$2:$B$4001)&amp;"-"&amp;$A$2:$A$4001,0,-1)),G580))</f>
        <v>2</v>
      </c>
      <c r="I580" cm="1">
        <f t="array" ref="I580">IF(OR(AND(H580=9,I$1&gt;YEAR($N580))),9,_xlfn.IFNA(INDEX($D$2:$D$4001,_xlfn.XMATCH(I$1&amp;"-"&amp;$F580,YEAR($B$2:$B$4001)&amp;"-"&amp;$A$2:$A$4001,0,-1)),H580))</f>
        <v>2</v>
      </c>
      <c r="J580" cm="1">
        <f t="array" ref="J580">IF(OR(AND(I580=9,J$1&gt;YEAR($N580))),9,_xlfn.IFNA(INDEX($D$2:$D$4001,_xlfn.XMATCH(J$1&amp;"-"&amp;$F580,YEAR($B$2:$B$4001)&amp;"-"&amp;$A$2:$A$4001,0,-1)),I580))</f>
        <v>3</v>
      </c>
      <c r="K580" cm="1">
        <f t="array" ref="K580">IF(OR(AND(J580=9,K$1&gt;YEAR($N580))),9,_xlfn.IFNA(INDEX($D$2:$D$4001,_xlfn.XMATCH(K$1&amp;"-"&amp;$F580,YEAR($B$2:$B$4001)&amp;"-"&amp;$A$2:$A$4001,0,-1)),J580))</f>
        <v>0</v>
      </c>
      <c r="L580" cm="1">
        <f t="array" ref="L580">IF(OR(AND(K580=9,L$1&gt;YEAR($N580))),9,_xlfn.IFNA(INDEX($D$2:$D$4001,_xlfn.XMATCH(L$1&amp;"-"&amp;$F580,YEAR($B$2:$B$4001)&amp;"-"&amp;$A$2:$A$4001,0,-1)),K580))</f>
        <v>0</v>
      </c>
      <c r="M580" cm="1">
        <f t="array" ref="M580">IF(OR(AND(L580=9,M$1&gt;YEAR($N580))),9,_xlfn.IFNA(INDEX($D$2:$D$4001,_xlfn.XMATCH(M$1&amp;"-"&amp;$F580,YEAR($B$2:$B$4001)&amp;"-"&amp;$A$2:$A$4001,0,-1)),L580))</f>
        <v>0</v>
      </c>
      <c r="N580" s="1">
        <f t="shared" si="9"/>
        <v>36667</v>
      </c>
    </row>
    <row r="581" spans="1:14" x14ac:dyDescent="0.35">
      <c r="A581">
        <v>286</v>
      </c>
      <c r="B581" s="2">
        <v>37124</v>
      </c>
      <c r="C581">
        <v>3</v>
      </c>
      <c r="D581">
        <v>3</v>
      </c>
      <c r="F581">
        <v>580</v>
      </c>
      <c r="G581" cm="1">
        <f t="array" ref="G581">_xlfn.IFNA(INDEX($D$2:$D$4001,_xlfn.XMATCH(G$1&amp;"-"&amp;$F581,YEAR($B$2:$B$4001)&amp;"-"&amp;$A$2:$A$4001,0,-1)),9)</f>
        <v>9</v>
      </c>
      <c r="H581" cm="1">
        <f t="array" ref="H581">IF(OR(AND(G581=9,H$1&gt;YEAR($N581))),9,_xlfn.IFNA(INDEX($D$2:$D$4001,_xlfn.XMATCH(H$1&amp;"-"&amp;$F581,YEAR($B$2:$B$4001)&amp;"-"&amp;$A$2:$A$4001,0,-1)),G581))</f>
        <v>2</v>
      </c>
      <c r="I581" cm="1">
        <f t="array" ref="I581">IF(OR(AND(H581=9,I$1&gt;YEAR($N581))),9,_xlfn.IFNA(INDEX($D$2:$D$4001,_xlfn.XMATCH(I$1&amp;"-"&amp;$F581,YEAR($B$2:$B$4001)&amp;"-"&amp;$A$2:$A$4001,0,-1)),H581))</f>
        <v>2</v>
      </c>
      <c r="J581" cm="1">
        <f t="array" ref="J581">IF(OR(AND(I581=9,J$1&gt;YEAR($N581))),9,_xlfn.IFNA(INDEX($D$2:$D$4001,_xlfn.XMATCH(J$1&amp;"-"&amp;$F581,YEAR($B$2:$B$4001)&amp;"-"&amp;$A$2:$A$4001,0,-1)),I581))</f>
        <v>3</v>
      </c>
      <c r="K581" cm="1">
        <f t="array" ref="K581">IF(OR(AND(J581=9,K$1&gt;YEAR($N581))),9,_xlfn.IFNA(INDEX($D$2:$D$4001,_xlfn.XMATCH(K$1&amp;"-"&amp;$F581,YEAR($B$2:$B$4001)&amp;"-"&amp;$A$2:$A$4001,0,-1)),J581))</f>
        <v>3</v>
      </c>
      <c r="L581" cm="1">
        <f t="array" ref="L581">IF(OR(AND(K581=9,L$1&gt;YEAR($N581))),9,_xlfn.IFNA(INDEX($D$2:$D$4001,_xlfn.XMATCH(L$1&amp;"-"&amp;$F581,YEAR($B$2:$B$4001)&amp;"-"&amp;$A$2:$A$4001,0,-1)),K581))</f>
        <v>3</v>
      </c>
      <c r="M581" cm="1">
        <f t="array" ref="M581">IF(OR(AND(L581=9,M$1&gt;YEAR($N581))),9,_xlfn.IFNA(INDEX($D$2:$D$4001,_xlfn.XMATCH(M$1&amp;"-"&amp;$F581,YEAR($B$2:$B$4001)&amp;"-"&amp;$A$2:$A$4001,0,-1)),L581))</f>
        <v>3</v>
      </c>
      <c r="N581" s="1">
        <f t="shared" si="9"/>
        <v>36676</v>
      </c>
    </row>
    <row r="582" spans="1:14" x14ac:dyDescent="0.35">
      <c r="A582">
        <v>287</v>
      </c>
      <c r="B582" s="2">
        <v>37032</v>
      </c>
      <c r="C582">
        <v>3</v>
      </c>
      <c r="D582">
        <v>3</v>
      </c>
      <c r="F582">
        <v>581</v>
      </c>
      <c r="G582" cm="1">
        <f t="array" ref="G582">_xlfn.IFNA(INDEX($D$2:$D$4001,_xlfn.XMATCH(G$1&amp;"-"&amp;$F582,YEAR($B$2:$B$4001)&amp;"-"&amp;$A$2:$A$4001,0,-1)),9)</f>
        <v>9</v>
      </c>
      <c r="H582" cm="1">
        <f t="array" ref="H582">IF(OR(AND(G582=9,H$1&gt;YEAR($N582))),9,_xlfn.IFNA(INDEX($D$2:$D$4001,_xlfn.XMATCH(H$1&amp;"-"&amp;$F582,YEAR($B$2:$B$4001)&amp;"-"&amp;$A$2:$A$4001,0,-1)),G582))</f>
        <v>9</v>
      </c>
      <c r="I582" cm="1">
        <f t="array" ref="I582">IF(OR(AND(H582=9,I$1&gt;YEAR($N582))),9,_xlfn.IFNA(INDEX($D$2:$D$4001,_xlfn.XMATCH(I$1&amp;"-"&amp;$F582,YEAR($B$2:$B$4001)&amp;"-"&amp;$A$2:$A$4001,0,-1)),H582))</f>
        <v>6</v>
      </c>
      <c r="J582" cm="1">
        <f t="array" ref="J582">IF(OR(AND(I582=9,J$1&gt;YEAR($N582))),9,_xlfn.IFNA(INDEX($D$2:$D$4001,_xlfn.XMATCH(J$1&amp;"-"&amp;$F582,YEAR($B$2:$B$4001)&amp;"-"&amp;$A$2:$A$4001,0,-1)),I582))</f>
        <v>6</v>
      </c>
      <c r="K582" cm="1">
        <f t="array" ref="K582">IF(OR(AND(J582=9,K$1&gt;YEAR($N582))),9,_xlfn.IFNA(INDEX($D$2:$D$4001,_xlfn.XMATCH(K$1&amp;"-"&amp;$F582,YEAR($B$2:$B$4001)&amp;"-"&amp;$A$2:$A$4001,0,-1)),J582))</f>
        <v>6</v>
      </c>
      <c r="L582" cm="1">
        <f t="array" ref="L582">IF(OR(AND(K582=9,L$1&gt;YEAR($N582))),9,_xlfn.IFNA(INDEX($D$2:$D$4001,_xlfn.XMATCH(L$1&amp;"-"&amp;$F582,YEAR($B$2:$B$4001)&amp;"-"&amp;$A$2:$A$4001,0,-1)),K582))</f>
        <v>5</v>
      </c>
      <c r="M582" cm="1">
        <f t="array" ref="M582">IF(OR(AND(L582=9,M$1&gt;YEAR($N582))),9,_xlfn.IFNA(INDEX($D$2:$D$4001,_xlfn.XMATCH(M$1&amp;"-"&amp;$F582,YEAR($B$2:$B$4001)&amp;"-"&amp;$A$2:$A$4001,0,-1)),L582))</f>
        <v>5</v>
      </c>
      <c r="N582" s="1">
        <f t="shared" si="9"/>
        <v>37095</v>
      </c>
    </row>
    <row r="583" spans="1:14" x14ac:dyDescent="0.35">
      <c r="A583">
        <v>287</v>
      </c>
      <c r="B583" s="2">
        <v>37397</v>
      </c>
      <c r="C583">
        <v>4</v>
      </c>
      <c r="D583">
        <v>4</v>
      </c>
      <c r="F583">
        <v>582</v>
      </c>
      <c r="G583" cm="1">
        <f t="array" ref="G583">_xlfn.IFNA(INDEX($D$2:$D$4001,_xlfn.XMATCH(G$1&amp;"-"&amp;$F583,YEAR($B$2:$B$4001)&amp;"-"&amp;$A$2:$A$4001,0,-1)),9)</f>
        <v>9</v>
      </c>
      <c r="H583" cm="1">
        <f t="array" ref="H583">IF(OR(AND(G583=9,H$1&gt;YEAR($N583))),9,_xlfn.IFNA(INDEX($D$2:$D$4001,_xlfn.XMATCH(H$1&amp;"-"&amp;$F583,YEAR($B$2:$B$4001)&amp;"-"&amp;$A$2:$A$4001,0,-1)),G583))</f>
        <v>9</v>
      </c>
      <c r="I583" cm="1">
        <f t="array" ref="I583">IF(OR(AND(H583=9,I$1&gt;YEAR($N583))),9,_xlfn.IFNA(INDEX($D$2:$D$4001,_xlfn.XMATCH(I$1&amp;"-"&amp;$F583,YEAR($B$2:$B$4001)&amp;"-"&amp;$A$2:$A$4001,0,-1)),H583))</f>
        <v>9</v>
      </c>
      <c r="J583" cm="1">
        <f t="array" ref="J583">IF(OR(AND(I583=9,J$1&gt;YEAR($N583))),9,_xlfn.IFNA(INDEX($D$2:$D$4001,_xlfn.XMATCH(J$1&amp;"-"&amp;$F583,YEAR($B$2:$B$4001)&amp;"-"&amp;$A$2:$A$4001,0,-1)),I583))</f>
        <v>9</v>
      </c>
      <c r="K583" cm="1">
        <f t="array" ref="K583">IF(OR(AND(J583=9,K$1&gt;YEAR($N583))),9,_xlfn.IFNA(INDEX($D$2:$D$4001,_xlfn.XMATCH(K$1&amp;"-"&amp;$F583,YEAR($B$2:$B$4001)&amp;"-"&amp;$A$2:$A$4001,0,-1)),J583))</f>
        <v>3</v>
      </c>
      <c r="L583" cm="1">
        <f t="array" ref="L583">IF(OR(AND(K583=9,L$1&gt;YEAR($N583))),9,_xlfn.IFNA(INDEX($D$2:$D$4001,_xlfn.XMATCH(L$1&amp;"-"&amp;$F583,YEAR($B$2:$B$4001)&amp;"-"&amp;$A$2:$A$4001,0,-1)),K583))</f>
        <v>3</v>
      </c>
      <c r="M583" cm="1">
        <f t="array" ref="M583">IF(OR(AND(L583=9,M$1&gt;YEAR($N583))),9,_xlfn.IFNA(INDEX($D$2:$D$4001,_xlfn.XMATCH(M$1&amp;"-"&amp;$F583,YEAR($B$2:$B$4001)&amp;"-"&amp;$A$2:$A$4001,0,-1)),L583))</f>
        <v>3</v>
      </c>
      <c r="N583" s="1">
        <f t="shared" si="9"/>
        <v>37885</v>
      </c>
    </row>
    <row r="584" spans="1:14" x14ac:dyDescent="0.35">
      <c r="A584">
        <v>288</v>
      </c>
      <c r="B584" s="2">
        <v>37032</v>
      </c>
      <c r="C584">
        <v>3</v>
      </c>
      <c r="D584">
        <v>3</v>
      </c>
      <c r="F584">
        <v>583</v>
      </c>
      <c r="G584" cm="1">
        <f t="array" ref="G584">_xlfn.IFNA(INDEX($D$2:$D$4001,_xlfn.XMATCH(G$1&amp;"-"&amp;$F584,YEAR($B$2:$B$4001)&amp;"-"&amp;$A$2:$A$4001,0,-1)),9)</f>
        <v>5</v>
      </c>
      <c r="H584" cm="1">
        <f t="array" ref="H584">IF(OR(AND(G584=9,H$1&gt;YEAR($N584))),9,_xlfn.IFNA(INDEX($D$2:$D$4001,_xlfn.XMATCH(H$1&amp;"-"&amp;$F584,YEAR($B$2:$B$4001)&amp;"-"&amp;$A$2:$A$4001,0,-1)),G584))</f>
        <v>5</v>
      </c>
      <c r="I584" cm="1">
        <f t="array" ref="I584">IF(OR(AND(H584=9,I$1&gt;YEAR($N584))),9,_xlfn.IFNA(INDEX($D$2:$D$4001,_xlfn.XMATCH(I$1&amp;"-"&amp;$F584,YEAR($B$2:$B$4001)&amp;"-"&amp;$A$2:$A$4001,0,-1)),H584))</f>
        <v>5</v>
      </c>
      <c r="J584" cm="1">
        <f t="array" ref="J584">IF(OR(AND(I584=9,J$1&gt;YEAR($N584))),9,_xlfn.IFNA(INDEX($D$2:$D$4001,_xlfn.XMATCH(J$1&amp;"-"&amp;$F584,YEAR($B$2:$B$4001)&amp;"-"&amp;$A$2:$A$4001,0,-1)),I584))</f>
        <v>5</v>
      </c>
      <c r="K584" cm="1">
        <f t="array" ref="K584">IF(OR(AND(J584=9,K$1&gt;YEAR($N584))),9,_xlfn.IFNA(INDEX($D$2:$D$4001,_xlfn.XMATCH(K$1&amp;"-"&amp;$F584,YEAR($B$2:$B$4001)&amp;"-"&amp;$A$2:$A$4001,0,-1)),J584))</f>
        <v>6</v>
      </c>
      <c r="L584" cm="1">
        <f t="array" ref="L584">IF(OR(AND(K584=9,L$1&gt;YEAR($N584))),9,_xlfn.IFNA(INDEX($D$2:$D$4001,_xlfn.XMATCH(L$1&amp;"-"&amp;$F584,YEAR($B$2:$B$4001)&amp;"-"&amp;$A$2:$A$4001,0,-1)),K584))</f>
        <v>6</v>
      </c>
      <c r="M584" cm="1">
        <f t="array" ref="M584">IF(OR(AND(L584=9,M$1&gt;YEAR($N584))),9,_xlfn.IFNA(INDEX($D$2:$D$4001,_xlfn.XMATCH(M$1&amp;"-"&amp;$F584,YEAR($B$2:$B$4001)&amp;"-"&amp;$A$2:$A$4001,0,-1)),L584))</f>
        <v>6</v>
      </c>
      <c r="N584" s="1">
        <f t="shared" si="9"/>
        <v>36524</v>
      </c>
    </row>
    <row r="585" spans="1:14" x14ac:dyDescent="0.35">
      <c r="A585">
        <v>289</v>
      </c>
      <c r="B585" s="2">
        <v>37590</v>
      </c>
      <c r="C585">
        <v>3</v>
      </c>
      <c r="D585">
        <v>3</v>
      </c>
      <c r="F585">
        <v>584</v>
      </c>
      <c r="G585" cm="1">
        <f t="array" ref="G585">_xlfn.IFNA(INDEX($D$2:$D$4001,_xlfn.XMATCH(G$1&amp;"-"&amp;$F585,YEAR($B$2:$B$4001)&amp;"-"&amp;$A$2:$A$4001,0,-1)),9)</f>
        <v>9</v>
      </c>
      <c r="H585" cm="1">
        <f t="array" ref="H585">IF(OR(AND(G585=9,H$1&gt;YEAR($N585))),9,_xlfn.IFNA(INDEX($D$2:$D$4001,_xlfn.XMATCH(H$1&amp;"-"&amp;$F585,YEAR($B$2:$B$4001)&amp;"-"&amp;$A$2:$A$4001,0,-1)),G585))</f>
        <v>9</v>
      </c>
      <c r="I585" cm="1">
        <f t="array" ref="I585">IF(OR(AND(H585=9,I$1&gt;YEAR($N585))),9,_xlfn.IFNA(INDEX($D$2:$D$4001,_xlfn.XMATCH(I$1&amp;"-"&amp;$F585,YEAR($B$2:$B$4001)&amp;"-"&amp;$A$2:$A$4001,0,-1)),H585))</f>
        <v>9</v>
      </c>
      <c r="J585" cm="1">
        <f t="array" ref="J585">IF(OR(AND(I585=9,J$1&gt;YEAR($N585))),9,_xlfn.IFNA(INDEX($D$2:$D$4001,_xlfn.XMATCH(J$1&amp;"-"&amp;$F585,YEAR($B$2:$B$4001)&amp;"-"&amp;$A$2:$A$4001,0,-1)),I585))</f>
        <v>9</v>
      </c>
      <c r="K585" cm="1">
        <f t="array" ref="K585">IF(OR(AND(J585=9,K$1&gt;YEAR($N585))),9,_xlfn.IFNA(INDEX($D$2:$D$4001,_xlfn.XMATCH(K$1&amp;"-"&amp;$F585,YEAR($B$2:$B$4001)&amp;"-"&amp;$A$2:$A$4001,0,-1)),J585))</f>
        <v>4</v>
      </c>
      <c r="L585" cm="1">
        <f t="array" ref="L585">IF(OR(AND(K585=9,L$1&gt;YEAR($N585))),9,_xlfn.IFNA(INDEX($D$2:$D$4001,_xlfn.XMATCH(L$1&amp;"-"&amp;$F585,YEAR($B$2:$B$4001)&amp;"-"&amp;$A$2:$A$4001,0,-1)),K585))</f>
        <v>4</v>
      </c>
      <c r="M585" cm="1">
        <f t="array" ref="M585">IF(OR(AND(L585=9,M$1&gt;YEAR($N585))),9,_xlfn.IFNA(INDEX($D$2:$D$4001,_xlfn.XMATCH(M$1&amp;"-"&amp;$F585,YEAR($B$2:$B$4001)&amp;"-"&amp;$A$2:$A$4001,0,-1)),L585))</f>
        <v>4</v>
      </c>
      <c r="N585" s="1">
        <f t="shared" si="9"/>
        <v>37802</v>
      </c>
    </row>
    <row r="586" spans="1:14" x14ac:dyDescent="0.35">
      <c r="A586">
        <v>290</v>
      </c>
      <c r="B586" s="2">
        <v>37946</v>
      </c>
      <c r="C586">
        <v>4</v>
      </c>
      <c r="D586">
        <v>4</v>
      </c>
      <c r="F586">
        <v>585</v>
      </c>
      <c r="G586" cm="1">
        <f t="array" ref="G586">_xlfn.IFNA(INDEX($D$2:$D$4001,_xlfn.XMATCH(G$1&amp;"-"&amp;$F586,YEAR($B$2:$B$4001)&amp;"-"&amp;$A$2:$A$4001,0,-1)),9)</f>
        <v>4</v>
      </c>
      <c r="H586" cm="1">
        <f t="array" ref="H586">IF(OR(AND(G586=9,H$1&gt;YEAR($N586))),9,_xlfn.IFNA(INDEX($D$2:$D$4001,_xlfn.XMATCH(H$1&amp;"-"&amp;$F586,YEAR($B$2:$B$4001)&amp;"-"&amp;$A$2:$A$4001,0,-1)),G586))</f>
        <v>4</v>
      </c>
      <c r="I586" cm="1">
        <f t="array" ref="I586">IF(OR(AND(H586=9,I$1&gt;YEAR($N586))),9,_xlfn.IFNA(INDEX($D$2:$D$4001,_xlfn.XMATCH(I$1&amp;"-"&amp;$F586,YEAR($B$2:$B$4001)&amp;"-"&amp;$A$2:$A$4001,0,-1)),H586))</f>
        <v>4</v>
      </c>
      <c r="J586" cm="1">
        <f t="array" ref="J586">IF(OR(AND(I586=9,J$1&gt;YEAR($N586))),9,_xlfn.IFNA(INDEX($D$2:$D$4001,_xlfn.XMATCH(J$1&amp;"-"&amp;$F586,YEAR($B$2:$B$4001)&amp;"-"&amp;$A$2:$A$4001,0,-1)),I586))</f>
        <v>4</v>
      </c>
      <c r="K586" cm="1">
        <f t="array" ref="K586">IF(OR(AND(J586=9,K$1&gt;YEAR($N586))),9,_xlfn.IFNA(INDEX($D$2:$D$4001,_xlfn.XMATCH(K$1&amp;"-"&amp;$F586,YEAR($B$2:$B$4001)&amp;"-"&amp;$A$2:$A$4001,0,-1)),J586))</f>
        <v>4</v>
      </c>
      <c r="L586" cm="1">
        <f t="array" ref="L586">IF(OR(AND(K586=9,L$1&gt;YEAR($N586))),9,_xlfn.IFNA(INDEX($D$2:$D$4001,_xlfn.XMATCH(L$1&amp;"-"&amp;$F586,YEAR($B$2:$B$4001)&amp;"-"&amp;$A$2:$A$4001,0,-1)),K586))</f>
        <v>4</v>
      </c>
      <c r="M586" cm="1">
        <f t="array" ref="M586">IF(OR(AND(L586=9,M$1&gt;YEAR($N586))),9,_xlfn.IFNA(INDEX($D$2:$D$4001,_xlfn.XMATCH(M$1&amp;"-"&amp;$F586,YEAR($B$2:$B$4001)&amp;"-"&amp;$A$2:$A$4001,0,-1)),L586))</f>
        <v>5</v>
      </c>
      <c r="N586" s="1">
        <f t="shared" si="9"/>
        <v>36303</v>
      </c>
    </row>
    <row r="587" spans="1:14" x14ac:dyDescent="0.35">
      <c r="A587">
        <v>291</v>
      </c>
      <c r="B587" s="2">
        <v>37255</v>
      </c>
      <c r="C587">
        <v>1</v>
      </c>
      <c r="D587">
        <v>1</v>
      </c>
      <c r="F587">
        <v>586</v>
      </c>
      <c r="G587" cm="1">
        <f t="array" ref="G587">_xlfn.IFNA(INDEX($D$2:$D$4001,_xlfn.XMATCH(G$1&amp;"-"&amp;$F587,YEAR($B$2:$B$4001)&amp;"-"&amp;$A$2:$A$4001,0,-1)),9)</f>
        <v>9</v>
      </c>
      <c r="H587" cm="1">
        <f t="array" ref="H587">IF(OR(AND(G587=9,H$1&gt;YEAR($N587))),9,_xlfn.IFNA(INDEX($D$2:$D$4001,_xlfn.XMATCH(H$1&amp;"-"&amp;$F587,YEAR($B$2:$B$4001)&amp;"-"&amp;$A$2:$A$4001,0,-1)),G587))</f>
        <v>9</v>
      </c>
      <c r="I587" cm="1">
        <f t="array" ref="I587">IF(OR(AND(H587=9,I$1&gt;YEAR($N587))),9,_xlfn.IFNA(INDEX($D$2:$D$4001,_xlfn.XMATCH(I$1&amp;"-"&amp;$F587,YEAR($B$2:$B$4001)&amp;"-"&amp;$A$2:$A$4001,0,-1)),H587))</f>
        <v>4</v>
      </c>
      <c r="J587" cm="1">
        <f t="array" ref="J587">IF(OR(AND(I587=9,J$1&gt;YEAR($N587))),9,_xlfn.IFNA(INDEX($D$2:$D$4001,_xlfn.XMATCH(J$1&amp;"-"&amp;$F587,YEAR($B$2:$B$4001)&amp;"-"&amp;$A$2:$A$4001,0,-1)),I587))</f>
        <v>5</v>
      </c>
      <c r="K587" cm="1">
        <f t="array" ref="K587">IF(OR(AND(J587=9,K$1&gt;YEAR($N587))),9,_xlfn.IFNA(INDEX($D$2:$D$4001,_xlfn.XMATCH(K$1&amp;"-"&amp;$F587,YEAR($B$2:$B$4001)&amp;"-"&amp;$A$2:$A$4001,0,-1)),J587))</f>
        <v>5</v>
      </c>
      <c r="L587" cm="1">
        <f t="array" ref="L587">IF(OR(AND(K587=9,L$1&gt;YEAR($N587))),9,_xlfn.IFNA(INDEX($D$2:$D$4001,_xlfn.XMATCH(L$1&amp;"-"&amp;$F587,YEAR($B$2:$B$4001)&amp;"-"&amp;$A$2:$A$4001,0,-1)),K587))</f>
        <v>5</v>
      </c>
      <c r="M587" cm="1">
        <f t="array" ref="M587">IF(OR(AND(L587=9,M$1&gt;YEAR($N587))),9,_xlfn.IFNA(INDEX($D$2:$D$4001,_xlfn.XMATCH(M$1&amp;"-"&amp;$F587,YEAR($B$2:$B$4001)&amp;"-"&amp;$A$2:$A$4001,0,-1)),L587))</f>
        <v>5</v>
      </c>
      <c r="N587" s="1">
        <f t="shared" si="9"/>
        <v>37032</v>
      </c>
    </row>
    <row r="588" spans="1:14" x14ac:dyDescent="0.35">
      <c r="A588">
        <v>292</v>
      </c>
      <c r="B588" s="2">
        <v>36463</v>
      </c>
      <c r="C588">
        <v>4</v>
      </c>
      <c r="D588">
        <v>4</v>
      </c>
      <c r="F588">
        <v>587</v>
      </c>
      <c r="G588" cm="1">
        <f t="array" ref="G588">_xlfn.IFNA(INDEX($D$2:$D$4001,_xlfn.XMATCH(G$1&amp;"-"&amp;$F588,YEAR($B$2:$B$4001)&amp;"-"&amp;$A$2:$A$4001,0,-1)),9)</f>
        <v>9</v>
      </c>
      <c r="H588" cm="1">
        <f t="array" ref="H588">IF(OR(AND(G588=9,H$1&gt;YEAR($N588))),9,_xlfn.IFNA(INDEX($D$2:$D$4001,_xlfn.XMATCH(H$1&amp;"-"&amp;$F588,YEAR($B$2:$B$4001)&amp;"-"&amp;$A$2:$A$4001,0,-1)),G588))</f>
        <v>9</v>
      </c>
      <c r="I588" cm="1">
        <f t="array" ref="I588">IF(OR(AND(H588=9,I$1&gt;YEAR($N588))),9,_xlfn.IFNA(INDEX($D$2:$D$4001,_xlfn.XMATCH(I$1&amp;"-"&amp;$F588,YEAR($B$2:$B$4001)&amp;"-"&amp;$A$2:$A$4001,0,-1)),H588))</f>
        <v>9</v>
      </c>
      <c r="J588" cm="1">
        <f t="array" ref="J588">IF(OR(AND(I588=9,J$1&gt;YEAR($N588))),9,_xlfn.IFNA(INDEX($D$2:$D$4001,_xlfn.XMATCH(J$1&amp;"-"&amp;$F588,YEAR($B$2:$B$4001)&amp;"-"&amp;$A$2:$A$4001,0,-1)),I588))</f>
        <v>5</v>
      </c>
      <c r="K588" cm="1">
        <f t="array" ref="K588">IF(OR(AND(J588=9,K$1&gt;YEAR($N588))),9,_xlfn.IFNA(INDEX($D$2:$D$4001,_xlfn.XMATCH(K$1&amp;"-"&amp;$F588,YEAR($B$2:$B$4001)&amp;"-"&amp;$A$2:$A$4001,0,-1)),J588))</f>
        <v>5</v>
      </c>
      <c r="L588" cm="1">
        <f t="array" ref="L588">IF(OR(AND(K588=9,L$1&gt;YEAR($N588))),9,_xlfn.IFNA(INDEX($D$2:$D$4001,_xlfn.XMATCH(L$1&amp;"-"&amp;$F588,YEAR($B$2:$B$4001)&amp;"-"&amp;$A$2:$A$4001,0,-1)),K588))</f>
        <v>5</v>
      </c>
      <c r="M588" cm="1">
        <f t="array" ref="M588">IF(OR(AND(L588=9,M$1&gt;YEAR($N588))),9,_xlfn.IFNA(INDEX($D$2:$D$4001,_xlfn.XMATCH(M$1&amp;"-"&amp;$F588,YEAR($B$2:$B$4001)&amp;"-"&amp;$A$2:$A$4001,0,-1)),L588))</f>
        <v>5</v>
      </c>
      <c r="N588" s="1">
        <f t="shared" si="9"/>
        <v>37467</v>
      </c>
    </row>
    <row r="589" spans="1:14" x14ac:dyDescent="0.35">
      <c r="A589">
        <v>292</v>
      </c>
      <c r="B589" s="2">
        <v>37164</v>
      </c>
      <c r="C589">
        <v>4</v>
      </c>
      <c r="D589">
        <v>4</v>
      </c>
      <c r="F589">
        <v>588</v>
      </c>
      <c r="G589" cm="1">
        <f t="array" ref="G589">_xlfn.IFNA(INDEX($D$2:$D$4001,_xlfn.XMATCH(G$1&amp;"-"&amp;$F589,YEAR($B$2:$B$4001)&amp;"-"&amp;$A$2:$A$4001,0,-1)),9)</f>
        <v>9</v>
      </c>
      <c r="H589" cm="1">
        <f t="array" ref="H589">IF(OR(AND(G589=9,H$1&gt;YEAR($N589))),9,_xlfn.IFNA(INDEX($D$2:$D$4001,_xlfn.XMATCH(H$1&amp;"-"&amp;$F589,YEAR($B$2:$B$4001)&amp;"-"&amp;$A$2:$A$4001,0,-1)),G589))</f>
        <v>9</v>
      </c>
      <c r="I589" cm="1">
        <f t="array" ref="I589">IF(OR(AND(H589=9,I$1&gt;YEAR($N589))),9,_xlfn.IFNA(INDEX($D$2:$D$4001,_xlfn.XMATCH(I$1&amp;"-"&amp;$F589,YEAR($B$2:$B$4001)&amp;"-"&amp;$A$2:$A$4001,0,-1)),H589))</f>
        <v>6</v>
      </c>
      <c r="J589" cm="1">
        <f t="array" ref="J589">IF(OR(AND(I589=9,J$1&gt;YEAR($N589))),9,_xlfn.IFNA(INDEX($D$2:$D$4001,_xlfn.XMATCH(J$1&amp;"-"&amp;$F589,YEAR($B$2:$B$4001)&amp;"-"&amp;$A$2:$A$4001,0,-1)),I589))</f>
        <v>6</v>
      </c>
      <c r="K589" cm="1">
        <f t="array" ref="K589">IF(OR(AND(J589=9,K$1&gt;YEAR($N589))),9,_xlfn.IFNA(INDEX($D$2:$D$4001,_xlfn.XMATCH(K$1&amp;"-"&amp;$F589,YEAR($B$2:$B$4001)&amp;"-"&amp;$A$2:$A$4001,0,-1)),J589))</f>
        <v>7</v>
      </c>
      <c r="L589" cm="1">
        <f t="array" ref="L589">IF(OR(AND(K589=9,L$1&gt;YEAR($N589))),9,_xlfn.IFNA(INDEX($D$2:$D$4001,_xlfn.XMATCH(L$1&amp;"-"&amp;$F589,YEAR($B$2:$B$4001)&amp;"-"&amp;$A$2:$A$4001,0,-1)),K589))</f>
        <v>7</v>
      </c>
      <c r="M589" cm="1">
        <f t="array" ref="M589">IF(OR(AND(L589=9,M$1&gt;YEAR($N589))),9,_xlfn.IFNA(INDEX($D$2:$D$4001,_xlfn.XMATCH(M$1&amp;"-"&amp;$F589,YEAR($B$2:$B$4001)&amp;"-"&amp;$A$2:$A$4001,0,-1)),L589))</f>
        <v>7</v>
      </c>
      <c r="N589" s="1">
        <f t="shared" si="9"/>
        <v>37032</v>
      </c>
    </row>
    <row r="590" spans="1:14" x14ac:dyDescent="0.35">
      <c r="A590">
        <v>292</v>
      </c>
      <c r="B590" s="2">
        <v>37225</v>
      </c>
      <c r="C590">
        <v>0</v>
      </c>
      <c r="D590">
        <v>0</v>
      </c>
      <c r="F590">
        <v>589</v>
      </c>
      <c r="G590" cm="1">
        <f t="array" ref="G590">_xlfn.IFNA(INDEX($D$2:$D$4001,_xlfn.XMATCH(G$1&amp;"-"&amp;$F590,YEAR($B$2:$B$4001)&amp;"-"&amp;$A$2:$A$4001,0,-1)),9)</f>
        <v>9</v>
      </c>
      <c r="H590" cm="1">
        <f t="array" ref="H590">IF(OR(AND(G590=9,H$1&gt;YEAR($N590))),9,_xlfn.IFNA(INDEX($D$2:$D$4001,_xlfn.XMATCH(H$1&amp;"-"&amp;$F590,YEAR($B$2:$B$4001)&amp;"-"&amp;$A$2:$A$4001,0,-1)),G590))</f>
        <v>5</v>
      </c>
      <c r="I590" cm="1">
        <f t="array" ref="I590">IF(OR(AND(H590=9,I$1&gt;YEAR($N590))),9,_xlfn.IFNA(INDEX($D$2:$D$4001,_xlfn.XMATCH(I$1&amp;"-"&amp;$F590,YEAR($B$2:$B$4001)&amp;"-"&amp;$A$2:$A$4001,0,-1)),H590))</f>
        <v>5</v>
      </c>
      <c r="J590" cm="1">
        <f t="array" ref="J590">IF(OR(AND(I590=9,J$1&gt;YEAR($N590))),9,_xlfn.IFNA(INDEX($D$2:$D$4001,_xlfn.XMATCH(J$1&amp;"-"&amp;$F590,YEAR($B$2:$B$4001)&amp;"-"&amp;$A$2:$A$4001,0,-1)),I590))</f>
        <v>5</v>
      </c>
      <c r="K590" cm="1">
        <f t="array" ref="K590">IF(OR(AND(J590=9,K$1&gt;YEAR($N590))),9,_xlfn.IFNA(INDEX($D$2:$D$4001,_xlfn.XMATCH(K$1&amp;"-"&amp;$F590,YEAR($B$2:$B$4001)&amp;"-"&amp;$A$2:$A$4001,0,-1)),J590))</f>
        <v>5</v>
      </c>
      <c r="L590" cm="1">
        <f t="array" ref="L590">IF(OR(AND(K590=9,L$1&gt;YEAR($N590))),9,_xlfn.IFNA(INDEX($D$2:$D$4001,_xlfn.XMATCH(L$1&amp;"-"&amp;$F590,YEAR($B$2:$B$4001)&amp;"-"&amp;$A$2:$A$4001,0,-1)),K590))</f>
        <v>5</v>
      </c>
      <c r="M590" cm="1">
        <f t="array" ref="M590">IF(OR(AND(L590=9,M$1&gt;YEAR($N590))),9,_xlfn.IFNA(INDEX($D$2:$D$4001,_xlfn.XMATCH(M$1&amp;"-"&amp;$F590,YEAR($B$2:$B$4001)&amp;"-"&amp;$A$2:$A$4001,0,-1)),L590))</f>
        <v>5</v>
      </c>
      <c r="N590" s="1">
        <f t="shared" si="9"/>
        <v>36890</v>
      </c>
    </row>
    <row r="591" spans="1:14" x14ac:dyDescent="0.35">
      <c r="A591">
        <v>293</v>
      </c>
      <c r="B591" s="2">
        <v>36332</v>
      </c>
      <c r="C591">
        <v>4</v>
      </c>
      <c r="D591">
        <v>4</v>
      </c>
      <c r="F591">
        <v>590</v>
      </c>
      <c r="G591" cm="1">
        <f t="array" ref="G591">_xlfn.IFNA(INDEX($D$2:$D$4001,_xlfn.XMATCH(G$1&amp;"-"&amp;$F591,YEAR($B$2:$B$4001)&amp;"-"&amp;$A$2:$A$4001,0,-1)),9)</f>
        <v>9</v>
      </c>
      <c r="H591" cm="1">
        <f t="array" ref="H591">IF(OR(AND(G591=9,H$1&gt;YEAR($N591))),9,_xlfn.IFNA(INDEX($D$2:$D$4001,_xlfn.XMATCH(H$1&amp;"-"&amp;$F591,YEAR($B$2:$B$4001)&amp;"-"&amp;$A$2:$A$4001,0,-1)),G591))</f>
        <v>9</v>
      </c>
      <c r="I591" cm="1">
        <f t="array" ref="I591">IF(OR(AND(H591=9,I$1&gt;YEAR($N591))),9,_xlfn.IFNA(INDEX($D$2:$D$4001,_xlfn.XMATCH(I$1&amp;"-"&amp;$F591,YEAR($B$2:$B$4001)&amp;"-"&amp;$A$2:$A$4001,0,-1)),H591))</f>
        <v>9</v>
      </c>
      <c r="J591" cm="1">
        <f t="array" ref="J591">IF(OR(AND(I591=9,J$1&gt;YEAR($N591))),9,_xlfn.IFNA(INDEX($D$2:$D$4001,_xlfn.XMATCH(J$1&amp;"-"&amp;$F591,YEAR($B$2:$B$4001)&amp;"-"&amp;$A$2:$A$4001,0,-1)),I591))</f>
        <v>9</v>
      </c>
      <c r="K591" cm="1">
        <f t="array" ref="K591">IF(OR(AND(J591=9,K$1&gt;YEAR($N591))),9,_xlfn.IFNA(INDEX($D$2:$D$4001,_xlfn.XMATCH(K$1&amp;"-"&amp;$F591,YEAR($B$2:$B$4001)&amp;"-"&amp;$A$2:$A$4001,0,-1)),J591))</f>
        <v>5</v>
      </c>
      <c r="L591" cm="1">
        <f t="array" ref="L591">IF(OR(AND(K591=9,L$1&gt;YEAR($N591))),9,_xlfn.IFNA(INDEX($D$2:$D$4001,_xlfn.XMATCH(L$1&amp;"-"&amp;$F591,YEAR($B$2:$B$4001)&amp;"-"&amp;$A$2:$A$4001,0,-1)),K591))</f>
        <v>5</v>
      </c>
      <c r="M591" cm="1">
        <f t="array" ref="M591">IF(OR(AND(L591=9,M$1&gt;YEAR($N591))),9,_xlfn.IFNA(INDEX($D$2:$D$4001,_xlfn.XMATCH(M$1&amp;"-"&amp;$F591,YEAR($B$2:$B$4001)&amp;"-"&amp;$A$2:$A$4001,0,-1)),L591))</f>
        <v>5</v>
      </c>
      <c r="N591" s="1">
        <f t="shared" si="9"/>
        <v>37762</v>
      </c>
    </row>
    <row r="592" spans="1:14" x14ac:dyDescent="0.35">
      <c r="A592">
        <v>293</v>
      </c>
      <c r="B592" s="2">
        <v>37559</v>
      </c>
      <c r="C592">
        <v>4</v>
      </c>
      <c r="D592">
        <v>4</v>
      </c>
      <c r="F592">
        <v>591</v>
      </c>
      <c r="G592" cm="1">
        <f t="array" ref="G592">_xlfn.IFNA(INDEX($D$2:$D$4001,_xlfn.XMATCH(G$1&amp;"-"&amp;$F592,YEAR($B$2:$B$4001)&amp;"-"&amp;$A$2:$A$4001,0,-1)),9)</f>
        <v>9</v>
      </c>
      <c r="H592" cm="1">
        <f t="array" ref="H592">IF(OR(AND(G592=9,H$1&gt;YEAR($N592))),9,_xlfn.IFNA(INDEX($D$2:$D$4001,_xlfn.XMATCH(H$1&amp;"-"&amp;$F592,YEAR($B$2:$B$4001)&amp;"-"&amp;$A$2:$A$4001,0,-1)),G592))</f>
        <v>9</v>
      </c>
      <c r="I592" cm="1">
        <f t="array" ref="I592">IF(OR(AND(H592=9,I$1&gt;YEAR($N592))),9,_xlfn.IFNA(INDEX($D$2:$D$4001,_xlfn.XMATCH(I$1&amp;"-"&amp;$F592,YEAR($B$2:$B$4001)&amp;"-"&amp;$A$2:$A$4001,0,-1)),H592))</f>
        <v>2</v>
      </c>
      <c r="J592" cm="1">
        <f t="array" ref="J592">IF(OR(AND(I592=9,J$1&gt;YEAR($N592))),9,_xlfn.IFNA(INDEX($D$2:$D$4001,_xlfn.XMATCH(J$1&amp;"-"&amp;$F592,YEAR($B$2:$B$4001)&amp;"-"&amp;$A$2:$A$4001,0,-1)),I592))</f>
        <v>2</v>
      </c>
      <c r="K592" cm="1">
        <f t="array" ref="K592">IF(OR(AND(J592=9,K$1&gt;YEAR($N592))),9,_xlfn.IFNA(INDEX($D$2:$D$4001,_xlfn.XMATCH(K$1&amp;"-"&amp;$F592,YEAR($B$2:$B$4001)&amp;"-"&amp;$A$2:$A$4001,0,-1)),J592))</f>
        <v>2</v>
      </c>
      <c r="L592" cm="1">
        <f t="array" ref="L592">IF(OR(AND(K592=9,L$1&gt;YEAR($N592))),9,_xlfn.IFNA(INDEX($D$2:$D$4001,_xlfn.XMATCH(L$1&amp;"-"&amp;$F592,YEAR($B$2:$B$4001)&amp;"-"&amp;$A$2:$A$4001,0,-1)),K592))</f>
        <v>2</v>
      </c>
      <c r="M592" cm="1">
        <f t="array" ref="M592">IF(OR(AND(L592=9,M$1&gt;YEAR($N592))),9,_xlfn.IFNA(INDEX($D$2:$D$4001,_xlfn.XMATCH(M$1&amp;"-"&amp;$F592,YEAR($B$2:$B$4001)&amp;"-"&amp;$A$2:$A$4001,0,-1)),L592))</f>
        <v>2</v>
      </c>
      <c r="N592" s="1">
        <f t="shared" si="9"/>
        <v>37071</v>
      </c>
    </row>
    <row r="593" spans="1:14" x14ac:dyDescent="0.35">
      <c r="A593">
        <v>293</v>
      </c>
      <c r="B593" s="2">
        <v>37985</v>
      </c>
      <c r="C593">
        <v>4</v>
      </c>
      <c r="D593">
        <v>4</v>
      </c>
      <c r="F593">
        <v>592</v>
      </c>
      <c r="G593" cm="1">
        <f t="array" ref="G593">_xlfn.IFNA(INDEX($D$2:$D$4001,_xlfn.XMATCH(G$1&amp;"-"&amp;$F593,YEAR($B$2:$B$4001)&amp;"-"&amp;$A$2:$A$4001,0,-1)),9)</f>
        <v>4</v>
      </c>
      <c r="H593" cm="1">
        <f t="array" ref="H593">IF(OR(AND(G593=9,H$1&gt;YEAR($N593))),9,_xlfn.IFNA(INDEX($D$2:$D$4001,_xlfn.XMATCH(H$1&amp;"-"&amp;$F593,YEAR($B$2:$B$4001)&amp;"-"&amp;$A$2:$A$4001,0,-1)),G593))</f>
        <v>4</v>
      </c>
      <c r="I593" cm="1">
        <f t="array" ref="I593">IF(OR(AND(H593=9,I$1&gt;YEAR($N593))),9,_xlfn.IFNA(INDEX($D$2:$D$4001,_xlfn.XMATCH(I$1&amp;"-"&amp;$F593,YEAR($B$2:$B$4001)&amp;"-"&amp;$A$2:$A$4001,0,-1)),H593))</f>
        <v>4</v>
      </c>
      <c r="J593" cm="1">
        <f t="array" ref="J593">IF(OR(AND(I593=9,J$1&gt;YEAR($N593))),9,_xlfn.IFNA(INDEX($D$2:$D$4001,_xlfn.XMATCH(J$1&amp;"-"&amp;$F593,YEAR($B$2:$B$4001)&amp;"-"&amp;$A$2:$A$4001,0,-1)),I593))</f>
        <v>4</v>
      </c>
      <c r="K593" cm="1">
        <f t="array" ref="K593">IF(OR(AND(J593=9,K$1&gt;YEAR($N593))),9,_xlfn.IFNA(INDEX($D$2:$D$4001,_xlfn.XMATCH(K$1&amp;"-"&amp;$F593,YEAR($B$2:$B$4001)&amp;"-"&amp;$A$2:$A$4001,0,-1)),J593))</f>
        <v>4</v>
      </c>
      <c r="L593" cm="1">
        <f t="array" ref="L593">IF(OR(AND(K593=9,L$1&gt;YEAR($N593))),9,_xlfn.IFNA(INDEX($D$2:$D$4001,_xlfn.XMATCH(L$1&amp;"-"&amp;$F593,YEAR($B$2:$B$4001)&amp;"-"&amp;$A$2:$A$4001,0,-1)),K593))</f>
        <v>0</v>
      </c>
      <c r="M593" cm="1">
        <f t="array" ref="M593">IF(OR(AND(L593=9,M$1&gt;YEAR($N593))),9,_xlfn.IFNA(INDEX($D$2:$D$4001,_xlfn.XMATCH(M$1&amp;"-"&amp;$F593,YEAR($B$2:$B$4001)&amp;"-"&amp;$A$2:$A$4001,0,-1)),L593))</f>
        <v>0</v>
      </c>
      <c r="N593" s="1">
        <f t="shared" si="9"/>
        <v>36310</v>
      </c>
    </row>
    <row r="594" spans="1:14" x14ac:dyDescent="0.35">
      <c r="A594">
        <v>293</v>
      </c>
      <c r="B594" s="2">
        <v>38129</v>
      </c>
      <c r="C594">
        <v>5</v>
      </c>
      <c r="D594">
        <v>5</v>
      </c>
      <c r="F594">
        <v>593</v>
      </c>
      <c r="G594" cm="1">
        <f t="array" ref="G594">_xlfn.IFNA(INDEX($D$2:$D$4001,_xlfn.XMATCH(G$1&amp;"-"&amp;$F594,YEAR($B$2:$B$4001)&amp;"-"&amp;$A$2:$A$4001,0,-1)),9)</f>
        <v>4</v>
      </c>
      <c r="H594" cm="1">
        <f t="array" ref="H594">IF(OR(AND(G594=9,H$1&gt;YEAR($N594))),9,_xlfn.IFNA(INDEX($D$2:$D$4001,_xlfn.XMATCH(H$1&amp;"-"&amp;$F594,YEAR($B$2:$B$4001)&amp;"-"&amp;$A$2:$A$4001,0,-1)),G594))</f>
        <v>4</v>
      </c>
      <c r="I594" cm="1">
        <f t="array" ref="I594">IF(OR(AND(H594=9,I$1&gt;YEAR($N594))),9,_xlfn.IFNA(INDEX($D$2:$D$4001,_xlfn.XMATCH(I$1&amp;"-"&amp;$F594,YEAR($B$2:$B$4001)&amp;"-"&amp;$A$2:$A$4001,0,-1)),H594))</f>
        <v>4</v>
      </c>
      <c r="J594" cm="1">
        <f t="array" ref="J594">IF(OR(AND(I594=9,J$1&gt;YEAR($N594))),9,_xlfn.IFNA(INDEX($D$2:$D$4001,_xlfn.XMATCH(J$1&amp;"-"&amp;$F594,YEAR($B$2:$B$4001)&amp;"-"&amp;$A$2:$A$4001,0,-1)),I594))</f>
        <v>5</v>
      </c>
      <c r="K594" cm="1">
        <f t="array" ref="K594">IF(OR(AND(J594=9,K$1&gt;YEAR($N594))),9,_xlfn.IFNA(INDEX($D$2:$D$4001,_xlfn.XMATCH(K$1&amp;"-"&amp;$F594,YEAR($B$2:$B$4001)&amp;"-"&amp;$A$2:$A$4001,0,-1)),J594))</f>
        <v>5</v>
      </c>
      <c r="L594" cm="1">
        <f t="array" ref="L594">IF(OR(AND(K594=9,L$1&gt;YEAR($N594))),9,_xlfn.IFNA(INDEX($D$2:$D$4001,_xlfn.XMATCH(L$1&amp;"-"&amp;$F594,YEAR($B$2:$B$4001)&amp;"-"&amp;$A$2:$A$4001,0,-1)),K594))</f>
        <v>5</v>
      </c>
      <c r="M594" cm="1">
        <f t="array" ref="M594">IF(OR(AND(L594=9,M$1&gt;YEAR($N594))),9,_xlfn.IFNA(INDEX($D$2:$D$4001,_xlfn.XMATCH(M$1&amp;"-"&amp;$F594,YEAR($B$2:$B$4001)&amp;"-"&amp;$A$2:$A$4001,0,-1)),L594))</f>
        <v>5</v>
      </c>
      <c r="N594" s="1">
        <f t="shared" si="9"/>
        <v>36524</v>
      </c>
    </row>
    <row r="595" spans="1:14" x14ac:dyDescent="0.35">
      <c r="A595">
        <v>294</v>
      </c>
      <c r="B595" s="2">
        <v>37489</v>
      </c>
      <c r="C595">
        <v>5</v>
      </c>
      <c r="D595">
        <v>5</v>
      </c>
      <c r="F595">
        <v>594</v>
      </c>
      <c r="G595" cm="1">
        <f t="array" ref="G595">_xlfn.IFNA(INDEX($D$2:$D$4001,_xlfn.XMATCH(G$1&amp;"-"&amp;$F595,YEAR($B$2:$B$4001)&amp;"-"&amp;$A$2:$A$4001,0,-1)),9)</f>
        <v>9</v>
      </c>
      <c r="H595" cm="1">
        <f t="array" ref="H595">IF(OR(AND(G595=9,H$1&gt;YEAR($N595))),9,_xlfn.IFNA(INDEX($D$2:$D$4001,_xlfn.XMATCH(H$1&amp;"-"&amp;$F595,YEAR($B$2:$B$4001)&amp;"-"&amp;$A$2:$A$4001,0,-1)),G595))</f>
        <v>3</v>
      </c>
      <c r="I595" cm="1">
        <f t="array" ref="I595">IF(OR(AND(H595=9,I$1&gt;YEAR($N595))),9,_xlfn.IFNA(INDEX($D$2:$D$4001,_xlfn.XMATCH(I$1&amp;"-"&amp;$F595,YEAR($B$2:$B$4001)&amp;"-"&amp;$A$2:$A$4001,0,-1)),H595))</f>
        <v>3</v>
      </c>
      <c r="J595" cm="1">
        <f t="array" ref="J595">IF(OR(AND(I595=9,J$1&gt;YEAR($N595))),9,_xlfn.IFNA(INDEX($D$2:$D$4001,_xlfn.XMATCH(J$1&amp;"-"&amp;$F595,YEAR($B$2:$B$4001)&amp;"-"&amp;$A$2:$A$4001,0,-1)),I595))</f>
        <v>3</v>
      </c>
      <c r="K595" cm="1">
        <f t="array" ref="K595">IF(OR(AND(J595=9,K$1&gt;YEAR($N595))),9,_xlfn.IFNA(INDEX($D$2:$D$4001,_xlfn.XMATCH(K$1&amp;"-"&amp;$F595,YEAR($B$2:$B$4001)&amp;"-"&amp;$A$2:$A$4001,0,-1)),J595))</f>
        <v>3</v>
      </c>
      <c r="L595" cm="1">
        <f t="array" ref="L595">IF(OR(AND(K595=9,L$1&gt;YEAR($N595))),9,_xlfn.IFNA(INDEX($D$2:$D$4001,_xlfn.XMATCH(L$1&amp;"-"&amp;$F595,YEAR($B$2:$B$4001)&amp;"-"&amp;$A$2:$A$4001,0,-1)),K595))</f>
        <v>3</v>
      </c>
      <c r="M595" cm="1">
        <f t="array" ref="M595">IF(OR(AND(L595=9,M$1&gt;YEAR($N595))),9,_xlfn.IFNA(INDEX($D$2:$D$4001,_xlfn.XMATCH(M$1&amp;"-"&amp;$F595,YEAR($B$2:$B$4001)&amp;"-"&amp;$A$2:$A$4001,0,-1)),L595))</f>
        <v>3</v>
      </c>
      <c r="N595" s="1">
        <f t="shared" si="9"/>
        <v>36674</v>
      </c>
    </row>
    <row r="596" spans="1:14" x14ac:dyDescent="0.35">
      <c r="A596">
        <v>294</v>
      </c>
      <c r="B596" s="2">
        <v>37489</v>
      </c>
      <c r="C596">
        <v>7</v>
      </c>
      <c r="D596">
        <v>7</v>
      </c>
      <c r="F596">
        <v>595</v>
      </c>
      <c r="G596" cm="1">
        <f t="array" ref="G596">_xlfn.IFNA(INDEX($D$2:$D$4001,_xlfn.XMATCH(G$1&amp;"-"&amp;$F596,YEAR($B$2:$B$4001)&amp;"-"&amp;$A$2:$A$4001,0,-1)),9)</f>
        <v>9</v>
      </c>
      <c r="H596" cm="1">
        <f t="array" ref="H596">IF(OR(AND(G596=9,H$1&gt;YEAR($N596))),9,_xlfn.IFNA(INDEX($D$2:$D$4001,_xlfn.XMATCH(H$1&amp;"-"&amp;$F596,YEAR($B$2:$B$4001)&amp;"-"&amp;$A$2:$A$4001,0,-1)),G596))</f>
        <v>4</v>
      </c>
      <c r="I596" cm="1">
        <f t="array" ref="I596">IF(OR(AND(H596=9,I$1&gt;YEAR($N596))),9,_xlfn.IFNA(INDEX($D$2:$D$4001,_xlfn.XMATCH(I$1&amp;"-"&amp;$F596,YEAR($B$2:$B$4001)&amp;"-"&amp;$A$2:$A$4001,0,-1)),H596))</f>
        <v>4</v>
      </c>
      <c r="J596" cm="1">
        <f t="array" ref="J596">IF(OR(AND(I596=9,J$1&gt;YEAR($N596))),9,_xlfn.IFNA(INDEX($D$2:$D$4001,_xlfn.XMATCH(J$1&amp;"-"&amp;$F596,YEAR($B$2:$B$4001)&amp;"-"&amp;$A$2:$A$4001,0,-1)),I596))</f>
        <v>4</v>
      </c>
      <c r="K596" cm="1">
        <f t="array" ref="K596">IF(OR(AND(J596=9,K$1&gt;YEAR($N596))),9,_xlfn.IFNA(INDEX($D$2:$D$4001,_xlfn.XMATCH(K$1&amp;"-"&amp;$F596,YEAR($B$2:$B$4001)&amp;"-"&amp;$A$2:$A$4001,0,-1)),J596))</f>
        <v>4</v>
      </c>
      <c r="L596" cm="1">
        <f t="array" ref="L596">IF(OR(AND(K596=9,L$1&gt;YEAR($N596))),9,_xlfn.IFNA(INDEX($D$2:$D$4001,_xlfn.XMATCH(L$1&amp;"-"&amp;$F596,YEAR($B$2:$B$4001)&amp;"-"&amp;$A$2:$A$4001,0,-1)),K596))</f>
        <v>4</v>
      </c>
      <c r="M596" cm="1">
        <f t="array" ref="M596">IF(OR(AND(L596=9,M$1&gt;YEAR($N596))),9,_xlfn.IFNA(INDEX($D$2:$D$4001,_xlfn.XMATCH(M$1&amp;"-"&amp;$F596,YEAR($B$2:$B$4001)&amp;"-"&amp;$A$2:$A$4001,0,-1)),L596))</f>
        <v>4</v>
      </c>
      <c r="N596" s="1">
        <f t="shared" si="9"/>
        <v>36759</v>
      </c>
    </row>
    <row r="597" spans="1:14" x14ac:dyDescent="0.35">
      <c r="A597">
        <v>294</v>
      </c>
      <c r="B597" s="2">
        <v>37520</v>
      </c>
      <c r="C597">
        <v>5</v>
      </c>
      <c r="D597">
        <v>5</v>
      </c>
      <c r="F597">
        <v>596</v>
      </c>
      <c r="G597" cm="1">
        <f t="array" ref="G597">_xlfn.IFNA(INDEX($D$2:$D$4001,_xlfn.XMATCH(G$1&amp;"-"&amp;$F597,YEAR($B$2:$B$4001)&amp;"-"&amp;$A$2:$A$4001,0,-1)),9)</f>
        <v>7</v>
      </c>
      <c r="H597" cm="1">
        <f t="array" ref="H597">IF(OR(AND(G597=9,H$1&gt;YEAR($N597))),9,_xlfn.IFNA(INDEX($D$2:$D$4001,_xlfn.XMATCH(H$1&amp;"-"&amp;$F597,YEAR($B$2:$B$4001)&amp;"-"&amp;$A$2:$A$4001,0,-1)),G597))</f>
        <v>6</v>
      </c>
      <c r="I597" cm="1">
        <f t="array" ref="I597">IF(OR(AND(H597=9,I$1&gt;YEAR($N597))),9,_xlfn.IFNA(INDEX($D$2:$D$4001,_xlfn.XMATCH(I$1&amp;"-"&amp;$F597,YEAR($B$2:$B$4001)&amp;"-"&amp;$A$2:$A$4001,0,-1)),H597))</f>
        <v>6</v>
      </c>
      <c r="J597" cm="1">
        <f t="array" ref="J597">IF(OR(AND(I597=9,J$1&gt;YEAR($N597))),9,_xlfn.IFNA(INDEX($D$2:$D$4001,_xlfn.XMATCH(J$1&amp;"-"&amp;$F597,YEAR($B$2:$B$4001)&amp;"-"&amp;$A$2:$A$4001,0,-1)),I597))</f>
        <v>6</v>
      </c>
      <c r="K597" cm="1">
        <f t="array" ref="K597">IF(OR(AND(J597=9,K$1&gt;YEAR($N597))),9,_xlfn.IFNA(INDEX($D$2:$D$4001,_xlfn.XMATCH(K$1&amp;"-"&amp;$F597,YEAR($B$2:$B$4001)&amp;"-"&amp;$A$2:$A$4001,0,-1)),J597))</f>
        <v>6</v>
      </c>
      <c r="L597" cm="1">
        <f t="array" ref="L597">IF(OR(AND(K597=9,L$1&gt;YEAR($N597))),9,_xlfn.IFNA(INDEX($D$2:$D$4001,_xlfn.XMATCH(L$1&amp;"-"&amp;$F597,YEAR($B$2:$B$4001)&amp;"-"&amp;$A$2:$A$4001,0,-1)),K597))</f>
        <v>6</v>
      </c>
      <c r="M597" cm="1">
        <f t="array" ref="M597">IF(OR(AND(L597=9,M$1&gt;YEAR($N597))),9,_xlfn.IFNA(INDEX($D$2:$D$4001,_xlfn.XMATCH(M$1&amp;"-"&amp;$F597,YEAR($B$2:$B$4001)&amp;"-"&amp;$A$2:$A$4001,0,-1)),L597))</f>
        <v>6</v>
      </c>
      <c r="N597" s="1">
        <f t="shared" si="9"/>
        <v>36524</v>
      </c>
    </row>
    <row r="598" spans="1:14" x14ac:dyDescent="0.35">
      <c r="A598">
        <v>294</v>
      </c>
      <c r="B598" s="2">
        <v>37946</v>
      </c>
      <c r="C598">
        <v>0</v>
      </c>
      <c r="D598">
        <v>0</v>
      </c>
      <c r="F598">
        <v>597</v>
      </c>
      <c r="G598" cm="1">
        <f t="array" ref="G598">_xlfn.IFNA(INDEX($D$2:$D$4001,_xlfn.XMATCH(G$1&amp;"-"&amp;$F598,YEAR($B$2:$B$4001)&amp;"-"&amp;$A$2:$A$4001,0,-1)),9)</f>
        <v>4</v>
      </c>
      <c r="H598" cm="1">
        <f t="array" ref="H598">IF(OR(AND(G598=9,H$1&gt;YEAR($N598))),9,_xlfn.IFNA(INDEX($D$2:$D$4001,_xlfn.XMATCH(H$1&amp;"-"&amp;$F598,YEAR($B$2:$B$4001)&amp;"-"&amp;$A$2:$A$4001,0,-1)),G598))</f>
        <v>4</v>
      </c>
      <c r="I598" cm="1">
        <f t="array" ref="I598">IF(OR(AND(H598=9,I$1&gt;YEAR($N598))),9,_xlfn.IFNA(INDEX($D$2:$D$4001,_xlfn.XMATCH(I$1&amp;"-"&amp;$F598,YEAR($B$2:$B$4001)&amp;"-"&amp;$A$2:$A$4001,0,-1)),H598))</f>
        <v>0</v>
      </c>
      <c r="J598" cm="1">
        <f t="array" ref="J598">IF(OR(AND(I598=9,J$1&gt;YEAR($N598))),9,_xlfn.IFNA(INDEX($D$2:$D$4001,_xlfn.XMATCH(J$1&amp;"-"&amp;$F598,YEAR($B$2:$B$4001)&amp;"-"&amp;$A$2:$A$4001,0,-1)),I598))</f>
        <v>0</v>
      </c>
      <c r="K598" cm="1">
        <f t="array" ref="K598">IF(OR(AND(J598=9,K$1&gt;YEAR($N598))),9,_xlfn.IFNA(INDEX($D$2:$D$4001,_xlfn.XMATCH(K$1&amp;"-"&amp;$F598,YEAR($B$2:$B$4001)&amp;"-"&amp;$A$2:$A$4001,0,-1)),J598))</f>
        <v>0</v>
      </c>
      <c r="L598" cm="1">
        <f t="array" ref="L598">IF(OR(AND(K598=9,L$1&gt;YEAR($N598))),9,_xlfn.IFNA(INDEX($D$2:$D$4001,_xlfn.XMATCH(L$1&amp;"-"&amp;$F598,YEAR($B$2:$B$4001)&amp;"-"&amp;$A$2:$A$4001,0,-1)),K598))</f>
        <v>0</v>
      </c>
      <c r="M598" cm="1">
        <f t="array" ref="M598">IF(OR(AND(L598=9,M$1&gt;YEAR($N598))),9,_xlfn.IFNA(INDEX($D$2:$D$4001,_xlfn.XMATCH(M$1&amp;"-"&amp;$F598,YEAR($B$2:$B$4001)&amp;"-"&amp;$A$2:$A$4001,0,-1)),L598))</f>
        <v>0</v>
      </c>
      <c r="N598" s="1">
        <f t="shared" si="9"/>
        <v>36301</v>
      </c>
    </row>
    <row r="599" spans="1:14" x14ac:dyDescent="0.35">
      <c r="A599">
        <v>295</v>
      </c>
      <c r="B599" s="2">
        <v>37041</v>
      </c>
      <c r="C599">
        <v>6</v>
      </c>
      <c r="D599">
        <v>6</v>
      </c>
      <c r="F599">
        <v>598</v>
      </c>
      <c r="G599" cm="1">
        <f t="array" ref="G599">_xlfn.IFNA(INDEX($D$2:$D$4001,_xlfn.XMATCH(G$1&amp;"-"&amp;$F599,YEAR($B$2:$B$4001)&amp;"-"&amp;$A$2:$A$4001,0,-1)),9)</f>
        <v>9</v>
      </c>
      <c r="H599" cm="1">
        <f t="array" ref="H599">IF(OR(AND(G599=9,H$1&gt;YEAR($N599))),9,_xlfn.IFNA(INDEX($D$2:$D$4001,_xlfn.XMATCH(H$1&amp;"-"&amp;$F599,YEAR($B$2:$B$4001)&amp;"-"&amp;$A$2:$A$4001,0,-1)),G599))</f>
        <v>9</v>
      </c>
      <c r="I599" cm="1">
        <f t="array" ref="I599">IF(OR(AND(H599=9,I$1&gt;YEAR($N599))),9,_xlfn.IFNA(INDEX($D$2:$D$4001,_xlfn.XMATCH(I$1&amp;"-"&amp;$F599,YEAR($B$2:$B$4001)&amp;"-"&amp;$A$2:$A$4001,0,-1)),H599))</f>
        <v>8</v>
      </c>
      <c r="J599" cm="1">
        <f t="array" ref="J599">IF(OR(AND(I599=9,J$1&gt;YEAR($N599))),9,_xlfn.IFNA(INDEX($D$2:$D$4001,_xlfn.XMATCH(J$1&amp;"-"&amp;$F599,YEAR($B$2:$B$4001)&amp;"-"&amp;$A$2:$A$4001,0,-1)),I599))</f>
        <v>8</v>
      </c>
      <c r="K599" cm="1">
        <f t="array" ref="K599">IF(OR(AND(J599=9,K$1&gt;YEAR($N599))),9,_xlfn.IFNA(INDEX($D$2:$D$4001,_xlfn.XMATCH(K$1&amp;"-"&amp;$F599,YEAR($B$2:$B$4001)&amp;"-"&amp;$A$2:$A$4001,0,-1)),J599))</f>
        <v>8</v>
      </c>
      <c r="L599" cm="1">
        <f t="array" ref="L599">IF(OR(AND(K599=9,L$1&gt;YEAR($N599))),9,_xlfn.IFNA(INDEX($D$2:$D$4001,_xlfn.XMATCH(L$1&amp;"-"&amp;$F599,YEAR($B$2:$B$4001)&amp;"-"&amp;$A$2:$A$4001,0,-1)),K599))</f>
        <v>8</v>
      </c>
      <c r="M599" cm="1">
        <f t="array" ref="M599">IF(OR(AND(L599=9,M$1&gt;YEAR($N599))),9,_xlfn.IFNA(INDEX($D$2:$D$4001,_xlfn.XMATCH(M$1&amp;"-"&amp;$F599,YEAR($B$2:$B$4001)&amp;"-"&amp;$A$2:$A$4001,0,-1)),L599))</f>
        <v>8</v>
      </c>
      <c r="N599" s="1">
        <f t="shared" si="9"/>
        <v>37041</v>
      </c>
    </row>
    <row r="600" spans="1:14" x14ac:dyDescent="0.35">
      <c r="A600">
        <v>295</v>
      </c>
      <c r="B600" s="2">
        <v>37093</v>
      </c>
      <c r="C600">
        <v>7</v>
      </c>
      <c r="D600">
        <v>7</v>
      </c>
      <c r="F600">
        <v>599</v>
      </c>
      <c r="G600" cm="1">
        <f t="array" ref="G600">_xlfn.IFNA(INDEX($D$2:$D$4001,_xlfn.XMATCH(G$1&amp;"-"&amp;$F600,YEAR($B$2:$B$4001)&amp;"-"&amp;$A$2:$A$4001,0,-1)),9)</f>
        <v>9</v>
      </c>
      <c r="H600" cm="1">
        <f t="array" ref="H600">IF(OR(AND(G600=9,H$1&gt;YEAR($N600))),9,_xlfn.IFNA(INDEX($D$2:$D$4001,_xlfn.XMATCH(H$1&amp;"-"&amp;$F600,YEAR($B$2:$B$4001)&amp;"-"&amp;$A$2:$A$4001,0,-1)),G600))</f>
        <v>9</v>
      </c>
      <c r="I600" cm="1">
        <f t="array" ref="I600">IF(OR(AND(H600=9,I$1&gt;YEAR($N600))),9,_xlfn.IFNA(INDEX($D$2:$D$4001,_xlfn.XMATCH(I$1&amp;"-"&amp;$F600,YEAR($B$2:$B$4001)&amp;"-"&amp;$A$2:$A$4001,0,-1)),H600))</f>
        <v>9</v>
      </c>
      <c r="J600" cm="1">
        <f t="array" ref="J600">IF(OR(AND(I600=9,J$1&gt;YEAR($N600))),9,_xlfn.IFNA(INDEX($D$2:$D$4001,_xlfn.XMATCH(J$1&amp;"-"&amp;$F600,YEAR($B$2:$B$4001)&amp;"-"&amp;$A$2:$A$4001,0,-1)),I600))</f>
        <v>9</v>
      </c>
      <c r="K600" cm="1">
        <f t="array" ref="K600">IF(OR(AND(J600=9,K$1&gt;YEAR($N600))),9,_xlfn.IFNA(INDEX($D$2:$D$4001,_xlfn.XMATCH(K$1&amp;"-"&amp;$F600,YEAR($B$2:$B$4001)&amp;"-"&amp;$A$2:$A$4001,0,-1)),J600))</f>
        <v>3</v>
      </c>
      <c r="L600" cm="1">
        <f t="array" ref="L600">IF(OR(AND(K600=9,L$1&gt;YEAR($N600))),9,_xlfn.IFNA(INDEX($D$2:$D$4001,_xlfn.XMATCH(L$1&amp;"-"&amp;$F600,YEAR($B$2:$B$4001)&amp;"-"&amp;$A$2:$A$4001,0,-1)),K600))</f>
        <v>3</v>
      </c>
      <c r="M600" cm="1">
        <f t="array" ref="M600">IF(OR(AND(L600=9,M$1&gt;YEAR($N600))),9,_xlfn.IFNA(INDEX($D$2:$D$4001,_xlfn.XMATCH(M$1&amp;"-"&amp;$F600,YEAR($B$2:$B$4001)&amp;"-"&amp;$A$2:$A$4001,0,-1)),L600))</f>
        <v>3</v>
      </c>
      <c r="N600" s="1">
        <f t="shared" si="9"/>
        <v>37764</v>
      </c>
    </row>
    <row r="601" spans="1:14" x14ac:dyDescent="0.35">
      <c r="A601">
        <v>295</v>
      </c>
      <c r="B601" s="2">
        <v>37093</v>
      </c>
      <c r="C601">
        <v>8</v>
      </c>
      <c r="D601">
        <v>8</v>
      </c>
      <c r="F601">
        <v>600</v>
      </c>
      <c r="G601" cm="1">
        <f t="array" ref="G601">_xlfn.IFNA(INDEX($D$2:$D$4001,_xlfn.XMATCH(G$1&amp;"-"&amp;$F601,YEAR($B$2:$B$4001)&amp;"-"&amp;$A$2:$A$4001,0,-1)),9)</f>
        <v>9</v>
      </c>
      <c r="H601" cm="1">
        <f t="array" ref="H601">IF(OR(AND(G601=9,H$1&gt;YEAR($N601))),9,_xlfn.IFNA(INDEX($D$2:$D$4001,_xlfn.XMATCH(H$1&amp;"-"&amp;$F601,YEAR($B$2:$B$4001)&amp;"-"&amp;$A$2:$A$4001,0,-1)),G601))</f>
        <v>9</v>
      </c>
      <c r="I601" cm="1">
        <f t="array" ref="I601">IF(OR(AND(H601=9,I$1&gt;YEAR($N601))),9,_xlfn.IFNA(INDEX($D$2:$D$4001,_xlfn.XMATCH(I$1&amp;"-"&amp;$F601,YEAR($B$2:$B$4001)&amp;"-"&amp;$A$2:$A$4001,0,-1)),H601))</f>
        <v>9</v>
      </c>
      <c r="J601" cm="1">
        <f t="array" ref="J601">IF(OR(AND(I601=9,J$1&gt;YEAR($N601))),9,_xlfn.IFNA(INDEX($D$2:$D$4001,_xlfn.XMATCH(J$1&amp;"-"&amp;$F601,YEAR($B$2:$B$4001)&amp;"-"&amp;$A$2:$A$4001,0,-1)),I601))</f>
        <v>9</v>
      </c>
      <c r="K601" cm="1">
        <f t="array" ref="K601">IF(OR(AND(J601=9,K$1&gt;YEAR($N601))),9,_xlfn.IFNA(INDEX($D$2:$D$4001,_xlfn.XMATCH(K$1&amp;"-"&amp;$F601,YEAR($B$2:$B$4001)&amp;"-"&amp;$A$2:$A$4001,0,-1)),J601))</f>
        <v>3</v>
      </c>
      <c r="L601" cm="1">
        <f t="array" ref="L601">IF(OR(AND(K601=9,L$1&gt;YEAR($N601))),9,_xlfn.IFNA(INDEX($D$2:$D$4001,_xlfn.XMATCH(L$1&amp;"-"&amp;$F601,YEAR($B$2:$B$4001)&amp;"-"&amp;$A$2:$A$4001,0,-1)),K601))</f>
        <v>3</v>
      </c>
      <c r="M601" cm="1">
        <f t="array" ref="M601">IF(OR(AND(L601=9,M$1&gt;YEAR($N601))),9,_xlfn.IFNA(INDEX($D$2:$D$4001,_xlfn.XMATCH(M$1&amp;"-"&amp;$F601,YEAR($B$2:$B$4001)&amp;"-"&amp;$A$2:$A$4001,0,-1)),L601))</f>
        <v>3</v>
      </c>
      <c r="N601" s="1">
        <f t="shared" si="9"/>
        <v>37770</v>
      </c>
    </row>
    <row r="602" spans="1:14" x14ac:dyDescent="0.35">
      <c r="A602">
        <v>295</v>
      </c>
      <c r="B602" s="2">
        <v>37985</v>
      </c>
      <c r="C602">
        <v>7</v>
      </c>
      <c r="D602">
        <v>8</v>
      </c>
      <c r="F602">
        <v>601</v>
      </c>
      <c r="G602" cm="1">
        <f t="array" ref="G602">_xlfn.IFNA(INDEX($D$2:$D$4001,_xlfn.XMATCH(G$1&amp;"-"&amp;$F602,YEAR($B$2:$B$4001)&amp;"-"&amp;$A$2:$A$4001,0,-1)),9)</f>
        <v>9</v>
      </c>
      <c r="H602" cm="1">
        <f t="array" ref="H602">IF(OR(AND(G602=9,H$1&gt;YEAR($N602))),9,_xlfn.IFNA(INDEX($D$2:$D$4001,_xlfn.XMATCH(H$1&amp;"-"&amp;$F602,YEAR($B$2:$B$4001)&amp;"-"&amp;$A$2:$A$4001,0,-1)),G602))</f>
        <v>9</v>
      </c>
      <c r="I602" cm="1">
        <f t="array" ref="I602">IF(OR(AND(H602=9,I$1&gt;YEAR($N602))),9,_xlfn.IFNA(INDEX($D$2:$D$4001,_xlfn.XMATCH(I$1&amp;"-"&amp;$F602,YEAR($B$2:$B$4001)&amp;"-"&amp;$A$2:$A$4001,0,-1)),H602))</f>
        <v>9</v>
      </c>
      <c r="J602" cm="1">
        <f t="array" ref="J602">IF(OR(AND(I602=9,J$1&gt;YEAR($N602))),9,_xlfn.IFNA(INDEX($D$2:$D$4001,_xlfn.XMATCH(J$1&amp;"-"&amp;$F602,YEAR($B$2:$B$4001)&amp;"-"&amp;$A$2:$A$4001,0,-1)),I602))</f>
        <v>4</v>
      </c>
      <c r="K602" cm="1">
        <f t="array" ref="K602">IF(OR(AND(J602=9,K$1&gt;YEAR($N602))),9,_xlfn.IFNA(INDEX($D$2:$D$4001,_xlfn.XMATCH(K$1&amp;"-"&amp;$F602,YEAR($B$2:$B$4001)&amp;"-"&amp;$A$2:$A$4001,0,-1)),J602))</f>
        <v>4</v>
      </c>
      <c r="L602" cm="1">
        <f t="array" ref="L602">IF(OR(AND(K602=9,L$1&gt;YEAR($N602))),9,_xlfn.IFNA(INDEX($D$2:$D$4001,_xlfn.XMATCH(L$1&amp;"-"&amp;$F602,YEAR($B$2:$B$4001)&amp;"-"&amp;$A$2:$A$4001,0,-1)),K602))</f>
        <v>4</v>
      </c>
      <c r="M602" cm="1">
        <f t="array" ref="M602">IF(OR(AND(L602=9,M$1&gt;YEAR($N602))),9,_xlfn.IFNA(INDEX($D$2:$D$4001,_xlfn.XMATCH(M$1&amp;"-"&amp;$F602,YEAR($B$2:$B$4001)&amp;"-"&amp;$A$2:$A$4001,0,-1)),L602))</f>
        <v>4</v>
      </c>
      <c r="N602" s="1">
        <f t="shared" si="9"/>
        <v>37620</v>
      </c>
    </row>
    <row r="603" spans="1:14" x14ac:dyDescent="0.35">
      <c r="A603">
        <v>295</v>
      </c>
      <c r="B603" s="2">
        <v>38128</v>
      </c>
      <c r="C603">
        <v>7</v>
      </c>
      <c r="D603">
        <v>8</v>
      </c>
      <c r="F603">
        <v>602</v>
      </c>
      <c r="G603" cm="1">
        <f t="array" ref="G603">_xlfn.IFNA(INDEX($D$2:$D$4001,_xlfn.XMATCH(G$1&amp;"-"&amp;$F603,YEAR($B$2:$B$4001)&amp;"-"&amp;$A$2:$A$4001,0,-1)),9)</f>
        <v>9</v>
      </c>
      <c r="H603" cm="1">
        <f t="array" ref="H603">IF(OR(AND(G603=9,H$1&gt;YEAR($N603))),9,_xlfn.IFNA(INDEX($D$2:$D$4001,_xlfn.XMATCH(H$1&amp;"-"&amp;$F603,YEAR($B$2:$B$4001)&amp;"-"&amp;$A$2:$A$4001,0,-1)),G603))</f>
        <v>5</v>
      </c>
      <c r="I603" cm="1">
        <f t="array" ref="I603">IF(OR(AND(H603=9,I$1&gt;YEAR($N603))),9,_xlfn.IFNA(INDEX($D$2:$D$4001,_xlfn.XMATCH(I$1&amp;"-"&amp;$F603,YEAR($B$2:$B$4001)&amp;"-"&amp;$A$2:$A$4001,0,-1)),H603))</f>
        <v>4</v>
      </c>
      <c r="J603" cm="1">
        <f t="array" ref="J603">IF(OR(AND(I603=9,J$1&gt;YEAR($N603))),9,_xlfn.IFNA(INDEX($D$2:$D$4001,_xlfn.XMATCH(J$1&amp;"-"&amp;$F603,YEAR($B$2:$B$4001)&amp;"-"&amp;$A$2:$A$4001,0,-1)),I603))</f>
        <v>4</v>
      </c>
      <c r="K603" cm="1">
        <f t="array" ref="K603">IF(OR(AND(J603=9,K$1&gt;YEAR($N603))),9,_xlfn.IFNA(INDEX($D$2:$D$4001,_xlfn.XMATCH(K$1&amp;"-"&amp;$F603,YEAR($B$2:$B$4001)&amp;"-"&amp;$A$2:$A$4001,0,-1)),J603))</f>
        <v>4</v>
      </c>
      <c r="L603" cm="1">
        <f t="array" ref="L603">IF(OR(AND(K603=9,L$1&gt;YEAR($N603))),9,_xlfn.IFNA(INDEX($D$2:$D$4001,_xlfn.XMATCH(L$1&amp;"-"&amp;$F603,YEAR($B$2:$B$4001)&amp;"-"&amp;$A$2:$A$4001,0,-1)),K603))</f>
        <v>4</v>
      </c>
      <c r="M603" cm="1">
        <f t="array" ref="M603">IF(OR(AND(L603=9,M$1&gt;YEAR($N603))),9,_xlfn.IFNA(INDEX($D$2:$D$4001,_xlfn.XMATCH(M$1&amp;"-"&amp;$F603,YEAR($B$2:$B$4001)&amp;"-"&amp;$A$2:$A$4001,0,-1)),L603))</f>
        <v>4</v>
      </c>
      <c r="N603" s="1">
        <f t="shared" si="9"/>
        <v>36676</v>
      </c>
    </row>
    <row r="604" spans="1:14" x14ac:dyDescent="0.35">
      <c r="A604">
        <v>296</v>
      </c>
      <c r="B604" s="2">
        <v>37255</v>
      </c>
      <c r="C604">
        <v>6</v>
      </c>
      <c r="D604">
        <v>6</v>
      </c>
      <c r="F604">
        <v>603</v>
      </c>
      <c r="G604" cm="1">
        <f t="array" ref="G604">_xlfn.IFNA(INDEX($D$2:$D$4001,_xlfn.XMATCH(G$1&amp;"-"&amp;$F604,YEAR($B$2:$B$4001)&amp;"-"&amp;$A$2:$A$4001,0,-1)),9)</f>
        <v>9</v>
      </c>
      <c r="H604" cm="1">
        <f t="array" ref="H604">IF(OR(AND(G604=9,H$1&gt;YEAR($N604))),9,_xlfn.IFNA(INDEX($D$2:$D$4001,_xlfn.XMATCH(H$1&amp;"-"&amp;$F604,YEAR($B$2:$B$4001)&amp;"-"&amp;$A$2:$A$4001,0,-1)),G604))</f>
        <v>9</v>
      </c>
      <c r="I604" cm="1">
        <f t="array" ref="I604">IF(OR(AND(H604=9,I$1&gt;YEAR($N604))),9,_xlfn.IFNA(INDEX($D$2:$D$4001,_xlfn.XMATCH(I$1&amp;"-"&amp;$F604,YEAR($B$2:$B$4001)&amp;"-"&amp;$A$2:$A$4001,0,-1)),H604))</f>
        <v>9</v>
      </c>
      <c r="J604" cm="1">
        <f t="array" ref="J604">IF(OR(AND(I604=9,J$1&gt;YEAR($N604))),9,_xlfn.IFNA(INDEX($D$2:$D$4001,_xlfn.XMATCH(J$1&amp;"-"&amp;$F604,YEAR($B$2:$B$4001)&amp;"-"&amp;$A$2:$A$4001,0,-1)),I604))</f>
        <v>9</v>
      </c>
      <c r="K604" cm="1">
        <f t="array" ref="K604">IF(OR(AND(J604=9,K$1&gt;YEAR($N604))),9,_xlfn.IFNA(INDEX($D$2:$D$4001,_xlfn.XMATCH(K$1&amp;"-"&amp;$F604,YEAR($B$2:$B$4001)&amp;"-"&amp;$A$2:$A$4001,0,-1)),J604))</f>
        <v>9</v>
      </c>
      <c r="L604" cm="1">
        <f t="array" ref="L604">IF(OR(AND(K604=9,L$1&gt;YEAR($N604))),9,_xlfn.IFNA(INDEX($D$2:$D$4001,_xlfn.XMATCH(L$1&amp;"-"&amp;$F604,YEAR($B$2:$B$4001)&amp;"-"&amp;$A$2:$A$4001,0,-1)),K604))</f>
        <v>3</v>
      </c>
      <c r="M604" cm="1">
        <f t="array" ref="M604">IF(OR(AND(L604=9,M$1&gt;YEAR($N604))),9,_xlfn.IFNA(INDEX($D$2:$D$4001,_xlfn.XMATCH(M$1&amp;"-"&amp;$F604,YEAR($B$2:$B$4001)&amp;"-"&amp;$A$2:$A$4001,0,-1)),L604))</f>
        <v>3</v>
      </c>
      <c r="N604" s="1">
        <f t="shared" si="9"/>
        <v>38351</v>
      </c>
    </row>
    <row r="605" spans="1:14" x14ac:dyDescent="0.35">
      <c r="A605">
        <v>296</v>
      </c>
      <c r="B605" s="2">
        <v>37406</v>
      </c>
      <c r="C605">
        <v>6</v>
      </c>
      <c r="D605">
        <v>6</v>
      </c>
      <c r="F605">
        <v>604</v>
      </c>
      <c r="G605" cm="1">
        <f t="array" ref="G605">_xlfn.IFNA(INDEX($D$2:$D$4001,_xlfn.XMATCH(G$1&amp;"-"&amp;$F605,YEAR($B$2:$B$4001)&amp;"-"&amp;$A$2:$A$4001,0,-1)),9)</f>
        <v>4</v>
      </c>
      <c r="H605" cm="1">
        <f t="array" ref="H605">IF(OR(AND(G605=9,H$1&gt;YEAR($N605))),9,_xlfn.IFNA(INDEX($D$2:$D$4001,_xlfn.XMATCH(H$1&amp;"-"&amp;$F605,YEAR($B$2:$B$4001)&amp;"-"&amp;$A$2:$A$4001,0,-1)),G605))</f>
        <v>4</v>
      </c>
      <c r="I605" cm="1">
        <f t="array" ref="I605">IF(OR(AND(H605=9,I$1&gt;YEAR($N605))),9,_xlfn.IFNA(INDEX($D$2:$D$4001,_xlfn.XMATCH(I$1&amp;"-"&amp;$F605,YEAR($B$2:$B$4001)&amp;"-"&amp;$A$2:$A$4001,0,-1)),H605))</f>
        <v>4</v>
      </c>
      <c r="J605" cm="1">
        <f t="array" ref="J605">IF(OR(AND(I605=9,J$1&gt;YEAR($N605))),9,_xlfn.IFNA(INDEX($D$2:$D$4001,_xlfn.XMATCH(J$1&amp;"-"&amp;$F605,YEAR($B$2:$B$4001)&amp;"-"&amp;$A$2:$A$4001,0,-1)),I605))</f>
        <v>5</v>
      </c>
      <c r="K605" cm="1">
        <f t="array" ref="K605">IF(OR(AND(J605=9,K$1&gt;YEAR($N605))),9,_xlfn.IFNA(INDEX($D$2:$D$4001,_xlfn.XMATCH(K$1&amp;"-"&amp;$F605,YEAR($B$2:$B$4001)&amp;"-"&amp;$A$2:$A$4001,0,-1)),J605))</f>
        <v>7</v>
      </c>
      <c r="L605" cm="1">
        <f t="array" ref="L605">IF(OR(AND(K605=9,L$1&gt;YEAR($N605))),9,_xlfn.IFNA(INDEX($D$2:$D$4001,_xlfn.XMATCH(L$1&amp;"-"&amp;$F605,YEAR($B$2:$B$4001)&amp;"-"&amp;$A$2:$A$4001,0,-1)),K605))</f>
        <v>7</v>
      </c>
      <c r="M605" cm="1">
        <f t="array" ref="M605">IF(OR(AND(L605=9,M$1&gt;YEAR($N605))),9,_xlfn.IFNA(INDEX($D$2:$D$4001,_xlfn.XMATCH(M$1&amp;"-"&amp;$F605,YEAR($B$2:$B$4001)&amp;"-"&amp;$A$2:$A$4001,0,-1)),L605))</f>
        <v>7</v>
      </c>
      <c r="N605" s="1">
        <f t="shared" si="9"/>
        <v>36310</v>
      </c>
    </row>
    <row r="606" spans="1:14" x14ac:dyDescent="0.35">
      <c r="A606">
        <v>296</v>
      </c>
      <c r="B606" s="2">
        <v>37768</v>
      </c>
      <c r="C606">
        <v>7</v>
      </c>
      <c r="D606">
        <v>7</v>
      </c>
      <c r="F606">
        <v>605</v>
      </c>
      <c r="G606" cm="1">
        <f t="array" ref="G606">_xlfn.IFNA(INDEX($D$2:$D$4001,_xlfn.XMATCH(G$1&amp;"-"&amp;$F606,YEAR($B$2:$B$4001)&amp;"-"&amp;$A$2:$A$4001,0,-1)),9)</f>
        <v>4</v>
      </c>
      <c r="H606" cm="1">
        <f t="array" ref="H606">IF(OR(AND(G606=9,H$1&gt;YEAR($N606))),9,_xlfn.IFNA(INDEX($D$2:$D$4001,_xlfn.XMATCH(H$1&amp;"-"&amp;$F606,YEAR($B$2:$B$4001)&amp;"-"&amp;$A$2:$A$4001,0,-1)),G606))</f>
        <v>4</v>
      </c>
      <c r="I606" cm="1">
        <f t="array" ref="I606">IF(OR(AND(H606=9,I$1&gt;YEAR($N606))),9,_xlfn.IFNA(INDEX($D$2:$D$4001,_xlfn.XMATCH(I$1&amp;"-"&amp;$F606,YEAR($B$2:$B$4001)&amp;"-"&amp;$A$2:$A$4001,0,-1)),H606))</f>
        <v>4</v>
      </c>
      <c r="J606" cm="1">
        <f t="array" ref="J606">IF(OR(AND(I606=9,J$1&gt;YEAR($N606))),9,_xlfn.IFNA(INDEX($D$2:$D$4001,_xlfn.XMATCH(J$1&amp;"-"&amp;$F606,YEAR($B$2:$B$4001)&amp;"-"&amp;$A$2:$A$4001,0,-1)),I606))</f>
        <v>4</v>
      </c>
      <c r="K606" cm="1">
        <f t="array" ref="K606">IF(OR(AND(J606=9,K$1&gt;YEAR($N606))),9,_xlfn.IFNA(INDEX($D$2:$D$4001,_xlfn.XMATCH(K$1&amp;"-"&amp;$F606,YEAR($B$2:$B$4001)&amp;"-"&amp;$A$2:$A$4001,0,-1)),J606))</f>
        <v>4</v>
      </c>
      <c r="L606" cm="1">
        <f t="array" ref="L606">IF(OR(AND(K606=9,L$1&gt;YEAR($N606))),9,_xlfn.IFNA(INDEX($D$2:$D$4001,_xlfn.XMATCH(L$1&amp;"-"&amp;$F606,YEAR($B$2:$B$4001)&amp;"-"&amp;$A$2:$A$4001,0,-1)),K606))</f>
        <v>4</v>
      </c>
      <c r="M606" cm="1">
        <f t="array" ref="M606">IF(OR(AND(L606=9,M$1&gt;YEAR($N606))),9,_xlfn.IFNA(INDEX($D$2:$D$4001,_xlfn.XMATCH(M$1&amp;"-"&amp;$F606,YEAR($B$2:$B$4001)&amp;"-"&amp;$A$2:$A$4001,0,-1)),L606))</f>
        <v>4</v>
      </c>
      <c r="N606" s="1">
        <f t="shared" si="9"/>
        <v>36310</v>
      </c>
    </row>
    <row r="607" spans="1:14" x14ac:dyDescent="0.35">
      <c r="A607">
        <v>297</v>
      </c>
      <c r="B607" s="2">
        <v>36454</v>
      </c>
      <c r="C607">
        <v>0</v>
      </c>
      <c r="D607">
        <v>0</v>
      </c>
      <c r="F607">
        <v>606</v>
      </c>
      <c r="G607" cm="1">
        <f t="array" ref="G607">_xlfn.IFNA(INDEX($D$2:$D$4001,_xlfn.XMATCH(G$1&amp;"-"&amp;$F607,YEAR($B$2:$B$4001)&amp;"-"&amp;$A$2:$A$4001,0,-1)),9)</f>
        <v>6</v>
      </c>
      <c r="H607" cm="1">
        <f t="array" ref="H607">IF(OR(AND(G607=9,H$1&gt;YEAR($N607))),9,_xlfn.IFNA(INDEX($D$2:$D$4001,_xlfn.XMATCH(H$1&amp;"-"&amp;$F607,YEAR($B$2:$B$4001)&amp;"-"&amp;$A$2:$A$4001,0,-1)),G607))</f>
        <v>7</v>
      </c>
      <c r="I607" cm="1">
        <f t="array" ref="I607">IF(OR(AND(H607=9,I$1&gt;YEAR($N607))),9,_xlfn.IFNA(INDEX($D$2:$D$4001,_xlfn.XMATCH(I$1&amp;"-"&amp;$F607,YEAR($B$2:$B$4001)&amp;"-"&amp;$A$2:$A$4001,0,-1)),H607))</f>
        <v>7</v>
      </c>
      <c r="J607" cm="1">
        <f t="array" ref="J607">IF(OR(AND(I607=9,J$1&gt;YEAR($N607))),9,_xlfn.IFNA(INDEX($D$2:$D$4001,_xlfn.XMATCH(J$1&amp;"-"&amp;$F607,YEAR($B$2:$B$4001)&amp;"-"&amp;$A$2:$A$4001,0,-1)),I607))</f>
        <v>0</v>
      </c>
      <c r="K607" cm="1">
        <f t="array" ref="K607">IF(OR(AND(J607=9,K$1&gt;YEAR($N607))),9,_xlfn.IFNA(INDEX($D$2:$D$4001,_xlfn.XMATCH(K$1&amp;"-"&amp;$F607,YEAR($B$2:$B$4001)&amp;"-"&amp;$A$2:$A$4001,0,-1)),J607))</f>
        <v>0</v>
      </c>
      <c r="L607" cm="1">
        <f t="array" ref="L607">IF(OR(AND(K607=9,L$1&gt;YEAR($N607))),9,_xlfn.IFNA(INDEX($D$2:$D$4001,_xlfn.XMATCH(L$1&amp;"-"&amp;$F607,YEAR($B$2:$B$4001)&amp;"-"&amp;$A$2:$A$4001,0,-1)),K607))</f>
        <v>0</v>
      </c>
      <c r="M607" cm="1">
        <f t="array" ref="M607">IF(OR(AND(L607=9,M$1&gt;YEAR($N607))),9,_xlfn.IFNA(INDEX($D$2:$D$4001,_xlfn.XMATCH(M$1&amp;"-"&amp;$F607,YEAR($B$2:$B$4001)&amp;"-"&amp;$A$2:$A$4001,0,-1)),L607))</f>
        <v>0</v>
      </c>
      <c r="N607" s="1">
        <f t="shared" si="9"/>
        <v>36524</v>
      </c>
    </row>
    <row r="608" spans="1:14" x14ac:dyDescent="0.35">
      <c r="A608">
        <v>298</v>
      </c>
      <c r="B608" s="2">
        <v>37550</v>
      </c>
      <c r="C608">
        <v>2</v>
      </c>
      <c r="D608">
        <v>2</v>
      </c>
      <c r="F608">
        <v>607</v>
      </c>
      <c r="G608" cm="1">
        <f t="array" ref="G608">_xlfn.IFNA(INDEX($D$2:$D$4001,_xlfn.XMATCH(G$1&amp;"-"&amp;$F608,YEAR($B$2:$B$4001)&amp;"-"&amp;$A$2:$A$4001,0,-1)),9)</f>
        <v>9</v>
      </c>
      <c r="H608" cm="1">
        <f t="array" ref="H608">IF(OR(AND(G608=9,H$1&gt;YEAR($N608))),9,_xlfn.IFNA(INDEX($D$2:$D$4001,_xlfn.XMATCH(H$1&amp;"-"&amp;$F608,YEAR($B$2:$B$4001)&amp;"-"&amp;$A$2:$A$4001,0,-1)),G608))</f>
        <v>9</v>
      </c>
      <c r="I608" cm="1">
        <f t="array" ref="I608">IF(OR(AND(H608=9,I$1&gt;YEAR($N608))),9,_xlfn.IFNA(INDEX($D$2:$D$4001,_xlfn.XMATCH(I$1&amp;"-"&amp;$F608,YEAR($B$2:$B$4001)&amp;"-"&amp;$A$2:$A$4001,0,-1)),H608))</f>
        <v>4</v>
      </c>
      <c r="J608" cm="1">
        <f t="array" ref="J608">IF(OR(AND(I608=9,J$1&gt;YEAR($N608))),9,_xlfn.IFNA(INDEX($D$2:$D$4001,_xlfn.XMATCH(J$1&amp;"-"&amp;$F608,YEAR($B$2:$B$4001)&amp;"-"&amp;$A$2:$A$4001,0,-1)),I608))</f>
        <v>4</v>
      </c>
      <c r="K608" cm="1">
        <f t="array" ref="K608">IF(OR(AND(J608=9,K$1&gt;YEAR($N608))),9,_xlfn.IFNA(INDEX($D$2:$D$4001,_xlfn.XMATCH(K$1&amp;"-"&amp;$F608,YEAR($B$2:$B$4001)&amp;"-"&amp;$A$2:$A$4001,0,-1)),J608))</f>
        <v>4</v>
      </c>
      <c r="L608" cm="1">
        <f t="array" ref="L608">IF(OR(AND(K608=9,L$1&gt;YEAR($N608))),9,_xlfn.IFNA(INDEX($D$2:$D$4001,_xlfn.XMATCH(L$1&amp;"-"&amp;$F608,YEAR($B$2:$B$4001)&amp;"-"&amp;$A$2:$A$4001,0,-1)),K608))</f>
        <v>4</v>
      </c>
      <c r="M608" cm="1">
        <f t="array" ref="M608">IF(OR(AND(L608=9,M$1&gt;YEAR($N608))),9,_xlfn.IFNA(INDEX($D$2:$D$4001,_xlfn.XMATCH(M$1&amp;"-"&amp;$F608,YEAR($B$2:$B$4001)&amp;"-"&amp;$A$2:$A$4001,0,-1)),L608))</f>
        <v>4</v>
      </c>
      <c r="N608" s="1">
        <f t="shared" si="9"/>
        <v>37155</v>
      </c>
    </row>
    <row r="609" spans="1:14" x14ac:dyDescent="0.35">
      <c r="A609">
        <v>298</v>
      </c>
      <c r="B609" s="2">
        <v>37771</v>
      </c>
      <c r="C609">
        <v>0</v>
      </c>
      <c r="D609">
        <v>0</v>
      </c>
      <c r="F609">
        <v>608</v>
      </c>
      <c r="G609" cm="1">
        <f t="array" ref="G609">_xlfn.IFNA(INDEX($D$2:$D$4001,_xlfn.XMATCH(G$1&amp;"-"&amp;$F609,YEAR($B$2:$B$4001)&amp;"-"&amp;$A$2:$A$4001,0,-1)),9)</f>
        <v>9</v>
      </c>
      <c r="H609" cm="1">
        <f t="array" ref="H609">IF(OR(AND(G609=9,H$1&gt;YEAR($N609))),9,_xlfn.IFNA(INDEX($D$2:$D$4001,_xlfn.XMATCH(H$1&amp;"-"&amp;$F609,YEAR($B$2:$B$4001)&amp;"-"&amp;$A$2:$A$4001,0,-1)),G609))</f>
        <v>9</v>
      </c>
      <c r="I609" cm="1">
        <f t="array" ref="I609">IF(OR(AND(H609=9,I$1&gt;YEAR($N609))),9,_xlfn.IFNA(INDEX($D$2:$D$4001,_xlfn.XMATCH(I$1&amp;"-"&amp;$F609,YEAR($B$2:$B$4001)&amp;"-"&amp;$A$2:$A$4001,0,-1)),H609))</f>
        <v>2</v>
      </c>
      <c r="J609" cm="1">
        <f t="array" ref="J609">IF(OR(AND(I609=9,J$1&gt;YEAR($N609))),9,_xlfn.IFNA(INDEX($D$2:$D$4001,_xlfn.XMATCH(J$1&amp;"-"&amp;$F609,YEAR($B$2:$B$4001)&amp;"-"&amp;$A$2:$A$4001,0,-1)),I609))</f>
        <v>2</v>
      </c>
      <c r="K609" cm="1">
        <f t="array" ref="K609">IF(OR(AND(J609=9,K$1&gt;YEAR($N609))),9,_xlfn.IFNA(INDEX($D$2:$D$4001,_xlfn.XMATCH(K$1&amp;"-"&amp;$F609,YEAR($B$2:$B$4001)&amp;"-"&amp;$A$2:$A$4001,0,-1)),J609))</f>
        <v>2</v>
      </c>
      <c r="L609" cm="1">
        <f t="array" ref="L609">IF(OR(AND(K609=9,L$1&gt;YEAR($N609))),9,_xlfn.IFNA(INDEX($D$2:$D$4001,_xlfn.XMATCH(L$1&amp;"-"&amp;$F609,YEAR($B$2:$B$4001)&amp;"-"&amp;$A$2:$A$4001,0,-1)),K609))</f>
        <v>2</v>
      </c>
      <c r="M609" cm="1">
        <f t="array" ref="M609">IF(OR(AND(L609=9,M$1&gt;YEAR($N609))),9,_xlfn.IFNA(INDEX($D$2:$D$4001,_xlfn.XMATCH(M$1&amp;"-"&amp;$F609,YEAR($B$2:$B$4001)&amp;"-"&amp;$A$2:$A$4001,0,-1)),L609))</f>
        <v>2</v>
      </c>
      <c r="N609" s="1">
        <f t="shared" si="9"/>
        <v>37032</v>
      </c>
    </row>
    <row r="610" spans="1:14" x14ac:dyDescent="0.35">
      <c r="A610">
        <v>299</v>
      </c>
      <c r="B610" s="2">
        <v>36524</v>
      </c>
      <c r="C610">
        <v>3</v>
      </c>
      <c r="D610">
        <v>3</v>
      </c>
      <c r="F610">
        <v>609</v>
      </c>
      <c r="G610" cm="1">
        <f t="array" ref="G610">_xlfn.IFNA(INDEX($D$2:$D$4001,_xlfn.XMATCH(G$1&amp;"-"&amp;$F610,YEAR($B$2:$B$4001)&amp;"-"&amp;$A$2:$A$4001,0,-1)),9)</f>
        <v>9</v>
      </c>
      <c r="H610" cm="1">
        <f t="array" ref="H610">IF(OR(AND(G610=9,H$1&gt;YEAR($N610))),9,_xlfn.IFNA(INDEX($D$2:$D$4001,_xlfn.XMATCH(H$1&amp;"-"&amp;$F610,YEAR($B$2:$B$4001)&amp;"-"&amp;$A$2:$A$4001,0,-1)),G610))</f>
        <v>9</v>
      </c>
      <c r="I610" cm="1">
        <f t="array" ref="I610">IF(OR(AND(H610=9,I$1&gt;YEAR($N610))),9,_xlfn.IFNA(INDEX($D$2:$D$4001,_xlfn.XMATCH(I$1&amp;"-"&amp;$F610,YEAR($B$2:$B$4001)&amp;"-"&amp;$A$2:$A$4001,0,-1)),H610))</f>
        <v>4</v>
      </c>
      <c r="J610" cm="1">
        <f t="array" ref="J610">IF(OR(AND(I610=9,J$1&gt;YEAR($N610))),9,_xlfn.IFNA(INDEX($D$2:$D$4001,_xlfn.XMATCH(J$1&amp;"-"&amp;$F610,YEAR($B$2:$B$4001)&amp;"-"&amp;$A$2:$A$4001,0,-1)),I610))</f>
        <v>4</v>
      </c>
      <c r="K610" cm="1">
        <f t="array" ref="K610">IF(OR(AND(J610=9,K$1&gt;YEAR($N610))),9,_xlfn.IFNA(INDEX($D$2:$D$4001,_xlfn.XMATCH(K$1&amp;"-"&amp;$F610,YEAR($B$2:$B$4001)&amp;"-"&amp;$A$2:$A$4001,0,-1)),J610))</f>
        <v>4</v>
      </c>
      <c r="L610" cm="1">
        <f t="array" ref="L610">IF(OR(AND(K610=9,L$1&gt;YEAR($N610))),9,_xlfn.IFNA(INDEX($D$2:$D$4001,_xlfn.XMATCH(L$1&amp;"-"&amp;$F610,YEAR($B$2:$B$4001)&amp;"-"&amp;$A$2:$A$4001,0,-1)),K610))</f>
        <v>4</v>
      </c>
      <c r="M610" cm="1">
        <f t="array" ref="M610">IF(OR(AND(L610=9,M$1&gt;YEAR($N610))),9,_xlfn.IFNA(INDEX($D$2:$D$4001,_xlfn.XMATCH(M$1&amp;"-"&amp;$F610,YEAR($B$2:$B$4001)&amp;"-"&amp;$A$2:$A$4001,0,-1)),L610))</f>
        <v>4</v>
      </c>
      <c r="N610" s="1">
        <f t="shared" si="9"/>
        <v>37216</v>
      </c>
    </row>
    <row r="611" spans="1:14" x14ac:dyDescent="0.35">
      <c r="A611">
        <v>299</v>
      </c>
      <c r="B611" s="2">
        <v>36799</v>
      </c>
      <c r="C611">
        <v>0</v>
      </c>
      <c r="D611">
        <v>0</v>
      </c>
      <c r="F611">
        <v>610</v>
      </c>
      <c r="G611" cm="1">
        <f t="array" ref="G611">_xlfn.IFNA(INDEX($D$2:$D$4001,_xlfn.XMATCH(G$1&amp;"-"&amp;$F611,YEAR($B$2:$B$4001)&amp;"-"&amp;$A$2:$A$4001,0,-1)),9)</f>
        <v>5</v>
      </c>
      <c r="H611" cm="1">
        <f t="array" ref="H611">IF(OR(AND(G611=9,H$1&gt;YEAR($N611))),9,_xlfn.IFNA(INDEX($D$2:$D$4001,_xlfn.XMATCH(H$1&amp;"-"&amp;$F611,YEAR($B$2:$B$4001)&amp;"-"&amp;$A$2:$A$4001,0,-1)),G611))</f>
        <v>5</v>
      </c>
      <c r="I611" cm="1">
        <f t="array" ref="I611">IF(OR(AND(H611=9,I$1&gt;YEAR($N611))),9,_xlfn.IFNA(INDEX($D$2:$D$4001,_xlfn.XMATCH(I$1&amp;"-"&amp;$F611,YEAR($B$2:$B$4001)&amp;"-"&amp;$A$2:$A$4001,0,-1)),H611))</f>
        <v>5</v>
      </c>
      <c r="J611" cm="1">
        <f t="array" ref="J611">IF(OR(AND(I611=9,J$1&gt;YEAR($N611))),9,_xlfn.IFNA(INDEX($D$2:$D$4001,_xlfn.XMATCH(J$1&amp;"-"&amp;$F611,YEAR($B$2:$B$4001)&amp;"-"&amp;$A$2:$A$4001,0,-1)),I611))</f>
        <v>5</v>
      </c>
      <c r="K611" cm="1">
        <f t="array" ref="K611">IF(OR(AND(J611=9,K$1&gt;YEAR($N611))),9,_xlfn.IFNA(INDEX($D$2:$D$4001,_xlfn.XMATCH(K$1&amp;"-"&amp;$F611,YEAR($B$2:$B$4001)&amp;"-"&amp;$A$2:$A$4001,0,-1)),J611))</f>
        <v>5</v>
      </c>
      <c r="L611" cm="1">
        <f t="array" ref="L611">IF(OR(AND(K611=9,L$1&gt;YEAR($N611))),9,_xlfn.IFNA(INDEX($D$2:$D$4001,_xlfn.XMATCH(L$1&amp;"-"&amp;$F611,YEAR($B$2:$B$4001)&amp;"-"&amp;$A$2:$A$4001,0,-1)),K611))</f>
        <v>5</v>
      </c>
      <c r="M611" cm="1">
        <f t="array" ref="M611">IF(OR(AND(L611=9,M$1&gt;YEAR($N611))),9,_xlfn.IFNA(INDEX($D$2:$D$4001,_xlfn.XMATCH(M$1&amp;"-"&amp;$F611,YEAR($B$2:$B$4001)&amp;"-"&amp;$A$2:$A$4001,0,-1)),L611))</f>
        <v>5</v>
      </c>
      <c r="N611" s="1">
        <f t="shared" si="9"/>
        <v>36524</v>
      </c>
    </row>
    <row r="612" spans="1:14" x14ac:dyDescent="0.35">
      <c r="A612">
        <v>300</v>
      </c>
      <c r="B612" s="2">
        <v>38502</v>
      </c>
      <c r="C612">
        <v>4</v>
      </c>
      <c r="D612">
        <v>4</v>
      </c>
      <c r="F612">
        <v>611</v>
      </c>
      <c r="G612" cm="1">
        <f t="array" ref="G612">_xlfn.IFNA(INDEX($D$2:$D$4001,_xlfn.XMATCH(G$1&amp;"-"&amp;$F612,YEAR($B$2:$B$4001)&amp;"-"&amp;$A$2:$A$4001,0,-1)),9)</f>
        <v>4</v>
      </c>
      <c r="H612" cm="1">
        <f t="array" ref="H612">IF(OR(AND(G612=9,H$1&gt;YEAR($N612))),9,_xlfn.IFNA(INDEX($D$2:$D$4001,_xlfn.XMATCH(H$1&amp;"-"&amp;$F612,YEAR($B$2:$B$4001)&amp;"-"&amp;$A$2:$A$4001,0,-1)),G612))</f>
        <v>4</v>
      </c>
      <c r="I612" cm="1">
        <f t="array" ref="I612">IF(OR(AND(H612=9,I$1&gt;YEAR($N612))),9,_xlfn.IFNA(INDEX($D$2:$D$4001,_xlfn.XMATCH(I$1&amp;"-"&amp;$F612,YEAR($B$2:$B$4001)&amp;"-"&amp;$A$2:$A$4001,0,-1)),H612))</f>
        <v>4</v>
      </c>
      <c r="J612" cm="1">
        <f t="array" ref="J612">IF(OR(AND(I612=9,J$1&gt;YEAR($N612))),9,_xlfn.IFNA(INDEX($D$2:$D$4001,_xlfn.XMATCH(J$1&amp;"-"&amp;$F612,YEAR($B$2:$B$4001)&amp;"-"&amp;$A$2:$A$4001,0,-1)),I612))</f>
        <v>5</v>
      </c>
      <c r="K612" cm="1">
        <f t="array" ref="K612">IF(OR(AND(J612=9,K$1&gt;YEAR($N612))),9,_xlfn.IFNA(INDEX($D$2:$D$4001,_xlfn.XMATCH(K$1&amp;"-"&amp;$F612,YEAR($B$2:$B$4001)&amp;"-"&amp;$A$2:$A$4001,0,-1)),J612))</f>
        <v>6</v>
      </c>
      <c r="L612" cm="1">
        <f t="array" ref="L612">IF(OR(AND(K612=9,L$1&gt;YEAR($N612))),9,_xlfn.IFNA(INDEX($D$2:$D$4001,_xlfn.XMATCH(L$1&amp;"-"&amp;$F612,YEAR($B$2:$B$4001)&amp;"-"&amp;$A$2:$A$4001,0,-1)),K612))</f>
        <v>6</v>
      </c>
      <c r="M612" cm="1">
        <f t="array" ref="M612">IF(OR(AND(L612=9,M$1&gt;YEAR($N612))),9,_xlfn.IFNA(INDEX($D$2:$D$4001,_xlfn.XMATCH(M$1&amp;"-"&amp;$F612,YEAR($B$2:$B$4001)&amp;"-"&amp;$A$2:$A$4001,0,-1)),L612))</f>
        <v>6</v>
      </c>
      <c r="N612" s="1">
        <f t="shared" si="9"/>
        <v>36310</v>
      </c>
    </row>
    <row r="613" spans="1:14" x14ac:dyDescent="0.35">
      <c r="A613">
        <v>301</v>
      </c>
      <c r="B613" s="2">
        <v>37225</v>
      </c>
      <c r="C613">
        <v>4</v>
      </c>
      <c r="D613">
        <v>4</v>
      </c>
      <c r="F613">
        <v>612</v>
      </c>
      <c r="G613" cm="1">
        <f t="array" ref="G613">_xlfn.IFNA(INDEX($D$2:$D$4001,_xlfn.XMATCH(G$1&amp;"-"&amp;$F613,YEAR($B$2:$B$4001)&amp;"-"&amp;$A$2:$A$4001,0,-1)),9)</f>
        <v>4</v>
      </c>
      <c r="H613" cm="1">
        <f t="array" ref="H613">IF(OR(AND(G613=9,H$1&gt;YEAR($N613))),9,_xlfn.IFNA(INDEX($D$2:$D$4001,_xlfn.XMATCH(H$1&amp;"-"&amp;$F613,YEAR($B$2:$B$4001)&amp;"-"&amp;$A$2:$A$4001,0,-1)),G613))</f>
        <v>3</v>
      </c>
      <c r="I613" cm="1">
        <f t="array" ref="I613">IF(OR(AND(H613=9,I$1&gt;YEAR($N613))),9,_xlfn.IFNA(INDEX($D$2:$D$4001,_xlfn.XMATCH(I$1&amp;"-"&amp;$F613,YEAR($B$2:$B$4001)&amp;"-"&amp;$A$2:$A$4001,0,-1)),H613))</f>
        <v>3</v>
      </c>
      <c r="J613" cm="1">
        <f t="array" ref="J613">IF(OR(AND(I613=9,J$1&gt;YEAR($N613))),9,_xlfn.IFNA(INDEX($D$2:$D$4001,_xlfn.XMATCH(J$1&amp;"-"&amp;$F613,YEAR($B$2:$B$4001)&amp;"-"&amp;$A$2:$A$4001,0,-1)),I613))</f>
        <v>0</v>
      </c>
      <c r="K613" cm="1">
        <f t="array" ref="K613">IF(OR(AND(J613=9,K$1&gt;YEAR($N613))),9,_xlfn.IFNA(INDEX($D$2:$D$4001,_xlfn.XMATCH(K$1&amp;"-"&amp;$F613,YEAR($B$2:$B$4001)&amp;"-"&amp;$A$2:$A$4001,0,-1)),J613))</f>
        <v>0</v>
      </c>
      <c r="L613" cm="1">
        <f t="array" ref="L613">IF(OR(AND(K613=9,L$1&gt;YEAR($N613))),9,_xlfn.IFNA(INDEX($D$2:$D$4001,_xlfn.XMATCH(L$1&amp;"-"&amp;$F613,YEAR($B$2:$B$4001)&amp;"-"&amp;$A$2:$A$4001,0,-1)),K613))</f>
        <v>0</v>
      </c>
      <c r="M613" cm="1">
        <f t="array" ref="M613">IF(OR(AND(L613=9,M$1&gt;YEAR($N613))),9,_xlfn.IFNA(INDEX($D$2:$D$4001,_xlfn.XMATCH(M$1&amp;"-"&amp;$F613,YEAR($B$2:$B$4001)&amp;"-"&amp;$A$2:$A$4001,0,-1)),L613))</f>
        <v>0</v>
      </c>
      <c r="N613" s="1">
        <f t="shared" si="9"/>
        <v>36332</v>
      </c>
    </row>
    <row r="614" spans="1:14" x14ac:dyDescent="0.35">
      <c r="A614">
        <v>301</v>
      </c>
      <c r="B614" s="2">
        <v>37620</v>
      </c>
      <c r="C614">
        <v>4</v>
      </c>
      <c r="D614">
        <v>4</v>
      </c>
      <c r="F614">
        <v>613</v>
      </c>
      <c r="G614" cm="1">
        <f t="array" ref="G614">_xlfn.IFNA(INDEX($D$2:$D$4001,_xlfn.XMATCH(G$1&amp;"-"&amp;$F614,YEAR($B$2:$B$4001)&amp;"-"&amp;$A$2:$A$4001,0,-1)),9)</f>
        <v>9</v>
      </c>
      <c r="H614" cm="1">
        <f t="array" ref="H614">IF(OR(AND(G614=9,H$1&gt;YEAR($N614))),9,_xlfn.IFNA(INDEX($D$2:$D$4001,_xlfn.XMATCH(H$1&amp;"-"&amp;$F614,YEAR($B$2:$B$4001)&amp;"-"&amp;$A$2:$A$4001,0,-1)),G614))</f>
        <v>9</v>
      </c>
      <c r="I614" cm="1">
        <f t="array" ref="I614">IF(OR(AND(H614=9,I$1&gt;YEAR($N614))),9,_xlfn.IFNA(INDEX($D$2:$D$4001,_xlfn.XMATCH(I$1&amp;"-"&amp;$F614,YEAR($B$2:$B$4001)&amp;"-"&amp;$A$2:$A$4001,0,-1)),H614))</f>
        <v>9</v>
      </c>
      <c r="J614" cm="1">
        <f t="array" ref="J614">IF(OR(AND(I614=9,J$1&gt;YEAR($N614))),9,_xlfn.IFNA(INDEX($D$2:$D$4001,_xlfn.XMATCH(J$1&amp;"-"&amp;$F614,YEAR($B$2:$B$4001)&amp;"-"&amp;$A$2:$A$4001,0,-1)),I614))</f>
        <v>4</v>
      </c>
      <c r="K614" cm="1">
        <f t="array" ref="K614">IF(OR(AND(J614=9,K$1&gt;YEAR($N614))),9,_xlfn.IFNA(INDEX($D$2:$D$4001,_xlfn.XMATCH(K$1&amp;"-"&amp;$F614,YEAR($B$2:$B$4001)&amp;"-"&amp;$A$2:$A$4001,0,-1)),J614))</f>
        <v>4</v>
      </c>
      <c r="L614" cm="1">
        <f t="array" ref="L614">IF(OR(AND(K614=9,L$1&gt;YEAR($N614))),9,_xlfn.IFNA(INDEX($D$2:$D$4001,_xlfn.XMATCH(L$1&amp;"-"&amp;$F614,YEAR($B$2:$B$4001)&amp;"-"&amp;$A$2:$A$4001,0,-1)),K614))</f>
        <v>4</v>
      </c>
      <c r="M614" cm="1">
        <f t="array" ref="M614">IF(OR(AND(L614=9,M$1&gt;YEAR($N614))),9,_xlfn.IFNA(INDEX($D$2:$D$4001,_xlfn.XMATCH(M$1&amp;"-"&amp;$F614,YEAR($B$2:$B$4001)&amp;"-"&amp;$A$2:$A$4001,0,-1)),L614))</f>
        <v>4</v>
      </c>
      <c r="N614" s="1">
        <f t="shared" si="9"/>
        <v>37437</v>
      </c>
    </row>
    <row r="615" spans="1:14" x14ac:dyDescent="0.35">
      <c r="A615">
        <v>301</v>
      </c>
      <c r="B615" s="2">
        <v>37802</v>
      </c>
      <c r="C615">
        <v>4</v>
      </c>
      <c r="D615">
        <v>4</v>
      </c>
      <c r="F615">
        <v>614</v>
      </c>
      <c r="G615" cm="1">
        <f t="array" ref="G615">_xlfn.IFNA(INDEX($D$2:$D$4001,_xlfn.XMATCH(G$1&amp;"-"&amp;$F615,YEAR($B$2:$B$4001)&amp;"-"&amp;$A$2:$A$4001,0,-1)),9)</f>
        <v>9</v>
      </c>
      <c r="H615" cm="1">
        <f t="array" ref="H615">IF(OR(AND(G615=9,H$1&gt;YEAR($N615))),9,_xlfn.IFNA(INDEX($D$2:$D$4001,_xlfn.XMATCH(H$1&amp;"-"&amp;$F615,YEAR($B$2:$B$4001)&amp;"-"&amp;$A$2:$A$4001,0,-1)),G615))</f>
        <v>9</v>
      </c>
      <c r="I615" cm="1">
        <f t="array" ref="I615">IF(OR(AND(H615=9,I$1&gt;YEAR($N615))),9,_xlfn.IFNA(INDEX($D$2:$D$4001,_xlfn.XMATCH(I$1&amp;"-"&amp;$F615,YEAR($B$2:$B$4001)&amp;"-"&amp;$A$2:$A$4001,0,-1)),H615))</f>
        <v>3</v>
      </c>
      <c r="J615" cm="1">
        <f t="array" ref="J615">IF(OR(AND(I615=9,J$1&gt;YEAR($N615))),9,_xlfn.IFNA(INDEX($D$2:$D$4001,_xlfn.XMATCH(J$1&amp;"-"&amp;$F615,YEAR($B$2:$B$4001)&amp;"-"&amp;$A$2:$A$4001,0,-1)),I615))</f>
        <v>3</v>
      </c>
      <c r="K615" cm="1">
        <f t="array" ref="K615">IF(OR(AND(J615=9,K$1&gt;YEAR($N615))),9,_xlfn.IFNA(INDEX($D$2:$D$4001,_xlfn.XMATCH(K$1&amp;"-"&amp;$F615,YEAR($B$2:$B$4001)&amp;"-"&amp;$A$2:$A$4001,0,-1)),J615))</f>
        <v>3</v>
      </c>
      <c r="L615" cm="1">
        <f t="array" ref="L615">IF(OR(AND(K615=9,L$1&gt;YEAR($N615))),9,_xlfn.IFNA(INDEX($D$2:$D$4001,_xlfn.XMATCH(L$1&amp;"-"&amp;$F615,YEAR($B$2:$B$4001)&amp;"-"&amp;$A$2:$A$4001,0,-1)),K615))</f>
        <v>3</v>
      </c>
      <c r="M615" cm="1">
        <f t="array" ref="M615">IF(OR(AND(L615=9,M$1&gt;YEAR($N615))),9,_xlfn.IFNA(INDEX($D$2:$D$4001,_xlfn.XMATCH(M$1&amp;"-"&amp;$F615,YEAR($B$2:$B$4001)&amp;"-"&amp;$A$2:$A$4001,0,-1)),L615))</f>
        <v>3</v>
      </c>
      <c r="N615" s="1">
        <f t="shared" si="9"/>
        <v>37038</v>
      </c>
    </row>
    <row r="616" spans="1:14" x14ac:dyDescent="0.35">
      <c r="A616">
        <v>302</v>
      </c>
      <c r="B616" s="2">
        <v>36310</v>
      </c>
      <c r="C616">
        <v>4</v>
      </c>
      <c r="D616">
        <v>4</v>
      </c>
      <c r="F616">
        <v>615</v>
      </c>
      <c r="G616" cm="1">
        <f t="array" ref="G616">_xlfn.IFNA(INDEX($D$2:$D$4001,_xlfn.XMATCH(G$1&amp;"-"&amp;$F616,YEAR($B$2:$B$4001)&amp;"-"&amp;$A$2:$A$4001,0,-1)),9)</f>
        <v>9</v>
      </c>
      <c r="H616" cm="1">
        <f t="array" ref="H616">IF(OR(AND(G616=9,H$1&gt;YEAR($N616))),9,_xlfn.IFNA(INDEX($D$2:$D$4001,_xlfn.XMATCH(H$1&amp;"-"&amp;$F616,YEAR($B$2:$B$4001)&amp;"-"&amp;$A$2:$A$4001,0,-1)),G616))</f>
        <v>9</v>
      </c>
      <c r="I616" cm="1">
        <f t="array" ref="I616">IF(OR(AND(H616=9,I$1&gt;YEAR($N616))),9,_xlfn.IFNA(INDEX($D$2:$D$4001,_xlfn.XMATCH(I$1&amp;"-"&amp;$F616,YEAR($B$2:$B$4001)&amp;"-"&amp;$A$2:$A$4001,0,-1)),H616))</f>
        <v>9</v>
      </c>
      <c r="J616" cm="1">
        <f t="array" ref="J616">IF(OR(AND(I616=9,J$1&gt;YEAR($N616))),9,_xlfn.IFNA(INDEX($D$2:$D$4001,_xlfn.XMATCH(J$1&amp;"-"&amp;$F616,YEAR($B$2:$B$4001)&amp;"-"&amp;$A$2:$A$4001,0,-1)),I616))</f>
        <v>4</v>
      </c>
      <c r="K616" cm="1">
        <f t="array" ref="K616">IF(OR(AND(J616=9,K$1&gt;YEAR($N616))),9,_xlfn.IFNA(INDEX($D$2:$D$4001,_xlfn.XMATCH(K$1&amp;"-"&amp;$F616,YEAR($B$2:$B$4001)&amp;"-"&amp;$A$2:$A$4001,0,-1)),J616))</f>
        <v>4</v>
      </c>
      <c r="L616" cm="1">
        <f t="array" ref="L616">IF(OR(AND(K616=9,L$1&gt;YEAR($N616))),9,_xlfn.IFNA(INDEX($D$2:$D$4001,_xlfn.XMATCH(L$1&amp;"-"&amp;$F616,YEAR($B$2:$B$4001)&amp;"-"&amp;$A$2:$A$4001,0,-1)),K616))</f>
        <v>4</v>
      </c>
      <c r="M616" cm="1">
        <f t="array" ref="M616">IF(OR(AND(L616=9,M$1&gt;YEAR($N616))),9,_xlfn.IFNA(INDEX($D$2:$D$4001,_xlfn.XMATCH(M$1&amp;"-"&amp;$F616,YEAR($B$2:$B$4001)&amp;"-"&amp;$A$2:$A$4001,0,-1)),L616))</f>
        <v>4</v>
      </c>
      <c r="N616" s="1">
        <f t="shared" si="9"/>
        <v>37406</v>
      </c>
    </row>
    <row r="617" spans="1:14" x14ac:dyDescent="0.35">
      <c r="A617">
        <v>302</v>
      </c>
      <c r="B617" s="2">
        <v>37771</v>
      </c>
      <c r="C617">
        <v>0</v>
      </c>
      <c r="D617">
        <v>0</v>
      </c>
      <c r="F617">
        <v>616</v>
      </c>
      <c r="G617" cm="1">
        <f t="array" ref="G617">_xlfn.IFNA(INDEX($D$2:$D$4001,_xlfn.XMATCH(G$1&amp;"-"&amp;$F617,YEAR($B$2:$B$4001)&amp;"-"&amp;$A$2:$A$4001,0,-1)),9)</f>
        <v>9</v>
      </c>
      <c r="H617" cm="1">
        <f t="array" ref="H617">IF(OR(AND(G617=9,H$1&gt;YEAR($N617))),9,_xlfn.IFNA(INDEX($D$2:$D$4001,_xlfn.XMATCH(H$1&amp;"-"&amp;$F617,YEAR($B$2:$B$4001)&amp;"-"&amp;$A$2:$A$4001,0,-1)),G617))</f>
        <v>4</v>
      </c>
      <c r="I617" cm="1">
        <f t="array" ref="I617">IF(OR(AND(H617=9,I$1&gt;YEAR($N617))),9,_xlfn.IFNA(INDEX($D$2:$D$4001,_xlfn.XMATCH(I$1&amp;"-"&amp;$F617,YEAR($B$2:$B$4001)&amp;"-"&amp;$A$2:$A$4001,0,-1)),H617))</f>
        <v>5</v>
      </c>
      <c r="J617" cm="1">
        <f t="array" ref="J617">IF(OR(AND(I617=9,J$1&gt;YEAR($N617))),9,_xlfn.IFNA(INDEX($D$2:$D$4001,_xlfn.XMATCH(J$1&amp;"-"&amp;$F617,YEAR($B$2:$B$4001)&amp;"-"&amp;$A$2:$A$4001,0,-1)),I617))</f>
        <v>0</v>
      </c>
      <c r="K617" cm="1">
        <f t="array" ref="K617">IF(OR(AND(J617=9,K$1&gt;YEAR($N617))),9,_xlfn.IFNA(INDEX($D$2:$D$4001,_xlfn.XMATCH(K$1&amp;"-"&amp;$F617,YEAR($B$2:$B$4001)&amp;"-"&amp;$A$2:$A$4001,0,-1)),J617))</f>
        <v>0</v>
      </c>
      <c r="L617" cm="1">
        <f t="array" ref="L617">IF(OR(AND(K617=9,L$1&gt;YEAR($N617))),9,_xlfn.IFNA(INDEX($D$2:$D$4001,_xlfn.XMATCH(L$1&amp;"-"&amp;$F617,YEAR($B$2:$B$4001)&amp;"-"&amp;$A$2:$A$4001,0,-1)),K617))</f>
        <v>0</v>
      </c>
      <c r="M617" cm="1">
        <f t="array" ref="M617">IF(OR(AND(L617=9,M$1&gt;YEAR($N617))),9,_xlfn.IFNA(INDEX($D$2:$D$4001,_xlfn.XMATCH(M$1&amp;"-"&amp;$F617,YEAR($B$2:$B$4001)&amp;"-"&amp;$A$2:$A$4001,0,-1)),L617))</f>
        <v>0</v>
      </c>
      <c r="N617" s="1">
        <f t="shared" si="9"/>
        <v>36820</v>
      </c>
    </row>
    <row r="618" spans="1:14" x14ac:dyDescent="0.35">
      <c r="A618">
        <v>303</v>
      </c>
      <c r="B618" s="2">
        <v>37915</v>
      </c>
      <c r="C618">
        <v>5</v>
      </c>
      <c r="D618">
        <v>5</v>
      </c>
      <c r="F618">
        <v>617</v>
      </c>
      <c r="G618" cm="1">
        <f t="array" ref="G618">_xlfn.IFNA(INDEX($D$2:$D$4001,_xlfn.XMATCH(G$1&amp;"-"&amp;$F618,YEAR($B$2:$B$4001)&amp;"-"&amp;$A$2:$A$4001,0,-1)),9)</f>
        <v>4</v>
      </c>
      <c r="H618" cm="1">
        <f t="array" ref="H618">IF(OR(AND(G618=9,H$1&gt;YEAR($N618))),9,_xlfn.IFNA(INDEX($D$2:$D$4001,_xlfn.XMATCH(H$1&amp;"-"&amp;$F618,YEAR($B$2:$B$4001)&amp;"-"&amp;$A$2:$A$4001,0,-1)),G618))</f>
        <v>4</v>
      </c>
      <c r="I618" cm="1">
        <f t="array" ref="I618">IF(OR(AND(H618=9,I$1&gt;YEAR($N618))),9,_xlfn.IFNA(INDEX($D$2:$D$4001,_xlfn.XMATCH(I$1&amp;"-"&amp;$F618,YEAR($B$2:$B$4001)&amp;"-"&amp;$A$2:$A$4001,0,-1)),H618))</f>
        <v>4</v>
      </c>
      <c r="J618" cm="1">
        <f t="array" ref="J618">IF(OR(AND(I618=9,J$1&gt;YEAR($N618))),9,_xlfn.IFNA(INDEX($D$2:$D$4001,_xlfn.XMATCH(J$1&amp;"-"&amp;$F618,YEAR($B$2:$B$4001)&amp;"-"&amp;$A$2:$A$4001,0,-1)),I618))</f>
        <v>4</v>
      </c>
      <c r="K618" cm="1">
        <f t="array" ref="K618">IF(OR(AND(J618=9,K$1&gt;YEAR($N618))),9,_xlfn.IFNA(INDEX($D$2:$D$4001,_xlfn.XMATCH(K$1&amp;"-"&amp;$F618,YEAR($B$2:$B$4001)&amp;"-"&amp;$A$2:$A$4001,0,-1)),J618))</f>
        <v>4</v>
      </c>
      <c r="L618" cm="1">
        <f t="array" ref="L618">IF(OR(AND(K618=9,L$1&gt;YEAR($N618))),9,_xlfn.IFNA(INDEX($D$2:$D$4001,_xlfn.XMATCH(L$1&amp;"-"&amp;$F618,YEAR($B$2:$B$4001)&amp;"-"&amp;$A$2:$A$4001,0,-1)),K618))</f>
        <v>4</v>
      </c>
      <c r="M618" cm="1">
        <f t="array" ref="M618">IF(OR(AND(L618=9,M$1&gt;YEAR($N618))),9,_xlfn.IFNA(INDEX($D$2:$D$4001,_xlfn.XMATCH(M$1&amp;"-"&amp;$F618,YEAR($B$2:$B$4001)&amp;"-"&amp;$A$2:$A$4001,0,-1)),L618))</f>
        <v>4</v>
      </c>
      <c r="N618" s="1">
        <f t="shared" si="9"/>
        <v>36524</v>
      </c>
    </row>
    <row r="619" spans="1:14" x14ac:dyDescent="0.35">
      <c r="A619">
        <v>303</v>
      </c>
      <c r="B619" s="2">
        <v>38251</v>
      </c>
      <c r="C619">
        <v>5</v>
      </c>
      <c r="D619">
        <v>5</v>
      </c>
      <c r="F619">
        <v>618</v>
      </c>
      <c r="G619" cm="1">
        <f t="array" ref="G619">_xlfn.IFNA(INDEX($D$2:$D$4001,_xlfn.XMATCH(G$1&amp;"-"&amp;$F619,YEAR($B$2:$B$4001)&amp;"-"&amp;$A$2:$A$4001,0,-1)),9)</f>
        <v>9</v>
      </c>
      <c r="H619" cm="1">
        <f t="array" ref="H619">IF(OR(AND(G619=9,H$1&gt;YEAR($N619))),9,_xlfn.IFNA(INDEX($D$2:$D$4001,_xlfn.XMATCH(H$1&amp;"-"&amp;$F619,YEAR($B$2:$B$4001)&amp;"-"&amp;$A$2:$A$4001,0,-1)),G619))</f>
        <v>4</v>
      </c>
      <c r="I619" cm="1">
        <f t="array" ref="I619">IF(OR(AND(H619=9,I$1&gt;YEAR($N619))),9,_xlfn.IFNA(INDEX($D$2:$D$4001,_xlfn.XMATCH(I$1&amp;"-"&amp;$F619,YEAR($B$2:$B$4001)&amp;"-"&amp;$A$2:$A$4001,0,-1)),H619))</f>
        <v>3</v>
      </c>
      <c r="J619" cm="1">
        <f t="array" ref="J619">IF(OR(AND(I619=9,J$1&gt;YEAR($N619))),9,_xlfn.IFNA(INDEX($D$2:$D$4001,_xlfn.XMATCH(J$1&amp;"-"&amp;$F619,YEAR($B$2:$B$4001)&amp;"-"&amp;$A$2:$A$4001,0,-1)),I619))</f>
        <v>3</v>
      </c>
      <c r="K619" cm="1">
        <f t="array" ref="K619">IF(OR(AND(J619=9,K$1&gt;YEAR($N619))),9,_xlfn.IFNA(INDEX($D$2:$D$4001,_xlfn.XMATCH(K$1&amp;"-"&amp;$F619,YEAR($B$2:$B$4001)&amp;"-"&amp;$A$2:$A$4001,0,-1)),J619))</f>
        <v>3</v>
      </c>
      <c r="L619" cm="1">
        <f t="array" ref="L619">IF(OR(AND(K619=9,L$1&gt;YEAR($N619))),9,_xlfn.IFNA(INDEX($D$2:$D$4001,_xlfn.XMATCH(L$1&amp;"-"&amp;$F619,YEAR($B$2:$B$4001)&amp;"-"&amp;$A$2:$A$4001,0,-1)),K619))</f>
        <v>3</v>
      </c>
      <c r="M619" cm="1">
        <f t="array" ref="M619">IF(OR(AND(L619=9,M$1&gt;YEAR($N619))),9,_xlfn.IFNA(INDEX($D$2:$D$4001,_xlfn.XMATCH(M$1&amp;"-"&amp;$F619,YEAR($B$2:$B$4001)&amp;"-"&amp;$A$2:$A$4001,0,-1)),L619))</f>
        <v>3</v>
      </c>
      <c r="N619" s="1">
        <f t="shared" si="9"/>
        <v>36728</v>
      </c>
    </row>
    <row r="620" spans="1:14" x14ac:dyDescent="0.35">
      <c r="A620">
        <v>304</v>
      </c>
      <c r="B620" s="2">
        <v>37225</v>
      </c>
      <c r="C620">
        <v>2</v>
      </c>
      <c r="D620">
        <v>2</v>
      </c>
      <c r="F620">
        <v>619</v>
      </c>
      <c r="G620" cm="1">
        <f t="array" ref="G620">_xlfn.IFNA(INDEX($D$2:$D$4001,_xlfn.XMATCH(G$1&amp;"-"&amp;$F620,YEAR($B$2:$B$4001)&amp;"-"&amp;$A$2:$A$4001,0,-1)),9)</f>
        <v>9</v>
      </c>
      <c r="H620" cm="1">
        <f t="array" ref="H620">IF(OR(AND(G620=9,H$1&gt;YEAR($N620))),9,_xlfn.IFNA(INDEX($D$2:$D$4001,_xlfn.XMATCH(H$1&amp;"-"&amp;$F620,YEAR($B$2:$B$4001)&amp;"-"&amp;$A$2:$A$4001,0,-1)),G620))</f>
        <v>9</v>
      </c>
      <c r="I620" cm="1">
        <f t="array" ref="I620">IF(OR(AND(H620=9,I$1&gt;YEAR($N620))),9,_xlfn.IFNA(INDEX($D$2:$D$4001,_xlfn.XMATCH(I$1&amp;"-"&amp;$F620,YEAR($B$2:$B$4001)&amp;"-"&amp;$A$2:$A$4001,0,-1)),H620))</f>
        <v>3</v>
      </c>
      <c r="J620" cm="1">
        <f t="array" ref="J620">IF(OR(AND(I620=9,J$1&gt;YEAR($N620))),9,_xlfn.IFNA(INDEX($D$2:$D$4001,_xlfn.XMATCH(J$1&amp;"-"&amp;$F620,YEAR($B$2:$B$4001)&amp;"-"&amp;$A$2:$A$4001,0,-1)),I620))</f>
        <v>3</v>
      </c>
      <c r="K620" cm="1">
        <f t="array" ref="K620">IF(OR(AND(J620=9,K$1&gt;YEAR($N620))),9,_xlfn.IFNA(INDEX($D$2:$D$4001,_xlfn.XMATCH(K$1&amp;"-"&amp;$F620,YEAR($B$2:$B$4001)&amp;"-"&amp;$A$2:$A$4001,0,-1)),J620))</f>
        <v>3</v>
      </c>
      <c r="L620" cm="1">
        <f t="array" ref="L620">IF(OR(AND(K620=9,L$1&gt;YEAR($N620))),9,_xlfn.IFNA(INDEX($D$2:$D$4001,_xlfn.XMATCH(L$1&amp;"-"&amp;$F620,YEAR($B$2:$B$4001)&amp;"-"&amp;$A$2:$A$4001,0,-1)),K620))</f>
        <v>3</v>
      </c>
      <c r="M620" cm="1">
        <f t="array" ref="M620">IF(OR(AND(L620=9,M$1&gt;YEAR($N620))),9,_xlfn.IFNA(INDEX($D$2:$D$4001,_xlfn.XMATCH(M$1&amp;"-"&amp;$F620,YEAR($B$2:$B$4001)&amp;"-"&amp;$A$2:$A$4001,0,-1)),L620))</f>
        <v>3</v>
      </c>
      <c r="N620" s="1">
        <f t="shared" si="9"/>
        <v>37255</v>
      </c>
    </row>
    <row r="621" spans="1:14" x14ac:dyDescent="0.35">
      <c r="A621">
        <v>304</v>
      </c>
      <c r="B621" s="2">
        <v>37255</v>
      </c>
      <c r="C621">
        <v>1</v>
      </c>
      <c r="D621">
        <v>1</v>
      </c>
      <c r="F621">
        <v>620</v>
      </c>
      <c r="G621" cm="1">
        <f t="array" ref="G621">_xlfn.IFNA(INDEX($D$2:$D$4001,_xlfn.XMATCH(G$1&amp;"-"&amp;$F621,YEAR($B$2:$B$4001)&amp;"-"&amp;$A$2:$A$4001,0,-1)),9)</f>
        <v>9</v>
      </c>
      <c r="H621" cm="1">
        <f t="array" ref="H621">IF(OR(AND(G621=9,H$1&gt;YEAR($N621))),9,_xlfn.IFNA(INDEX($D$2:$D$4001,_xlfn.XMATCH(H$1&amp;"-"&amp;$F621,YEAR($B$2:$B$4001)&amp;"-"&amp;$A$2:$A$4001,0,-1)),G621))</f>
        <v>9</v>
      </c>
      <c r="I621" cm="1">
        <f t="array" ref="I621">IF(OR(AND(H621=9,I$1&gt;YEAR($N621))),9,_xlfn.IFNA(INDEX($D$2:$D$4001,_xlfn.XMATCH(I$1&amp;"-"&amp;$F621,YEAR($B$2:$B$4001)&amp;"-"&amp;$A$2:$A$4001,0,-1)),H621))</f>
        <v>2</v>
      </c>
      <c r="J621" cm="1">
        <f t="array" ref="J621">IF(OR(AND(I621=9,J$1&gt;YEAR($N621))),9,_xlfn.IFNA(INDEX($D$2:$D$4001,_xlfn.XMATCH(J$1&amp;"-"&amp;$F621,YEAR($B$2:$B$4001)&amp;"-"&amp;$A$2:$A$4001,0,-1)),I621))</f>
        <v>2</v>
      </c>
      <c r="K621" cm="1">
        <f t="array" ref="K621">IF(OR(AND(J621=9,K$1&gt;YEAR($N621))),9,_xlfn.IFNA(INDEX($D$2:$D$4001,_xlfn.XMATCH(K$1&amp;"-"&amp;$F621,YEAR($B$2:$B$4001)&amp;"-"&amp;$A$2:$A$4001,0,-1)),J621))</f>
        <v>2</v>
      </c>
      <c r="L621" cm="1">
        <f t="array" ref="L621">IF(OR(AND(K621=9,L$1&gt;YEAR($N621))),9,_xlfn.IFNA(INDEX($D$2:$D$4001,_xlfn.XMATCH(L$1&amp;"-"&amp;$F621,YEAR($B$2:$B$4001)&amp;"-"&amp;$A$2:$A$4001,0,-1)),K621))</f>
        <v>2</v>
      </c>
      <c r="M621" cm="1">
        <f t="array" ref="M621">IF(OR(AND(L621=9,M$1&gt;YEAR($N621))),9,_xlfn.IFNA(INDEX($D$2:$D$4001,_xlfn.XMATCH(M$1&amp;"-"&amp;$F621,YEAR($B$2:$B$4001)&amp;"-"&amp;$A$2:$A$4001,0,-1)),L621))</f>
        <v>2</v>
      </c>
      <c r="N621" s="1">
        <f t="shared" si="9"/>
        <v>37155</v>
      </c>
    </row>
    <row r="622" spans="1:14" x14ac:dyDescent="0.35">
      <c r="A622">
        <v>304</v>
      </c>
      <c r="B622" s="2">
        <v>38502</v>
      </c>
      <c r="C622">
        <v>2</v>
      </c>
      <c r="D622">
        <v>2</v>
      </c>
      <c r="F622">
        <v>621</v>
      </c>
      <c r="G622" cm="1">
        <f t="array" ref="G622">_xlfn.IFNA(INDEX($D$2:$D$4001,_xlfn.XMATCH(G$1&amp;"-"&amp;$F622,YEAR($B$2:$B$4001)&amp;"-"&amp;$A$2:$A$4001,0,-1)),9)</f>
        <v>5</v>
      </c>
      <c r="H622" cm="1">
        <f t="array" ref="H622">IF(OR(AND(G622=9,H$1&gt;YEAR($N622))),9,_xlfn.IFNA(INDEX($D$2:$D$4001,_xlfn.XMATCH(H$1&amp;"-"&amp;$F622,YEAR($B$2:$B$4001)&amp;"-"&amp;$A$2:$A$4001,0,-1)),G622))</f>
        <v>6</v>
      </c>
      <c r="I622" cm="1">
        <f t="array" ref="I622">IF(OR(AND(H622=9,I$1&gt;YEAR($N622))),9,_xlfn.IFNA(INDEX($D$2:$D$4001,_xlfn.XMATCH(I$1&amp;"-"&amp;$F622,YEAR($B$2:$B$4001)&amp;"-"&amp;$A$2:$A$4001,0,-1)),H622))</f>
        <v>5</v>
      </c>
      <c r="J622" cm="1">
        <f t="array" ref="J622">IF(OR(AND(I622=9,J$1&gt;YEAR($N622))),9,_xlfn.IFNA(INDEX($D$2:$D$4001,_xlfn.XMATCH(J$1&amp;"-"&amp;$F622,YEAR($B$2:$B$4001)&amp;"-"&amp;$A$2:$A$4001,0,-1)),I622))</f>
        <v>5</v>
      </c>
      <c r="K622" cm="1">
        <f t="array" ref="K622">IF(OR(AND(J622=9,K$1&gt;YEAR($N622))),9,_xlfn.IFNA(INDEX($D$2:$D$4001,_xlfn.XMATCH(K$1&amp;"-"&amp;$F622,YEAR($B$2:$B$4001)&amp;"-"&amp;$A$2:$A$4001,0,-1)),J622))</f>
        <v>5</v>
      </c>
      <c r="L622" cm="1">
        <f t="array" ref="L622">IF(OR(AND(K622=9,L$1&gt;YEAR($N622))),9,_xlfn.IFNA(INDEX($D$2:$D$4001,_xlfn.XMATCH(L$1&amp;"-"&amp;$F622,YEAR($B$2:$B$4001)&amp;"-"&amp;$A$2:$A$4001,0,-1)),K622))</f>
        <v>5</v>
      </c>
      <c r="M622" cm="1">
        <f t="array" ref="M622">IF(OR(AND(L622=9,M$1&gt;YEAR($N622))),9,_xlfn.IFNA(INDEX($D$2:$D$4001,_xlfn.XMATCH(M$1&amp;"-"&amp;$F622,YEAR($B$2:$B$4001)&amp;"-"&amp;$A$2:$A$4001,0,-1)),L622))</f>
        <v>5</v>
      </c>
      <c r="N622" s="1">
        <f t="shared" si="9"/>
        <v>36301</v>
      </c>
    </row>
    <row r="623" spans="1:14" x14ac:dyDescent="0.35">
      <c r="A623">
        <v>304</v>
      </c>
      <c r="B623" s="2">
        <v>38502</v>
      </c>
      <c r="C623">
        <v>2</v>
      </c>
      <c r="D623">
        <v>2</v>
      </c>
      <c r="F623">
        <v>622</v>
      </c>
      <c r="G623" cm="1">
        <f t="array" ref="G623">_xlfn.IFNA(INDEX($D$2:$D$4001,_xlfn.XMATCH(G$1&amp;"-"&amp;$F623,YEAR($B$2:$B$4001)&amp;"-"&amp;$A$2:$A$4001,0,-1)),9)</f>
        <v>9</v>
      </c>
      <c r="H623" cm="1">
        <f t="array" ref="H623">IF(OR(AND(G623=9,H$1&gt;YEAR($N623))),9,_xlfn.IFNA(INDEX($D$2:$D$4001,_xlfn.XMATCH(H$1&amp;"-"&amp;$F623,YEAR($B$2:$B$4001)&amp;"-"&amp;$A$2:$A$4001,0,-1)),G623))</f>
        <v>9</v>
      </c>
      <c r="I623" cm="1">
        <f t="array" ref="I623">IF(OR(AND(H623=9,I$1&gt;YEAR($N623))),9,_xlfn.IFNA(INDEX($D$2:$D$4001,_xlfn.XMATCH(I$1&amp;"-"&amp;$F623,YEAR($B$2:$B$4001)&amp;"-"&amp;$A$2:$A$4001,0,-1)),H623))</f>
        <v>9</v>
      </c>
      <c r="J623" cm="1">
        <f t="array" ref="J623">IF(OR(AND(I623=9,J$1&gt;YEAR($N623))),9,_xlfn.IFNA(INDEX($D$2:$D$4001,_xlfn.XMATCH(J$1&amp;"-"&amp;$F623,YEAR($B$2:$B$4001)&amp;"-"&amp;$A$2:$A$4001,0,-1)),I623))</f>
        <v>4</v>
      </c>
      <c r="K623" cm="1">
        <f t="array" ref="K623">IF(OR(AND(J623=9,K$1&gt;YEAR($N623))),9,_xlfn.IFNA(INDEX($D$2:$D$4001,_xlfn.XMATCH(K$1&amp;"-"&amp;$F623,YEAR($B$2:$B$4001)&amp;"-"&amp;$A$2:$A$4001,0,-1)),J623))</f>
        <v>4</v>
      </c>
      <c r="L623" cm="1">
        <f t="array" ref="L623">IF(OR(AND(K623=9,L$1&gt;YEAR($N623))),9,_xlfn.IFNA(INDEX($D$2:$D$4001,_xlfn.XMATCH(L$1&amp;"-"&amp;$F623,YEAR($B$2:$B$4001)&amp;"-"&amp;$A$2:$A$4001,0,-1)),K623))</f>
        <v>4</v>
      </c>
      <c r="M623" cm="1">
        <f t="array" ref="M623">IF(OR(AND(L623=9,M$1&gt;YEAR($N623))),9,_xlfn.IFNA(INDEX($D$2:$D$4001,_xlfn.XMATCH(M$1&amp;"-"&amp;$F623,YEAR($B$2:$B$4001)&amp;"-"&amp;$A$2:$A$4001,0,-1)),L623))</f>
        <v>4</v>
      </c>
      <c r="N623" s="1">
        <f t="shared" si="9"/>
        <v>37498</v>
      </c>
    </row>
    <row r="624" spans="1:14" x14ac:dyDescent="0.35">
      <c r="A624">
        <v>305</v>
      </c>
      <c r="B624" s="2">
        <v>37072</v>
      </c>
      <c r="C624">
        <v>4</v>
      </c>
      <c r="D624">
        <v>4</v>
      </c>
      <c r="F624">
        <v>623</v>
      </c>
      <c r="G624" cm="1">
        <f t="array" ref="G624">_xlfn.IFNA(INDEX($D$2:$D$4001,_xlfn.XMATCH(G$1&amp;"-"&amp;$F624,YEAR($B$2:$B$4001)&amp;"-"&amp;$A$2:$A$4001,0,-1)),9)</f>
        <v>9</v>
      </c>
      <c r="H624" cm="1">
        <f t="array" ref="H624">IF(OR(AND(G624=9,H$1&gt;YEAR($N624))),9,_xlfn.IFNA(INDEX($D$2:$D$4001,_xlfn.XMATCH(H$1&amp;"-"&amp;$F624,YEAR($B$2:$B$4001)&amp;"-"&amp;$A$2:$A$4001,0,-1)),G624))</f>
        <v>9</v>
      </c>
      <c r="I624" cm="1">
        <f t="array" ref="I624">IF(OR(AND(H624=9,I$1&gt;YEAR($N624))),9,_xlfn.IFNA(INDEX($D$2:$D$4001,_xlfn.XMATCH(I$1&amp;"-"&amp;$F624,YEAR($B$2:$B$4001)&amp;"-"&amp;$A$2:$A$4001,0,-1)),H624))</f>
        <v>3</v>
      </c>
      <c r="J624" cm="1">
        <f t="array" ref="J624">IF(OR(AND(I624=9,J$1&gt;YEAR($N624))),9,_xlfn.IFNA(INDEX($D$2:$D$4001,_xlfn.XMATCH(J$1&amp;"-"&amp;$F624,YEAR($B$2:$B$4001)&amp;"-"&amp;$A$2:$A$4001,0,-1)),I624))</f>
        <v>3</v>
      </c>
      <c r="K624" cm="1">
        <f t="array" ref="K624">IF(OR(AND(J624=9,K$1&gt;YEAR($N624))),9,_xlfn.IFNA(INDEX($D$2:$D$4001,_xlfn.XMATCH(K$1&amp;"-"&amp;$F624,YEAR($B$2:$B$4001)&amp;"-"&amp;$A$2:$A$4001,0,-1)),J624))</f>
        <v>3</v>
      </c>
      <c r="L624" cm="1">
        <f t="array" ref="L624">IF(OR(AND(K624=9,L$1&gt;YEAR($N624))),9,_xlfn.IFNA(INDEX($D$2:$D$4001,_xlfn.XMATCH(L$1&amp;"-"&amp;$F624,YEAR($B$2:$B$4001)&amp;"-"&amp;$A$2:$A$4001,0,-1)),K624))</f>
        <v>3</v>
      </c>
      <c r="M624" cm="1">
        <f t="array" ref="M624">IF(OR(AND(L624=9,M$1&gt;YEAR($N624))),9,_xlfn.IFNA(INDEX($D$2:$D$4001,_xlfn.XMATCH(M$1&amp;"-"&amp;$F624,YEAR($B$2:$B$4001)&amp;"-"&amp;$A$2:$A$4001,0,-1)),L624))</f>
        <v>3</v>
      </c>
      <c r="N624" s="1">
        <f t="shared" si="9"/>
        <v>37255</v>
      </c>
    </row>
    <row r="625" spans="1:14" x14ac:dyDescent="0.35">
      <c r="A625">
        <v>305</v>
      </c>
      <c r="B625" s="2">
        <v>37133</v>
      </c>
      <c r="C625">
        <v>4</v>
      </c>
      <c r="D625">
        <v>4</v>
      </c>
      <c r="F625">
        <v>624</v>
      </c>
      <c r="G625" cm="1">
        <f t="array" ref="G625">_xlfn.IFNA(INDEX($D$2:$D$4001,_xlfn.XMATCH(G$1&amp;"-"&amp;$F625,YEAR($B$2:$B$4001)&amp;"-"&amp;$A$2:$A$4001,0,-1)),9)</f>
        <v>9</v>
      </c>
      <c r="H625" cm="1">
        <f t="array" ref="H625">IF(OR(AND(G625=9,H$1&gt;YEAR($N625))),9,_xlfn.IFNA(INDEX($D$2:$D$4001,_xlfn.XMATCH(H$1&amp;"-"&amp;$F625,YEAR($B$2:$B$4001)&amp;"-"&amp;$A$2:$A$4001,0,-1)),G625))</f>
        <v>9</v>
      </c>
      <c r="I625" cm="1">
        <f t="array" ref="I625">IF(OR(AND(H625=9,I$1&gt;YEAR($N625))),9,_xlfn.IFNA(INDEX($D$2:$D$4001,_xlfn.XMATCH(I$1&amp;"-"&amp;$F625,YEAR($B$2:$B$4001)&amp;"-"&amp;$A$2:$A$4001,0,-1)),H625))</f>
        <v>3</v>
      </c>
      <c r="J625" cm="1">
        <f t="array" ref="J625">IF(OR(AND(I625=9,J$1&gt;YEAR($N625))),9,_xlfn.IFNA(INDEX($D$2:$D$4001,_xlfn.XMATCH(J$1&amp;"-"&amp;$F625,YEAR($B$2:$B$4001)&amp;"-"&amp;$A$2:$A$4001,0,-1)),I625))</f>
        <v>3</v>
      </c>
      <c r="K625" cm="1">
        <f t="array" ref="K625">IF(OR(AND(J625=9,K$1&gt;YEAR($N625))),9,_xlfn.IFNA(INDEX($D$2:$D$4001,_xlfn.XMATCH(K$1&amp;"-"&amp;$F625,YEAR($B$2:$B$4001)&amp;"-"&amp;$A$2:$A$4001,0,-1)),J625))</f>
        <v>3</v>
      </c>
      <c r="L625" cm="1">
        <f t="array" ref="L625">IF(OR(AND(K625=9,L$1&gt;YEAR($N625))),9,_xlfn.IFNA(INDEX($D$2:$D$4001,_xlfn.XMATCH(L$1&amp;"-"&amp;$F625,YEAR($B$2:$B$4001)&amp;"-"&amp;$A$2:$A$4001,0,-1)),K625))</f>
        <v>3</v>
      </c>
      <c r="M625" cm="1">
        <f t="array" ref="M625">IF(OR(AND(L625=9,M$1&gt;YEAR($N625))),9,_xlfn.IFNA(INDEX($D$2:$D$4001,_xlfn.XMATCH(M$1&amp;"-"&amp;$F625,YEAR($B$2:$B$4001)&amp;"-"&amp;$A$2:$A$4001,0,-1)),L625))</f>
        <v>3</v>
      </c>
      <c r="N625" s="1">
        <f t="shared" si="9"/>
        <v>37124</v>
      </c>
    </row>
    <row r="626" spans="1:14" x14ac:dyDescent="0.35">
      <c r="A626">
        <v>305</v>
      </c>
      <c r="B626" s="2">
        <v>37255</v>
      </c>
      <c r="C626">
        <v>5</v>
      </c>
      <c r="D626">
        <v>5</v>
      </c>
      <c r="F626">
        <v>625</v>
      </c>
      <c r="G626" cm="1">
        <f t="array" ref="G626">_xlfn.IFNA(INDEX($D$2:$D$4001,_xlfn.XMATCH(G$1&amp;"-"&amp;$F626,YEAR($B$2:$B$4001)&amp;"-"&amp;$A$2:$A$4001,0,-1)),9)</f>
        <v>9</v>
      </c>
      <c r="H626" cm="1">
        <f t="array" ref="H626">IF(OR(AND(G626=9,H$1&gt;YEAR($N626))),9,_xlfn.IFNA(INDEX($D$2:$D$4001,_xlfn.XMATCH(H$1&amp;"-"&amp;$F626,YEAR($B$2:$B$4001)&amp;"-"&amp;$A$2:$A$4001,0,-1)),G626))</f>
        <v>9</v>
      </c>
      <c r="I626" cm="1">
        <f t="array" ref="I626">IF(OR(AND(H626=9,I$1&gt;YEAR($N626))),9,_xlfn.IFNA(INDEX($D$2:$D$4001,_xlfn.XMATCH(I$1&amp;"-"&amp;$F626,YEAR($B$2:$B$4001)&amp;"-"&amp;$A$2:$A$4001,0,-1)),H626))</f>
        <v>3</v>
      </c>
      <c r="J626" cm="1">
        <f t="array" ref="J626">IF(OR(AND(I626=9,J$1&gt;YEAR($N626))),9,_xlfn.IFNA(INDEX($D$2:$D$4001,_xlfn.XMATCH(J$1&amp;"-"&amp;$F626,YEAR($B$2:$B$4001)&amp;"-"&amp;$A$2:$A$4001,0,-1)),I626))</f>
        <v>3</v>
      </c>
      <c r="K626" cm="1">
        <f t="array" ref="K626">IF(OR(AND(J626=9,K$1&gt;YEAR($N626))),9,_xlfn.IFNA(INDEX($D$2:$D$4001,_xlfn.XMATCH(K$1&amp;"-"&amp;$F626,YEAR($B$2:$B$4001)&amp;"-"&amp;$A$2:$A$4001,0,-1)),J626))</f>
        <v>3</v>
      </c>
      <c r="L626" cm="1">
        <f t="array" ref="L626">IF(OR(AND(K626=9,L$1&gt;YEAR($N626))),9,_xlfn.IFNA(INDEX($D$2:$D$4001,_xlfn.XMATCH(L$1&amp;"-"&amp;$F626,YEAR($B$2:$B$4001)&amp;"-"&amp;$A$2:$A$4001,0,-1)),K626))</f>
        <v>3</v>
      </c>
      <c r="M626" cm="1">
        <f t="array" ref="M626">IF(OR(AND(L626=9,M$1&gt;YEAR($N626))),9,_xlfn.IFNA(INDEX($D$2:$D$4001,_xlfn.XMATCH(M$1&amp;"-"&amp;$F626,YEAR($B$2:$B$4001)&amp;"-"&amp;$A$2:$A$4001,0,-1)),L626))</f>
        <v>3</v>
      </c>
      <c r="N626" s="1">
        <f t="shared" si="9"/>
        <v>37063</v>
      </c>
    </row>
    <row r="627" spans="1:14" x14ac:dyDescent="0.35">
      <c r="A627">
        <v>305</v>
      </c>
      <c r="B627" s="2">
        <v>37401</v>
      </c>
      <c r="C627">
        <v>5</v>
      </c>
      <c r="D627">
        <v>5</v>
      </c>
      <c r="F627">
        <v>626</v>
      </c>
      <c r="G627" cm="1">
        <f t="array" ref="G627">_xlfn.IFNA(INDEX($D$2:$D$4001,_xlfn.XMATCH(G$1&amp;"-"&amp;$F627,YEAR($B$2:$B$4001)&amp;"-"&amp;$A$2:$A$4001,0,-1)),9)</f>
        <v>3</v>
      </c>
      <c r="H627" cm="1">
        <f t="array" ref="H627">IF(OR(AND(G627=9,H$1&gt;YEAR($N627))),9,_xlfn.IFNA(INDEX($D$2:$D$4001,_xlfn.XMATCH(H$1&amp;"-"&amp;$F627,YEAR($B$2:$B$4001)&amp;"-"&amp;$A$2:$A$4001,0,-1)),G627))</f>
        <v>2</v>
      </c>
      <c r="I627" cm="1">
        <f t="array" ref="I627">IF(OR(AND(H627=9,I$1&gt;YEAR($N627))),9,_xlfn.IFNA(INDEX($D$2:$D$4001,_xlfn.XMATCH(I$1&amp;"-"&amp;$F627,YEAR($B$2:$B$4001)&amp;"-"&amp;$A$2:$A$4001,0,-1)),H627))</f>
        <v>2</v>
      </c>
      <c r="J627" cm="1">
        <f t="array" ref="J627">IF(OR(AND(I627=9,J$1&gt;YEAR($N627))),9,_xlfn.IFNA(INDEX($D$2:$D$4001,_xlfn.XMATCH(J$1&amp;"-"&amp;$F627,YEAR($B$2:$B$4001)&amp;"-"&amp;$A$2:$A$4001,0,-1)),I627))</f>
        <v>2</v>
      </c>
      <c r="K627" cm="1">
        <f t="array" ref="K627">IF(OR(AND(J627=9,K$1&gt;YEAR($N627))),9,_xlfn.IFNA(INDEX($D$2:$D$4001,_xlfn.XMATCH(K$1&amp;"-"&amp;$F627,YEAR($B$2:$B$4001)&amp;"-"&amp;$A$2:$A$4001,0,-1)),J627))</f>
        <v>2</v>
      </c>
      <c r="L627" cm="1">
        <f t="array" ref="L627">IF(OR(AND(K627=9,L$1&gt;YEAR($N627))),9,_xlfn.IFNA(INDEX($D$2:$D$4001,_xlfn.XMATCH(L$1&amp;"-"&amp;$F627,YEAR($B$2:$B$4001)&amp;"-"&amp;$A$2:$A$4001,0,-1)),K627))</f>
        <v>2</v>
      </c>
      <c r="M627" cm="1">
        <f t="array" ref="M627">IF(OR(AND(L627=9,M$1&gt;YEAR($N627))),9,_xlfn.IFNA(INDEX($D$2:$D$4001,_xlfn.XMATCH(M$1&amp;"-"&amp;$F627,YEAR($B$2:$B$4001)&amp;"-"&amp;$A$2:$A$4001,0,-1)),L627))</f>
        <v>2</v>
      </c>
      <c r="N627" s="1">
        <f t="shared" si="9"/>
        <v>36310</v>
      </c>
    </row>
    <row r="628" spans="1:14" x14ac:dyDescent="0.35">
      <c r="A628">
        <v>306</v>
      </c>
      <c r="B628" s="2">
        <v>36310</v>
      </c>
      <c r="C628">
        <v>4</v>
      </c>
      <c r="D628">
        <v>4</v>
      </c>
      <c r="F628">
        <v>627</v>
      </c>
      <c r="G628" cm="1">
        <f t="array" ref="G628">_xlfn.IFNA(INDEX($D$2:$D$4001,_xlfn.XMATCH(G$1&amp;"-"&amp;$F628,YEAR($B$2:$B$4001)&amp;"-"&amp;$A$2:$A$4001,0,-1)),9)</f>
        <v>9</v>
      </c>
      <c r="H628" cm="1">
        <f t="array" ref="H628">IF(OR(AND(G628=9,H$1&gt;YEAR($N628))),9,_xlfn.IFNA(INDEX($D$2:$D$4001,_xlfn.XMATCH(H$1&amp;"-"&amp;$F628,YEAR($B$2:$B$4001)&amp;"-"&amp;$A$2:$A$4001,0,-1)),G628))</f>
        <v>3</v>
      </c>
      <c r="I628" cm="1">
        <f t="array" ref="I628">IF(OR(AND(H628=9,I$1&gt;YEAR($N628))),9,_xlfn.IFNA(INDEX($D$2:$D$4001,_xlfn.XMATCH(I$1&amp;"-"&amp;$F628,YEAR($B$2:$B$4001)&amp;"-"&amp;$A$2:$A$4001,0,-1)),H628))</f>
        <v>3</v>
      </c>
      <c r="J628" cm="1">
        <f t="array" ref="J628">IF(OR(AND(I628=9,J$1&gt;YEAR($N628))),9,_xlfn.IFNA(INDEX($D$2:$D$4001,_xlfn.XMATCH(J$1&amp;"-"&amp;$F628,YEAR($B$2:$B$4001)&amp;"-"&amp;$A$2:$A$4001,0,-1)),I628))</f>
        <v>3</v>
      </c>
      <c r="K628" cm="1">
        <f t="array" ref="K628">IF(OR(AND(J628=9,K$1&gt;YEAR($N628))),9,_xlfn.IFNA(INDEX($D$2:$D$4001,_xlfn.XMATCH(K$1&amp;"-"&amp;$F628,YEAR($B$2:$B$4001)&amp;"-"&amp;$A$2:$A$4001,0,-1)),J628))</f>
        <v>3</v>
      </c>
      <c r="L628" cm="1">
        <f t="array" ref="L628">IF(OR(AND(K628=9,L$1&gt;YEAR($N628))),9,_xlfn.IFNA(INDEX($D$2:$D$4001,_xlfn.XMATCH(L$1&amp;"-"&amp;$F628,YEAR($B$2:$B$4001)&amp;"-"&amp;$A$2:$A$4001,0,-1)),K628))</f>
        <v>3</v>
      </c>
      <c r="M628" cm="1">
        <f t="array" ref="M628">IF(OR(AND(L628=9,M$1&gt;YEAR($N628))),9,_xlfn.IFNA(INDEX($D$2:$D$4001,_xlfn.XMATCH(M$1&amp;"-"&amp;$F628,YEAR($B$2:$B$4001)&amp;"-"&amp;$A$2:$A$4001,0,-1)),L628))</f>
        <v>3</v>
      </c>
      <c r="N628" s="1">
        <f t="shared" si="9"/>
        <v>36698</v>
      </c>
    </row>
    <row r="629" spans="1:14" x14ac:dyDescent="0.35">
      <c r="A629">
        <v>307</v>
      </c>
      <c r="B629" s="2">
        <v>37771</v>
      </c>
      <c r="C629">
        <v>3</v>
      </c>
      <c r="D629">
        <v>3</v>
      </c>
      <c r="F629">
        <v>628</v>
      </c>
      <c r="G629" cm="1">
        <f t="array" ref="G629">_xlfn.IFNA(INDEX($D$2:$D$4001,_xlfn.XMATCH(G$1&amp;"-"&amp;$F629,YEAR($B$2:$B$4001)&amp;"-"&amp;$A$2:$A$4001,0,-1)),9)</f>
        <v>9</v>
      </c>
      <c r="H629" cm="1">
        <f t="array" ref="H629">IF(OR(AND(G629=9,H$1&gt;YEAR($N629))),9,_xlfn.IFNA(INDEX($D$2:$D$4001,_xlfn.XMATCH(H$1&amp;"-"&amp;$F629,YEAR($B$2:$B$4001)&amp;"-"&amp;$A$2:$A$4001,0,-1)),G629))</f>
        <v>4</v>
      </c>
      <c r="I629" cm="1">
        <f t="array" ref="I629">IF(OR(AND(H629=9,I$1&gt;YEAR($N629))),9,_xlfn.IFNA(INDEX($D$2:$D$4001,_xlfn.XMATCH(I$1&amp;"-"&amp;$F629,YEAR($B$2:$B$4001)&amp;"-"&amp;$A$2:$A$4001,0,-1)),H629))</f>
        <v>4</v>
      </c>
      <c r="J629" cm="1">
        <f t="array" ref="J629">IF(OR(AND(I629=9,J$1&gt;YEAR($N629))),9,_xlfn.IFNA(INDEX($D$2:$D$4001,_xlfn.XMATCH(J$1&amp;"-"&amp;$F629,YEAR($B$2:$B$4001)&amp;"-"&amp;$A$2:$A$4001,0,-1)),I629))</f>
        <v>4</v>
      </c>
      <c r="K629" cm="1">
        <f t="array" ref="K629">IF(OR(AND(J629=9,K$1&gt;YEAR($N629))),9,_xlfn.IFNA(INDEX($D$2:$D$4001,_xlfn.XMATCH(K$1&amp;"-"&amp;$F629,YEAR($B$2:$B$4001)&amp;"-"&amp;$A$2:$A$4001,0,-1)),J629))</f>
        <v>4</v>
      </c>
      <c r="L629" cm="1">
        <f t="array" ref="L629">IF(OR(AND(K629=9,L$1&gt;YEAR($N629))),9,_xlfn.IFNA(INDEX($D$2:$D$4001,_xlfn.XMATCH(L$1&amp;"-"&amp;$F629,YEAR($B$2:$B$4001)&amp;"-"&amp;$A$2:$A$4001,0,-1)),K629))</f>
        <v>5</v>
      </c>
      <c r="M629" cm="1">
        <f t="array" ref="M629">IF(OR(AND(L629=9,M$1&gt;YEAR($N629))),9,_xlfn.IFNA(INDEX($D$2:$D$4001,_xlfn.XMATCH(M$1&amp;"-"&amp;$F629,YEAR($B$2:$B$4001)&amp;"-"&amp;$A$2:$A$4001,0,-1)),L629))</f>
        <v>5</v>
      </c>
      <c r="N629" s="1">
        <f t="shared" si="9"/>
        <v>36668</v>
      </c>
    </row>
    <row r="630" spans="1:14" x14ac:dyDescent="0.35">
      <c r="A630">
        <v>308</v>
      </c>
      <c r="B630" s="2">
        <v>38502</v>
      </c>
      <c r="C630">
        <v>2</v>
      </c>
      <c r="D630">
        <v>2</v>
      </c>
      <c r="F630">
        <v>629</v>
      </c>
      <c r="G630" cm="1">
        <f t="array" ref="G630">_xlfn.IFNA(INDEX($D$2:$D$4001,_xlfn.XMATCH(G$1&amp;"-"&amp;$F630,YEAR($B$2:$B$4001)&amp;"-"&amp;$A$2:$A$4001,0,-1)),9)</f>
        <v>9</v>
      </c>
      <c r="H630" cm="1">
        <f t="array" ref="H630">IF(OR(AND(G630=9,H$1&gt;YEAR($N630))),9,_xlfn.IFNA(INDEX($D$2:$D$4001,_xlfn.XMATCH(H$1&amp;"-"&amp;$F630,YEAR($B$2:$B$4001)&amp;"-"&amp;$A$2:$A$4001,0,-1)),G630))</f>
        <v>9</v>
      </c>
      <c r="I630" cm="1">
        <f t="array" ref="I630">IF(OR(AND(H630=9,I$1&gt;YEAR($N630))),9,_xlfn.IFNA(INDEX($D$2:$D$4001,_xlfn.XMATCH(I$1&amp;"-"&amp;$F630,YEAR($B$2:$B$4001)&amp;"-"&amp;$A$2:$A$4001,0,-1)),H630))</f>
        <v>9</v>
      </c>
      <c r="J630" cm="1">
        <f t="array" ref="J630">IF(OR(AND(I630=9,J$1&gt;YEAR($N630))),9,_xlfn.IFNA(INDEX($D$2:$D$4001,_xlfn.XMATCH(J$1&amp;"-"&amp;$F630,YEAR($B$2:$B$4001)&amp;"-"&amp;$A$2:$A$4001,0,-1)),I630))</f>
        <v>9</v>
      </c>
      <c r="K630" cm="1">
        <f t="array" ref="K630">IF(OR(AND(J630=9,K$1&gt;YEAR($N630))),9,_xlfn.IFNA(INDEX($D$2:$D$4001,_xlfn.XMATCH(K$1&amp;"-"&amp;$F630,YEAR($B$2:$B$4001)&amp;"-"&amp;$A$2:$A$4001,0,-1)),J630))</f>
        <v>3</v>
      </c>
      <c r="L630" cm="1">
        <f t="array" ref="L630">IF(OR(AND(K630=9,L$1&gt;YEAR($N630))),9,_xlfn.IFNA(INDEX($D$2:$D$4001,_xlfn.XMATCH(L$1&amp;"-"&amp;$F630,YEAR($B$2:$B$4001)&amp;"-"&amp;$A$2:$A$4001,0,-1)),K630))</f>
        <v>3</v>
      </c>
      <c r="M630" cm="1">
        <f t="array" ref="M630">IF(OR(AND(L630=9,M$1&gt;YEAR($N630))),9,_xlfn.IFNA(INDEX($D$2:$D$4001,_xlfn.XMATCH(M$1&amp;"-"&amp;$F630,YEAR($B$2:$B$4001)&amp;"-"&amp;$A$2:$A$4001,0,-1)),L630))</f>
        <v>3</v>
      </c>
      <c r="N630" s="1">
        <f t="shared" si="9"/>
        <v>37985</v>
      </c>
    </row>
    <row r="631" spans="1:14" x14ac:dyDescent="0.35">
      <c r="A631">
        <v>308</v>
      </c>
      <c r="B631" s="2">
        <v>38502</v>
      </c>
      <c r="C631">
        <v>2</v>
      </c>
      <c r="D631">
        <v>2</v>
      </c>
      <c r="F631">
        <v>630</v>
      </c>
      <c r="G631" cm="1">
        <f t="array" ref="G631">_xlfn.IFNA(INDEX($D$2:$D$4001,_xlfn.XMATCH(G$1&amp;"-"&amp;$F631,YEAR($B$2:$B$4001)&amp;"-"&amp;$A$2:$A$4001,0,-1)),9)</f>
        <v>3</v>
      </c>
      <c r="H631" cm="1">
        <f t="array" ref="H631">IF(OR(AND(G631=9,H$1&gt;YEAR($N631))),9,_xlfn.IFNA(INDEX($D$2:$D$4001,_xlfn.XMATCH(H$1&amp;"-"&amp;$F631,YEAR($B$2:$B$4001)&amp;"-"&amp;$A$2:$A$4001,0,-1)),G631))</f>
        <v>2</v>
      </c>
      <c r="I631" cm="1">
        <f t="array" ref="I631">IF(OR(AND(H631=9,I$1&gt;YEAR($N631))),9,_xlfn.IFNA(INDEX($D$2:$D$4001,_xlfn.XMATCH(I$1&amp;"-"&amp;$F631,YEAR($B$2:$B$4001)&amp;"-"&amp;$A$2:$A$4001,0,-1)),H631))</f>
        <v>0</v>
      </c>
      <c r="J631" cm="1">
        <f t="array" ref="J631">IF(OR(AND(I631=9,J$1&gt;YEAR($N631))),9,_xlfn.IFNA(INDEX($D$2:$D$4001,_xlfn.XMATCH(J$1&amp;"-"&amp;$F631,YEAR($B$2:$B$4001)&amp;"-"&amp;$A$2:$A$4001,0,-1)),I631))</f>
        <v>0</v>
      </c>
      <c r="K631" cm="1">
        <f t="array" ref="K631">IF(OR(AND(J631=9,K$1&gt;YEAR($N631))),9,_xlfn.IFNA(INDEX($D$2:$D$4001,_xlfn.XMATCH(K$1&amp;"-"&amp;$F631,YEAR($B$2:$B$4001)&amp;"-"&amp;$A$2:$A$4001,0,-1)),J631))</f>
        <v>0</v>
      </c>
      <c r="L631" cm="1">
        <f t="array" ref="L631">IF(OR(AND(K631=9,L$1&gt;YEAR($N631))),9,_xlfn.IFNA(INDEX($D$2:$D$4001,_xlfn.XMATCH(L$1&amp;"-"&amp;$F631,YEAR($B$2:$B$4001)&amp;"-"&amp;$A$2:$A$4001,0,-1)),K631))</f>
        <v>0</v>
      </c>
      <c r="M631" cm="1">
        <f t="array" ref="M631">IF(OR(AND(L631=9,M$1&gt;YEAR($N631))),9,_xlfn.IFNA(INDEX($D$2:$D$4001,_xlfn.XMATCH(M$1&amp;"-"&amp;$F631,YEAR($B$2:$B$4001)&amp;"-"&amp;$A$2:$A$4001,0,-1)),L631))</f>
        <v>0</v>
      </c>
      <c r="N631" s="1">
        <f t="shared" si="9"/>
        <v>36424</v>
      </c>
    </row>
    <row r="632" spans="1:14" x14ac:dyDescent="0.35">
      <c r="A632">
        <v>309</v>
      </c>
      <c r="B632" s="2">
        <v>36310</v>
      </c>
      <c r="C632">
        <v>4</v>
      </c>
      <c r="D632">
        <v>4</v>
      </c>
      <c r="F632">
        <v>631</v>
      </c>
      <c r="G632" cm="1">
        <f t="array" ref="G632">_xlfn.IFNA(INDEX($D$2:$D$4001,_xlfn.XMATCH(G$1&amp;"-"&amp;$F632,YEAR($B$2:$B$4001)&amp;"-"&amp;$A$2:$A$4001,0,-1)),9)</f>
        <v>4</v>
      </c>
      <c r="H632" cm="1">
        <f t="array" ref="H632">IF(OR(AND(G632=9,H$1&gt;YEAR($N632))),9,_xlfn.IFNA(INDEX($D$2:$D$4001,_xlfn.XMATCH(H$1&amp;"-"&amp;$F632,YEAR($B$2:$B$4001)&amp;"-"&amp;$A$2:$A$4001,0,-1)),G632))</f>
        <v>4</v>
      </c>
      <c r="I632" cm="1">
        <f t="array" ref="I632">IF(OR(AND(H632=9,I$1&gt;YEAR($N632))),9,_xlfn.IFNA(INDEX($D$2:$D$4001,_xlfn.XMATCH(I$1&amp;"-"&amp;$F632,YEAR($B$2:$B$4001)&amp;"-"&amp;$A$2:$A$4001,0,-1)),H632))</f>
        <v>4</v>
      </c>
      <c r="J632" cm="1">
        <f t="array" ref="J632">IF(OR(AND(I632=9,J$1&gt;YEAR($N632))),9,_xlfn.IFNA(INDEX($D$2:$D$4001,_xlfn.XMATCH(J$1&amp;"-"&amp;$F632,YEAR($B$2:$B$4001)&amp;"-"&amp;$A$2:$A$4001,0,-1)),I632))</f>
        <v>4</v>
      </c>
      <c r="K632" cm="1">
        <f t="array" ref="K632">IF(OR(AND(J632=9,K$1&gt;YEAR($N632))),9,_xlfn.IFNA(INDEX($D$2:$D$4001,_xlfn.XMATCH(K$1&amp;"-"&amp;$F632,YEAR($B$2:$B$4001)&amp;"-"&amp;$A$2:$A$4001,0,-1)),J632))</f>
        <v>4</v>
      </c>
      <c r="L632" cm="1">
        <f t="array" ref="L632">IF(OR(AND(K632=9,L$1&gt;YEAR($N632))),9,_xlfn.IFNA(INDEX($D$2:$D$4001,_xlfn.XMATCH(L$1&amp;"-"&amp;$F632,YEAR($B$2:$B$4001)&amp;"-"&amp;$A$2:$A$4001,0,-1)),K632))</f>
        <v>4</v>
      </c>
      <c r="M632" cm="1">
        <f t="array" ref="M632">IF(OR(AND(L632=9,M$1&gt;YEAR($N632))),9,_xlfn.IFNA(INDEX($D$2:$D$4001,_xlfn.XMATCH(M$1&amp;"-"&amp;$F632,YEAR($B$2:$B$4001)&amp;"-"&amp;$A$2:$A$4001,0,-1)),L632))</f>
        <v>4</v>
      </c>
      <c r="N632" s="1">
        <f t="shared" si="9"/>
        <v>36362</v>
      </c>
    </row>
    <row r="633" spans="1:14" x14ac:dyDescent="0.35">
      <c r="A633">
        <v>309</v>
      </c>
      <c r="B633" s="2">
        <v>37035</v>
      </c>
      <c r="C633">
        <v>0</v>
      </c>
      <c r="D633">
        <v>0</v>
      </c>
      <c r="F633">
        <v>632</v>
      </c>
      <c r="G633" cm="1">
        <f t="array" ref="G633">_xlfn.IFNA(INDEX($D$2:$D$4001,_xlfn.XMATCH(G$1&amp;"-"&amp;$F633,YEAR($B$2:$B$4001)&amp;"-"&amp;$A$2:$A$4001,0,-1)),9)</f>
        <v>9</v>
      </c>
      <c r="H633" cm="1">
        <f t="array" ref="H633">IF(OR(AND(G633=9,H$1&gt;YEAR($N633))),9,_xlfn.IFNA(INDEX($D$2:$D$4001,_xlfn.XMATCH(H$1&amp;"-"&amp;$F633,YEAR($B$2:$B$4001)&amp;"-"&amp;$A$2:$A$4001,0,-1)),G633))</f>
        <v>9</v>
      </c>
      <c r="I633" cm="1">
        <f t="array" ref="I633">IF(OR(AND(H633=9,I$1&gt;YEAR($N633))),9,_xlfn.IFNA(INDEX($D$2:$D$4001,_xlfn.XMATCH(I$1&amp;"-"&amp;$F633,YEAR($B$2:$B$4001)&amp;"-"&amp;$A$2:$A$4001,0,-1)),H633))</f>
        <v>9</v>
      </c>
      <c r="J633" cm="1">
        <f t="array" ref="J633">IF(OR(AND(I633=9,J$1&gt;YEAR($N633))),9,_xlfn.IFNA(INDEX($D$2:$D$4001,_xlfn.XMATCH(J$1&amp;"-"&amp;$F633,YEAR($B$2:$B$4001)&amp;"-"&amp;$A$2:$A$4001,0,-1)),I633))</f>
        <v>4</v>
      </c>
      <c r="K633" cm="1">
        <f t="array" ref="K633">IF(OR(AND(J633=9,K$1&gt;YEAR($N633))),9,_xlfn.IFNA(INDEX($D$2:$D$4001,_xlfn.XMATCH(K$1&amp;"-"&amp;$F633,YEAR($B$2:$B$4001)&amp;"-"&amp;$A$2:$A$4001,0,-1)),J633))</f>
        <v>4</v>
      </c>
      <c r="L633" cm="1">
        <f t="array" ref="L633">IF(OR(AND(K633=9,L$1&gt;YEAR($N633))),9,_xlfn.IFNA(INDEX($D$2:$D$4001,_xlfn.XMATCH(L$1&amp;"-"&amp;$F633,YEAR($B$2:$B$4001)&amp;"-"&amp;$A$2:$A$4001,0,-1)),K633))</f>
        <v>5</v>
      </c>
      <c r="M633" cm="1">
        <f t="array" ref="M633">IF(OR(AND(L633=9,M$1&gt;YEAR($N633))),9,_xlfn.IFNA(INDEX($D$2:$D$4001,_xlfn.XMATCH(M$1&amp;"-"&amp;$F633,YEAR($B$2:$B$4001)&amp;"-"&amp;$A$2:$A$4001,0,-1)),L633))</f>
        <v>5</v>
      </c>
      <c r="N633" s="1">
        <f t="shared" si="9"/>
        <v>37590</v>
      </c>
    </row>
    <row r="634" spans="1:14" x14ac:dyDescent="0.35">
      <c r="A634">
        <v>310</v>
      </c>
      <c r="B634" s="2">
        <v>37155</v>
      </c>
      <c r="C634">
        <v>4</v>
      </c>
      <c r="D634">
        <v>4</v>
      </c>
      <c r="F634">
        <v>633</v>
      </c>
      <c r="G634" cm="1">
        <f t="array" ref="G634">_xlfn.IFNA(INDEX($D$2:$D$4001,_xlfn.XMATCH(G$1&amp;"-"&amp;$F634,YEAR($B$2:$B$4001)&amp;"-"&amp;$A$2:$A$4001,0,-1)),9)</f>
        <v>3</v>
      </c>
      <c r="H634" cm="1">
        <f t="array" ref="H634">IF(OR(AND(G634=9,H$1&gt;YEAR($N634))),9,_xlfn.IFNA(INDEX($D$2:$D$4001,_xlfn.XMATCH(H$1&amp;"-"&amp;$F634,YEAR($B$2:$B$4001)&amp;"-"&amp;$A$2:$A$4001,0,-1)),G634))</f>
        <v>3</v>
      </c>
      <c r="I634" cm="1">
        <f t="array" ref="I634">IF(OR(AND(H634=9,I$1&gt;YEAR($N634))),9,_xlfn.IFNA(INDEX($D$2:$D$4001,_xlfn.XMATCH(I$1&amp;"-"&amp;$F634,YEAR($B$2:$B$4001)&amp;"-"&amp;$A$2:$A$4001,0,-1)),H634))</f>
        <v>3</v>
      </c>
      <c r="J634" cm="1">
        <f t="array" ref="J634">IF(OR(AND(I634=9,J$1&gt;YEAR($N634))),9,_xlfn.IFNA(INDEX($D$2:$D$4001,_xlfn.XMATCH(J$1&amp;"-"&amp;$F634,YEAR($B$2:$B$4001)&amp;"-"&amp;$A$2:$A$4001,0,-1)),I634))</f>
        <v>3</v>
      </c>
      <c r="K634" cm="1">
        <f t="array" ref="K634">IF(OR(AND(J634=9,K$1&gt;YEAR($N634))),9,_xlfn.IFNA(INDEX($D$2:$D$4001,_xlfn.XMATCH(K$1&amp;"-"&amp;$F634,YEAR($B$2:$B$4001)&amp;"-"&amp;$A$2:$A$4001,0,-1)),J634))</f>
        <v>3</v>
      </c>
      <c r="L634" cm="1">
        <f t="array" ref="L634">IF(OR(AND(K634=9,L$1&gt;YEAR($N634))),9,_xlfn.IFNA(INDEX($D$2:$D$4001,_xlfn.XMATCH(L$1&amp;"-"&amp;$F634,YEAR($B$2:$B$4001)&amp;"-"&amp;$A$2:$A$4001,0,-1)),K634))</f>
        <v>3</v>
      </c>
      <c r="M634" cm="1">
        <f t="array" ref="M634">IF(OR(AND(L634=9,M$1&gt;YEAR($N634))),9,_xlfn.IFNA(INDEX($D$2:$D$4001,_xlfn.XMATCH(M$1&amp;"-"&amp;$F634,YEAR($B$2:$B$4001)&amp;"-"&amp;$A$2:$A$4001,0,-1)),L634))</f>
        <v>3</v>
      </c>
      <c r="N634" s="1">
        <f t="shared" si="9"/>
        <v>36306</v>
      </c>
    </row>
    <row r="635" spans="1:14" x14ac:dyDescent="0.35">
      <c r="A635">
        <v>310</v>
      </c>
      <c r="B635" s="2">
        <v>37620</v>
      </c>
      <c r="C635">
        <v>0</v>
      </c>
      <c r="D635">
        <v>0</v>
      </c>
      <c r="F635">
        <v>634</v>
      </c>
      <c r="G635" cm="1">
        <f t="array" ref="G635">_xlfn.IFNA(INDEX($D$2:$D$4001,_xlfn.XMATCH(G$1&amp;"-"&amp;$F635,YEAR($B$2:$B$4001)&amp;"-"&amp;$A$2:$A$4001,0,-1)),9)</f>
        <v>9</v>
      </c>
      <c r="H635" cm="1">
        <f t="array" ref="H635">IF(OR(AND(G635=9,H$1&gt;YEAR($N635))),9,_xlfn.IFNA(INDEX($D$2:$D$4001,_xlfn.XMATCH(H$1&amp;"-"&amp;$F635,YEAR($B$2:$B$4001)&amp;"-"&amp;$A$2:$A$4001,0,-1)),G635))</f>
        <v>4</v>
      </c>
      <c r="I635" cm="1">
        <f t="array" ref="I635">IF(OR(AND(H635=9,I$1&gt;YEAR($N635))),9,_xlfn.IFNA(INDEX($D$2:$D$4001,_xlfn.XMATCH(I$1&amp;"-"&amp;$F635,YEAR($B$2:$B$4001)&amp;"-"&amp;$A$2:$A$4001,0,-1)),H635))</f>
        <v>4</v>
      </c>
      <c r="J635" cm="1">
        <f t="array" ref="J635">IF(OR(AND(I635=9,J$1&gt;YEAR($N635))),9,_xlfn.IFNA(INDEX($D$2:$D$4001,_xlfn.XMATCH(J$1&amp;"-"&amp;$F635,YEAR($B$2:$B$4001)&amp;"-"&amp;$A$2:$A$4001,0,-1)),I635))</f>
        <v>3</v>
      </c>
      <c r="K635" cm="1">
        <f t="array" ref="K635">IF(OR(AND(J635=9,K$1&gt;YEAR($N635))),9,_xlfn.IFNA(INDEX($D$2:$D$4001,_xlfn.XMATCH(K$1&amp;"-"&amp;$F635,YEAR($B$2:$B$4001)&amp;"-"&amp;$A$2:$A$4001,0,-1)),J635))</f>
        <v>3</v>
      </c>
      <c r="L635" cm="1">
        <f t="array" ref="L635">IF(OR(AND(K635=9,L$1&gt;YEAR($N635))),9,_xlfn.IFNA(INDEX($D$2:$D$4001,_xlfn.XMATCH(L$1&amp;"-"&amp;$F635,YEAR($B$2:$B$4001)&amp;"-"&amp;$A$2:$A$4001,0,-1)),K635))</f>
        <v>3</v>
      </c>
      <c r="M635" cm="1">
        <f t="array" ref="M635">IF(OR(AND(L635=9,M$1&gt;YEAR($N635))),9,_xlfn.IFNA(INDEX($D$2:$D$4001,_xlfn.XMATCH(M$1&amp;"-"&amp;$F635,YEAR($B$2:$B$4001)&amp;"-"&amp;$A$2:$A$4001,0,-1)),L635))</f>
        <v>3</v>
      </c>
      <c r="N635" s="1">
        <f t="shared" si="9"/>
        <v>36676</v>
      </c>
    </row>
    <row r="636" spans="1:14" x14ac:dyDescent="0.35">
      <c r="A636">
        <v>311</v>
      </c>
      <c r="B636" s="2">
        <v>37255</v>
      </c>
      <c r="C636">
        <v>4</v>
      </c>
      <c r="D636">
        <v>4</v>
      </c>
      <c r="F636">
        <v>635</v>
      </c>
      <c r="G636" cm="1">
        <f t="array" ref="G636">_xlfn.IFNA(INDEX($D$2:$D$4001,_xlfn.XMATCH(G$1&amp;"-"&amp;$F636,YEAR($B$2:$B$4001)&amp;"-"&amp;$A$2:$A$4001,0,-1)),9)</f>
        <v>6</v>
      </c>
      <c r="H636" cm="1">
        <f t="array" ref="H636">IF(OR(AND(G636=9,H$1&gt;YEAR($N636))),9,_xlfn.IFNA(INDEX($D$2:$D$4001,_xlfn.XMATCH(H$1&amp;"-"&amp;$F636,YEAR($B$2:$B$4001)&amp;"-"&amp;$A$2:$A$4001,0,-1)),G636))</f>
        <v>7</v>
      </c>
      <c r="I636" cm="1">
        <f t="array" ref="I636">IF(OR(AND(H636=9,I$1&gt;YEAR($N636))),9,_xlfn.IFNA(INDEX($D$2:$D$4001,_xlfn.XMATCH(I$1&amp;"-"&amp;$F636,YEAR($B$2:$B$4001)&amp;"-"&amp;$A$2:$A$4001,0,-1)),H636))</f>
        <v>7</v>
      </c>
      <c r="J636" cm="1">
        <f t="array" ref="J636">IF(OR(AND(I636=9,J$1&gt;YEAR($N636))),9,_xlfn.IFNA(INDEX($D$2:$D$4001,_xlfn.XMATCH(J$1&amp;"-"&amp;$F636,YEAR($B$2:$B$4001)&amp;"-"&amp;$A$2:$A$4001,0,-1)),I636))</f>
        <v>7</v>
      </c>
      <c r="K636" cm="1">
        <f t="array" ref="K636">IF(OR(AND(J636=9,K$1&gt;YEAR($N636))),9,_xlfn.IFNA(INDEX($D$2:$D$4001,_xlfn.XMATCH(K$1&amp;"-"&amp;$F636,YEAR($B$2:$B$4001)&amp;"-"&amp;$A$2:$A$4001,0,-1)),J636))</f>
        <v>0</v>
      </c>
      <c r="L636" cm="1">
        <f t="array" ref="L636">IF(OR(AND(K636=9,L$1&gt;YEAR($N636))),9,_xlfn.IFNA(INDEX($D$2:$D$4001,_xlfn.XMATCH(L$1&amp;"-"&amp;$F636,YEAR($B$2:$B$4001)&amp;"-"&amp;$A$2:$A$4001,0,-1)),K636))</f>
        <v>0</v>
      </c>
      <c r="M636" cm="1">
        <f t="array" ref="M636">IF(OR(AND(L636=9,M$1&gt;YEAR($N636))),9,_xlfn.IFNA(INDEX($D$2:$D$4001,_xlfn.XMATCH(M$1&amp;"-"&amp;$F636,YEAR($B$2:$B$4001)&amp;"-"&amp;$A$2:$A$4001,0,-1)),L636))</f>
        <v>0</v>
      </c>
      <c r="N636" s="1">
        <f t="shared" si="9"/>
        <v>36524</v>
      </c>
    </row>
    <row r="637" spans="1:14" x14ac:dyDescent="0.35">
      <c r="A637">
        <v>311</v>
      </c>
      <c r="B637" s="2">
        <v>37397</v>
      </c>
      <c r="C637">
        <v>0</v>
      </c>
      <c r="D637">
        <v>0</v>
      </c>
      <c r="F637">
        <v>636</v>
      </c>
      <c r="G637" cm="1">
        <f t="array" ref="G637">_xlfn.IFNA(INDEX($D$2:$D$4001,_xlfn.XMATCH(G$1&amp;"-"&amp;$F637,YEAR($B$2:$B$4001)&amp;"-"&amp;$A$2:$A$4001,0,-1)),9)</f>
        <v>9</v>
      </c>
      <c r="H637" cm="1">
        <f t="array" ref="H637">IF(OR(AND(G637=9,H$1&gt;YEAR($N637))),9,_xlfn.IFNA(INDEX($D$2:$D$4001,_xlfn.XMATCH(H$1&amp;"-"&amp;$F637,YEAR($B$2:$B$4001)&amp;"-"&amp;$A$2:$A$4001,0,-1)),G637))</f>
        <v>9</v>
      </c>
      <c r="I637" cm="1">
        <f t="array" ref="I637">IF(OR(AND(H637=9,I$1&gt;YEAR($N637))),9,_xlfn.IFNA(INDEX($D$2:$D$4001,_xlfn.XMATCH(I$1&amp;"-"&amp;$F637,YEAR($B$2:$B$4001)&amp;"-"&amp;$A$2:$A$4001,0,-1)),H637))</f>
        <v>6</v>
      </c>
      <c r="J637" cm="1">
        <f t="array" ref="J637">IF(OR(AND(I637=9,J$1&gt;YEAR($N637))),9,_xlfn.IFNA(INDEX($D$2:$D$4001,_xlfn.XMATCH(J$1&amp;"-"&amp;$F637,YEAR($B$2:$B$4001)&amp;"-"&amp;$A$2:$A$4001,0,-1)),I637))</f>
        <v>6</v>
      </c>
      <c r="K637" cm="1">
        <f t="array" ref="K637">IF(OR(AND(J637=9,K$1&gt;YEAR($N637))),9,_xlfn.IFNA(INDEX($D$2:$D$4001,_xlfn.XMATCH(K$1&amp;"-"&amp;$F637,YEAR($B$2:$B$4001)&amp;"-"&amp;$A$2:$A$4001,0,-1)),J637))</f>
        <v>7</v>
      </c>
      <c r="L637" cm="1">
        <f t="array" ref="L637">IF(OR(AND(K637=9,L$1&gt;YEAR($N637))),9,_xlfn.IFNA(INDEX($D$2:$D$4001,_xlfn.XMATCH(L$1&amp;"-"&amp;$F637,YEAR($B$2:$B$4001)&amp;"-"&amp;$A$2:$A$4001,0,-1)),K637))</f>
        <v>7</v>
      </c>
      <c r="M637" cm="1">
        <f t="array" ref="M637">IF(OR(AND(L637=9,M$1&gt;YEAR($N637))),9,_xlfn.IFNA(INDEX($D$2:$D$4001,_xlfn.XMATCH(M$1&amp;"-"&amp;$F637,YEAR($B$2:$B$4001)&amp;"-"&amp;$A$2:$A$4001,0,-1)),L637))</f>
        <v>7</v>
      </c>
      <c r="N637" s="1">
        <f t="shared" si="9"/>
        <v>37032</v>
      </c>
    </row>
    <row r="638" spans="1:14" x14ac:dyDescent="0.35">
      <c r="A638">
        <v>312</v>
      </c>
      <c r="B638" s="2">
        <v>36304</v>
      </c>
      <c r="C638">
        <v>0</v>
      </c>
      <c r="D638">
        <v>0</v>
      </c>
      <c r="F638">
        <v>637</v>
      </c>
      <c r="G638" cm="1">
        <f t="array" ref="G638">_xlfn.IFNA(INDEX($D$2:$D$4001,_xlfn.XMATCH(G$1&amp;"-"&amp;$F638,YEAR($B$2:$B$4001)&amp;"-"&amp;$A$2:$A$4001,0,-1)),9)</f>
        <v>5</v>
      </c>
      <c r="H638" cm="1">
        <f t="array" ref="H638">IF(OR(AND(G638=9,H$1&gt;YEAR($N638))),9,_xlfn.IFNA(INDEX($D$2:$D$4001,_xlfn.XMATCH(H$1&amp;"-"&amp;$F638,YEAR($B$2:$B$4001)&amp;"-"&amp;$A$2:$A$4001,0,-1)),G638))</f>
        <v>5</v>
      </c>
      <c r="I638" cm="1">
        <f t="array" ref="I638">IF(OR(AND(H638=9,I$1&gt;YEAR($N638))),9,_xlfn.IFNA(INDEX($D$2:$D$4001,_xlfn.XMATCH(I$1&amp;"-"&amp;$F638,YEAR($B$2:$B$4001)&amp;"-"&amp;$A$2:$A$4001,0,-1)),H638))</f>
        <v>3</v>
      </c>
      <c r="J638" cm="1">
        <f t="array" ref="J638">IF(OR(AND(I638=9,J$1&gt;YEAR($N638))),9,_xlfn.IFNA(INDEX($D$2:$D$4001,_xlfn.XMATCH(J$1&amp;"-"&amp;$F638,YEAR($B$2:$B$4001)&amp;"-"&amp;$A$2:$A$4001,0,-1)),I638))</f>
        <v>3</v>
      </c>
      <c r="K638" cm="1">
        <f t="array" ref="K638">IF(OR(AND(J638=9,K$1&gt;YEAR($N638))),9,_xlfn.IFNA(INDEX($D$2:$D$4001,_xlfn.XMATCH(K$1&amp;"-"&amp;$F638,YEAR($B$2:$B$4001)&amp;"-"&amp;$A$2:$A$4001,0,-1)),J638))</f>
        <v>3</v>
      </c>
      <c r="L638" cm="1">
        <f t="array" ref="L638">IF(OR(AND(K638=9,L$1&gt;YEAR($N638))),9,_xlfn.IFNA(INDEX($D$2:$D$4001,_xlfn.XMATCH(L$1&amp;"-"&amp;$F638,YEAR($B$2:$B$4001)&amp;"-"&amp;$A$2:$A$4001,0,-1)),K638))</f>
        <v>3</v>
      </c>
      <c r="M638" cm="1">
        <f t="array" ref="M638">IF(OR(AND(L638=9,M$1&gt;YEAR($N638))),9,_xlfn.IFNA(INDEX($D$2:$D$4001,_xlfn.XMATCH(M$1&amp;"-"&amp;$F638,YEAR($B$2:$B$4001)&amp;"-"&amp;$A$2:$A$4001,0,-1)),L638))</f>
        <v>4</v>
      </c>
      <c r="N638" s="1">
        <f t="shared" si="9"/>
        <v>36524</v>
      </c>
    </row>
    <row r="639" spans="1:14" x14ac:dyDescent="0.35">
      <c r="A639">
        <v>312</v>
      </c>
      <c r="B639" s="2">
        <v>36371</v>
      </c>
      <c r="C639">
        <v>6</v>
      </c>
      <c r="D639">
        <v>6</v>
      </c>
      <c r="F639">
        <v>638</v>
      </c>
      <c r="G639" cm="1">
        <f t="array" ref="G639">_xlfn.IFNA(INDEX($D$2:$D$4001,_xlfn.XMATCH(G$1&amp;"-"&amp;$F639,YEAR($B$2:$B$4001)&amp;"-"&amp;$A$2:$A$4001,0,-1)),9)</f>
        <v>9</v>
      </c>
      <c r="H639" cm="1">
        <f t="array" ref="H639">IF(OR(AND(G639=9,H$1&gt;YEAR($N639))),9,_xlfn.IFNA(INDEX($D$2:$D$4001,_xlfn.XMATCH(H$1&amp;"-"&amp;$F639,YEAR($B$2:$B$4001)&amp;"-"&amp;$A$2:$A$4001,0,-1)),G639))</f>
        <v>9</v>
      </c>
      <c r="I639" cm="1">
        <f t="array" ref="I639">IF(OR(AND(H639=9,I$1&gt;YEAR($N639))),9,_xlfn.IFNA(INDEX($D$2:$D$4001,_xlfn.XMATCH(I$1&amp;"-"&amp;$F639,YEAR($B$2:$B$4001)&amp;"-"&amp;$A$2:$A$4001,0,-1)),H639))</f>
        <v>2</v>
      </c>
      <c r="J639" cm="1">
        <f t="array" ref="J639">IF(OR(AND(I639=9,J$1&gt;YEAR($N639))),9,_xlfn.IFNA(INDEX($D$2:$D$4001,_xlfn.XMATCH(J$1&amp;"-"&amp;$F639,YEAR($B$2:$B$4001)&amp;"-"&amp;$A$2:$A$4001,0,-1)),I639))</f>
        <v>2</v>
      </c>
      <c r="K639" cm="1">
        <f t="array" ref="K639">IF(OR(AND(J639=9,K$1&gt;YEAR($N639))),9,_xlfn.IFNA(INDEX($D$2:$D$4001,_xlfn.XMATCH(K$1&amp;"-"&amp;$F639,YEAR($B$2:$B$4001)&amp;"-"&amp;$A$2:$A$4001,0,-1)),J639))</f>
        <v>2</v>
      </c>
      <c r="L639" cm="1">
        <f t="array" ref="L639">IF(OR(AND(K639=9,L$1&gt;YEAR($N639))),9,_xlfn.IFNA(INDEX($D$2:$D$4001,_xlfn.XMATCH(L$1&amp;"-"&amp;$F639,YEAR($B$2:$B$4001)&amp;"-"&amp;$A$2:$A$4001,0,-1)),K639))</f>
        <v>2</v>
      </c>
      <c r="M639" cm="1">
        <f t="array" ref="M639">IF(OR(AND(L639=9,M$1&gt;YEAR($N639))),9,_xlfn.IFNA(INDEX($D$2:$D$4001,_xlfn.XMATCH(M$1&amp;"-"&amp;$F639,YEAR($B$2:$B$4001)&amp;"-"&amp;$A$2:$A$4001,0,-1)),L639))</f>
        <v>2</v>
      </c>
      <c r="N639" s="1">
        <f t="shared" si="9"/>
        <v>37125</v>
      </c>
    </row>
    <row r="640" spans="1:14" x14ac:dyDescent="0.35">
      <c r="A640">
        <v>313</v>
      </c>
      <c r="B640" s="2">
        <v>37458</v>
      </c>
      <c r="C640">
        <v>2</v>
      </c>
      <c r="D640">
        <v>2</v>
      </c>
      <c r="F640">
        <v>639</v>
      </c>
      <c r="G640" cm="1">
        <f t="array" ref="G640">_xlfn.IFNA(INDEX($D$2:$D$4001,_xlfn.XMATCH(G$1&amp;"-"&amp;$F640,YEAR($B$2:$B$4001)&amp;"-"&amp;$A$2:$A$4001,0,-1)),9)</f>
        <v>6</v>
      </c>
      <c r="H640" cm="1">
        <f t="array" ref="H640">IF(OR(AND(G640=9,H$1&gt;YEAR($N640))),9,_xlfn.IFNA(INDEX($D$2:$D$4001,_xlfn.XMATCH(H$1&amp;"-"&amp;$F640,YEAR($B$2:$B$4001)&amp;"-"&amp;$A$2:$A$4001,0,-1)),G640))</f>
        <v>5</v>
      </c>
      <c r="I640" cm="1">
        <f t="array" ref="I640">IF(OR(AND(H640=9,I$1&gt;YEAR($N640))),9,_xlfn.IFNA(INDEX($D$2:$D$4001,_xlfn.XMATCH(I$1&amp;"-"&amp;$F640,YEAR($B$2:$B$4001)&amp;"-"&amp;$A$2:$A$4001,0,-1)),H640))</f>
        <v>5</v>
      </c>
      <c r="J640" cm="1">
        <f t="array" ref="J640">IF(OR(AND(I640=9,J$1&gt;YEAR($N640))),9,_xlfn.IFNA(INDEX($D$2:$D$4001,_xlfn.XMATCH(J$1&amp;"-"&amp;$F640,YEAR($B$2:$B$4001)&amp;"-"&amp;$A$2:$A$4001,0,-1)),I640))</f>
        <v>5</v>
      </c>
      <c r="K640" cm="1">
        <f t="array" ref="K640">IF(OR(AND(J640=9,K$1&gt;YEAR($N640))),9,_xlfn.IFNA(INDEX($D$2:$D$4001,_xlfn.XMATCH(K$1&amp;"-"&amp;$F640,YEAR($B$2:$B$4001)&amp;"-"&amp;$A$2:$A$4001,0,-1)),J640))</f>
        <v>5</v>
      </c>
      <c r="L640" cm="1">
        <f t="array" ref="L640">IF(OR(AND(K640=9,L$1&gt;YEAR($N640))),9,_xlfn.IFNA(INDEX($D$2:$D$4001,_xlfn.XMATCH(L$1&amp;"-"&amp;$F640,YEAR($B$2:$B$4001)&amp;"-"&amp;$A$2:$A$4001,0,-1)),K640))</f>
        <v>0</v>
      </c>
      <c r="M640" cm="1">
        <f t="array" ref="M640">IF(OR(AND(L640=9,M$1&gt;YEAR($N640))),9,_xlfn.IFNA(INDEX($D$2:$D$4001,_xlfn.XMATCH(M$1&amp;"-"&amp;$F640,YEAR($B$2:$B$4001)&amp;"-"&amp;$A$2:$A$4001,0,-1)),L640))</f>
        <v>0</v>
      </c>
      <c r="N640" s="1">
        <f t="shared" si="9"/>
        <v>36433</v>
      </c>
    </row>
    <row r="641" spans="1:14" x14ac:dyDescent="0.35">
      <c r="A641">
        <v>313</v>
      </c>
      <c r="B641" s="2">
        <v>37771</v>
      </c>
      <c r="C641">
        <v>3</v>
      </c>
      <c r="D641">
        <v>3</v>
      </c>
      <c r="F641">
        <v>640</v>
      </c>
      <c r="G641" cm="1">
        <f t="array" ref="G641">_xlfn.IFNA(INDEX($D$2:$D$4001,_xlfn.XMATCH(G$1&amp;"-"&amp;$F641,YEAR($B$2:$B$4001)&amp;"-"&amp;$A$2:$A$4001,0,-1)),9)</f>
        <v>9</v>
      </c>
      <c r="H641" cm="1">
        <f t="array" ref="H641">IF(OR(AND(G641=9,H$1&gt;YEAR($N641))),9,_xlfn.IFNA(INDEX($D$2:$D$4001,_xlfn.XMATCH(H$1&amp;"-"&amp;$F641,YEAR($B$2:$B$4001)&amp;"-"&amp;$A$2:$A$4001,0,-1)),G641))</f>
        <v>9</v>
      </c>
      <c r="I641" cm="1">
        <f t="array" ref="I641">IF(OR(AND(H641=9,I$1&gt;YEAR($N641))),9,_xlfn.IFNA(INDEX($D$2:$D$4001,_xlfn.XMATCH(I$1&amp;"-"&amp;$F641,YEAR($B$2:$B$4001)&amp;"-"&amp;$A$2:$A$4001,0,-1)),H641))</f>
        <v>4</v>
      </c>
      <c r="J641" cm="1">
        <f t="array" ref="J641">IF(OR(AND(I641=9,J$1&gt;YEAR($N641))),9,_xlfn.IFNA(INDEX($D$2:$D$4001,_xlfn.XMATCH(J$1&amp;"-"&amp;$F641,YEAR($B$2:$B$4001)&amp;"-"&amp;$A$2:$A$4001,0,-1)),I641))</f>
        <v>3</v>
      </c>
      <c r="K641" cm="1">
        <f t="array" ref="K641">IF(OR(AND(J641=9,K$1&gt;YEAR($N641))),9,_xlfn.IFNA(INDEX($D$2:$D$4001,_xlfn.XMATCH(K$1&amp;"-"&amp;$F641,YEAR($B$2:$B$4001)&amp;"-"&amp;$A$2:$A$4001,0,-1)),J641))</f>
        <v>3</v>
      </c>
      <c r="L641" cm="1">
        <f t="array" ref="L641">IF(OR(AND(K641=9,L$1&gt;YEAR($N641))),9,_xlfn.IFNA(INDEX($D$2:$D$4001,_xlfn.XMATCH(L$1&amp;"-"&amp;$F641,YEAR($B$2:$B$4001)&amp;"-"&amp;$A$2:$A$4001,0,-1)),K641))</f>
        <v>3</v>
      </c>
      <c r="M641" cm="1">
        <f t="array" ref="M641">IF(OR(AND(L641=9,M$1&gt;YEAR($N641))),9,_xlfn.IFNA(INDEX($D$2:$D$4001,_xlfn.XMATCH(M$1&amp;"-"&amp;$F641,YEAR($B$2:$B$4001)&amp;"-"&amp;$A$2:$A$4001,0,-1)),L641))</f>
        <v>3</v>
      </c>
      <c r="N641" s="1">
        <f t="shared" si="9"/>
        <v>37032</v>
      </c>
    </row>
    <row r="642" spans="1:14" x14ac:dyDescent="0.35">
      <c r="A642">
        <v>314</v>
      </c>
      <c r="B642" s="2">
        <v>36457</v>
      </c>
      <c r="C642">
        <v>7</v>
      </c>
      <c r="D642">
        <v>7</v>
      </c>
      <c r="F642">
        <v>641</v>
      </c>
      <c r="G642" cm="1">
        <f t="array" ref="G642">_xlfn.IFNA(INDEX($D$2:$D$4001,_xlfn.XMATCH(G$1&amp;"-"&amp;$F642,YEAR($B$2:$B$4001)&amp;"-"&amp;$A$2:$A$4001,0,-1)),9)</f>
        <v>4</v>
      </c>
      <c r="H642" cm="1">
        <f t="array" ref="H642">IF(OR(AND(G642=9,H$1&gt;YEAR($N642))),9,_xlfn.IFNA(INDEX($D$2:$D$4001,_xlfn.XMATCH(H$1&amp;"-"&amp;$F642,YEAR($B$2:$B$4001)&amp;"-"&amp;$A$2:$A$4001,0,-1)),G642))</f>
        <v>6</v>
      </c>
      <c r="I642" cm="1">
        <f t="array" ref="I642">IF(OR(AND(H642=9,I$1&gt;YEAR($N642))),9,_xlfn.IFNA(INDEX($D$2:$D$4001,_xlfn.XMATCH(I$1&amp;"-"&amp;$F642,YEAR($B$2:$B$4001)&amp;"-"&amp;$A$2:$A$4001,0,-1)),H642))</f>
        <v>6</v>
      </c>
      <c r="J642" cm="1">
        <f t="array" ref="J642">IF(OR(AND(I642=9,J$1&gt;YEAR($N642))),9,_xlfn.IFNA(INDEX($D$2:$D$4001,_xlfn.XMATCH(J$1&amp;"-"&amp;$F642,YEAR($B$2:$B$4001)&amp;"-"&amp;$A$2:$A$4001,0,-1)),I642))</f>
        <v>8</v>
      </c>
      <c r="K642" cm="1">
        <f t="array" ref="K642">IF(OR(AND(J642=9,K$1&gt;YEAR($N642))),9,_xlfn.IFNA(INDEX($D$2:$D$4001,_xlfn.XMATCH(K$1&amp;"-"&amp;$F642,YEAR($B$2:$B$4001)&amp;"-"&amp;$A$2:$A$4001,0,-1)),J642))</f>
        <v>8</v>
      </c>
      <c r="L642" cm="1">
        <f t="array" ref="L642">IF(OR(AND(K642=9,L$1&gt;YEAR($N642))),9,_xlfn.IFNA(INDEX($D$2:$D$4001,_xlfn.XMATCH(L$1&amp;"-"&amp;$F642,YEAR($B$2:$B$4001)&amp;"-"&amp;$A$2:$A$4001,0,-1)),K642))</f>
        <v>8</v>
      </c>
      <c r="M642" cm="1">
        <f t="array" ref="M642">IF(OR(AND(L642=9,M$1&gt;YEAR($N642))),9,_xlfn.IFNA(INDEX($D$2:$D$4001,_xlfn.XMATCH(M$1&amp;"-"&amp;$F642,YEAR($B$2:$B$4001)&amp;"-"&amp;$A$2:$A$4001,0,-1)),L642))</f>
        <v>8</v>
      </c>
      <c r="N642" s="1">
        <f t="shared" si="9"/>
        <v>36524</v>
      </c>
    </row>
    <row r="643" spans="1:14" x14ac:dyDescent="0.35">
      <c r="A643">
        <v>315</v>
      </c>
      <c r="B643" s="2">
        <v>38493</v>
      </c>
      <c r="C643">
        <v>5</v>
      </c>
      <c r="D643">
        <v>5</v>
      </c>
      <c r="F643">
        <v>642</v>
      </c>
      <c r="G643" cm="1">
        <f t="array" ref="G643">_xlfn.IFNA(INDEX($D$2:$D$4001,_xlfn.XMATCH(G$1&amp;"-"&amp;$F643,YEAR($B$2:$B$4001)&amp;"-"&amp;$A$2:$A$4001,0,-1)),9)</f>
        <v>9</v>
      </c>
      <c r="H643" cm="1">
        <f t="array" ref="H643">IF(OR(AND(G643=9,H$1&gt;YEAR($N643))),9,_xlfn.IFNA(INDEX($D$2:$D$4001,_xlfn.XMATCH(H$1&amp;"-"&amp;$F643,YEAR($B$2:$B$4001)&amp;"-"&amp;$A$2:$A$4001,0,-1)),G643))</f>
        <v>9</v>
      </c>
      <c r="I643" cm="1">
        <f t="array" ref="I643">IF(OR(AND(H643=9,I$1&gt;YEAR($N643))),9,_xlfn.IFNA(INDEX($D$2:$D$4001,_xlfn.XMATCH(I$1&amp;"-"&amp;$F643,YEAR($B$2:$B$4001)&amp;"-"&amp;$A$2:$A$4001,0,-1)),H643))</f>
        <v>9</v>
      </c>
      <c r="J643" cm="1">
        <f t="array" ref="J643">IF(OR(AND(I643=9,J$1&gt;YEAR($N643))),9,_xlfn.IFNA(INDEX($D$2:$D$4001,_xlfn.XMATCH(J$1&amp;"-"&amp;$F643,YEAR($B$2:$B$4001)&amp;"-"&amp;$A$2:$A$4001,0,-1)),I643))</f>
        <v>9</v>
      </c>
      <c r="K643" cm="1">
        <f t="array" ref="K643">IF(OR(AND(J643=9,K$1&gt;YEAR($N643))),9,_xlfn.IFNA(INDEX($D$2:$D$4001,_xlfn.XMATCH(K$1&amp;"-"&amp;$F643,YEAR($B$2:$B$4001)&amp;"-"&amp;$A$2:$A$4001,0,-1)),J643))</f>
        <v>9</v>
      </c>
      <c r="L643" cm="1">
        <f t="array" ref="L643">IF(OR(AND(K643=9,L$1&gt;YEAR($N643))),9,_xlfn.IFNA(INDEX($D$2:$D$4001,_xlfn.XMATCH(L$1&amp;"-"&amp;$F643,YEAR($B$2:$B$4001)&amp;"-"&amp;$A$2:$A$4001,0,-1)),K643))</f>
        <v>1</v>
      </c>
      <c r="M643" cm="1">
        <f t="array" ref="M643">IF(OR(AND(L643=9,M$1&gt;YEAR($N643))),9,_xlfn.IFNA(INDEX($D$2:$D$4001,_xlfn.XMATCH(M$1&amp;"-"&amp;$F643,YEAR($B$2:$B$4001)&amp;"-"&amp;$A$2:$A$4001,0,-1)),L643))</f>
        <v>1</v>
      </c>
      <c r="N643" s="1">
        <f t="shared" ref="N643:N706" si="10">_xlfn.MINIFS($B$2:$B$4001,$A$2:$A$4001,F643)</f>
        <v>38260</v>
      </c>
    </row>
    <row r="644" spans="1:14" x14ac:dyDescent="0.35">
      <c r="A644">
        <v>316</v>
      </c>
      <c r="B644" s="2">
        <v>38312</v>
      </c>
      <c r="C644">
        <v>4</v>
      </c>
      <c r="D644">
        <v>4</v>
      </c>
      <c r="F644">
        <v>643</v>
      </c>
      <c r="G644" cm="1">
        <f t="array" ref="G644">_xlfn.IFNA(INDEX($D$2:$D$4001,_xlfn.XMATCH(G$1&amp;"-"&amp;$F644,YEAR($B$2:$B$4001)&amp;"-"&amp;$A$2:$A$4001,0,-1)),9)</f>
        <v>9</v>
      </c>
      <c r="H644" cm="1">
        <f t="array" ref="H644">IF(OR(AND(G644=9,H$1&gt;YEAR($N644))),9,_xlfn.IFNA(INDEX($D$2:$D$4001,_xlfn.XMATCH(H$1&amp;"-"&amp;$F644,YEAR($B$2:$B$4001)&amp;"-"&amp;$A$2:$A$4001,0,-1)),G644))</f>
        <v>9</v>
      </c>
      <c r="I644" cm="1">
        <f t="array" ref="I644">IF(OR(AND(H644=9,I$1&gt;YEAR($N644))),9,_xlfn.IFNA(INDEX($D$2:$D$4001,_xlfn.XMATCH(I$1&amp;"-"&amp;$F644,YEAR($B$2:$B$4001)&amp;"-"&amp;$A$2:$A$4001,0,-1)),H644))</f>
        <v>3</v>
      </c>
      <c r="J644" cm="1">
        <f t="array" ref="J644">IF(OR(AND(I644=9,J$1&gt;YEAR($N644))),9,_xlfn.IFNA(INDEX($D$2:$D$4001,_xlfn.XMATCH(J$1&amp;"-"&amp;$F644,YEAR($B$2:$B$4001)&amp;"-"&amp;$A$2:$A$4001,0,-1)),I644))</f>
        <v>3</v>
      </c>
      <c r="K644" cm="1">
        <f t="array" ref="K644">IF(OR(AND(J644=9,K$1&gt;YEAR($N644))),9,_xlfn.IFNA(INDEX($D$2:$D$4001,_xlfn.XMATCH(K$1&amp;"-"&amp;$F644,YEAR($B$2:$B$4001)&amp;"-"&amp;$A$2:$A$4001,0,-1)),J644))</f>
        <v>3</v>
      </c>
      <c r="L644" cm="1">
        <f t="array" ref="L644">IF(OR(AND(K644=9,L$1&gt;YEAR($N644))),9,_xlfn.IFNA(INDEX($D$2:$D$4001,_xlfn.XMATCH(L$1&amp;"-"&amp;$F644,YEAR($B$2:$B$4001)&amp;"-"&amp;$A$2:$A$4001,0,-1)),K644))</f>
        <v>3</v>
      </c>
      <c r="M644" cm="1">
        <f t="array" ref="M644">IF(OR(AND(L644=9,M$1&gt;YEAR($N644))),9,_xlfn.IFNA(INDEX($D$2:$D$4001,_xlfn.XMATCH(M$1&amp;"-"&amp;$F644,YEAR($B$2:$B$4001)&amp;"-"&amp;$A$2:$A$4001,0,-1)),L644))</f>
        <v>3</v>
      </c>
      <c r="N644" s="1">
        <f t="shared" si="10"/>
        <v>37093</v>
      </c>
    </row>
    <row r="645" spans="1:14" x14ac:dyDescent="0.35">
      <c r="A645">
        <v>317</v>
      </c>
      <c r="B645" s="2">
        <v>37041</v>
      </c>
      <c r="C645">
        <v>8</v>
      </c>
      <c r="D645">
        <v>8</v>
      </c>
      <c r="F645">
        <v>644</v>
      </c>
      <c r="G645" cm="1">
        <f t="array" ref="G645">_xlfn.IFNA(INDEX($D$2:$D$4001,_xlfn.XMATCH(G$1&amp;"-"&amp;$F645,YEAR($B$2:$B$4001)&amp;"-"&amp;$A$2:$A$4001,0,-1)),9)</f>
        <v>4</v>
      </c>
      <c r="H645" cm="1">
        <f t="array" ref="H645">IF(OR(AND(G645=9,H$1&gt;YEAR($N645))),9,_xlfn.IFNA(INDEX($D$2:$D$4001,_xlfn.XMATCH(H$1&amp;"-"&amp;$F645,YEAR($B$2:$B$4001)&amp;"-"&amp;$A$2:$A$4001,0,-1)),G645))</f>
        <v>4</v>
      </c>
      <c r="I645" cm="1">
        <f t="array" ref="I645">IF(OR(AND(H645=9,I$1&gt;YEAR($N645))),9,_xlfn.IFNA(INDEX($D$2:$D$4001,_xlfn.XMATCH(I$1&amp;"-"&amp;$F645,YEAR($B$2:$B$4001)&amp;"-"&amp;$A$2:$A$4001,0,-1)),H645))</f>
        <v>4</v>
      </c>
      <c r="J645" cm="1">
        <f t="array" ref="J645">IF(OR(AND(I645=9,J$1&gt;YEAR($N645))),9,_xlfn.IFNA(INDEX($D$2:$D$4001,_xlfn.XMATCH(J$1&amp;"-"&amp;$F645,YEAR($B$2:$B$4001)&amp;"-"&amp;$A$2:$A$4001,0,-1)),I645))</f>
        <v>4</v>
      </c>
      <c r="K645" cm="1">
        <f t="array" ref="K645">IF(OR(AND(J645=9,K$1&gt;YEAR($N645))),9,_xlfn.IFNA(INDEX($D$2:$D$4001,_xlfn.XMATCH(K$1&amp;"-"&amp;$F645,YEAR($B$2:$B$4001)&amp;"-"&amp;$A$2:$A$4001,0,-1)),J645))</f>
        <v>4</v>
      </c>
      <c r="L645" cm="1">
        <f t="array" ref="L645">IF(OR(AND(K645=9,L$1&gt;YEAR($N645))),9,_xlfn.IFNA(INDEX($D$2:$D$4001,_xlfn.XMATCH(L$1&amp;"-"&amp;$F645,YEAR($B$2:$B$4001)&amp;"-"&amp;$A$2:$A$4001,0,-1)),K645))</f>
        <v>4</v>
      </c>
      <c r="M645" cm="1">
        <f t="array" ref="M645">IF(OR(AND(L645=9,M$1&gt;YEAR($N645))),9,_xlfn.IFNA(INDEX($D$2:$D$4001,_xlfn.XMATCH(M$1&amp;"-"&amp;$F645,YEAR($B$2:$B$4001)&amp;"-"&amp;$A$2:$A$4001,0,-1)),L645))</f>
        <v>4</v>
      </c>
      <c r="N645" s="1">
        <f t="shared" si="10"/>
        <v>36524</v>
      </c>
    </row>
    <row r="646" spans="1:14" x14ac:dyDescent="0.35">
      <c r="A646">
        <v>317</v>
      </c>
      <c r="B646" s="2">
        <v>37064</v>
      </c>
      <c r="C646">
        <v>6</v>
      </c>
      <c r="D646">
        <v>8</v>
      </c>
      <c r="F646">
        <v>645</v>
      </c>
      <c r="G646" cm="1">
        <f t="array" ref="G646">_xlfn.IFNA(INDEX($D$2:$D$4001,_xlfn.XMATCH(G$1&amp;"-"&amp;$F646,YEAR($B$2:$B$4001)&amp;"-"&amp;$A$2:$A$4001,0,-1)),9)</f>
        <v>6</v>
      </c>
      <c r="H646" cm="1">
        <f t="array" ref="H646">IF(OR(AND(G646=9,H$1&gt;YEAR($N646))),9,_xlfn.IFNA(INDEX($D$2:$D$4001,_xlfn.XMATCH(H$1&amp;"-"&amp;$F646,YEAR($B$2:$B$4001)&amp;"-"&amp;$A$2:$A$4001,0,-1)),G646))</f>
        <v>6</v>
      </c>
      <c r="I646" cm="1">
        <f t="array" ref="I646">IF(OR(AND(H646=9,I$1&gt;YEAR($N646))),9,_xlfn.IFNA(INDEX($D$2:$D$4001,_xlfn.XMATCH(I$1&amp;"-"&amp;$F646,YEAR($B$2:$B$4001)&amp;"-"&amp;$A$2:$A$4001,0,-1)),H646))</f>
        <v>0</v>
      </c>
      <c r="J646" cm="1">
        <f t="array" ref="J646">IF(OR(AND(I646=9,J$1&gt;YEAR($N646))),9,_xlfn.IFNA(INDEX($D$2:$D$4001,_xlfn.XMATCH(J$1&amp;"-"&amp;$F646,YEAR($B$2:$B$4001)&amp;"-"&amp;$A$2:$A$4001,0,-1)),I646))</f>
        <v>0</v>
      </c>
      <c r="K646" cm="1">
        <f t="array" ref="K646">IF(OR(AND(J646=9,K$1&gt;YEAR($N646))),9,_xlfn.IFNA(INDEX($D$2:$D$4001,_xlfn.XMATCH(K$1&amp;"-"&amp;$F646,YEAR($B$2:$B$4001)&amp;"-"&amp;$A$2:$A$4001,0,-1)),J646))</f>
        <v>0</v>
      </c>
      <c r="L646" cm="1">
        <f t="array" ref="L646">IF(OR(AND(K646=9,L$1&gt;YEAR($N646))),9,_xlfn.IFNA(INDEX($D$2:$D$4001,_xlfn.XMATCH(L$1&amp;"-"&amp;$F646,YEAR($B$2:$B$4001)&amp;"-"&amp;$A$2:$A$4001,0,-1)),K646))</f>
        <v>0</v>
      </c>
      <c r="M646" cm="1">
        <f t="array" ref="M646">IF(OR(AND(L646=9,M$1&gt;YEAR($N646))),9,_xlfn.IFNA(INDEX($D$2:$D$4001,_xlfn.XMATCH(M$1&amp;"-"&amp;$F646,YEAR($B$2:$B$4001)&amp;"-"&amp;$A$2:$A$4001,0,-1)),L646))</f>
        <v>0</v>
      </c>
      <c r="N646" s="1">
        <f t="shared" si="10"/>
        <v>36310</v>
      </c>
    </row>
    <row r="647" spans="1:14" x14ac:dyDescent="0.35">
      <c r="A647">
        <v>317</v>
      </c>
      <c r="B647" s="2">
        <v>37255</v>
      </c>
      <c r="C647">
        <v>7</v>
      </c>
      <c r="D647">
        <v>8</v>
      </c>
      <c r="F647">
        <v>646</v>
      </c>
      <c r="G647" cm="1">
        <f t="array" ref="G647">_xlfn.IFNA(INDEX($D$2:$D$4001,_xlfn.XMATCH(G$1&amp;"-"&amp;$F647,YEAR($B$2:$B$4001)&amp;"-"&amp;$A$2:$A$4001,0,-1)),9)</f>
        <v>3</v>
      </c>
      <c r="H647" cm="1">
        <f t="array" ref="H647">IF(OR(AND(G647=9,H$1&gt;YEAR($N647))),9,_xlfn.IFNA(INDEX($D$2:$D$4001,_xlfn.XMATCH(H$1&amp;"-"&amp;$F647,YEAR($B$2:$B$4001)&amp;"-"&amp;$A$2:$A$4001,0,-1)),G647))</f>
        <v>3</v>
      </c>
      <c r="I647" cm="1">
        <f t="array" ref="I647">IF(OR(AND(H647=9,I$1&gt;YEAR($N647))),9,_xlfn.IFNA(INDEX($D$2:$D$4001,_xlfn.XMATCH(I$1&amp;"-"&amp;$F647,YEAR($B$2:$B$4001)&amp;"-"&amp;$A$2:$A$4001,0,-1)),H647))</f>
        <v>3</v>
      </c>
      <c r="J647" cm="1">
        <f t="array" ref="J647">IF(OR(AND(I647=9,J$1&gt;YEAR($N647))),9,_xlfn.IFNA(INDEX($D$2:$D$4001,_xlfn.XMATCH(J$1&amp;"-"&amp;$F647,YEAR($B$2:$B$4001)&amp;"-"&amp;$A$2:$A$4001,0,-1)),I647))</f>
        <v>3</v>
      </c>
      <c r="K647" cm="1">
        <f t="array" ref="K647">IF(OR(AND(J647=9,K$1&gt;YEAR($N647))),9,_xlfn.IFNA(INDEX($D$2:$D$4001,_xlfn.XMATCH(K$1&amp;"-"&amp;$F647,YEAR($B$2:$B$4001)&amp;"-"&amp;$A$2:$A$4001,0,-1)),J647))</f>
        <v>3</v>
      </c>
      <c r="L647" cm="1">
        <f t="array" ref="L647">IF(OR(AND(K647=9,L$1&gt;YEAR($N647))),9,_xlfn.IFNA(INDEX($D$2:$D$4001,_xlfn.XMATCH(L$1&amp;"-"&amp;$F647,YEAR($B$2:$B$4001)&amp;"-"&amp;$A$2:$A$4001,0,-1)),K647))</f>
        <v>3</v>
      </c>
      <c r="M647" cm="1">
        <f t="array" ref="M647">IF(OR(AND(L647=9,M$1&gt;YEAR($N647))),9,_xlfn.IFNA(INDEX($D$2:$D$4001,_xlfn.XMATCH(M$1&amp;"-"&amp;$F647,YEAR($B$2:$B$4001)&amp;"-"&amp;$A$2:$A$4001,0,-1)),L647))</f>
        <v>3</v>
      </c>
      <c r="N647" s="1">
        <f t="shared" si="10"/>
        <v>36310</v>
      </c>
    </row>
    <row r="648" spans="1:14" x14ac:dyDescent="0.35">
      <c r="A648">
        <v>317</v>
      </c>
      <c r="B648" s="2">
        <v>37255</v>
      </c>
      <c r="C648">
        <v>7</v>
      </c>
      <c r="D648">
        <v>8</v>
      </c>
      <c r="F648">
        <v>647</v>
      </c>
      <c r="G648" cm="1">
        <f t="array" ref="G648">_xlfn.IFNA(INDEX($D$2:$D$4001,_xlfn.XMATCH(G$1&amp;"-"&amp;$F648,YEAR($B$2:$B$4001)&amp;"-"&amp;$A$2:$A$4001,0,-1)),9)</f>
        <v>9</v>
      </c>
      <c r="H648" cm="1">
        <f t="array" ref="H648">IF(OR(AND(G648=9,H$1&gt;YEAR($N648))),9,_xlfn.IFNA(INDEX($D$2:$D$4001,_xlfn.XMATCH(H$1&amp;"-"&amp;$F648,YEAR($B$2:$B$4001)&amp;"-"&amp;$A$2:$A$4001,0,-1)),G648))</f>
        <v>4</v>
      </c>
      <c r="I648" cm="1">
        <f t="array" ref="I648">IF(OR(AND(H648=9,I$1&gt;YEAR($N648))),9,_xlfn.IFNA(INDEX($D$2:$D$4001,_xlfn.XMATCH(I$1&amp;"-"&amp;$F648,YEAR($B$2:$B$4001)&amp;"-"&amp;$A$2:$A$4001,0,-1)),H648))</f>
        <v>4</v>
      </c>
      <c r="J648" cm="1">
        <f t="array" ref="J648">IF(OR(AND(I648=9,J$1&gt;YEAR($N648))),9,_xlfn.IFNA(INDEX($D$2:$D$4001,_xlfn.XMATCH(J$1&amp;"-"&amp;$F648,YEAR($B$2:$B$4001)&amp;"-"&amp;$A$2:$A$4001,0,-1)),I648))</f>
        <v>4</v>
      </c>
      <c r="K648" cm="1">
        <f t="array" ref="K648">IF(OR(AND(J648=9,K$1&gt;YEAR($N648))),9,_xlfn.IFNA(INDEX($D$2:$D$4001,_xlfn.XMATCH(K$1&amp;"-"&amp;$F648,YEAR($B$2:$B$4001)&amp;"-"&amp;$A$2:$A$4001,0,-1)),J648))</f>
        <v>4</v>
      </c>
      <c r="L648" cm="1">
        <f t="array" ref="L648">IF(OR(AND(K648=9,L$1&gt;YEAR($N648))),9,_xlfn.IFNA(INDEX($D$2:$D$4001,_xlfn.XMATCH(L$1&amp;"-"&amp;$F648,YEAR($B$2:$B$4001)&amp;"-"&amp;$A$2:$A$4001,0,-1)),K648))</f>
        <v>4</v>
      </c>
      <c r="M648" cm="1">
        <f t="array" ref="M648">IF(OR(AND(L648=9,M$1&gt;YEAR($N648))),9,_xlfn.IFNA(INDEX($D$2:$D$4001,_xlfn.XMATCH(M$1&amp;"-"&amp;$F648,YEAR($B$2:$B$4001)&amp;"-"&amp;$A$2:$A$4001,0,-1)),L648))</f>
        <v>4</v>
      </c>
      <c r="N648" s="1">
        <f t="shared" si="10"/>
        <v>36860</v>
      </c>
    </row>
    <row r="649" spans="1:14" x14ac:dyDescent="0.35">
      <c r="A649">
        <v>317</v>
      </c>
      <c r="B649" s="2">
        <v>37946</v>
      </c>
      <c r="C649">
        <v>0</v>
      </c>
      <c r="D649">
        <v>8</v>
      </c>
      <c r="F649">
        <v>648</v>
      </c>
      <c r="G649" cm="1">
        <f t="array" ref="G649">_xlfn.IFNA(INDEX($D$2:$D$4001,_xlfn.XMATCH(G$1&amp;"-"&amp;$F649,YEAR($B$2:$B$4001)&amp;"-"&amp;$A$2:$A$4001,0,-1)),9)</f>
        <v>9</v>
      </c>
      <c r="H649" cm="1">
        <f t="array" ref="H649">IF(OR(AND(G649=9,H$1&gt;YEAR($N649))),9,_xlfn.IFNA(INDEX($D$2:$D$4001,_xlfn.XMATCH(H$1&amp;"-"&amp;$F649,YEAR($B$2:$B$4001)&amp;"-"&amp;$A$2:$A$4001,0,-1)),G649))</f>
        <v>9</v>
      </c>
      <c r="I649" cm="1">
        <f t="array" ref="I649">IF(OR(AND(H649=9,I$1&gt;YEAR($N649))),9,_xlfn.IFNA(INDEX($D$2:$D$4001,_xlfn.XMATCH(I$1&amp;"-"&amp;$F649,YEAR($B$2:$B$4001)&amp;"-"&amp;$A$2:$A$4001,0,-1)),H649))</f>
        <v>3</v>
      </c>
      <c r="J649" cm="1">
        <f t="array" ref="J649">IF(OR(AND(I649=9,J$1&gt;YEAR($N649))),9,_xlfn.IFNA(INDEX($D$2:$D$4001,_xlfn.XMATCH(J$1&amp;"-"&amp;$F649,YEAR($B$2:$B$4001)&amp;"-"&amp;$A$2:$A$4001,0,-1)),I649))</f>
        <v>3</v>
      </c>
      <c r="K649" cm="1">
        <f t="array" ref="K649">IF(OR(AND(J649=9,K$1&gt;YEAR($N649))),9,_xlfn.IFNA(INDEX($D$2:$D$4001,_xlfn.XMATCH(K$1&amp;"-"&amp;$F649,YEAR($B$2:$B$4001)&amp;"-"&amp;$A$2:$A$4001,0,-1)),J649))</f>
        <v>3</v>
      </c>
      <c r="L649" cm="1">
        <f t="array" ref="L649">IF(OR(AND(K649=9,L$1&gt;YEAR($N649))),9,_xlfn.IFNA(INDEX($D$2:$D$4001,_xlfn.XMATCH(L$1&amp;"-"&amp;$F649,YEAR($B$2:$B$4001)&amp;"-"&amp;$A$2:$A$4001,0,-1)),K649))</f>
        <v>3</v>
      </c>
      <c r="M649" cm="1">
        <f t="array" ref="M649">IF(OR(AND(L649=9,M$1&gt;YEAR($N649))),9,_xlfn.IFNA(INDEX($D$2:$D$4001,_xlfn.XMATCH(M$1&amp;"-"&amp;$F649,YEAR($B$2:$B$4001)&amp;"-"&amp;$A$2:$A$4001,0,-1)),L649))</f>
        <v>3</v>
      </c>
      <c r="N649" s="1">
        <f t="shared" si="10"/>
        <v>37041</v>
      </c>
    </row>
    <row r="650" spans="1:14" x14ac:dyDescent="0.35">
      <c r="A650">
        <v>318</v>
      </c>
      <c r="B650" s="2">
        <v>36890</v>
      </c>
      <c r="C650">
        <v>5</v>
      </c>
      <c r="D650">
        <v>5</v>
      </c>
      <c r="F650">
        <v>649</v>
      </c>
      <c r="G650" cm="1">
        <f t="array" ref="G650">_xlfn.IFNA(INDEX($D$2:$D$4001,_xlfn.XMATCH(G$1&amp;"-"&amp;$F650,YEAR($B$2:$B$4001)&amp;"-"&amp;$A$2:$A$4001,0,-1)),9)</f>
        <v>9</v>
      </c>
      <c r="H650" cm="1">
        <f t="array" ref="H650">IF(OR(AND(G650=9,H$1&gt;YEAR($N650))),9,_xlfn.IFNA(INDEX($D$2:$D$4001,_xlfn.XMATCH(H$1&amp;"-"&amp;$F650,YEAR($B$2:$B$4001)&amp;"-"&amp;$A$2:$A$4001,0,-1)),G650))</f>
        <v>9</v>
      </c>
      <c r="I650" cm="1">
        <f t="array" ref="I650">IF(OR(AND(H650=9,I$1&gt;YEAR($N650))),9,_xlfn.IFNA(INDEX($D$2:$D$4001,_xlfn.XMATCH(I$1&amp;"-"&amp;$F650,YEAR($B$2:$B$4001)&amp;"-"&amp;$A$2:$A$4001,0,-1)),H650))</f>
        <v>6</v>
      </c>
      <c r="J650" cm="1">
        <f t="array" ref="J650">IF(OR(AND(I650=9,J$1&gt;YEAR($N650))),9,_xlfn.IFNA(INDEX($D$2:$D$4001,_xlfn.XMATCH(J$1&amp;"-"&amp;$F650,YEAR($B$2:$B$4001)&amp;"-"&amp;$A$2:$A$4001,0,-1)),I650))</f>
        <v>6</v>
      </c>
      <c r="K650" cm="1">
        <f t="array" ref="K650">IF(OR(AND(J650=9,K$1&gt;YEAR($N650))),9,_xlfn.IFNA(INDEX($D$2:$D$4001,_xlfn.XMATCH(K$1&amp;"-"&amp;$F650,YEAR($B$2:$B$4001)&amp;"-"&amp;$A$2:$A$4001,0,-1)),J650))</f>
        <v>7</v>
      </c>
      <c r="L650" cm="1">
        <f t="array" ref="L650">IF(OR(AND(K650=9,L$1&gt;YEAR($N650))),9,_xlfn.IFNA(INDEX($D$2:$D$4001,_xlfn.XMATCH(L$1&amp;"-"&amp;$F650,YEAR($B$2:$B$4001)&amp;"-"&amp;$A$2:$A$4001,0,-1)),K650))</f>
        <v>7</v>
      </c>
      <c r="M650" cm="1">
        <f t="array" ref="M650">IF(OR(AND(L650=9,M$1&gt;YEAR($N650))),9,_xlfn.IFNA(INDEX($D$2:$D$4001,_xlfn.XMATCH(M$1&amp;"-"&amp;$F650,YEAR($B$2:$B$4001)&amp;"-"&amp;$A$2:$A$4001,0,-1)),L650))</f>
        <v>7</v>
      </c>
      <c r="N650" s="1">
        <f t="shared" si="10"/>
        <v>37063</v>
      </c>
    </row>
    <row r="651" spans="1:14" x14ac:dyDescent="0.35">
      <c r="A651">
        <v>318</v>
      </c>
      <c r="B651" s="2">
        <v>38351</v>
      </c>
      <c r="C651">
        <v>4</v>
      </c>
      <c r="D651">
        <v>4</v>
      </c>
      <c r="F651">
        <v>650</v>
      </c>
      <c r="G651" cm="1">
        <f t="array" ref="G651">_xlfn.IFNA(INDEX($D$2:$D$4001,_xlfn.XMATCH(G$1&amp;"-"&amp;$F651,YEAR($B$2:$B$4001)&amp;"-"&amp;$A$2:$A$4001,0,-1)),9)</f>
        <v>4</v>
      </c>
      <c r="H651" cm="1">
        <f t="array" ref="H651">IF(OR(AND(G651=9,H$1&gt;YEAR($N651))),9,_xlfn.IFNA(INDEX($D$2:$D$4001,_xlfn.XMATCH(H$1&amp;"-"&amp;$F651,YEAR($B$2:$B$4001)&amp;"-"&amp;$A$2:$A$4001,0,-1)),G651))</f>
        <v>3</v>
      </c>
      <c r="I651" cm="1">
        <f t="array" ref="I651">IF(OR(AND(H651=9,I$1&gt;YEAR($N651))),9,_xlfn.IFNA(INDEX($D$2:$D$4001,_xlfn.XMATCH(I$1&amp;"-"&amp;$F651,YEAR($B$2:$B$4001)&amp;"-"&amp;$A$2:$A$4001,0,-1)),H651))</f>
        <v>4</v>
      </c>
      <c r="J651" cm="1">
        <f t="array" ref="J651">IF(OR(AND(I651=9,J$1&gt;YEAR($N651))),9,_xlfn.IFNA(INDEX($D$2:$D$4001,_xlfn.XMATCH(J$1&amp;"-"&amp;$F651,YEAR($B$2:$B$4001)&amp;"-"&amp;$A$2:$A$4001,0,-1)),I651))</f>
        <v>4</v>
      </c>
      <c r="K651" cm="1">
        <f t="array" ref="K651">IF(OR(AND(J651=9,K$1&gt;YEAR($N651))),9,_xlfn.IFNA(INDEX($D$2:$D$4001,_xlfn.XMATCH(K$1&amp;"-"&amp;$F651,YEAR($B$2:$B$4001)&amp;"-"&amp;$A$2:$A$4001,0,-1)),J651))</f>
        <v>4</v>
      </c>
      <c r="L651" cm="1">
        <f t="array" ref="L651">IF(OR(AND(K651=9,L$1&gt;YEAR($N651))),9,_xlfn.IFNA(INDEX($D$2:$D$4001,_xlfn.XMATCH(L$1&amp;"-"&amp;$F651,YEAR($B$2:$B$4001)&amp;"-"&amp;$A$2:$A$4001,0,-1)),K651))</f>
        <v>4</v>
      </c>
      <c r="M651" cm="1">
        <f t="array" ref="M651">IF(OR(AND(L651=9,M$1&gt;YEAR($N651))),9,_xlfn.IFNA(INDEX($D$2:$D$4001,_xlfn.XMATCH(M$1&amp;"-"&amp;$F651,YEAR($B$2:$B$4001)&amp;"-"&amp;$A$2:$A$4001,0,-1)),L651))</f>
        <v>4</v>
      </c>
      <c r="N651" s="1">
        <f t="shared" si="10"/>
        <v>36310</v>
      </c>
    </row>
    <row r="652" spans="1:14" x14ac:dyDescent="0.35">
      <c r="A652">
        <v>319</v>
      </c>
      <c r="B652" s="2">
        <v>37863</v>
      </c>
      <c r="C652">
        <v>4</v>
      </c>
      <c r="D652">
        <v>4</v>
      </c>
      <c r="F652">
        <v>651</v>
      </c>
      <c r="G652" cm="1">
        <f t="array" ref="G652">_xlfn.IFNA(INDEX($D$2:$D$4001,_xlfn.XMATCH(G$1&amp;"-"&amp;$F652,YEAR($B$2:$B$4001)&amp;"-"&amp;$A$2:$A$4001,0,-1)),9)</f>
        <v>9</v>
      </c>
      <c r="H652" cm="1">
        <f t="array" ref="H652">IF(OR(AND(G652=9,H$1&gt;YEAR($N652))),9,_xlfn.IFNA(INDEX($D$2:$D$4001,_xlfn.XMATCH(H$1&amp;"-"&amp;$F652,YEAR($B$2:$B$4001)&amp;"-"&amp;$A$2:$A$4001,0,-1)),G652))</f>
        <v>4</v>
      </c>
      <c r="I652" cm="1">
        <f t="array" ref="I652">IF(OR(AND(H652=9,I$1&gt;YEAR($N652))),9,_xlfn.IFNA(INDEX($D$2:$D$4001,_xlfn.XMATCH(I$1&amp;"-"&amp;$F652,YEAR($B$2:$B$4001)&amp;"-"&amp;$A$2:$A$4001,0,-1)),H652))</f>
        <v>4</v>
      </c>
      <c r="J652" cm="1">
        <f t="array" ref="J652">IF(OR(AND(I652=9,J$1&gt;YEAR($N652))),9,_xlfn.IFNA(INDEX($D$2:$D$4001,_xlfn.XMATCH(J$1&amp;"-"&amp;$F652,YEAR($B$2:$B$4001)&amp;"-"&amp;$A$2:$A$4001,0,-1)),I652))</f>
        <v>4</v>
      </c>
      <c r="K652" cm="1">
        <f t="array" ref="K652">IF(OR(AND(J652=9,K$1&gt;YEAR($N652))),9,_xlfn.IFNA(INDEX($D$2:$D$4001,_xlfn.XMATCH(K$1&amp;"-"&amp;$F652,YEAR($B$2:$B$4001)&amp;"-"&amp;$A$2:$A$4001,0,-1)),J652))</f>
        <v>4</v>
      </c>
      <c r="L652" cm="1">
        <f t="array" ref="L652">IF(OR(AND(K652=9,L$1&gt;YEAR($N652))),9,_xlfn.IFNA(INDEX($D$2:$D$4001,_xlfn.XMATCH(L$1&amp;"-"&amp;$F652,YEAR($B$2:$B$4001)&amp;"-"&amp;$A$2:$A$4001,0,-1)),K652))</f>
        <v>4</v>
      </c>
      <c r="M652" cm="1">
        <f t="array" ref="M652">IF(OR(AND(L652=9,M$1&gt;YEAR($N652))),9,_xlfn.IFNA(INDEX($D$2:$D$4001,_xlfn.XMATCH(M$1&amp;"-"&amp;$F652,YEAR($B$2:$B$4001)&amp;"-"&amp;$A$2:$A$4001,0,-1)),L652))</f>
        <v>4</v>
      </c>
      <c r="N652" s="1">
        <f t="shared" si="10"/>
        <v>36667</v>
      </c>
    </row>
    <row r="653" spans="1:14" x14ac:dyDescent="0.35">
      <c r="A653">
        <v>320</v>
      </c>
      <c r="B653" s="2">
        <v>36371</v>
      </c>
      <c r="C653">
        <v>7</v>
      </c>
      <c r="D653">
        <v>7</v>
      </c>
      <c r="F653">
        <v>652</v>
      </c>
      <c r="G653" cm="1">
        <f t="array" ref="G653">_xlfn.IFNA(INDEX($D$2:$D$4001,_xlfn.XMATCH(G$1&amp;"-"&amp;$F653,YEAR($B$2:$B$4001)&amp;"-"&amp;$A$2:$A$4001,0,-1)),9)</f>
        <v>5</v>
      </c>
      <c r="H653" cm="1">
        <f t="array" ref="H653">IF(OR(AND(G653=9,H$1&gt;YEAR($N653))),9,_xlfn.IFNA(INDEX($D$2:$D$4001,_xlfn.XMATCH(H$1&amp;"-"&amp;$F653,YEAR($B$2:$B$4001)&amp;"-"&amp;$A$2:$A$4001,0,-1)),G653))</f>
        <v>5</v>
      </c>
      <c r="I653" cm="1">
        <f t="array" ref="I653">IF(OR(AND(H653=9,I$1&gt;YEAR($N653))),9,_xlfn.IFNA(INDEX($D$2:$D$4001,_xlfn.XMATCH(I$1&amp;"-"&amp;$F653,YEAR($B$2:$B$4001)&amp;"-"&amp;$A$2:$A$4001,0,-1)),H653))</f>
        <v>5</v>
      </c>
      <c r="J653" cm="1">
        <f t="array" ref="J653">IF(OR(AND(I653=9,J$1&gt;YEAR($N653))),9,_xlfn.IFNA(INDEX($D$2:$D$4001,_xlfn.XMATCH(J$1&amp;"-"&amp;$F653,YEAR($B$2:$B$4001)&amp;"-"&amp;$A$2:$A$4001,0,-1)),I653))</f>
        <v>5</v>
      </c>
      <c r="K653" cm="1">
        <f t="array" ref="K653">IF(OR(AND(J653=9,K$1&gt;YEAR($N653))),9,_xlfn.IFNA(INDEX($D$2:$D$4001,_xlfn.XMATCH(K$1&amp;"-"&amp;$F653,YEAR($B$2:$B$4001)&amp;"-"&amp;$A$2:$A$4001,0,-1)),J653))</f>
        <v>0</v>
      </c>
      <c r="L653" cm="1">
        <f t="array" ref="L653">IF(OR(AND(K653=9,L$1&gt;YEAR($N653))),9,_xlfn.IFNA(INDEX($D$2:$D$4001,_xlfn.XMATCH(L$1&amp;"-"&amp;$F653,YEAR($B$2:$B$4001)&amp;"-"&amp;$A$2:$A$4001,0,-1)),K653))</f>
        <v>0</v>
      </c>
      <c r="M653" cm="1">
        <f t="array" ref="M653">IF(OR(AND(L653=9,M$1&gt;YEAR($N653))),9,_xlfn.IFNA(INDEX($D$2:$D$4001,_xlfn.XMATCH(M$1&amp;"-"&amp;$F653,YEAR($B$2:$B$4001)&amp;"-"&amp;$A$2:$A$4001,0,-1)),L653))</f>
        <v>0</v>
      </c>
      <c r="N653" s="1">
        <f t="shared" si="10"/>
        <v>36304</v>
      </c>
    </row>
    <row r="654" spans="1:14" x14ac:dyDescent="0.35">
      <c r="A654">
        <v>320</v>
      </c>
      <c r="B654" s="2">
        <v>36524</v>
      </c>
      <c r="C654">
        <v>7</v>
      </c>
      <c r="D654">
        <v>7</v>
      </c>
      <c r="F654">
        <v>653</v>
      </c>
      <c r="G654" cm="1">
        <f t="array" ref="G654">_xlfn.IFNA(INDEX($D$2:$D$4001,_xlfn.XMATCH(G$1&amp;"-"&amp;$F654,YEAR($B$2:$B$4001)&amp;"-"&amp;$A$2:$A$4001,0,-1)),9)</f>
        <v>9</v>
      </c>
      <c r="H654" cm="1">
        <f t="array" ref="H654">IF(OR(AND(G654=9,H$1&gt;YEAR($N654))),9,_xlfn.IFNA(INDEX($D$2:$D$4001,_xlfn.XMATCH(H$1&amp;"-"&amp;$F654,YEAR($B$2:$B$4001)&amp;"-"&amp;$A$2:$A$4001,0,-1)),G654))</f>
        <v>9</v>
      </c>
      <c r="I654" cm="1">
        <f t="array" ref="I654">IF(OR(AND(H654=9,I$1&gt;YEAR($N654))),9,_xlfn.IFNA(INDEX($D$2:$D$4001,_xlfn.XMATCH(I$1&amp;"-"&amp;$F654,YEAR($B$2:$B$4001)&amp;"-"&amp;$A$2:$A$4001,0,-1)),H654))</f>
        <v>4</v>
      </c>
      <c r="J654" cm="1">
        <f t="array" ref="J654">IF(OR(AND(I654=9,J$1&gt;YEAR($N654))),9,_xlfn.IFNA(INDEX($D$2:$D$4001,_xlfn.XMATCH(J$1&amp;"-"&amp;$F654,YEAR($B$2:$B$4001)&amp;"-"&amp;$A$2:$A$4001,0,-1)),I654))</f>
        <v>4</v>
      </c>
      <c r="K654" cm="1">
        <f t="array" ref="K654">IF(OR(AND(J654=9,K$1&gt;YEAR($N654))),9,_xlfn.IFNA(INDEX($D$2:$D$4001,_xlfn.XMATCH(K$1&amp;"-"&amp;$F654,YEAR($B$2:$B$4001)&amp;"-"&amp;$A$2:$A$4001,0,-1)),J654))</f>
        <v>4</v>
      </c>
      <c r="L654" cm="1">
        <f t="array" ref="L654">IF(OR(AND(K654=9,L$1&gt;YEAR($N654))),9,_xlfn.IFNA(INDEX($D$2:$D$4001,_xlfn.XMATCH(L$1&amp;"-"&amp;$F654,YEAR($B$2:$B$4001)&amp;"-"&amp;$A$2:$A$4001,0,-1)),K654))</f>
        <v>4</v>
      </c>
      <c r="M654" cm="1">
        <f t="array" ref="M654">IF(OR(AND(L654=9,M$1&gt;YEAR($N654))),9,_xlfn.IFNA(INDEX($D$2:$D$4001,_xlfn.XMATCH(M$1&amp;"-"&amp;$F654,YEAR($B$2:$B$4001)&amp;"-"&amp;$A$2:$A$4001,0,-1)),L654))</f>
        <v>4</v>
      </c>
      <c r="N654" s="1">
        <f t="shared" si="10"/>
        <v>37155</v>
      </c>
    </row>
    <row r="655" spans="1:14" x14ac:dyDescent="0.35">
      <c r="A655">
        <v>320</v>
      </c>
      <c r="B655" s="2">
        <v>36890</v>
      </c>
      <c r="C655">
        <v>0</v>
      </c>
      <c r="D655">
        <v>0</v>
      </c>
      <c r="F655">
        <v>654</v>
      </c>
      <c r="G655" cm="1">
        <f t="array" ref="G655">_xlfn.IFNA(INDEX($D$2:$D$4001,_xlfn.XMATCH(G$1&amp;"-"&amp;$F655,YEAR($B$2:$B$4001)&amp;"-"&amp;$A$2:$A$4001,0,-1)),9)</f>
        <v>4</v>
      </c>
      <c r="H655" cm="1">
        <f t="array" ref="H655">IF(OR(AND(G655=9,H$1&gt;YEAR($N655))),9,_xlfn.IFNA(INDEX($D$2:$D$4001,_xlfn.XMATCH(H$1&amp;"-"&amp;$F655,YEAR($B$2:$B$4001)&amp;"-"&amp;$A$2:$A$4001,0,-1)),G655))</f>
        <v>4</v>
      </c>
      <c r="I655" cm="1">
        <f t="array" ref="I655">IF(OR(AND(H655=9,I$1&gt;YEAR($N655))),9,_xlfn.IFNA(INDEX($D$2:$D$4001,_xlfn.XMATCH(I$1&amp;"-"&amp;$F655,YEAR($B$2:$B$4001)&amp;"-"&amp;$A$2:$A$4001,0,-1)),H655))</f>
        <v>0</v>
      </c>
      <c r="J655" cm="1">
        <f t="array" ref="J655">IF(OR(AND(I655=9,J$1&gt;YEAR($N655))),9,_xlfn.IFNA(INDEX($D$2:$D$4001,_xlfn.XMATCH(J$1&amp;"-"&amp;$F655,YEAR($B$2:$B$4001)&amp;"-"&amp;$A$2:$A$4001,0,-1)),I655))</f>
        <v>0</v>
      </c>
      <c r="K655" cm="1">
        <f t="array" ref="K655">IF(OR(AND(J655=9,K$1&gt;YEAR($N655))),9,_xlfn.IFNA(INDEX($D$2:$D$4001,_xlfn.XMATCH(K$1&amp;"-"&amp;$F655,YEAR($B$2:$B$4001)&amp;"-"&amp;$A$2:$A$4001,0,-1)),J655))</f>
        <v>0</v>
      </c>
      <c r="L655" cm="1">
        <f t="array" ref="L655">IF(OR(AND(K655=9,L$1&gt;YEAR($N655))),9,_xlfn.IFNA(INDEX($D$2:$D$4001,_xlfn.XMATCH(L$1&amp;"-"&amp;$F655,YEAR($B$2:$B$4001)&amp;"-"&amp;$A$2:$A$4001,0,-1)),K655))</f>
        <v>0</v>
      </c>
      <c r="M655" cm="1">
        <f t="array" ref="M655">IF(OR(AND(L655=9,M$1&gt;YEAR($N655))),9,_xlfn.IFNA(INDEX($D$2:$D$4001,_xlfn.XMATCH(M$1&amp;"-"&amp;$F655,YEAR($B$2:$B$4001)&amp;"-"&amp;$A$2:$A$4001,0,-1)),L655))</f>
        <v>0</v>
      </c>
      <c r="N655" s="1">
        <f t="shared" si="10"/>
        <v>36301</v>
      </c>
    </row>
    <row r="656" spans="1:14" x14ac:dyDescent="0.35">
      <c r="A656">
        <v>321</v>
      </c>
      <c r="B656" s="2">
        <v>36790</v>
      </c>
      <c r="C656">
        <v>3</v>
      </c>
      <c r="D656">
        <v>3</v>
      </c>
      <c r="F656">
        <v>655</v>
      </c>
      <c r="G656" cm="1">
        <f t="array" ref="G656">_xlfn.IFNA(INDEX($D$2:$D$4001,_xlfn.XMATCH(G$1&amp;"-"&amp;$F656,YEAR($B$2:$B$4001)&amp;"-"&amp;$A$2:$A$4001,0,-1)),9)</f>
        <v>9</v>
      </c>
      <c r="H656" cm="1">
        <f t="array" ref="H656">IF(OR(AND(G656=9,H$1&gt;YEAR($N656))),9,_xlfn.IFNA(INDEX($D$2:$D$4001,_xlfn.XMATCH(H$1&amp;"-"&amp;$F656,YEAR($B$2:$B$4001)&amp;"-"&amp;$A$2:$A$4001,0,-1)),G656))</f>
        <v>9</v>
      </c>
      <c r="I656" cm="1">
        <f t="array" ref="I656">IF(OR(AND(H656=9,I$1&gt;YEAR($N656))),9,_xlfn.IFNA(INDEX($D$2:$D$4001,_xlfn.XMATCH(I$1&amp;"-"&amp;$F656,YEAR($B$2:$B$4001)&amp;"-"&amp;$A$2:$A$4001,0,-1)),H656))</f>
        <v>2</v>
      </c>
      <c r="J656" cm="1">
        <f t="array" ref="J656">IF(OR(AND(I656=9,J$1&gt;YEAR($N656))),9,_xlfn.IFNA(INDEX($D$2:$D$4001,_xlfn.XMATCH(J$1&amp;"-"&amp;$F656,YEAR($B$2:$B$4001)&amp;"-"&amp;$A$2:$A$4001,0,-1)),I656))</f>
        <v>2</v>
      </c>
      <c r="K656" cm="1">
        <f t="array" ref="K656">IF(OR(AND(J656=9,K$1&gt;YEAR($N656))),9,_xlfn.IFNA(INDEX($D$2:$D$4001,_xlfn.XMATCH(K$1&amp;"-"&amp;$F656,YEAR($B$2:$B$4001)&amp;"-"&amp;$A$2:$A$4001,0,-1)),J656))</f>
        <v>2</v>
      </c>
      <c r="L656" cm="1">
        <f t="array" ref="L656">IF(OR(AND(K656=9,L$1&gt;YEAR($N656))),9,_xlfn.IFNA(INDEX($D$2:$D$4001,_xlfn.XMATCH(L$1&amp;"-"&amp;$F656,YEAR($B$2:$B$4001)&amp;"-"&amp;$A$2:$A$4001,0,-1)),K656))</f>
        <v>2</v>
      </c>
      <c r="M656" cm="1">
        <f t="array" ref="M656">IF(OR(AND(L656=9,M$1&gt;YEAR($N656))),9,_xlfn.IFNA(INDEX($D$2:$D$4001,_xlfn.XMATCH(M$1&amp;"-"&amp;$F656,YEAR($B$2:$B$4001)&amp;"-"&amp;$A$2:$A$4001,0,-1)),L656))</f>
        <v>2</v>
      </c>
      <c r="N656" s="1">
        <f t="shared" si="10"/>
        <v>37246</v>
      </c>
    </row>
    <row r="657" spans="1:14" x14ac:dyDescent="0.35">
      <c r="A657">
        <v>321</v>
      </c>
      <c r="B657" s="2">
        <v>38563</v>
      </c>
      <c r="C657">
        <v>0</v>
      </c>
      <c r="D657">
        <v>0</v>
      </c>
      <c r="F657">
        <v>656</v>
      </c>
      <c r="G657" cm="1">
        <f t="array" ref="G657">_xlfn.IFNA(INDEX($D$2:$D$4001,_xlfn.XMATCH(G$1&amp;"-"&amp;$F657,YEAR($B$2:$B$4001)&amp;"-"&amp;$A$2:$A$4001,0,-1)),9)</f>
        <v>9</v>
      </c>
      <c r="H657" cm="1">
        <f t="array" ref="H657">IF(OR(AND(G657=9,H$1&gt;YEAR($N657))),9,_xlfn.IFNA(INDEX($D$2:$D$4001,_xlfn.XMATCH(H$1&amp;"-"&amp;$F657,YEAR($B$2:$B$4001)&amp;"-"&amp;$A$2:$A$4001,0,-1)),G657))</f>
        <v>9</v>
      </c>
      <c r="I657" cm="1">
        <f t="array" ref="I657">IF(OR(AND(H657=9,I$1&gt;YEAR($N657))),9,_xlfn.IFNA(INDEX($D$2:$D$4001,_xlfn.XMATCH(I$1&amp;"-"&amp;$F657,YEAR($B$2:$B$4001)&amp;"-"&amp;$A$2:$A$4001,0,-1)),H657))</f>
        <v>1</v>
      </c>
      <c r="J657" cm="1">
        <f t="array" ref="J657">IF(OR(AND(I657=9,J$1&gt;YEAR($N657))),9,_xlfn.IFNA(INDEX($D$2:$D$4001,_xlfn.XMATCH(J$1&amp;"-"&amp;$F657,YEAR($B$2:$B$4001)&amp;"-"&amp;$A$2:$A$4001,0,-1)),I657))</f>
        <v>1</v>
      </c>
      <c r="K657" cm="1">
        <f t="array" ref="K657">IF(OR(AND(J657=9,K$1&gt;YEAR($N657))),9,_xlfn.IFNA(INDEX($D$2:$D$4001,_xlfn.XMATCH(K$1&amp;"-"&amp;$F657,YEAR($B$2:$B$4001)&amp;"-"&amp;$A$2:$A$4001,0,-1)),J657))</f>
        <v>1</v>
      </c>
      <c r="L657" cm="1">
        <f t="array" ref="L657">IF(OR(AND(K657=9,L$1&gt;YEAR($N657))),9,_xlfn.IFNA(INDEX($D$2:$D$4001,_xlfn.XMATCH(L$1&amp;"-"&amp;$F657,YEAR($B$2:$B$4001)&amp;"-"&amp;$A$2:$A$4001,0,-1)),K657))</f>
        <v>2</v>
      </c>
      <c r="M657" cm="1">
        <f t="array" ref="M657">IF(OR(AND(L657=9,M$1&gt;YEAR($N657))),9,_xlfn.IFNA(INDEX($D$2:$D$4001,_xlfn.XMATCH(M$1&amp;"-"&amp;$F657,YEAR($B$2:$B$4001)&amp;"-"&amp;$A$2:$A$4001,0,-1)),L657))</f>
        <v>2</v>
      </c>
      <c r="N657" s="1">
        <f t="shared" si="10"/>
        <v>37127</v>
      </c>
    </row>
    <row r="658" spans="1:14" x14ac:dyDescent="0.35">
      <c r="A658">
        <v>322</v>
      </c>
      <c r="B658" s="2">
        <v>36301</v>
      </c>
      <c r="C658">
        <v>3</v>
      </c>
      <c r="D658">
        <v>3</v>
      </c>
      <c r="F658">
        <v>657</v>
      </c>
      <c r="G658" cm="1">
        <f t="array" ref="G658">_xlfn.IFNA(INDEX($D$2:$D$4001,_xlfn.XMATCH(G$1&amp;"-"&amp;$F658,YEAR($B$2:$B$4001)&amp;"-"&amp;$A$2:$A$4001,0,-1)),9)</f>
        <v>9</v>
      </c>
      <c r="H658" cm="1">
        <f t="array" ref="H658">IF(OR(AND(G658=9,H$1&gt;YEAR($N658))),9,_xlfn.IFNA(INDEX($D$2:$D$4001,_xlfn.XMATCH(H$1&amp;"-"&amp;$F658,YEAR($B$2:$B$4001)&amp;"-"&amp;$A$2:$A$4001,0,-1)),G658))</f>
        <v>9</v>
      </c>
      <c r="I658" cm="1">
        <f t="array" ref="I658">IF(OR(AND(H658=9,I$1&gt;YEAR($N658))),9,_xlfn.IFNA(INDEX($D$2:$D$4001,_xlfn.XMATCH(I$1&amp;"-"&amp;$F658,YEAR($B$2:$B$4001)&amp;"-"&amp;$A$2:$A$4001,0,-1)),H658))</f>
        <v>2</v>
      </c>
      <c r="J658" cm="1">
        <f t="array" ref="J658">IF(OR(AND(I658=9,J$1&gt;YEAR($N658))),9,_xlfn.IFNA(INDEX($D$2:$D$4001,_xlfn.XMATCH(J$1&amp;"-"&amp;$F658,YEAR($B$2:$B$4001)&amp;"-"&amp;$A$2:$A$4001,0,-1)),I658))</f>
        <v>2</v>
      </c>
      <c r="K658" cm="1">
        <f t="array" ref="K658">IF(OR(AND(J658=9,K$1&gt;YEAR($N658))),9,_xlfn.IFNA(INDEX($D$2:$D$4001,_xlfn.XMATCH(K$1&amp;"-"&amp;$F658,YEAR($B$2:$B$4001)&amp;"-"&amp;$A$2:$A$4001,0,-1)),J658))</f>
        <v>2</v>
      </c>
      <c r="L658" cm="1">
        <f t="array" ref="L658">IF(OR(AND(K658=9,L$1&gt;YEAR($N658))),9,_xlfn.IFNA(INDEX($D$2:$D$4001,_xlfn.XMATCH(L$1&amp;"-"&amp;$F658,YEAR($B$2:$B$4001)&amp;"-"&amp;$A$2:$A$4001,0,-1)),K658))</f>
        <v>2</v>
      </c>
      <c r="M658" cm="1">
        <f t="array" ref="M658">IF(OR(AND(L658=9,M$1&gt;YEAR($N658))),9,_xlfn.IFNA(INDEX($D$2:$D$4001,_xlfn.XMATCH(M$1&amp;"-"&amp;$F658,YEAR($B$2:$B$4001)&amp;"-"&amp;$A$2:$A$4001,0,-1)),L658))</f>
        <v>2</v>
      </c>
      <c r="N658" s="1">
        <f t="shared" si="10"/>
        <v>37218</v>
      </c>
    </row>
    <row r="659" spans="1:14" x14ac:dyDescent="0.35">
      <c r="A659">
        <v>322</v>
      </c>
      <c r="B659" s="2">
        <v>37102</v>
      </c>
      <c r="C659">
        <v>4</v>
      </c>
      <c r="D659">
        <v>4</v>
      </c>
      <c r="F659">
        <v>658</v>
      </c>
      <c r="G659" cm="1">
        <f t="array" ref="G659">_xlfn.IFNA(INDEX($D$2:$D$4001,_xlfn.XMATCH(G$1&amp;"-"&amp;$F659,YEAR($B$2:$B$4001)&amp;"-"&amp;$A$2:$A$4001,0,-1)),9)</f>
        <v>9</v>
      </c>
      <c r="H659" cm="1">
        <f t="array" ref="H659">IF(OR(AND(G659=9,H$1&gt;YEAR($N659))),9,_xlfn.IFNA(INDEX($D$2:$D$4001,_xlfn.XMATCH(H$1&amp;"-"&amp;$F659,YEAR($B$2:$B$4001)&amp;"-"&amp;$A$2:$A$4001,0,-1)),G659))</f>
        <v>1</v>
      </c>
      <c r="I659" cm="1">
        <f t="array" ref="I659">IF(OR(AND(H659=9,I$1&gt;YEAR($N659))),9,_xlfn.IFNA(INDEX($D$2:$D$4001,_xlfn.XMATCH(I$1&amp;"-"&amp;$F659,YEAR($B$2:$B$4001)&amp;"-"&amp;$A$2:$A$4001,0,-1)),H659))</f>
        <v>1</v>
      </c>
      <c r="J659" cm="1">
        <f t="array" ref="J659">IF(OR(AND(I659=9,J$1&gt;YEAR($N659))),9,_xlfn.IFNA(INDEX($D$2:$D$4001,_xlfn.XMATCH(J$1&amp;"-"&amp;$F659,YEAR($B$2:$B$4001)&amp;"-"&amp;$A$2:$A$4001,0,-1)),I659))</f>
        <v>1</v>
      </c>
      <c r="K659" cm="1">
        <f t="array" ref="K659">IF(OR(AND(J659=9,K$1&gt;YEAR($N659))),9,_xlfn.IFNA(INDEX($D$2:$D$4001,_xlfn.XMATCH(K$1&amp;"-"&amp;$F659,YEAR($B$2:$B$4001)&amp;"-"&amp;$A$2:$A$4001,0,-1)),J659))</f>
        <v>1</v>
      </c>
      <c r="L659" cm="1">
        <f t="array" ref="L659">IF(OR(AND(K659=9,L$1&gt;YEAR($N659))),9,_xlfn.IFNA(INDEX($D$2:$D$4001,_xlfn.XMATCH(L$1&amp;"-"&amp;$F659,YEAR($B$2:$B$4001)&amp;"-"&amp;$A$2:$A$4001,0,-1)),K659))</f>
        <v>1</v>
      </c>
      <c r="M659" cm="1">
        <f t="array" ref="M659">IF(OR(AND(L659=9,M$1&gt;YEAR($N659))),9,_xlfn.IFNA(INDEX($D$2:$D$4001,_xlfn.XMATCH(M$1&amp;"-"&amp;$F659,YEAR($B$2:$B$4001)&amp;"-"&amp;$A$2:$A$4001,0,-1)),L659))</f>
        <v>1</v>
      </c>
      <c r="N659" s="1">
        <f t="shared" si="10"/>
        <v>36890</v>
      </c>
    </row>
    <row r="660" spans="1:14" x14ac:dyDescent="0.35">
      <c r="A660">
        <v>322</v>
      </c>
      <c r="B660" s="2">
        <v>37826</v>
      </c>
      <c r="C660">
        <v>4</v>
      </c>
      <c r="D660">
        <v>4</v>
      </c>
      <c r="F660">
        <v>659</v>
      </c>
      <c r="G660" cm="1">
        <f t="array" ref="G660">_xlfn.IFNA(INDEX($D$2:$D$4001,_xlfn.XMATCH(G$1&amp;"-"&amp;$F660,YEAR($B$2:$B$4001)&amp;"-"&amp;$A$2:$A$4001,0,-1)),9)</f>
        <v>9</v>
      </c>
      <c r="H660" cm="1">
        <f t="array" ref="H660">IF(OR(AND(G660=9,H$1&gt;YEAR($N660))),9,_xlfn.IFNA(INDEX($D$2:$D$4001,_xlfn.XMATCH(H$1&amp;"-"&amp;$F660,YEAR($B$2:$B$4001)&amp;"-"&amp;$A$2:$A$4001,0,-1)),G660))</f>
        <v>9</v>
      </c>
      <c r="I660" cm="1">
        <f t="array" ref="I660">IF(OR(AND(H660=9,I$1&gt;YEAR($N660))),9,_xlfn.IFNA(INDEX($D$2:$D$4001,_xlfn.XMATCH(I$1&amp;"-"&amp;$F660,YEAR($B$2:$B$4001)&amp;"-"&amp;$A$2:$A$4001,0,-1)),H660))</f>
        <v>9</v>
      </c>
      <c r="J660" cm="1">
        <f t="array" ref="J660">IF(OR(AND(I660=9,J$1&gt;YEAR($N660))),9,_xlfn.IFNA(INDEX($D$2:$D$4001,_xlfn.XMATCH(J$1&amp;"-"&amp;$F660,YEAR($B$2:$B$4001)&amp;"-"&amp;$A$2:$A$4001,0,-1)),I660))</f>
        <v>3</v>
      </c>
      <c r="K660" cm="1">
        <f t="array" ref="K660">IF(OR(AND(J660=9,K$1&gt;YEAR($N660))),9,_xlfn.IFNA(INDEX($D$2:$D$4001,_xlfn.XMATCH(K$1&amp;"-"&amp;$F660,YEAR($B$2:$B$4001)&amp;"-"&amp;$A$2:$A$4001,0,-1)),J660))</f>
        <v>3</v>
      </c>
      <c r="L660" cm="1">
        <f t="array" ref="L660">IF(OR(AND(K660=9,L$1&gt;YEAR($N660))),9,_xlfn.IFNA(INDEX($D$2:$D$4001,_xlfn.XMATCH(L$1&amp;"-"&amp;$F660,YEAR($B$2:$B$4001)&amp;"-"&amp;$A$2:$A$4001,0,-1)),K660))</f>
        <v>3</v>
      </c>
      <c r="M660" cm="1">
        <f t="array" ref="M660">IF(OR(AND(L660=9,M$1&gt;YEAR($N660))),9,_xlfn.IFNA(INDEX($D$2:$D$4001,_xlfn.XMATCH(M$1&amp;"-"&amp;$F660,YEAR($B$2:$B$4001)&amp;"-"&amp;$A$2:$A$4001,0,-1)),L660))</f>
        <v>3</v>
      </c>
      <c r="N660" s="1">
        <f t="shared" si="10"/>
        <v>37620</v>
      </c>
    </row>
    <row r="661" spans="1:14" x14ac:dyDescent="0.35">
      <c r="A661">
        <v>323</v>
      </c>
      <c r="B661" s="2">
        <v>36494</v>
      </c>
      <c r="C661">
        <v>3</v>
      </c>
      <c r="D661">
        <v>3</v>
      </c>
      <c r="F661">
        <v>660</v>
      </c>
      <c r="G661" cm="1">
        <f t="array" ref="G661">_xlfn.IFNA(INDEX($D$2:$D$4001,_xlfn.XMATCH(G$1&amp;"-"&amp;$F661,YEAR($B$2:$B$4001)&amp;"-"&amp;$A$2:$A$4001,0,-1)),9)</f>
        <v>3</v>
      </c>
      <c r="H661" cm="1">
        <f t="array" ref="H661">IF(OR(AND(G661=9,H$1&gt;YEAR($N661))),9,_xlfn.IFNA(INDEX($D$2:$D$4001,_xlfn.XMATCH(H$1&amp;"-"&amp;$F661,YEAR($B$2:$B$4001)&amp;"-"&amp;$A$2:$A$4001,0,-1)),G661))</f>
        <v>3</v>
      </c>
      <c r="I661" cm="1">
        <f t="array" ref="I661">IF(OR(AND(H661=9,I$1&gt;YEAR($N661))),9,_xlfn.IFNA(INDEX($D$2:$D$4001,_xlfn.XMATCH(I$1&amp;"-"&amp;$F661,YEAR($B$2:$B$4001)&amp;"-"&amp;$A$2:$A$4001,0,-1)),H661))</f>
        <v>4</v>
      </c>
      <c r="J661" cm="1">
        <f t="array" ref="J661">IF(OR(AND(I661=9,J$1&gt;YEAR($N661))),9,_xlfn.IFNA(INDEX($D$2:$D$4001,_xlfn.XMATCH(J$1&amp;"-"&amp;$F661,YEAR($B$2:$B$4001)&amp;"-"&amp;$A$2:$A$4001,0,-1)),I661))</f>
        <v>4</v>
      </c>
      <c r="K661" cm="1">
        <f t="array" ref="K661">IF(OR(AND(J661=9,K$1&gt;YEAR($N661))),9,_xlfn.IFNA(INDEX($D$2:$D$4001,_xlfn.XMATCH(K$1&amp;"-"&amp;$F661,YEAR($B$2:$B$4001)&amp;"-"&amp;$A$2:$A$4001,0,-1)),J661))</f>
        <v>4</v>
      </c>
      <c r="L661" cm="1">
        <f t="array" ref="L661">IF(OR(AND(K661=9,L$1&gt;YEAR($N661))),9,_xlfn.IFNA(INDEX($D$2:$D$4001,_xlfn.XMATCH(L$1&amp;"-"&amp;$F661,YEAR($B$2:$B$4001)&amp;"-"&amp;$A$2:$A$4001,0,-1)),K661))</f>
        <v>4</v>
      </c>
      <c r="M661" cm="1">
        <f t="array" ref="M661">IF(OR(AND(L661=9,M$1&gt;YEAR($N661))),9,_xlfn.IFNA(INDEX($D$2:$D$4001,_xlfn.XMATCH(M$1&amp;"-"&amp;$F661,YEAR($B$2:$B$4001)&amp;"-"&amp;$A$2:$A$4001,0,-1)),L661))</f>
        <v>4</v>
      </c>
      <c r="N661" s="1">
        <f t="shared" si="10"/>
        <v>36454</v>
      </c>
    </row>
    <row r="662" spans="1:14" x14ac:dyDescent="0.35">
      <c r="A662">
        <v>323</v>
      </c>
      <c r="B662" s="2">
        <v>36676</v>
      </c>
      <c r="C662">
        <v>3</v>
      </c>
      <c r="D662">
        <v>3</v>
      </c>
      <c r="F662">
        <v>661</v>
      </c>
      <c r="G662" cm="1">
        <f t="array" ref="G662">_xlfn.IFNA(INDEX($D$2:$D$4001,_xlfn.XMATCH(G$1&amp;"-"&amp;$F662,YEAR($B$2:$B$4001)&amp;"-"&amp;$A$2:$A$4001,0,-1)),9)</f>
        <v>9</v>
      </c>
      <c r="H662" cm="1">
        <f t="array" ref="H662">IF(OR(AND(G662=9,H$1&gt;YEAR($N662))),9,_xlfn.IFNA(INDEX($D$2:$D$4001,_xlfn.XMATCH(H$1&amp;"-"&amp;$F662,YEAR($B$2:$B$4001)&amp;"-"&amp;$A$2:$A$4001,0,-1)),G662))</f>
        <v>9</v>
      </c>
      <c r="I662" cm="1">
        <f t="array" ref="I662">IF(OR(AND(H662=9,I$1&gt;YEAR($N662))),9,_xlfn.IFNA(INDEX($D$2:$D$4001,_xlfn.XMATCH(I$1&amp;"-"&amp;$F662,YEAR($B$2:$B$4001)&amp;"-"&amp;$A$2:$A$4001,0,-1)),H662))</f>
        <v>9</v>
      </c>
      <c r="J662" cm="1">
        <f t="array" ref="J662">IF(OR(AND(I662=9,J$1&gt;YEAR($N662))),9,_xlfn.IFNA(INDEX($D$2:$D$4001,_xlfn.XMATCH(J$1&amp;"-"&amp;$F662,YEAR($B$2:$B$4001)&amp;"-"&amp;$A$2:$A$4001,0,-1)),I662))</f>
        <v>4</v>
      </c>
      <c r="K662" cm="1">
        <f t="array" ref="K662">IF(OR(AND(J662=9,K$1&gt;YEAR($N662))),9,_xlfn.IFNA(INDEX($D$2:$D$4001,_xlfn.XMATCH(K$1&amp;"-"&amp;$F662,YEAR($B$2:$B$4001)&amp;"-"&amp;$A$2:$A$4001,0,-1)),J662))</f>
        <v>4</v>
      </c>
      <c r="L662" cm="1">
        <f t="array" ref="L662">IF(OR(AND(K662=9,L$1&gt;YEAR($N662))),9,_xlfn.IFNA(INDEX($D$2:$D$4001,_xlfn.XMATCH(L$1&amp;"-"&amp;$F662,YEAR($B$2:$B$4001)&amp;"-"&amp;$A$2:$A$4001,0,-1)),K662))</f>
        <v>4</v>
      </c>
      <c r="M662" cm="1">
        <f t="array" ref="M662">IF(OR(AND(L662=9,M$1&gt;YEAR($N662))),9,_xlfn.IFNA(INDEX($D$2:$D$4001,_xlfn.XMATCH(M$1&amp;"-"&amp;$F662,YEAR($B$2:$B$4001)&amp;"-"&amp;$A$2:$A$4001,0,-1)),L662))</f>
        <v>0</v>
      </c>
      <c r="N662" s="1">
        <f t="shared" si="10"/>
        <v>37397</v>
      </c>
    </row>
    <row r="663" spans="1:14" x14ac:dyDescent="0.35">
      <c r="A663">
        <v>323</v>
      </c>
      <c r="B663" s="2">
        <v>37041</v>
      </c>
      <c r="C663">
        <v>3</v>
      </c>
      <c r="D663">
        <v>3</v>
      </c>
      <c r="F663">
        <v>662</v>
      </c>
      <c r="G663" cm="1">
        <f t="array" ref="G663">_xlfn.IFNA(INDEX($D$2:$D$4001,_xlfn.XMATCH(G$1&amp;"-"&amp;$F663,YEAR($B$2:$B$4001)&amp;"-"&amp;$A$2:$A$4001,0,-1)),9)</f>
        <v>9</v>
      </c>
      <c r="H663" cm="1">
        <f t="array" ref="H663">IF(OR(AND(G663=9,H$1&gt;YEAR($N663))),9,_xlfn.IFNA(INDEX($D$2:$D$4001,_xlfn.XMATCH(H$1&amp;"-"&amp;$F663,YEAR($B$2:$B$4001)&amp;"-"&amp;$A$2:$A$4001,0,-1)),G663))</f>
        <v>9</v>
      </c>
      <c r="I663" cm="1">
        <f t="array" ref="I663">IF(OR(AND(H663=9,I$1&gt;YEAR($N663))),9,_xlfn.IFNA(INDEX($D$2:$D$4001,_xlfn.XMATCH(I$1&amp;"-"&amp;$F663,YEAR($B$2:$B$4001)&amp;"-"&amp;$A$2:$A$4001,0,-1)),H663))</f>
        <v>9</v>
      </c>
      <c r="J663" cm="1">
        <f t="array" ref="J663">IF(OR(AND(I663=9,J$1&gt;YEAR($N663))),9,_xlfn.IFNA(INDEX($D$2:$D$4001,_xlfn.XMATCH(J$1&amp;"-"&amp;$F663,YEAR($B$2:$B$4001)&amp;"-"&amp;$A$2:$A$4001,0,-1)),I663))</f>
        <v>9</v>
      </c>
      <c r="K663" cm="1">
        <f t="array" ref="K663">IF(OR(AND(J663=9,K$1&gt;YEAR($N663))),9,_xlfn.IFNA(INDEX($D$2:$D$4001,_xlfn.XMATCH(K$1&amp;"-"&amp;$F663,YEAR($B$2:$B$4001)&amp;"-"&amp;$A$2:$A$4001,0,-1)),J663))</f>
        <v>9</v>
      </c>
      <c r="L663" cm="1">
        <f t="array" ref="L663">IF(OR(AND(K663=9,L$1&gt;YEAR($N663))),9,_xlfn.IFNA(INDEX($D$2:$D$4001,_xlfn.XMATCH(L$1&amp;"-"&amp;$F663,YEAR($B$2:$B$4001)&amp;"-"&amp;$A$2:$A$4001,0,-1)),K663))</f>
        <v>6</v>
      </c>
      <c r="M663" cm="1">
        <f t="array" ref="M663">IF(OR(AND(L663=9,M$1&gt;YEAR($N663))),9,_xlfn.IFNA(INDEX($D$2:$D$4001,_xlfn.XMATCH(M$1&amp;"-"&amp;$F663,YEAR($B$2:$B$4001)&amp;"-"&amp;$A$2:$A$4001,0,-1)),L663))</f>
        <v>6</v>
      </c>
      <c r="N663" s="1">
        <f t="shared" si="10"/>
        <v>38189</v>
      </c>
    </row>
    <row r="664" spans="1:14" x14ac:dyDescent="0.35">
      <c r="A664">
        <v>323</v>
      </c>
      <c r="B664" s="2">
        <v>38351</v>
      </c>
      <c r="C664">
        <v>5</v>
      </c>
      <c r="D664">
        <v>5</v>
      </c>
      <c r="F664">
        <v>663</v>
      </c>
      <c r="G664" cm="1">
        <f t="array" ref="G664">_xlfn.IFNA(INDEX($D$2:$D$4001,_xlfn.XMATCH(G$1&amp;"-"&amp;$F664,YEAR($B$2:$B$4001)&amp;"-"&amp;$A$2:$A$4001,0,-1)),9)</f>
        <v>9</v>
      </c>
      <c r="H664" cm="1">
        <f t="array" ref="H664">IF(OR(AND(G664=9,H$1&gt;YEAR($N664))),9,_xlfn.IFNA(INDEX($D$2:$D$4001,_xlfn.XMATCH(H$1&amp;"-"&amp;$F664,YEAR($B$2:$B$4001)&amp;"-"&amp;$A$2:$A$4001,0,-1)),G664))</f>
        <v>3</v>
      </c>
      <c r="I664" cm="1">
        <f t="array" ref="I664">IF(OR(AND(H664=9,I$1&gt;YEAR($N664))),9,_xlfn.IFNA(INDEX($D$2:$D$4001,_xlfn.XMATCH(I$1&amp;"-"&amp;$F664,YEAR($B$2:$B$4001)&amp;"-"&amp;$A$2:$A$4001,0,-1)),H664))</f>
        <v>3</v>
      </c>
      <c r="J664" cm="1">
        <f t="array" ref="J664">IF(OR(AND(I664=9,J$1&gt;YEAR($N664))),9,_xlfn.IFNA(INDEX($D$2:$D$4001,_xlfn.XMATCH(J$1&amp;"-"&amp;$F664,YEAR($B$2:$B$4001)&amp;"-"&amp;$A$2:$A$4001,0,-1)),I664))</f>
        <v>5</v>
      </c>
      <c r="K664" cm="1">
        <f t="array" ref="K664">IF(OR(AND(J664=9,K$1&gt;YEAR($N664))),9,_xlfn.IFNA(INDEX($D$2:$D$4001,_xlfn.XMATCH(K$1&amp;"-"&amp;$F664,YEAR($B$2:$B$4001)&amp;"-"&amp;$A$2:$A$4001,0,-1)),J664))</f>
        <v>5</v>
      </c>
      <c r="L664" cm="1">
        <f t="array" ref="L664">IF(OR(AND(K664=9,L$1&gt;YEAR($N664))),9,_xlfn.IFNA(INDEX($D$2:$D$4001,_xlfn.XMATCH(L$1&amp;"-"&amp;$F664,YEAR($B$2:$B$4001)&amp;"-"&amp;$A$2:$A$4001,0,-1)),K664))</f>
        <v>5</v>
      </c>
      <c r="M664" cm="1">
        <f t="array" ref="M664">IF(OR(AND(L664=9,M$1&gt;YEAR($N664))),9,_xlfn.IFNA(INDEX($D$2:$D$4001,_xlfn.XMATCH(M$1&amp;"-"&amp;$F664,YEAR($B$2:$B$4001)&amp;"-"&amp;$A$2:$A$4001,0,-1)),L664))</f>
        <v>5</v>
      </c>
      <c r="N664" s="1">
        <f t="shared" si="10"/>
        <v>36667</v>
      </c>
    </row>
    <row r="665" spans="1:14" x14ac:dyDescent="0.35">
      <c r="A665">
        <v>324</v>
      </c>
      <c r="B665" s="2">
        <v>38137</v>
      </c>
      <c r="C665">
        <v>3</v>
      </c>
      <c r="D665">
        <v>3</v>
      </c>
      <c r="F665">
        <v>664</v>
      </c>
      <c r="G665" cm="1">
        <f t="array" ref="G665">_xlfn.IFNA(INDEX($D$2:$D$4001,_xlfn.XMATCH(G$1&amp;"-"&amp;$F665,YEAR($B$2:$B$4001)&amp;"-"&amp;$A$2:$A$4001,0,-1)),9)</f>
        <v>9</v>
      </c>
      <c r="H665" cm="1">
        <f t="array" ref="H665">IF(OR(AND(G665=9,H$1&gt;YEAR($N665))),9,_xlfn.IFNA(INDEX($D$2:$D$4001,_xlfn.XMATCH(H$1&amp;"-"&amp;$F665,YEAR($B$2:$B$4001)&amp;"-"&amp;$A$2:$A$4001,0,-1)),G665))</f>
        <v>9</v>
      </c>
      <c r="I665" cm="1">
        <f t="array" ref="I665">IF(OR(AND(H665=9,I$1&gt;YEAR($N665))),9,_xlfn.IFNA(INDEX($D$2:$D$4001,_xlfn.XMATCH(I$1&amp;"-"&amp;$F665,YEAR($B$2:$B$4001)&amp;"-"&amp;$A$2:$A$4001,0,-1)),H665))</f>
        <v>3</v>
      </c>
      <c r="J665" cm="1">
        <f t="array" ref="J665">IF(OR(AND(I665=9,J$1&gt;YEAR($N665))),9,_xlfn.IFNA(INDEX($D$2:$D$4001,_xlfn.XMATCH(J$1&amp;"-"&amp;$F665,YEAR($B$2:$B$4001)&amp;"-"&amp;$A$2:$A$4001,0,-1)),I665))</f>
        <v>3</v>
      </c>
      <c r="K665" cm="1">
        <f t="array" ref="K665">IF(OR(AND(J665=9,K$1&gt;YEAR($N665))),9,_xlfn.IFNA(INDEX($D$2:$D$4001,_xlfn.XMATCH(K$1&amp;"-"&amp;$F665,YEAR($B$2:$B$4001)&amp;"-"&amp;$A$2:$A$4001,0,-1)),J665))</f>
        <v>3</v>
      </c>
      <c r="L665" cm="1">
        <f t="array" ref="L665">IF(OR(AND(K665=9,L$1&gt;YEAR($N665))),9,_xlfn.IFNA(INDEX($D$2:$D$4001,_xlfn.XMATCH(L$1&amp;"-"&amp;$F665,YEAR($B$2:$B$4001)&amp;"-"&amp;$A$2:$A$4001,0,-1)),K665))</f>
        <v>3</v>
      </c>
      <c r="M665" cm="1">
        <f t="array" ref="M665">IF(OR(AND(L665=9,M$1&gt;YEAR($N665))),9,_xlfn.IFNA(INDEX($D$2:$D$4001,_xlfn.XMATCH(M$1&amp;"-"&amp;$F665,YEAR($B$2:$B$4001)&amp;"-"&amp;$A$2:$A$4001,0,-1)),L665))</f>
        <v>3</v>
      </c>
      <c r="N665" s="1">
        <f t="shared" si="10"/>
        <v>37102</v>
      </c>
    </row>
    <row r="666" spans="1:14" x14ac:dyDescent="0.35">
      <c r="A666">
        <v>325</v>
      </c>
      <c r="B666" s="2">
        <v>36463</v>
      </c>
      <c r="C666">
        <v>6</v>
      </c>
      <c r="D666">
        <v>6</v>
      </c>
      <c r="F666">
        <v>665</v>
      </c>
      <c r="G666" cm="1">
        <f t="array" ref="G666">_xlfn.IFNA(INDEX($D$2:$D$4001,_xlfn.XMATCH(G$1&amp;"-"&amp;$F666,YEAR($B$2:$B$4001)&amp;"-"&amp;$A$2:$A$4001,0,-1)),9)</f>
        <v>9</v>
      </c>
      <c r="H666" cm="1">
        <f t="array" ref="H666">IF(OR(AND(G666=9,H$1&gt;YEAR($N666))),9,_xlfn.IFNA(INDEX($D$2:$D$4001,_xlfn.XMATCH(H$1&amp;"-"&amp;$F666,YEAR($B$2:$B$4001)&amp;"-"&amp;$A$2:$A$4001,0,-1)),G666))</f>
        <v>9</v>
      </c>
      <c r="I666" cm="1">
        <f t="array" ref="I666">IF(OR(AND(H666=9,I$1&gt;YEAR($N666))),9,_xlfn.IFNA(INDEX($D$2:$D$4001,_xlfn.XMATCH(I$1&amp;"-"&amp;$F666,YEAR($B$2:$B$4001)&amp;"-"&amp;$A$2:$A$4001,0,-1)),H666))</f>
        <v>9</v>
      </c>
      <c r="J666" cm="1">
        <f t="array" ref="J666">IF(OR(AND(I666=9,J$1&gt;YEAR($N666))),9,_xlfn.IFNA(INDEX($D$2:$D$4001,_xlfn.XMATCH(J$1&amp;"-"&amp;$F666,YEAR($B$2:$B$4001)&amp;"-"&amp;$A$2:$A$4001,0,-1)),I666))</f>
        <v>9</v>
      </c>
      <c r="K666" cm="1">
        <f t="array" ref="K666">IF(OR(AND(J666=9,K$1&gt;YEAR($N666))),9,_xlfn.IFNA(INDEX($D$2:$D$4001,_xlfn.XMATCH(K$1&amp;"-"&amp;$F666,YEAR($B$2:$B$4001)&amp;"-"&amp;$A$2:$A$4001,0,-1)),J666))</f>
        <v>9</v>
      </c>
      <c r="L666" cm="1">
        <f t="array" ref="L666">IF(OR(AND(K666=9,L$1&gt;YEAR($N666))),9,_xlfn.IFNA(INDEX($D$2:$D$4001,_xlfn.XMATCH(L$1&amp;"-"&amp;$F666,YEAR($B$2:$B$4001)&amp;"-"&amp;$A$2:$A$4001,0,-1)),K666))</f>
        <v>4</v>
      </c>
      <c r="M666" cm="1">
        <f t="array" ref="M666">IF(OR(AND(L666=9,M$1&gt;YEAR($N666))),9,_xlfn.IFNA(INDEX($D$2:$D$4001,_xlfn.XMATCH(M$1&amp;"-"&amp;$F666,YEAR($B$2:$B$4001)&amp;"-"&amp;$A$2:$A$4001,0,-1)),L666))</f>
        <v>4</v>
      </c>
      <c r="N666" s="1">
        <f t="shared" si="10"/>
        <v>38220</v>
      </c>
    </row>
    <row r="667" spans="1:14" x14ac:dyDescent="0.35">
      <c r="A667">
        <v>325</v>
      </c>
      <c r="B667" s="2">
        <v>36667</v>
      </c>
      <c r="C667">
        <v>6</v>
      </c>
      <c r="D667">
        <v>6</v>
      </c>
      <c r="F667">
        <v>666</v>
      </c>
      <c r="G667" cm="1">
        <f t="array" ref="G667">_xlfn.IFNA(INDEX($D$2:$D$4001,_xlfn.XMATCH(G$1&amp;"-"&amp;$F667,YEAR($B$2:$B$4001)&amp;"-"&amp;$A$2:$A$4001,0,-1)),9)</f>
        <v>2</v>
      </c>
      <c r="H667" cm="1">
        <f t="array" ref="H667">IF(OR(AND(G667=9,H$1&gt;YEAR($N667))),9,_xlfn.IFNA(INDEX($D$2:$D$4001,_xlfn.XMATCH(H$1&amp;"-"&amp;$F667,YEAR($B$2:$B$4001)&amp;"-"&amp;$A$2:$A$4001,0,-1)),G667))</f>
        <v>2</v>
      </c>
      <c r="I667" cm="1">
        <f t="array" ref="I667">IF(OR(AND(H667=9,I$1&gt;YEAR($N667))),9,_xlfn.IFNA(INDEX($D$2:$D$4001,_xlfn.XMATCH(I$1&amp;"-"&amp;$F667,YEAR($B$2:$B$4001)&amp;"-"&amp;$A$2:$A$4001,0,-1)),H667))</f>
        <v>2</v>
      </c>
      <c r="J667" cm="1">
        <f t="array" ref="J667">IF(OR(AND(I667=9,J$1&gt;YEAR($N667))),9,_xlfn.IFNA(INDEX($D$2:$D$4001,_xlfn.XMATCH(J$1&amp;"-"&amp;$F667,YEAR($B$2:$B$4001)&amp;"-"&amp;$A$2:$A$4001,0,-1)),I667))</f>
        <v>2</v>
      </c>
      <c r="K667" cm="1">
        <f t="array" ref="K667">IF(OR(AND(J667=9,K$1&gt;YEAR($N667))),9,_xlfn.IFNA(INDEX($D$2:$D$4001,_xlfn.XMATCH(K$1&amp;"-"&amp;$F667,YEAR($B$2:$B$4001)&amp;"-"&amp;$A$2:$A$4001,0,-1)),J667))</f>
        <v>2</v>
      </c>
      <c r="L667" cm="1">
        <f t="array" ref="L667">IF(OR(AND(K667=9,L$1&gt;YEAR($N667))),9,_xlfn.IFNA(INDEX($D$2:$D$4001,_xlfn.XMATCH(L$1&amp;"-"&amp;$F667,YEAR($B$2:$B$4001)&amp;"-"&amp;$A$2:$A$4001,0,-1)),K667))</f>
        <v>0</v>
      </c>
      <c r="M667" cm="1">
        <f t="array" ref="M667">IF(OR(AND(L667=9,M$1&gt;YEAR($N667))),9,_xlfn.IFNA(INDEX($D$2:$D$4001,_xlfn.XMATCH(M$1&amp;"-"&amp;$F667,YEAR($B$2:$B$4001)&amp;"-"&amp;$A$2:$A$4001,0,-1)),L667))</f>
        <v>0</v>
      </c>
      <c r="N667" s="1">
        <f t="shared" si="10"/>
        <v>36524</v>
      </c>
    </row>
    <row r="668" spans="1:14" x14ac:dyDescent="0.35">
      <c r="A668">
        <v>325</v>
      </c>
      <c r="B668" s="2">
        <v>36676</v>
      </c>
      <c r="C668">
        <v>6</v>
      </c>
      <c r="D668">
        <v>6</v>
      </c>
      <c r="F668">
        <v>667</v>
      </c>
      <c r="G668" cm="1">
        <f t="array" ref="G668">_xlfn.IFNA(INDEX($D$2:$D$4001,_xlfn.XMATCH(G$1&amp;"-"&amp;$F668,YEAR($B$2:$B$4001)&amp;"-"&amp;$A$2:$A$4001,0,-1)),9)</f>
        <v>9</v>
      </c>
      <c r="H668" cm="1">
        <f t="array" ref="H668">IF(OR(AND(G668=9,H$1&gt;YEAR($N668))),9,_xlfn.IFNA(INDEX($D$2:$D$4001,_xlfn.XMATCH(H$1&amp;"-"&amp;$F668,YEAR($B$2:$B$4001)&amp;"-"&amp;$A$2:$A$4001,0,-1)),G668))</f>
        <v>9</v>
      </c>
      <c r="I668" cm="1">
        <f t="array" ref="I668">IF(OR(AND(H668=9,I$1&gt;YEAR($N668))),9,_xlfn.IFNA(INDEX($D$2:$D$4001,_xlfn.XMATCH(I$1&amp;"-"&amp;$F668,YEAR($B$2:$B$4001)&amp;"-"&amp;$A$2:$A$4001,0,-1)),H668))</f>
        <v>6</v>
      </c>
      <c r="J668" cm="1">
        <f t="array" ref="J668">IF(OR(AND(I668=9,J$1&gt;YEAR($N668))),9,_xlfn.IFNA(INDEX($D$2:$D$4001,_xlfn.XMATCH(J$1&amp;"-"&amp;$F668,YEAR($B$2:$B$4001)&amp;"-"&amp;$A$2:$A$4001,0,-1)),I668))</f>
        <v>6</v>
      </c>
      <c r="K668" cm="1">
        <f t="array" ref="K668">IF(OR(AND(J668=9,K$1&gt;YEAR($N668))),9,_xlfn.IFNA(INDEX($D$2:$D$4001,_xlfn.XMATCH(K$1&amp;"-"&amp;$F668,YEAR($B$2:$B$4001)&amp;"-"&amp;$A$2:$A$4001,0,-1)),J668))</f>
        <v>6</v>
      </c>
      <c r="L668" cm="1">
        <f t="array" ref="L668">IF(OR(AND(K668=9,L$1&gt;YEAR($N668))),9,_xlfn.IFNA(INDEX($D$2:$D$4001,_xlfn.XMATCH(L$1&amp;"-"&amp;$F668,YEAR($B$2:$B$4001)&amp;"-"&amp;$A$2:$A$4001,0,-1)),K668))</f>
        <v>6</v>
      </c>
      <c r="M668" cm="1">
        <f t="array" ref="M668">IF(OR(AND(L668=9,M$1&gt;YEAR($N668))),9,_xlfn.IFNA(INDEX($D$2:$D$4001,_xlfn.XMATCH(M$1&amp;"-"&amp;$F668,YEAR($B$2:$B$4001)&amp;"-"&amp;$A$2:$A$4001,0,-1)),L668))</f>
        <v>6</v>
      </c>
      <c r="N668" s="1">
        <f t="shared" si="10"/>
        <v>37102</v>
      </c>
    </row>
    <row r="669" spans="1:14" x14ac:dyDescent="0.35">
      <c r="A669">
        <v>325</v>
      </c>
      <c r="B669" s="2">
        <v>37032</v>
      </c>
      <c r="C669">
        <v>7</v>
      </c>
      <c r="D669">
        <v>7</v>
      </c>
      <c r="F669">
        <v>668</v>
      </c>
      <c r="G669" cm="1">
        <f t="array" ref="G669">_xlfn.IFNA(INDEX($D$2:$D$4001,_xlfn.XMATCH(G$1&amp;"-"&amp;$F669,YEAR($B$2:$B$4001)&amp;"-"&amp;$A$2:$A$4001,0,-1)),9)</f>
        <v>9</v>
      </c>
      <c r="H669" cm="1">
        <f t="array" ref="H669">IF(OR(AND(G669=9,H$1&gt;YEAR($N669))),9,_xlfn.IFNA(INDEX($D$2:$D$4001,_xlfn.XMATCH(H$1&amp;"-"&amp;$F669,YEAR($B$2:$B$4001)&amp;"-"&amp;$A$2:$A$4001,0,-1)),G669))</f>
        <v>3</v>
      </c>
      <c r="I669" cm="1">
        <f t="array" ref="I669">IF(OR(AND(H669=9,I$1&gt;YEAR($N669))),9,_xlfn.IFNA(INDEX($D$2:$D$4001,_xlfn.XMATCH(I$1&amp;"-"&amp;$F669,YEAR($B$2:$B$4001)&amp;"-"&amp;$A$2:$A$4001,0,-1)),H669))</f>
        <v>3</v>
      </c>
      <c r="J669" cm="1">
        <f t="array" ref="J669">IF(OR(AND(I669=9,J$1&gt;YEAR($N669))),9,_xlfn.IFNA(INDEX($D$2:$D$4001,_xlfn.XMATCH(J$1&amp;"-"&amp;$F669,YEAR($B$2:$B$4001)&amp;"-"&amp;$A$2:$A$4001,0,-1)),I669))</f>
        <v>3</v>
      </c>
      <c r="K669" cm="1">
        <f t="array" ref="K669">IF(OR(AND(J669=9,K$1&gt;YEAR($N669))),9,_xlfn.IFNA(INDEX($D$2:$D$4001,_xlfn.XMATCH(K$1&amp;"-"&amp;$F669,YEAR($B$2:$B$4001)&amp;"-"&amp;$A$2:$A$4001,0,-1)),J669))</f>
        <v>3</v>
      </c>
      <c r="L669" cm="1">
        <f t="array" ref="L669">IF(OR(AND(K669=9,L$1&gt;YEAR($N669))),9,_xlfn.IFNA(INDEX($D$2:$D$4001,_xlfn.XMATCH(L$1&amp;"-"&amp;$F669,YEAR($B$2:$B$4001)&amp;"-"&amp;$A$2:$A$4001,0,-1)),K669))</f>
        <v>2</v>
      </c>
      <c r="M669" cm="1">
        <f t="array" ref="M669">IF(OR(AND(L669=9,M$1&gt;YEAR($N669))),9,_xlfn.IFNA(INDEX($D$2:$D$4001,_xlfn.XMATCH(M$1&amp;"-"&amp;$F669,YEAR($B$2:$B$4001)&amp;"-"&amp;$A$2:$A$4001,0,-1)),L669))</f>
        <v>2</v>
      </c>
      <c r="N669" s="1">
        <f t="shared" si="10"/>
        <v>36890</v>
      </c>
    </row>
    <row r="670" spans="1:14" x14ac:dyDescent="0.35">
      <c r="A670">
        <v>325</v>
      </c>
      <c r="B670" s="2">
        <v>37072</v>
      </c>
      <c r="C670">
        <v>7</v>
      </c>
      <c r="D670">
        <v>7</v>
      </c>
      <c r="F670">
        <v>669</v>
      </c>
      <c r="G670" cm="1">
        <f t="array" ref="G670">_xlfn.IFNA(INDEX($D$2:$D$4001,_xlfn.XMATCH(G$1&amp;"-"&amp;$F670,YEAR($B$2:$B$4001)&amp;"-"&amp;$A$2:$A$4001,0,-1)),9)</f>
        <v>9</v>
      </c>
      <c r="H670" cm="1">
        <f t="array" ref="H670">IF(OR(AND(G670=9,H$1&gt;YEAR($N670))),9,_xlfn.IFNA(INDEX($D$2:$D$4001,_xlfn.XMATCH(H$1&amp;"-"&amp;$F670,YEAR($B$2:$B$4001)&amp;"-"&amp;$A$2:$A$4001,0,-1)),G670))</f>
        <v>3</v>
      </c>
      <c r="I670" cm="1">
        <f t="array" ref="I670">IF(OR(AND(H670=9,I$1&gt;YEAR($N670))),9,_xlfn.IFNA(INDEX($D$2:$D$4001,_xlfn.XMATCH(I$1&amp;"-"&amp;$F670,YEAR($B$2:$B$4001)&amp;"-"&amp;$A$2:$A$4001,0,-1)),H670))</f>
        <v>3</v>
      </c>
      <c r="J670" cm="1">
        <f t="array" ref="J670">IF(OR(AND(I670=9,J$1&gt;YEAR($N670))),9,_xlfn.IFNA(INDEX($D$2:$D$4001,_xlfn.XMATCH(J$1&amp;"-"&amp;$F670,YEAR($B$2:$B$4001)&amp;"-"&amp;$A$2:$A$4001,0,-1)),I670))</f>
        <v>0</v>
      </c>
      <c r="K670" cm="1">
        <f t="array" ref="K670">IF(OR(AND(J670=9,K$1&gt;YEAR($N670))),9,_xlfn.IFNA(INDEX($D$2:$D$4001,_xlfn.XMATCH(K$1&amp;"-"&amp;$F670,YEAR($B$2:$B$4001)&amp;"-"&amp;$A$2:$A$4001,0,-1)),J670))</f>
        <v>0</v>
      </c>
      <c r="L670" cm="1">
        <f t="array" ref="L670">IF(OR(AND(K670=9,L$1&gt;YEAR($N670))),9,_xlfn.IFNA(INDEX($D$2:$D$4001,_xlfn.XMATCH(L$1&amp;"-"&amp;$F670,YEAR($B$2:$B$4001)&amp;"-"&amp;$A$2:$A$4001,0,-1)),K670))</f>
        <v>0</v>
      </c>
      <c r="M670" cm="1">
        <f t="array" ref="M670">IF(OR(AND(L670=9,M$1&gt;YEAR($N670))),9,_xlfn.IFNA(INDEX($D$2:$D$4001,_xlfn.XMATCH(M$1&amp;"-"&amp;$F670,YEAR($B$2:$B$4001)&amp;"-"&amp;$A$2:$A$4001,0,-1)),L670))</f>
        <v>0</v>
      </c>
      <c r="N670" s="1">
        <f t="shared" si="10"/>
        <v>36860</v>
      </c>
    </row>
    <row r="671" spans="1:14" x14ac:dyDescent="0.35">
      <c r="A671">
        <v>325</v>
      </c>
      <c r="B671" s="2">
        <v>37129</v>
      </c>
      <c r="C671">
        <v>0</v>
      </c>
      <c r="D671">
        <v>0</v>
      </c>
      <c r="F671">
        <v>670</v>
      </c>
      <c r="G671" cm="1">
        <f t="array" ref="G671">_xlfn.IFNA(INDEX($D$2:$D$4001,_xlfn.XMATCH(G$1&amp;"-"&amp;$F671,YEAR($B$2:$B$4001)&amp;"-"&amp;$A$2:$A$4001,0,-1)),9)</f>
        <v>9</v>
      </c>
      <c r="H671" cm="1">
        <f t="array" ref="H671">IF(OR(AND(G671=9,H$1&gt;YEAR($N671))),9,_xlfn.IFNA(INDEX($D$2:$D$4001,_xlfn.XMATCH(H$1&amp;"-"&amp;$F671,YEAR($B$2:$B$4001)&amp;"-"&amp;$A$2:$A$4001,0,-1)),G671))</f>
        <v>9</v>
      </c>
      <c r="I671" cm="1">
        <f t="array" ref="I671">IF(OR(AND(H671=9,I$1&gt;YEAR($N671))),9,_xlfn.IFNA(INDEX($D$2:$D$4001,_xlfn.XMATCH(I$1&amp;"-"&amp;$F671,YEAR($B$2:$B$4001)&amp;"-"&amp;$A$2:$A$4001,0,-1)),H671))</f>
        <v>2</v>
      </c>
      <c r="J671" cm="1">
        <f t="array" ref="J671">IF(OR(AND(I671=9,J$1&gt;YEAR($N671))),9,_xlfn.IFNA(INDEX($D$2:$D$4001,_xlfn.XMATCH(J$1&amp;"-"&amp;$F671,YEAR($B$2:$B$4001)&amp;"-"&amp;$A$2:$A$4001,0,-1)),I671))</f>
        <v>2</v>
      </c>
      <c r="K671" cm="1">
        <f t="array" ref="K671">IF(OR(AND(J671=9,K$1&gt;YEAR($N671))),9,_xlfn.IFNA(INDEX($D$2:$D$4001,_xlfn.XMATCH(K$1&amp;"-"&amp;$F671,YEAR($B$2:$B$4001)&amp;"-"&amp;$A$2:$A$4001,0,-1)),J671))</f>
        <v>2</v>
      </c>
      <c r="L671" cm="1">
        <f t="array" ref="L671">IF(OR(AND(K671=9,L$1&gt;YEAR($N671))),9,_xlfn.IFNA(INDEX($D$2:$D$4001,_xlfn.XMATCH(L$1&amp;"-"&amp;$F671,YEAR($B$2:$B$4001)&amp;"-"&amp;$A$2:$A$4001,0,-1)),K671))</f>
        <v>2</v>
      </c>
      <c r="M671" cm="1">
        <f t="array" ref="M671">IF(OR(AND(L671=9,M$1&gt;YEAR($N671))),9,_xlfn.IFNA(INDEX($D$2:$D$4001,_xlfn.XMATCH(M$1&amp;"-"&amp;$F671,YEAR($B$2:$B$4001)&amp;"-"&amp;$A$2:$A$4001,0,-1)),L671))</f>
        <v>2</v>
      </c>
      <c r="N671" s="1">
        <f t="shared" si="10"/>
        <v>37034</v>
      </c>
    </row>
    <row r="672" spans="1:14" x14ac:dyDescent="0.35">
      <c r="A672">
        <v>326</v>
      </c>
      <c r="B672" s="2">
        <v>38189</v>
      </c>
      <c r="C672">
        <v>3</v>
      </c>
      <c r="D672">
        <v>3</v>
      </c>
      <c r="F672">
        <v>671</v>
      </c>
      <c r="G672" cm="1">
        <f t="array" ref="G672">_xlfn.IFNA(INDEX($D$2:$D$4001,_xlfn.XMATCH(G$1&amp;"-"&amp;$F672,YEAR($B$2:$B$4001)&amp;"-"&amp;$A$2:$A$4001,0,-1)),9)</f>
        <v>9</v>
      </c>
      <c r="H672" cm="1">
        <f t="array" ref="H672">IF(OR(AND(G672=9,H$1&gt;YEAR($N672))),9,_xlfn.IFNA(INDEX($D$2:$D$4001,_xlfn.XMATCH(H$1&amp;"-"&amp;$F672,YEAR($B$2:$B$4001)&amp;"-"&amp;$A$2:$A$4001,0,-1)),G672))</f>
        <v>9</v>
      </c>
      <c r="I672" cm="1">
        <f t="array" ref="I672">IF(OR(AND(H672=9,I$1&gt;YEAR($N672))),9,_xlfn.IFNA(INDEX($D$2:$D$4001,_xlfn.XMATCH(I$1&amp;"-"&amp;$F672,YEAR($B$2:$B$4001)&amp;"-"&amp;$A$2:$A$4001,0,-1)),H672))</f>
        <v>2</v>
      </c>
      <c r="J672" cm="1">
        <f t="array" ref="J672">IF(OR(AND(I672=9,J$1&gt;YEAR($N672))),9,_xlfn.IFNA(INDEX($D$2:$D$4001,_xlfn.XMATCH(J$1&amp;"-"&amp;$F672,YEAR($B$2:$B$4001)&amp;"-"&amp;$A$2:$A$4001,0,-1)),I672))</f>
        <v>2</v>
      </c>
      <c r="K672" cm="1">
        <f t="array" ref="K672">IF(OR(AND(J672=9,K$1&gt;YEAR($N672))),9,_xlfn.IFNA(INDEX($D$2:$D$4001,_xlfn.XMATCH(K$1&amp;"-"&amp;$F672,YEAR($B$2:$B$4001)&amp;"-"&amp;$A$2:$A$4001,0,-1)),J672))</f>
        <v>2</v>
      </c>
      <c r="L672" cm="1">
        <f t="array" ref="L672">IF(OR(AND(K672=9,L$1&gt;YEAR($N672))),9,_xlfn.IFNA(INDEX($D$2:$D$4001,_xlfn.XMATCH(L$1&amp;"-"&amp;$F672,YEAR($B$2:$B$4001)&amp;"-"&amp;$A$2:$A$4001,0,-1)),K672))</f>
        <v>2</v>
      </c>
      <c r="M672" cm="1">
        <f t="array" ref="M672">IF(OR(AND(L672=9,M$1&gt;YEAR($N672))),9,_xlfn.IFNA(INDEX($D$2:$D$4001,_xlfn.XMATCH(M$1&amp;"-"&amp;$F672,YEAR($B$2:$B$4001)&amp;"-"&amp;$A$2:$A$4001,0,-1)),L672))</f>
        <v>2</v>
      </c>
      <c r="N672" s="1">
        <f t="shared" si="10"/>
        <v>37160</v>
      </c>
    </row>
    <row r="673" spans="1:14" x14ac:dyDescent="0.35">
      <c r="A673">
        <v>327</v>
      </c>
      <c r="B673" s="2">
        <v>37032</v>
      </c>
      <c r="C673">
        <v>3</v>
      </c>
      <c r="D673">
        <v>3</v>
      </c>
      <c r="F673">
        <v>672</v>
      </c>
      <c r="G673" cm="1">
        <f t="array" ref="G673">_xlfn.IFNA(INDEX($D$2:$D$4001,_xlfn.XMATCH(G$1&amp;"-"&amp;$F673,YEAR($B$2:$B$4001)&amp;"-"&amp;$A$2:$A$4001,0,-1)),9)</f>
        <v>9</v>
      </c>
      <c r="H673" cm="1">
        <f t="array" ref="H673">IF(OR(AND(G673=9,H$1&gt;YEAR($N673))),9,_xlfn.IFNA(INDEX($D$2:$D$4001,_xlfn.XMATCH(H$1&amp;"-"&amp;$F673,YEAR($B$2:$B$4001)&amp;"-"&amp;$A$2:$A$4001,0,-1)),G673))</f>
        <v>9</v>
      </c>
      <c r="I673" cm="1">
        <f t="array" ref="I673">IF(OR(AND(H673=9,I$1&gt;YEAR($N673))),9,_xlfn.IFNA(INDEX($D$2:$D$4001,_xlfn.XMATCH(I$1&amp;"-"&amp;$F673,YEAR($B$2:$B$4001)&amp;"-"&amp;$A$2:$A$4001,0,-1)),H673))</f>
        <v>2</v>
      </c>
      <c r="J673" cm="1">
        <f t="array" ref="J673">IF(OR(AND(I673=9,J$1&gt;YEAR($N673))),9,_xlfn.IFNA(INDEX($D$2:$D$4001,_xlfn.XMATCH(J$1&amp;"-"&amp;$F673,YEAR($B$2:$B$4001)&amp;"-"&amp;$A$2:$A$4001,0,-1)),I673))</f>
        <v>0</v>
      </c>
      <c r="K673" cm="1">
        <f t="array" ref="K673">IF(OR(AND(J673=9,K$1&gt;YEAR($N673))),9,_xlfn.IFNA(INDEX($D$2:$D$4001,_xlfn.XMATCH(K$1&amp;"-"&amp;$F673,YEAR($B$2:$B$4001)&amp;"-"&amp;$A$2:$A$4001,0,-1)),J673))</f>
        <v>0</v>
      </c>
      <c r="L673" cm="1">
        <f t="array" ref="L673">IF(OR(AND(K673=9,L$1&gt;YEAR($N673))),9,_xlfn.IFNA(INDEX($D$2:$D$4001,_xlfn.XMATCH(L$1&amp;"-"&amp;$F673,YEAR($B$2:$B$4001)&amp;"-"&amp;$A$2:$A$4001,0,-1)),K673))</f>
        <v>0</v>
      </c>
      <c r="M673" cm="1">
        <f t="array" ref="M673">IF(OR(AND(L673=9,M$1&gt;YEAR($N673))),9,_xlfn.IFNA(INDEX($D$2:$D$4001,_xlfn.XMATCH(M$1&amp;"-"&amp;$F673,YEAR($B$2:$B$4001)&amp;"-"&amp;$A$2:$A$4001,0,-1)),L673))</f>
        <v>0</v>
      </c>
      <c r="N673" s="1">
        <f t="shared" si="10"/>
        <v>37255</v>
      </c>
    </row>
    <row r="674" spans="1:14" x14ac:dyDescent="0.35">
      <c r="A674">
        <v>327</v>
      </c>
      <c r="B674" s="2">
        <v>38594</v>
      </c>
      <c r="C674">
        <v>0</v>
      </c>
      <c r="D674">
        <v>0</v>
      </c>
      <c r="F674">
        <v>673</v>
      </c>
      <c r="G674" cm="1">
        <f t="array" ref="G674">_xlfn.IFNA(INDEX($D$2:$D$4001,_xlfn.XMATCH(G$1&amp;"-"&amp;$F674,YEAR($B$2:$B$4001)&amp;"-"&amp;$A$2:$A$4001,0,-1)),9)</f>
        <v>9</v>
      </c>
      <c r="H674" cm="1">
        <f t="array" ref="H674">IF(OR(AND(G674=9,H$1&gt;YEAR($N674))),9,_xlfn.IFNA(INDEX($D$2:$D$4001,_xlfn.XMATCH(H$1&amp;"-"&amp;$F674,YEAR($B$2:$B$4001)&amp;"-"&amp;$A$2:$A$4001,0,-1)),G674))</f>
        <v>2</v>
      </c>
      <c r="I674" cm="1">
        <f t="array" ref="I674">IF(OR(AND(H674=9,I$1&gt;YEAR($N674))),9,_xlfn.IFNA(INDEX($D$2:$D$4001,_xlfn.XMATCH(I$1&amp;"-"&amp;$F674,YEAR($B$2:$B$4001)&amp;"-"&amp;$A$2:$A$4001,0,-1)),H674))</f>
        <v>2</v>
      </c>
      <c r="J674" cm="1">
        <f t="array" ref="J674">IF(OR(AND(I674=9,J$1&gt;YEAR($N674))),9,_xlfn.IFNA(INDEX($D$2:$D$4001,_xlfn.XMATCH(J$1&amp;"-"&amp;$F674,YEAR($B$2:$B$4001)&amp;"-"&amp;$A$2:$A$4001,0,-1)),I674))</f>
        <v>2</v>
      </c>
      <c r="K674" cm="1">
        <f t="array" ref="K674">IF(OR(AND(J674=9,K$1&gt;YEAR($N674))),9,_xlfn.IFNA(INDEX($D$2:$D$4001,_xlfn.XMATCH(K$1&amp;"-"&amp;$F674,YEAR($B$2:$B$4001)&amp;"-"&amp;$A$2:$A$4001,0,-1)),J674))</f>
        <v>2</v>
      </c>
      <c r="L674" cm="1">
        <f t="array" ref="L674">IF(OR(AND(K674=9,L$1&gt;YEAR($N674))),9,_xlfn.IFNA(INDEX($D$2:$D$4001,_xlfn.XMATCH(L$1&amp;"-"&amp;$F674,YEAR($B$2:$B$4001)&amp;"-"&amp;$A$2:$A$4001,0,-1)),K674))</f>
        <v>2</v>
      </c>
      <c r="M674" cm="1">
        <f t="array" ref="M674">IF(OR(AND(L674=9,M$1&gt;YEAR($N674))),9,_xlfn.IFNA(INDEX($D$2:$D$4001,_xlfn.XMATCH(M$1&amp;"-"&amp;$F674,YEAR($B$2:$B$4001)&amp;"-"&amp;$A$2:$A$4001,0,-1)),L674))</f>
        <v>2</v>
      </c>
      <c r="N674" s="1">
        <f t="shared" si="10"/>
        <v>36890</v>
      </c>
    </row>
    <row r="675" spans="1:14" x14ac:dyDescent="0.35">
      <c r="A675">
        <v>328</v>
      </c>
      <c r="B675" s="2">
        <v>36310</v>
      </c>
      <c r="C675">
        <v>6</v>
      </c>
      <c r="D675">
        <v>6</v>
      </c>
      <c r="F675">
        <v>674</v>
      </c>
      <c r="G675" cm="1">
        <f t="array" ref="G675">_xlfn.IFNA(INDEX($D$2:$D$4001,_xlfn.XMATCH(G$1&amp;"-"&amp;$F675,YEAR($B$2:$B$4001)&amp;"-"&amp;$A$2:$A$4001,0,-1)),9)</f>
        <v>9</v>
      </c>
      <c r="H675" cm="1">
        <f t="array" ref="H675">IF(OR(AND(G675=9,H$1&gt;YEAR($N675))),9,_xlfn.IFNA(INDEX($D$2:$D$4001,_xlfn.XMATCH(H$1&amp;"-"&amp;$F675,YEAR($B$2:$B$4001)&amp;"-"&amp;$A$2:$A$4001,0,-1)),G675))</f>
        <v>9</v>
      </c>
      <c r="I675" cm="1">
        <f t="array" ref="I675">IF(OR(AND(H675=9,I$1&gt;YEAR($N675))),9,_xlfn.IFNA(INDEX($D$2:$D$4001,_xlfn.XMATCH(I$1&amp;"-"&amp;$F675,YEAR($B$2:$B$4001)&amp;"-"&amp;$A$2:$A$4001,0,-1)),H675))</f>
        <v>9</v>
      </c>
      <c r="J675" cm="1">
        <f t="array" ref="J675">IF(OR(AND(I675=9,J$1&gt;YEAR($N675))),9,_xlfn.IFNA(INDEX($D$2:$D$4001,_xlfn.XMATCH(J$1&amp;"-"&amp;$F675,YEAR($B$2:$B$4001)&amp;"-"&amp;$A$2:$A$4001,0,-1)),I675))</f>
        <v>7</v>
      </c>
      <c r="K675" cm="1">
        <f t="array" ref="K675">IF(OR(AND(J675=9,K$1&gt;YEAR($N675))),9,_xlfn.IFNA(INDEX($D$2:$D$4001,_xlfn.XMATCH(K$1&amp;"-"&amp;$F675,YEAR($B$2:$B$4001)&amp;"-"&amp;$A$2:$A$4001,0,-1)),J675))</f>
        <v>7</v>
      </c>
      <c r="L675" cm="1">
        <f t="array" ref="L675">IF(OR(AND(K675=9,L$1&gt;YEAR($N675))),9,_xlfn.IFNA(INDEX($D$2:$D$4001,_xlfn.XMATCH(L$1&amp;"-"&amp;$F675,YEAR($B$2:$B$4001)&amp;"-"&amp;$A$2:$A$4001,0,-1)),K675))</f>
        <v>8</v>
      </c>
      <c r="M675" cm="1">
        <f t="array" ref="M675">IF(OR(AND(L675=9,M$1&gt;YEAR($N675))),9,_xlfn.IFNA(INDEX($D$2:$D$4001,_xlfn.XMATCH(M$1&amp;"-"&amp;$F675,YEAR($B$2:$B$4001)&amp;"-"&amp;$A$2:$A$4001,0,-1)),L675))</f>
        <v>8</v>
      </c>
      <c r="N675" s="1">
        <f t="shared" si="10"/>
        <v>37402</v>
      </c>
    </row>
    <row r="676" spans="1:14" x14ac:dyDescent="0.35">
      <c r="A676">
        <v>328</v>
      </c>
      <c r="B676" s="2">
        <v>36667</v>
      </c>
      <c r="C676">
        <v>5</v>
      </c>
      <c r="D676">
        <v>5</v>
      </c>
      <c r="F676">
        <v>675</v>
      </c>
      <c r="G676" cm="1">
        <f t="array" ref="G676">_xlfn.IFNA(INDEX($D$2:$D$4001,_xlfn.XMATCH(G$1&amp;"-"&amp;$F676,YEAR($B$2:$B$4001)&amp;"-"&amp;$A$2:$A$4001,0,-1)),9)</f>
        <v>9</v>
      </c>
      <c r="H676" cm="1">
        <f t="array" ref="H676">IF(OR(AND(G676=9,H$1&gt;YEAR($N676))),9,_xlfn.IFNA(INDEX($D$2:$D$4001,_xlfn.XMATCH(H$1&amp;"-"&amp;$F676,YEAR($B$2:$B$4001)&amp;"-"&amp;$A$2:$A$4001,0,-1)),G676))</f>
        <v>4</v>
      </c>
      <c r="I676" cm="1">
        <f t="array" ref="I676">IF(OR(AND(H676=9,I$1&gt;YEAR($N676))),9,_xlfn.IFNA(INDEX($D$2:$D$4001,_xlfn.XMATCH(I$1&amp;"-"&amp;$F676,YEAR($B$2:$B$4001)&amp;"-"&amp;$A$2:$A$4001,0,-1)),H676))</f>
        <v>8</v>
      </c>
      <c r="J676" cm="1">
        <f t="array" ref="J676">IF(OR(AND(I676=9,J$1&gt;YEAR($N676))),9,_xlfn.IFNA(INDEX($D$2:$D$4001,_xlfn.XMATCH(J$1&amp;"-"&amp;$F676,YEAR($B$2:$B$4001)&amp;"-"&amp;$A$2:$A$4001,0,-1)),I676))</f>
        <v>8</v>
      </c>
      <c r="K676" cm="1">
        <f t="array" ref="K676">IF(OR(AND(J676=9,K$1&gt;YEAR($N676))),9,_xlfn.IFNA(INDEX($D$2:$D$4001,_xlfn.XMATCH(K$1&amp;"-"&amp;$F676,YEAR($B$2:$B$4001)&amp;"-"&amp;$A$2:$A$4001,0,-1)),J676))</f>
        <v>8</v>
      </c>
      <c r="L676" cm="1">
        <f t="array" ref="L676">IF(OR(AND(K676=9,L$1&gt;YEAR($N676))),9,_xlfn.IFNA(INDEX($D$2:$D$4001,_xlfn.XMATCH(L$1&amp;"-"&amp;$F676,YEAR($B$2:$B$4001)&amp;"-"&amp;$A$2:$A$4001,0,-1)),K676))</f>
        <v>8</v>
      </c>
      <c r="M676" cm="1">
        <f t="array" ref="M676">IF(OR(AND(L676=9,M$1&gt;YEAR($N676))),9,_xlfn.IFNA(INDEX($D$2:$D$4001,_xlfn.XMATCH(M$1&amp;"-"&amp;$F676,YEAR($B$2:$B$4001)&amp;"-"&amp;$A$2:$A$4001,0,-1)),L676))</f>
        <v>8</v>
      </c>
      <c r="N676" s="1">
        <f t="shared" si="10"/>
        <v>36698</v>
      </c>
    </row>
    <row r="677" spans="1:14" x14ac:dyDescent="0.35">
      <c r="A677">
        <v>328</v>
      </c>
      <c r="B677" s="2">
        <v>38220</v>
      </c>
      <c r="C677">
        <v>5</v>
      </c>
      <c r="D677">
        <v>5</v>
      </c>
      <c r="F677">
        <v>676</v>
      </c>
      <c r="G677" cm="1">
        <f t="array" ref="G677">_xlfn.IFNA(INDEX($D$2:$D$4001,_xlfn.XMATCH(G$1&amp;"-"&amp;$F677,YEAR($B$2:$B$4001)&amp;"-"&amp;$A$2:$A$4001,0,-1)),9)</f>
        <v>9</v>
      </c>
      <c r="H677" cm="1">
        <f t="array" ref="H677">IF(OR(AND(G677=9,H$1&gt;YEAR($N677))),9,_xlfn.IFNA(INDEX($D$2:$D$4001,_xlfn.XMATCH(H$1&amp;"-"&amp;$F677,YEAR($B$2:$B$4001)&amp;"-"&amp;$A$2:$A$4001,0,-1)),G677))</f>
        <v>9</v>
      </c>
      <c r="I677" cm="1">
        <f t="array" ref="I677">IF(OR(AND(H677=9,I$1&gt;YEAR($N677))),9,_xlfn.IFNA(INDEX($D$2:$D$4001,_xlfn.XMATCH(I$1&amp;"-"&amp;$F677,YEAR($B$2:$B$4001)&amp;"-"&amp;$A$2:$A$4001,0,-1)),H677))</f>
        <v>4</v>
      </c>
      <c r="J677" cm="1">
        <f t="array" ref="J677">IF(OR(AND(I677=9,J$1&gt;YEAR($N677))),9,_xlfn.IFNA(INDEX($D$2:$D$4001,_xlfn.XMATCH(J$1&amp;"-"&amp;$F677,YEAR($B$2:$B$4001)&amp;"-"&amp;$A$2:$A$4001,0,-1)),I677))</f>
        <v>5</v>
      </c>
      <c r="K677" cm="1">
        <f t="array" ref="K677">IF(OR(AND(J677=9,K$1&gt;YEAR($N677))),9,_xlfn.IFNA(INDEX($D$2:$D$4001,_xlfn.XMATCH(K$1&amp;"-"&amp;$F677,YEAR($B$2:$B$4001)&amp;"-"&amp;$A$2:$A$4001,0,-1)),J677))</f>
        <v>5</v>
      </c>
      <c r="L677" cm="1">
        <f t="array" ref="L677">IF(OR(AND(K677=9,L$1&gt;YEAR($N677))),9,_xlfn.IFNA(INDEX($D$2:$D$4001,_xlfn.XMATCH(L$1&amp;"-"&amp;$F677,YEAR($B$2:$B$4001)&amp;"-"&amp;$A$2:$A$4001,0,-1)),K677))</f>
        <v>5</v>
      </c>
      <c r="M677" cm="1">
        <f t="array" ref="M677">IF(OR(AND(L677=9,M$1&gt;YEAR($N677))),9,_xlfn.IFNA(INDEX($D$2:$D$4001,_xlfn.XMATCH(M$1&amp;"-"&amp;$F677,YEAR($B$2:$B$4001)&amp;"-"&amp;$A$2:$A$4001,0,-1)),L677))</f>
        <v>5</v>
      </c>
      <c r="N677" s="1">
        <f t="shared" si="10"/>
        <v>37225</v>
      </c>
    </row>
    <row r="678" spans="1:14" x14ac:dyDescent="0.35">
      <c r="A678">
        <v>329</v>
      </c>
      <c r="B678" s="2">
        <v>37225</v>
      </c>
      <c r="C678">
        <v>4</v>
      </c>
      <c r="D678">
        <v>4</v>
      </c>
      <c r="F678">
        <v>677</v>
      </c>
      <c r="G678" cm="1">
        <f t="array" ref="G678">_xlfn.IFNA(INDEX($D$2:$D$4001,_xlfn.XMATCH(G$1&amp;"-"&amp;$F678,YEAR($B$2:$B$4001)&amp;"-"&amp;$A$2:$A$4001,0,-1)),9)</f>
        <v>9</v>
      </c>
      <c r="H678" cm="1">
        <f t="array" ref="H678">IF(OR(AND(G678=9,H$1&gt;YEAR($N678))),9,_xlfn.IFNA(INDEX($D$2:$D$4001,_xlfn.XMATCH(H$1&amp;"-"&amp;$F678,YEAR($B$2:$B$4001)&amp;"-"&amp;$A$2:$A$4001,0,-1)),G678))</f>
        <v>0</v>
      </c>
      <c r="I678" cm="1">
        <f t="array" ref="I678">IF(OR(AND(H678=9,I$1&gt;YEAR($N678))),9,_xlfn.IFNA(INDEX($D$2:$D$4001,_xlfn.XMATCH(I$1&amp;"-"&amp;$F678,YEAR($B$2:$B$4001)&amp;"-"&amp;$A$2:$A$4001,0,-1)),H678))</f>
        <v>0</v>
      </c>
      <c r="J678" cm="1">
        <f t="array" ref="J678">IF(OR(AND(I678=9,J$1&gt;YEAR($N678))),9,_xlfn.IFNA(INDEX($D$2:$D$4001,_xlfn.XMATCH(J$1&amp;"-"&amp;$F678,YEAR($B$2:$B$4001)&amp;"-"&amp;$A$2:$A$4001,0,-1)),I678))</f>
        <v>0</v>
      </c>
      <c r="K678" cm="1">
        <f t="array" ref="K678">IF(OR(AND(J678=9,K$1&gt;YEAR($N678))),9,_xlfn.IFNA(INDEX($D$2:$D$4001,_xlfn.XMATCH(K$1&amp;"-"&amp;$F678,YEAR($B$2:$B$4001)&amp;"-"&amp;$A$2:$A$4001,0,-1)),J678))</f>
        <v>0</v>
      </c>
      <c r="L678" cm="1">
        <f t="array" ref="L678">IF(OR(AND(K678=9,L$1&gt;YEAR($N678))),9,_xlfn.IFNA(INDEX($D$2:$D$4001,_xlfn.XMATCH(L$1&amp;"-"&amp;$F678,YEAR($B$2:$B$4001)&amp;"-"&amp;$A$2:$A$4001,0,-1)),K678))</f>
        <v>0</v>
      </c>
      <c r="M678" cm="1">
        <f t="array" ref="M678">IF(OR(AND(L678=9,M$1&gt;YEAR($N678))),9,_xlfn.IFNA(INDEX($D$2:$D$4001,_xlfn.XMATCH(M$1&amp;"-"&amp;$F678,YEAR($B$2:$B$4001)&amp;"-"&amp;$A$2:$A$4001,0,-1)),L678))</f>
        <v>0</v>
      </c>
      <c r="N678" s="1">
        <f t="shared" si="10"/>
        <v>36671</v>
      </c>
    </row>
    <row r="679" spans="1:14" x14ac:dyDescent="0.35">
      <c r="A679">
        <v>329</v>
      </c>
      <c r="B679" s="2">
        <v>37255</v>
      </c>
      <c r="C679">
        <v>5</v>
      </c>
      <c r="D679">
        <v>5</v>
      </c>
      <c r="F679">
        <v>678</v>
      </c>
      <c r="G679" cm="1">
        <f t="array" ref="G679">_xlfn.IFNA(INDEX($D$2:$D$4001,_xlfn.XMATCH(G$1&amp;"-"&amp;$F679,YEAR($B$2:$B$4001)&amp;"-"&amp;$A$2:$A$4001,0,-1)),9)</f>
        <v>9</v>
      </c>
      <c r="H679" cm="1">
        <f t="array" ref="H679">IF(OR(AND(G679=9,H$1&gt;YEAR($N679))),9,_xlfn.IFNA(INDEX($D$2:$D$4001,_xlfn.XMATCH(H$1&amp;"-"&amp;$F679,YEAR($B$2:$B$4001)&amp;"-"&amp;$A$2:$A$4001,0,-1)),G679))</f>
        <v>9</v>
      </c>
      <c r="I679" cm="1">
        <f t="array" ref="I679">IF(OR(AND(H679=9,I$1&gt;YEAR($N679))),9,_xlfn.IFNA(INDEX($D$2:$D$4001,_xlfn.XMATCH(I$1&amp;"-"&amp;$F679,YEAR($B$2:$B$4001)&amp;"-"&amp;$A$2:$A$4001,0,-1)),H679))</f>
        <v>9</v>
      </c>
      <c r="J679" cm="1">
        <f t="array" ref="J679">IF(OR(AND(I679=9,J$1&gt;YEAR($N679))),9,_xlfn.IFNA(INDEX($D$2:$D$4001,_xlfn.XMATCH(J$1&amp;"-"&amp;$F679,YEAR($B$2:$B$4001)&amp;"-"&amp;$A$2:$A$4001,0,-1)),I679))</f>
        <v>3</v>
      </c>
      <c r="K679" cm="1">
        <f t="array" ref="K679">IF(OR(AND(J679=9,K$1&gt;YEAR($N679))),9,_xlfn.IFNA(INDEX($D$2:$D$4001,_xlfn.XMATCH(K$1&amp;"-"&amp;$F679,YEAR($B$2:$B$4001)&amp;"-"&amp;$A$2:$A$4001,0,-1)),J679))</f>
        <v>3</v>
      </c>
      <c r="L679" cm="1">
        <f t="array" ref="L679">IF(OR(AND(K679=9,L$1&gt;YEAR($N679))),9,_xlfn.IFNA(INDEX($D$2:$D$4001,_xlfn.XMATCH(L$1&amp;"-"&amp;$F679,YEAR($B$2:$B$4001)&amp;"-"&amp;$A$2:$A$4001,0,-1)),K679))</f>
        <v>3</v>
      </c>
      <c r="M679" cm="1">
        <f t="array" ref="M679">IF(OR(AND(L679=9,M$1&gt;YEAR($N679))),9,_xlfn.IFNA(INDEX($D$2:$D$4001,_xlfn.XMATCH(M$1&amp;"-"&amp;$F679,YEAR($B$2:$B$4001)&amp;"-"&amp;$A$2:$A$4001,0,-1)),L679))</f>
        <v>3</v>
      </c>
      <c r="N679" s="1">
        <f t="shared" si="10"/>
        <v>37620</v>
      </c>
    </row>
    <row r="680" spans="1:14" x14ac:dyDescent="0.35">
      <c r="A680">
        <v>329</v>
      </c>
      <c r="B680" s="2">
        <v>37255</v>
      </c>
      <c r="C680">
        <v>6</v>
      </c>
      <c r="D680">
        <v>6</v>
      </c>
      <c r="F680">
        <v>679</v>
      </c>
      <c r="G680" cm="1">
        <f t="array" ref="G680">_xlfn.IFNA(INDEX($D$2:$D$4001,_xlfn.XMATCH(G$1&amp;"-"&amp;$F680,YEAR($B$2:$B$4001)&amp;"-"&amp;$A$2:$A$4001,0,-1)),9)</f>
        <v>9</v>
      </c>
      <c r="H680" cm="1">
        <f t="array" ref="H680">IF(OR(AND(G680=9,H$1&gt;YEAR($N680))),9,_xlfn.IFNA(INDEX($D$2:$D$4001,_xlfn.XMATCH(H$1&amp;"-"&amp;$F680,YEAR($B$2:$B$4001)&amp;"-"&amp;$A$2:$A$4001,0,-1)),G680))</f>
        <v>9</v>
      </c>
      <c r="I680" cm="1">
        <f t="array" ref="I680">IF(OR(AND(H680=9,I$1&gt;YEAR($N680))),9,_xlfn.IFNA(INDEX($D$2:$D$4001,_xlfn.XMATCH(I$1&amp;"-"&amp;$F680,YEAR($B$2:$B$4001)&amp;"-"&amp;$A$2:$A$4001,0,-1)),H680))</f>
        <v>3</v>
      </c>
      <c r="J680" cm="1">
        <f t="array" ref="J680">IF(OR(AND(I680=9,J$1&gt;YEAR($N680))),9,_xlfn.IFNA(INDEX($D$2:$D$4001,_xlfn.XMATCH(J$1&amp;"-"&amp;$F680,YEAR($B$2:$B$4001)&amp;"-"&amp;$A$2:$A$4001,0,-1)),I680))</f>
        <v>0</v>
      </c>
      <c r="K680" cm="1">
        <f t="array" ref="K680">IF(OR(AND(J680=9,K$1&gt;YEAR($N680))),9,_xlfn.IFNA(INDEX($D$2:$D$4001,_xlfn.XMATCH(K$1&amp;"-"&amp;$F680,YEAR($B$2:$B$4001)&amp;"-"&amp;$A$2:$A$4001,0,-1)),J680))</f>
        <v>0</v>
      </c>
      <c r="L680" cm="1">
        <f t="array" ref="L680">IF(OR(AND(K680=9,L$1&gt;YEAR($N680))),9,_xlfn.IFNA(INDEX($D$2:$D$4001,_xlfn.XMATCH(L$1&amp;"-"&amp;$F680,YEAR($B$2:$B$4001)&amp;"-"&amp;$A$2:$A$4001,0,-1)),K680))</f>
        <v>0</v>
      </c>
      <c r="M680" cm="1">
        <f t="array" ref="M680">IF(OR(AND(L680=9,M$1&gt;YEAR($N680))),9,_xlfn.IFNA(INDEX($D$2:$D$4001,_xlfn.XMATCH(M$1&amp;"-"&amp;$F680,YEAR($B$2:$B$4001)&amp;"-"&amp;$A$2:$A$4001,0,-1)),L680))</f>
        <v>0</v>
      </c>
      <c r="N680" s="1">
        <f t="shared" si="10"/>
        <v>37035</v>
      </c>
    </row>
    <row r="681" spans="1:14" x14ac:dyDescent="0.35">
      <c r="A681">
        <v>329</v>
      </c>
      <c r="B681" s="2">
        <v>37428</v>
      </c>
      <c r="C681">
        <v>6</v>
      </c>
      <c r="D681">
        <v>6</v>
      </c>
      <c r="F681">
        <v>680</v>
      </c>
      <c r="G681" cm="1">
        <f t="array" ref="G681">_xlfn.IFNA(INDEX($D$2:$D$4001,_xlfn.XMATCH(G$1&amp;"-"&amp;$F681,YEAR($B$2:$B$4001)&amp;"-"&amp;$A$2:$A$4001,0,-1)),9)</f>
        <v>4</v>
      </c>
      <c r="H681" cm="1">
        <f t="array" ref="H681">IF(OR(AND(G681=9,H$1&gt;YEAR($N681))),9,_xlfn.IFNA(INDEX($D$2:$D$4001,_xlfn.XMATCH(H$1&amp;"-"&amp;$F681,YEAR($B$2:$B$4001)&amp;"-"&amp;$A$2:$A$4001,0,-1)),G681))</f>
        <v>3</v>
      </c>
      <c r="I681" cm="1">
        <f t="array" ref="I681">IF(OR(AND(H681=9,I$1&gt;YEAR($N681))),9,_xlfn.IFNA(INDEX($D$2:$D$4001,_xlfn.XMATCH(I$1&amp;"-"&amp;$F681,YEAR($B$2:$B$4001)&amp;"-"&amp;$A$2:$A$4001,0,-1)),H681))</f>
        <v>3</v>
      </c>
      <c r="J681" cm="1">
        <f t="array" ref="J681">IF(OR(AND(I681=9,J$1&gt;YEAR($N681))),9,_xlfn.IFNA(INDEX($D$2:$D$4001,_xlfn.XMATCH(J$1&amp;"-"&amp;$F681,YEAR($B$2:$B$4001)&amp;"-"&amp;$A$2:$A$4001,0,-1)),I681))</f>
        <v>3</v>
      </c>
      <c r="K681" cm="1">
        <f t="array" ref="K681">IF(OR(AND(J681=9,K$1&gt;YEAR($N681))),9,_xlfn.IFNA(INDEX($D$2:$D$4001,_xlfn.XMATCH(K$1&amp;"-"&amp;$F681,YEAR($B$2:$B$4001)&amp;"-"&amp;$A$2:$A$4001,0,-1)),J681))</f>
        <v>3</v>
      </c>
      <c r="L681" cm="1">
        <f t="array" ref="L681">IF(OR(AND(K681=9,L$1&gt;YEAR($N681))),9,_xlfn.IFNA(INDEX($D$2:$D$4001,_xlfn.XMATCH(L$1&amp;"-"&amp;$F681,YEAR($B$2:$B$4001)&amp;"-"&amp;$A$2:$A$4001,0,-1)),K681))</f>
        <v>3</v>
      </c>
      <c r="M681" cm="1">
        <f t="array" ref="M681">IF(OR(AND(L681=9,M$1&gt;YEAR($N681))),9,_xlfn.IFNA(INDEX($D$2:$D$4001,_xlfn.XMATCH(M$1&amp;"-"&amp;$F681,YEAR($B$2:$B$4001)&amp;"-"&amp;$A$2:$A$4001,0,-1)),L681))</f>
        <v>3</v>
      </c>
      <c r="N681" s="1">
        <f t="shared" si="10"/>
        <v>36301</v>
      </c>
    </row>
    <row r="682" spans="1:14" x14ac:dyDescent="0.35">
      <c r="A682">
        <v>329</v>
      </c>
      <c r="B682" s="2">
        <v>37924</v>
      </c>
      <c r="C682">
        <v>7</v>
      </c>
      <c r="D682">
        <v>7</v>
      </c>
      <c r="F682">
        <v>681</v>
      </c>
      <c r="G682" cm="1">
        <f t="array" ref="G682">_xlfn.IFNA(INDEX($D$2:$D$4001,_xlfn.XMATCH(G$1&amp;"-"&amp;$F682,YEAR($B$2:$B$4001)&amp;"-"&amp;$A$2:$A$4001,0,-1)),9)</f>
        <v>9</v>
      </c>
      <c r="H682" cm="1">
        <f t="array" ref="H682">IF(OR(AND(G682=9,H$1&gt;YEAR($N682))),9,_xlfn.IFNA(INDEX($D$2:$D$4001,_xlfn.XMATCH(H$1&amp;"-"&amp;$F682,YEAR($B$2:$B$4001)&amp;"-"&amp;$A$2:$A$4001,0,-1)),G682))</f>
        <v>6</v>
      </c>
      <c r="I682" cm="1">
        <f t="array" ref="I682">IF(OR(AND(H682=9,I$1&gt;YEAR($N682))),9,_xlfn.IFNA(INDEX($D$2:$D$4001,_xlfn.XMATCH(I$1&amp;"-"&amp;$F682,YEAR($B$2:$B$4001)&amp;"-"&amp;$A$2:$A$4001,0,-1)),H682))</f>
        <v>7</v>
      </c>
      <c r="J682" cm="1">
        <f t="array" ref="J682">IF(OR(AND(I682=9,J$1&gt;YEAR($N682))),9,_xlfn.IFNA(INDEX($D$2:$D$4001,_xlfn.XMATCH(J$1&amp;"-"&amp;$F682,YEAR($B$2:$B$4001)&amp;"-"&amp;$A$2:$A$4001,0,-1)),I682))</f>
        <v>7</v>
      </c>
      <c r="K682" cm="1">
        <f t="array" ref="K682">IF(OR(AND(J682=9,K$1&gt;YEAR($N682))),9,_xlfn.IFNA(INDEX($D$2:$D$4001,_xlfn.XMATCH(K$1&amp;"-"&amp;$F682,YEAR($B$2:$B$4001)&amp;"-"&amp;$A$2:$A$4001,0,-1)),J682))</f>
        <v>7</v>
      </c>
      <c r="L682" cm="1">
        <f t="array" ref="L682">IF(OR(AND(K682=9,L$1&gt;YEAR($N682))),9,_xlfn.IFNA(INDEX($D$2:$D$4001,_xlfn.XMATCH(L$1&amp;"-"&amp;$F682,YEAR($B$2:$B$4001)&amp;"-"&amp;$A$2:$A$4001,0,-1)),K682))</f>
        <v>0</v>
      </c>
      <c r="M682" cm="1">
        <f t="array" ref="M682">IF(OR(AND(L682=9,M$1&gt;YEAR($N682))),9,_xlfn.IFNA(INDEX($D$2:$D$4001,_xlfn.XMATCH(M$1&amp;"-"&amp;$F682,YEAR($B$2:$B$4001)&amp;"-"&amp;$A$2:$A$4001,0,-1)),L682))</f>
        <v>0</v>
      </c>
      <c r="N682" s="1">
        <f t="shared" si="10"/>
        <v>36676</v>
      </c>
    </row>
    <row r="683" spans="1:14" x14ac:dyDescent="0.35">
      <c r="A683">
        <v>330</v>
      </c>
      <c r="B683" s="2">
        <v>37793</v>
      </c>
      <c r="C683">
        <v>6</v>
      </c>
      <c r="D683">
        <v>6</v>
      </c>
      <c r="F683">
        <v>682</v>
      </c>
      <c r="G683" cm="1">
        <f t="array" ref="G683">_xlfn.IFNA(INDEX($D$2:$D$4001,_xlfn.XMATCH(G$1&amp;"-"&amp;$F683,YEAR($B$2:$B$4001)&amp;"-"&amp;$A$2:$A$4001,0,-1)),9)</f>
        <v>4</v>
      </c>
      <c r="H683" cm="1">
        <f t="array" ref="H683">IF(OR(AND(G683=9,H$1&gt;YEAR($N683))),9,_xlfn.IFNA(INDEX($D$2:$D$4001,_xlfn.XMATCH(H$1&amp;"-"&amp;$F683,YEAR($B$2:$B$4001)&amp;"-"&amp;$A$2:$A$4001,0,-1)),G683))</f>
        <v>3</v>
      </c>
      <c r="I683" cm="1">
        <f t="array" ref="I683">IF(OR(AND(H683=9,I$1&gt;YEAR($N683))),9,_xlfn.IFNA(INDEX($D$2:$D$4001,_xlfn.XMATCH(I$1&amp;"-"&amp;$F683,YEAR($B$2:$B$4001)&amp;"-"&amp;$A$2:$A$4001,0,-1)),H683))</f>
        <v>3</v>
      </c>
      <c r="J683" cm="1">
        <f t="array" ref="J683">IF(OR(AND(I683=9,J$1&gt;YEAR($N683))),9,_xlfn.IFNA(INDEX($D$2:$D$4001,_xlfn.XMATCH(J$1&amp;"-"&amp;$F683,YEAR($B$2:$B$4001)&amp;"-"&amp;$A$2:$A$4001,0,-1)),I683))</f>
        <v>3</v>
      </c>
      <c r="K683" cm="1">
        <f t="array" ref="K683">IF(OR(AND(J683=9,K$1&gt;YEAR($N683))),9,_xlfn.IFNA(INDEX($D$2:$D$4001,_xlfn.XMATCH(K$1&amp;"-"&amp;$F683,YEAR($B$2:$B$4001)&amp;"-"&amp;$A$2:$A$4001,0,-1)),J683))</f>
        <v>3</v>
      </c>
      <c r="L683" cm="1">
        <f t="array" ref="L683">IF(OR(AND(K683=9,L$1&gt;YEAR($N683))),9,_xlfn.IFNA(INDEX($D$2:$D$4001,_xlfn.XMATCH(L$1&amp;"-"&amp;$F683,YEAR($B$2:$B$4001)&amp;"-"&amp;$A$2:$A$4001,0,-1)),K683))</f>
        <v>3</v>
      </c>
      <c r="M683" cm="1">
        <f t="array" ref="M683">IF(OR(AND(L683=9,M$1&gt;YEAR($N683))),9,_xlfn.IFNA(INDEX($D$2:$D$4001,_xlfn.XMATCH(M$1&amp;"-"&amp;$F683,YEAR($B$2:$B$4001)&amp;"-"&amp;$A$2:$A$4001,0,-1)),L683))</f>
        <v>3</v>
      </c>
      <c r="N683" s="1">
        <f t="shared" si="10"/>
        <v>36301</v>
      </c>
    </row>
    <row r="684" spans="1:14" x14ac:dyDescent="0.35">
      <c r="A684">
        <v>331</v>
      </c>
      <c r="B684" s="2">
        <v>36494</v>
      </c>
      <c r="C684">
        <v>6</v>
      </c>
      <c r="D684">
        <v>6</v>
      </c>
      <c r="F684">
        <v>683</v>
      </c>
      <c r="G684" cm="1">
        <f t="array" ref="G684">_xlfn.IFNA(INDEX($D$2:$D$4001,_xlfn.XMATCH(G$1&amp;"-"&amp;$F684,YEAR($B$2:$B$4001)&amp;"-"&amp;$A$2:$A$4001,0,-1)),9)</f>
        <v>4</v>
      </c>
      <c r="H684" cm="1">
        <f t="array" ref="H684">IF(OR(AND(G684=9,H$1&gt;YEAR($N684))),9,_xlfn.IFNA(INDEX($D$2:$D$4001,_xlfn.XMATCH(H$1&amp;"-"&amp;$F684,YEAR($B$2:$B$4001)&amp;"-"&amp;$A$2:$A$4001,0,-1)),G684))</f>
        <v>3</v>
      </c>
      <c r="I684" cm="1">
        <f t="array" ref="I684">IF(OR(AND(H684=9,I$1&gt;YEAR($N684))),9,_xlfn.IFNA(INDEX($D$2:$D$4001,_xlfn.XMATCH(I$1&amp;"-"&amp;$F684,YEAR($B$2:$B$4001)&amp;"-"&amp;$A$2:$A$4001,0,-1)),H684))</f>
        <v>3</v>
      </c>
      <c r="J684" cm="1">
        <f t="array" ref="J684">IF(OR(AND(I684=9,J$1&gt;YEAR($N684))),9,_xlfn.IFNA(INDEX($D$2:$D$4001,_xlfn.XMATCH(J$1&amp;"-"&amp;$F684,YEAR($B$2:$B$4001)&amp;"-"&amp;$A$2:$A$4001,0,-1)),I684))</f>
        <v>3</v>
      </c>
      <c r="K684" cm="1">
        <f t="array" ref="K684">IF(OR(AND(J684=9,K$1&gt;YEAR($N684))),9,_xlfn.IFNA(INDEX($D$2:$D$4001,_xlfn.XMATCH(K$1&amp;"-"&amp;$F684,YEAR($B$2:$B$4001)&amp;"-"&amp;$A$2:$A$4001,0,-1)),J684))</f>
        <v>3</v>
      </c>
      <c r="L684" cm="1">
        <f t="array" ref="L684">IF(OR(AND(K684=9,L$1&gt;YEAR($N684))),9,_xlfn.IFNA(INDEX($D$2:$D$4001,_xlfn.XMATCH(L$1&amp;"-"&amp;$F684,YEAR($B$2:$B$4001)&amp;"-"&amp;$A$2:$A$4001,0,-1)),K684))</f>
        <v>3</v>
      </c>
      <c r="M684" cm="1">
        <f t="array" ref="M684">IF(OR(AND(L684=9,M$1&gt;YEAR($N684))),9,_xlfn.IFNA(INDEX($D$2:$D$4001,_xlfn.XMATCH(M$1&amp;"-"&amp;$F684,YEAR($B$2:$B$4001)&amp;"-"&amp;$A$2:$A$4001,0,-1)),L684))</f>
        <v>3</v>
      </c>
      <c r="N684" s="1">
        <f t="shared" si="10"/>
        <v>36301</v>
      </c>
    </row>
    <row r="685" spans="1:14" x14ac:dyDescent="0.35">
      <c r="A685">
        <v>331</v>
      </c>
      <c r="B685" s="2">
        <v>36890</v>
      </c>
      <c r="C685">
        <v>7</v>
      </c>
      <c r="D685">
        <v>7</v>
      </c>
      <c r="F685">
        <v>684</v>
      </c>
      <c r="G685" cm="1">
        <f t="array" ref="G685">_xlfn.IFNA(INDEX($D$2:$D$4001,_xlfn.XMATCH(G$1&amp;"-"&amp;$F685,YEAR($B$2:$B$4001)&amp;"-"&amp;$A$2:$A$4001,0,-1)),9)</f>
        <v>9</v>
      </c>
      <c r="H685" cm="1">
        <f t="array" ref="H685">IF(OR(AND(G685=9,H$1&gt;YEAR($N685))),9,_xlfn.IFNA(INDEX($D$2:$D$4001,_xlfn.XMATCH(H$1&amp;"-"&amp;$F685,YEAR($B$2:$B$4001)&amp;"-"&amp;$A$2:$A$4001,0,-1)),G685))</f>
        <v>9</v>
      </c>
      <c r="I685" cm="1">
        <f t="array" ref="I685">IF(OR(AND(H685=9,I$1&gt;YEAR($N685))),9,_xlfn.IFNA(INDEX($D$2:$D$4001,_xlfn.XMATCH(I$1&amp;"-"&amp;$F685,YEAR($B$2:$B$4001)&amp;"-"&amp;$A$2:$A$4001,0,-1)),H685))</f>
        <v>3</v>
      </c>
      <c r="J685" cm="1">
        <f t="array" ref="J685">IF(OR(AND(I685=9,J$1&gt;YEAR($N685))),9,_xlfn.IFNA(INDEX($D$2:$D$4001,_xlfn.XMATCH(J$1&amp;"-"&amp;$F685,YEAR($B$2:$B$4001)&amp;"-"&amp;$A$2:$A$4001,0,-1)),I685))</f>
        <v>3</v>
      </c>
      <c r="K685" cm="1">
        <f t="array" ref="K685">IF(OR(AND(J685=9,K$1&gt;YEAR($N685))),9,_xlfn.IFNA(INDEX($D$2:$D$4001,_xlfn.XMATCH(K$1&amp;"-"&amp;$F685,YEAR($B$2:$B$4001)&amp;"-"&amp;$A$2:$A$4001,0,-1)),J685))</f>
        <v>3</v>
      </c>
      <c r="L685" cm="1">
        <f t="array" ref="L685">IF(OR(AND(K685=9,L$1&gt;YEAR($N685))),9,_xlfn.IFNA(INDEX($D$2:$D$4001,_xlfn.XMATCH(L$1&amp;"-"&amp;$F685,YEAR($B$2:$B$4001)&amp;"-"&amp;$A$2:$A$4001,0,-1)),K685))</f>
        <v>3</v>
      </c>
      <c r="M685" cm="1">
        <f t="array" ref="M685">IF(OR(AND(L685=9,M$1&gt;YEAR($N685))),9,_xlfn.IFNA(INDEX($D$2:$D$4001,_xlfn.XMATCH(M$1&amp;"-"&amp;$F685,YEAR($B$2:$B$4001)&amp;"-"&amp;$A$2:$A$4001,0,-1)),L685))</f>
        <v>3</v>
      </c>
      <c r="N685" s="1">
        <f t="shared" si="10"/>
        <v>37032</v>
      </c>
    </row>
    <row r="686" spans="1:14" x14ac:dyDescent="0.35">
      <c r="A686">
        <v>332</v>
      </c>
      <c r="B686" s="2">
        <v>36768</v>
      </c>
      <c r="C686">
        <v>3</v>
      </c>
      <c r="D686">
        <v>3</v>
      </c>
      <c r="F686">
        <v>685</v>
      </c>
      <c r="G686" cm="1">
        <f t="array" ref="G686">_xlfn.IFNA(INDEX($D$2:$D$4001,_xlfn.XMATCH(G$1&amp;"-"&amp;$F686,YEAR($B$2:$B$4001)&amp;"-"&amp;$A$2:$A$4001,0,-1)),9)</f>
        <v>6</v>
      </c>
      <c r="H686" cm="1">
        <f t="array" ref="H686">IF(OR(AND(G686=9,H$1&gt;YEAR($N686))),9,_xlfn.IFNA(INDEX($D$2:$D$4001,_xlfn.XMATCH(H$1&amp;"-"&amp;$F686,YEAR($B$2:$B$4001)&amp;"-"&amp;$A$2:$A$4001,0,-1)),G686))</f>
        <v>6</v>
      </c>
      <c r="I686" cm="1">
        <f t="array" ref="I686">IF(OR(AND(H686=9,I$1&gt;YEAR($N686))),9,_xlfn.IFNA(INDEX($D$2:$D$4001,_xlfn.XMATCH(I$1&amp;"-"&amp;$F686,YEAR($B$2:$B$4001)&amp;"-"&amp;$A$2:$A$4001,0,-1)),H686))</f>
        <v>7</v>
      </c>
      <c r="J686" cm="1">
        <f t="array" ref="J686">IF(OR(AND(I686=9,J$1&gt;YEAR($N686))),9,_xlfn.IFNA(INDEX($D$2:$D$4001,_xlfn.XMATCH(J$1&amp;"-"&amp;$F686,YEAR($B$2:$B$4001)&amp;"-"&amp;$A$2:$A$4001,0,-1)),I686))</f>
        <v>7</v>
      </c>
      <c r="K686" cm="1">
        <f t="array" ref="K686">IF(OR(AND(J686=9,K$1&gt;YEAR($N686))),9,_xlfn.IFNA(INDEX($D$2:$D$4001,_xlfn.XMATCH(K$1&amp;"-"&amp;$F686,YEAR($B$2:$B$4001)&amp;"-"&amp;$A$2:$A$4001,0,-1)),J686))</f>
        <v>8</v>
      </c>
      <c r="L686" cm="1">
        <f t="array" ref="L686">IF(OR(AND(K686=9,L$1&gt;YEAR($N686))),9,_xlfn.IFNA(INDEX($D$2:$D$4001,_xlfn.XMATCH(L$1&amp;"-"&amp;$F686,YEAR($B$2:$B$4001)&amp;"-"&amp;$A$2:$A$4001,0,-1)),K686))</f>
        <v>8</v>
      </c>
      <c r="M686" cm="1">
        <f t="array" ref="M686">IF(OR(AND(L686=9,M$1&gt;YEAR($N686))),9,_xlfn.IFNA(INDEX($D$2:$D$4001,_xlfn.XMATCH(M$1&amp;"-"&amp;$F686,YEAR($B$2:$B$4001)&amp;"-"&amp;$A$2:$A$4001,0,-1)),L686))</f>
        <v>8</v>
      </c>
      <c r="N686" s="1">
        <f t="shared" si="10"/>
        <v>36524</v>
      </c>
    </row>
    <row r="687" spans="1:14" x14ac:dyDescent="0.35">
      <c r="A687">
        <v>332</v>
      </c>
      <c r="B687" s="2">
        <v>38351</v>
      </c>
      <c r="C687">
        <v>0</v>
      </c>
      <c r="D687">
        <v>0</v>
      </c>
      <c r="F687">
        <v>686</v>
      </c>
      <c r="G687" cm="1">
        <f t="array" ref="G687">_xlfn.IFNA(INDEX($D$2:$D$4001,_xlfn.XMATCH(G$1&amp;"-"&amp;$F687,YEAR($B$2:$B$4001)&amp;"-"&amp;$A$2:$A$4001,0,-1)),9)</f>
        <v>9</v>
      </c>
      <c r="H687" cm="1">
        <f t="array" ref="H687">IF(OR(AND(G687=9,H$1&gt;YEAR($N687))),9,_xlfn.IFNA(INDEX($D$2:$D$4001,_xlfn.XMATCH(H$1&amp;"-"&amp;$F687,YEAR($B$2:$B$4001)&amp;"-"&amp;$A$2:$A$4001,0,-1)),G687))</f>
        <v>4</v>
      </c>
      <c r="I687" cm="1">
        <f t="array" ref="I687">IF(OR(AND(H687=9,I$1&gt;YEAR($N687))),9,_xlfn.IFNA(INDEX($D$2:$D$4001,_xlfn.XMATCH(I$1&amp;"-"&amp;$F687,YEAR($B$2:$B$4001)&amp;"-"&amp;$A$2:$A$4001,0,-1)),H687))</f>
        <v>5</v>
      </c>
      <c r="J687" cm="1">
        <f t="array" ref="J687">IF(OR(AND(I687=9,J$1&gt;YEAR($N687))),9,_xlfn.IFNA(INDEX($D$2:$D$4001,_xlfn.XMATCH(J$1&amp;"-"&amp;$F687,YEAR($B$2:$B$4001)&amp;"-"&amp;$A$2:$A$4001,0,-1)),I687))</f>
        <v>5</v>
      </c>
      <c r="K687" cm="1">
        <f t="array" ref="K687">IF(OR(AND(J687=9,K$1&gt;YEAR($N687))),9,_xlfn.IFNA(INDEX($D$2:$D$4001,_xlfn.XMATCH(K$1&amp;"-"&amp;$F687,YEAR($B$2:$B$4001)&amp;"-"&amp;$A$2:$A$4001,0,-1)),J687))</f>
        <v>5</v>
      </c>
      <c r="L687" cm="1">
        <f t="array" ref="L687">IF(OR(AND(K687=9,L$1&gt;YEAR($N687))),9,_xlfn.IFNA(INDEX($D$2:$D$4001,_xlfn.XMATCH(L$1&amp;"-"&amp;$F687,YEAR($B$2:$B$4001)&amp;"-"&amp;$A$2:$A$4001,0,-1)),K687))</f>
        <v>5</v>
      </c>
      <c r="M687" cm="1">
        <f t="array" ref="M687">IF(OR(AND(L687=9,M$1&gt;YEAR($N687))),9,_xlfn.IFNA(INDEX($D$2:$D$4001,_xlfn.XMATCH(M$1&amp;"-"&amp;$F687,YEAR($B$2:$B$4001)&amp;"-"&amp;$A$2:$A$4001,0,-1)),L687))</f>
        <v>5</v>
      </c>
      <c r="N687" s="1">
        <f t="shared" si="10"/>
        <v>36790</v>
      </c>
    </row>
    <row r="688" spans="1:14" x14ac:dyDescent="0.35">
      <c r="A688">
        <v>333</v>
      </c>
      <c r="B688" s="2">
        <v>36301</v>
      </c>
      <c r="C688">
        <v>0</v>
      </c>
      <c r="D688">
        <v>0</v>
      </c>
      <c r="F688">
        <v>687</v>
      </c>
      <c r="G688" cm="1">
        <f t="array" ref="G688">_xlfn.IFNA(INDEX($D$2:$D$4001,_xlfn.XMATCH(G$1&amp;"-"&amp;$F688,YEAR($B$2:$B$4001)&amp;"-"&amp;$A$2:$A$4001,0,-1)),9)</f>
        <v>9</v>
      </c>
      <c r="H688" cm="1">
        <f t="array" ref="H688">IF(OR(AND(G688=9,H$1&gt;YEAR($N688))),9,_xlfn.IFNA(INDEX($D$2:$D$4001,_xlfn.XMATCH(H$1&amp;"-"&amp;$F688,YEAR($B$2:$B$4001)&amp;"-"&amp;$A$2:$A$4001,0,-1)),G688))</f>
        <v>9</v>
      </c>
      <c r="I688" cm="1">
        <f t="array" ref="I688">IF(OR(AND(H688=9,I$1&gt;YEAR($N688))),9,_xlfn.IFNA(INDEX($D$2:$D$4001,_xlfn.XMATCH(I$1&amp;"-"&amp;$F688,YEAR($B$2:$B$4001)&amp;"-"&amp;$A$2:$A$4001,0,-1)),H688))</f>
        <v>4</v>
      </c>
      <c r="J688" cm="1">
        <f t="array" ref="J688">IF(OR(AND(I688=9,J$1&gt;YEAR($N688))),9,_xlfn.IFNA(INDEX($D$2:$D$4001,_xlfn.XMATCH(J$1&amp;"-"&amp;$F688,YEAR($B$2:$B$4001)&amp;"-"&amp;$A$2:$A$4001,0,-1)),I688))</f>
        <v>5</v>
      </c>
      <c r="K688" cm="1">
        <f t="array" ref="K688">IF(OR(AND(J688=9,K$1&gt;YEAR($N688))),9,_xlfn.IFNA(INDEX($D$2:$D$4001,_xlfn.XMATCH(K$1&amp;"-"&amp;$F688,YEAR($B$2:$B$4001)&amp;"-"&amp;$A$2:$A$4001,0,-1)),J688))</f>
        <v>5</v>
      </c>
      <c r="L688" cm="1">
        <f t="array" ref="L688">IF(OR(AND(K688=9,L$1&gt;YEAR($N688))),9,_xlfn.IFNA(INDEX($D$2:$D$4001,_xlfn.XMATCH(L$1&amp;"-"&amp;$F688,YEAR($B$2:$B$4001)&amp;"-"&amp;$A$2:$A$4001,0,-1)),K688))</f>
        <v>5</v>
      </c>
      <c r="M688" cm="1">
        <f t="array" ref="M688">IF(OR(AND(L688=9,M$1&gt;YEAR($N688))),9,_xlfn.IFNA(INDEX($D$2:$D$4001,_xlfn.XMATCH(M$1&amp;"-"&amp;$F688,YEAR($B$2:$B$4001)&amp;"-"&amp;$A$2:$A$4001,0,-1)),L688))</f>
        <v>5</v>
      </c>
      <c r="N688" s="1">
        <f t="shared" si="10"/>
        <v>37032</v>
      </c>
    </row>
    <row r="689" spans="1:14" x14ac:dyDescent="0.35">
      <c r="A689">
        <v>334</v>
      </c>
      <c r="B689" s="2">
        <v>36310</v>
      </c>
      <c r="C689">
        <v>6</v>
      </c>
      <c r="D689">
        <v>6</v>
      </c>
      <c r="F689">
        <v>688</v>
      </c>
      <c r="G689" cm="1">
        <f t="array" ref="G689">_xlfn.IFNA(INDEX($D$2:$D$4001,_xlfn.XMATCH(G$1&amp;"-"&amp;$F689,YEAR($B$2:$B$4001)&amp;"-"&amp;$A$2:$A$4001,0,-1)),9)</f>
        <v>9</v>
      </c>
      <c r="H689" cm="1">
        <f t="array" ref="H689">IF(OR(AND(G689=9,H$1&gt;YEAR($N689))),9,_xlfn.IFNA(INDEX($D$2:$D$4001,_xlfn.XMATCH(H$1&amp;"-"&amp;$F689,YEAR($B$2:$B$4001)&amp;"-"&amp;$A$2:$A$4001,0,-1)),G689))</f>
        <v>9</v>
      </c>
      <c r="I689" cm="1">
        <f t="array" ref="I689">IF(OR(AND(H689=9,I$1&gt;YEAR($N689))),9,_xlfn.IFNA(INDEX($D$2:$D$4001,_xlfn.XMATCH(I$1&amp;"-"&amp;$F689,YEAR($B$2:$B$4001)&amp;"-"&amp;$A$2:$A$4001,0,-1)),H689))</f>
        <v>9</v>
      </c>
      <c r="J689" cm="1">
        <f t="array" ref="J689">IF(OR(AND(I689=9,J$1&gt;YEAR($N689))),9,_xlfn.IFNA(INDEX($D$2:$D$4001,_xlfn.XMATCH(J$1&amp;"-"&amp;$F689,YEAR($B$2:$B$4001)&amp;"-"&amp;$A$2:$A$4001,0,-1)),I689))</f>
        <v>9</v>
      </c>
      <c r="K689" cm="1">
        <f t="array" ref="K689">IF(OR(AND(J689=9,K$1&gt;YEAR($N689))),9,_xlfn.IFNA(INDEX($D$2:$D$4001,_xlfn.XMATCH(K$1&amp;"-"&amp;$F689,YEAR($B$2:$B$4001)&amp;"-"&amp;$A$2:$A$4001,0,-1)),J689))</f>
        <v>3</v>
      </c>
      <c r="L689" cm="1">
        <f t="array" ref="L689">IF(OR(AND(K689=9,L$1&gt;YEAR($N689))),9,_xlfn.IFNA(INDEX($D$2:$D$4001,_xlfn.XMATCH(L$1&amp;"-"&amp;$F689,YEAR($B$2:$B$4001)&amp;"-"&amp;$A$2:$A$4001,0,-1)),K689))</f>
        <v>3</v>
      </c>
      <c r="M689" cm="1">
        <f t="array" ref="M689">IF(OR(AND(L689=9,M$1&gt;YEAR($N689))),9,_xlfn.IFNA(INDEX($D$2:$D$4001,_xlfn.XMATCH(M$1&amp;"-"&amp;$F689,YEAR($B$2:$B$4001)&amp;"-"&amp;$A$2:$A$4001,0,-1)),L689))</f>
        <v>3</v>
      </c>
      <c r="N689" s="1">
        <f t="shared" si="10"/>
        <v>37762</v>
      </c>
    </row>
    <row r="690" spans="1:14" x14ac:dyDescent="0.35">
      <c r="A690">
        <v>334</v>
      </c>
      <c r="B690" s="2">
        <v>36332</v>
      </c>
      <c r="C690">
        <v>8</v>
      </c>
      <c r="D690">
        <v>8</v>
      </c>
      <c r="F690">
        <v>689</v>
      </c>
      <c r="G690" cm="1">
        <f t="array" ref="G690">_xlfn.IFNA(INDEX($D$2:$D$4001,_xlfn.XMATCH(G$1&amp;"-"&amp;$F690,YEAR($B$2:$B$4001)&amp;"-"&amp;$A$2:$A$4001,0,-1)),9)</f>
        <v>6</v>
      </c>
      <c r="H690" cm="1">
        <f t="array" ref="H690">IF(OR(AND(G690=9,H$1&gt;YEAR($N690))),9,_xlfn.IFNA(INDEX($D$2:$D$4001,_xlfn.XMATCH(H$1&amp;"-"&amp;$F690,YEAR($B$2:$B$4001)&amp;"-"&amp;$A$2:$A$4001,0,-1)),G690))</f>
        <v>0</v>
      </c>
      <c r="I690" cm="1">
        <f t="array" ref="I690">IF(OR(AND(H690=9,I$1&gt;YEAR($N690))),9,_xlfn.IFNA(INDEX($D$2:$D$4001,_xlfn.XMATCH(I$1&amp;"-"&amp;$F690,YEAR($B$2:$B$4001)&amp;"-"&amp;$A$2:$A$4001,0,-1)),H690))</f>
        <v>0</v>
      </c>
      <c r="J690" cm="1">
        <f t="array" ref="J690">IF(OR(AND(I690=9,J$1&gt;YEAR($N690))),9,_xlfn.IFNA(INDEX($D$2:$D$4001,_xlfn.XMATCH(J$1&amp;"-"&amp;$F690,YEAR($B$2:$B$4001)&amp;"-"&amp;$A$2:$A$4001,0,-1)),I690))</f>
        <v>0</v>
      </c>
      <c r="K690" cm="1">
        <f t="array" ref="K690">IF(OR(AND(J690=9,K$1&gt;YEAR($N690))),9,_xlfn.IFNA(INDEX($D$2:$D$4001,_xlfn.XMATCH(K$1&amp;"-"&amp;$F690,YEAR($B$2:$B$4001)&amp;"-"&amp;$A$2:$A$4001,0,-1)),J690))</f>
        <v>0</v>
      </c>
      <c r="L690" cm="1">
        <f t="array" ref="L690">IF(OR(AND(K690=9,L$1&gt;YEAR($N690))),9,_xlfn.IFNA(INDEX($D$2:$D$4001,_xlfn.XMATCH(L$1&amp;"-"&amp;$F690,YEAR($B$2:$B$4001)&amp;"-"&amp;$A$2:$A$4001,0,-1)),K690))</f>
        <v>0</v>
      </c>
      <c r="M690" cm="1">
        <f t="array" ref="M690">IF(OR(AND(L690=9,M$1&gt;YEAR($N690))),9,_xlfn.IFNA(INDEX($D$2:$D$4001,_xlfn.XMATCH(M$1&amp;"-"&amp;$F690,YEAR($B$2:$B$4001)&amp;"-"&amp;$A$2:$A$4001,0,-1)),L690))</f>
        <v>0</v>
      </c>
      <c r="N690" s="1">
        <f t="shared" si="10"/>
        <v>36310</v>
      </c>
    </row>
    <row r="691" spans="1:14" x14ac:dyDescent="0.35">
      <c r="A691">
        <v>334</v>
      </c>
      <c r="B691" s="2">
        <v>36494</v>
      </c>
      <c r="C691">
        <v>5</v>
      </c>
      <c r="D691">
        <v>8</v>
      </c>
      <c r="F691">
        <v>690</v>
      </c>
      <c r="G691" cm="1">
        <f t="array" ref="G691">_xlfn.IFNA(INDEX($D$2:$D$4001,_xlfn.XMATCH(G$1&amp;"-"&amp;$F691,YEAR($B$2:$B$4001)&amp;"-"&amp;$A$2:$A$4001,0,-1)),9)</f>
        <v>7</v>
      </c>
      <c r="H691" cm="1">
        <f t="array" ref="H691">IF(OR(AND(G691=9,H$1&gt;YEAR($N691))),9,_xlfn.IFNA(INDEX($D$2:$D$4001,_xlfn.XMATCH(H$1&amp;"-"&amp;$F691,YEAR($B$2:$B$4001)&amp;"-"&amp;$A$2:$A$4001,0,-1)),G691))</f>
        <v>7</v>
      </c>
      <c r="I691" cm="1">
        <f t="array" ref="I691">IF(OR(AND(H691=9,I$1&gt;YEAR($N691))),9,_xlfn.IFNA(INDEX($D$2:$D$4001,_xlfn.XMATCH(I$1&amp;"-"&amp;$F691,YEAR($B$2:$B$4001)&amp;"-"&amp;$A$2:$A$4001,0,-1)),H691))</f>
        <v>0</v>
      </c>
      <c r="J691" cm="1">
        <f t="array" ref="J691">IF(OR(AND(I691=9,J$1&gt;YEAR($N691))),9,_xlfn.IFNA(INDEX($D$2:$D$4001,_xlfn.XMATCH(J$1&amp;"-"&amp;$F691,YEAR($B$2:$B$4001)&amp;"-"&amp;$A$2:$A$4001,0,-1)),I691))</f>
        <v>0</v>
      </c>
      <c r="K691" cm="1">
        <f t="array" ref="K691">IF(OR(AND(J691=9,K$1&gt;YEAR($N691))),9,_xlfn.IFNA(INDEX($D$2:$D$4001,_xlfn.XMATCH(K$1&amp;"-"&amp;$F691,YEAR($B$2:$B$4001)&amp;"-"&amp;$A$2:$A$4001,0,-1)),J691))</f>
        <v>0</v>
      </c>
      <c r="L691" cm="1">
        <f t="array" ref="L691">IF(OR(AND(K691=9,L$1&gt;YEAR($N691))),9,_xlfn.IFNA(INDEX($D$2:$D$4001,_xlfn.XMATCH(L$1&amp;"-"&amp;$F691,YEAR($B$2:$B$4001)&amp;"-"&amp;$A$2:$A$4001,0,-1)),K691))</f>
        <v>0</v>
      </c>
      <c r="M691" cm="1">
        <f t="array" ref="M691">IF(OR(AND(L691=9,M$1&gt;YEAR($N691))),9,_xlfn.IFNA(INDEX($D$2:$D$4001,_xlfn.XMATCH(M$1&amp;"-"&amp;$F691,YEAR($B$2:$B$4001)&amp;"-"&amp;$A$2:$A$4001,0,-1)),L691))</f>
        <v>0</v>
      </c>
      <c r="N691" s="1">
        <f t="shared" si="10"/>
        <v>36457</v>
      </c>
    </row>
    <row r="692" spans="1:14" x14ac:dyDescent="0.35">
      <c r="A692">
        <v>334</v>
      </c>
      <c r="B692" s="2">
        <v>37037</v>
      </c>
      <c r="C692">
        <v>5</v>
      </c>
      <c r="D692">
        <v>8</v>
      </c>
      <c r="F692">
        <v>691</v>
      </c>
      <c r="G692" cm="1">
        <f t="array" ref="G692">_xlfn.IFNA(INDEX($D$2:$D$4001,_xlfn.XMATCH(G$1&amp;"-"&amp;$F692,YEAR($B$2:$B$4001)&amp;"-"&amp;$A$2:$A$4001,0,-1)),9)</f>
        <v>9</v>
      </c>
      <c r="H692" cm="1">
        <f t="array" ref="H692">IF(OR(AND(G692=9,H$1&gt;YEAR($N692))),9,_xlfn.IFNA(INDEX($D$2:$D$4001,_xlfn.XMATCH(H$1&amp;"-"&amp;$F692,YEAR($B$2:$B$4001)&amp;"-"&amp;$A$2:$A$4001,0,-1)),G692))</f>
        <v>3</v>
      </c>
      <c r="I692" cm="1">
        <f t="array" ref="I692">IF(OR(AND(H692=9,I$1&gt;YEAR($N692))),9,_xlfn.IFNA(INDEX($D$2:$D$4001,_xlfn.XMATCH(I$1&amp;"-"&amp;$F692,YEAR($B$2:$B$4001)&amp;"-"&amp;$A$2:$A$4001,0,-1)),H692))</f>
        <v>3</v>
      </c>
      <c r="J692" cm="1">
        <f t="array" ref="J692">IF(OR(AND(I692=9,J$1&gt;YEAR($N692))),9,_xlfn.IFNA(INDEX($D$2:$D$4001,_xlfn.XMATCH(J$1&amp;"-"&amp;$F692,YEAR($B$2:$B$4001)&amp;"-"&amp;$A$2:$A$4001,0,-1)),I692))</f>
        <v>3</v>
      </c>
      <c r="K692" cm="1">
        <f t="array" ref="K692">IF(OR(AND(J692=9,K$1&gt;YEAR($N692))),9,_xlfn.IFNA(INDEX($D$2:$D$4001,_xlfn.XMATCH(K$1&amp;"-"&amp;$F692,YEAR($B$2:$B$4001)&amp;"-"&amp;$A$2:$A$4001,0,-1)),J692))</f>
        <v>4</v>
      </c>
      <c r="L692" cm="1">
        <f t="array" ref="L692">IF(OR(AND(K692=9,L$1&gt;YEAR($N692))),9,_xlfn.IFNA(INDEX($D$2:$D$4001,_xlfn.XMATCH(L$1&amp;"-"&amp;$F692,YEAR($B$2:$B$4001)&amp;"-"&amp;$A$2:$A$4001,0,-1)),K692))</f>
        <v>5</v>
      </c>
      <c r="M692" cm="1">
        <f t="array" ref="M692">IF(OR(AND(L692=9,M$1&gt;YEAR($N692))),9,_xlfn.IFNA(INDEX($D$2:$D$4001,_xlfn.XMATCH(M$1&amp;"-"&amp;$F692,YEAR($B$2:$B$4001)&amp;"-"&amp;$A$2:$A$4001,0,-1)),L692))</f>
        <v>5</v>
      </c>
      <c r="N692" s="1">
        <f t="shared" si="10"/>
        <v>36799</v>
      </c>
    </row>
    <row r="693" spans="1:14" x14ac:dyDescent="0.35">
      <c r="A693">
        <v>335</v>
      </c>
      <c r="B693" s="2">
        <v>37133</v>
      </c>
      <c r="C693">
        <v>4</v>
      </c>
      <c r="D693">
        <v>4</v>
      </c>
      <c r="F693">
        <v>692</v>
      </c>
      <c r="G693" cm="1">
        <f t="array" ref="G693">_xlfn.IFNA(INDEX($D$2:$D$4001,_xlfn.XMATCH(G$1&amp;"-"&amp;$F693,YEAR($B$2:$B$4001)&amp;"-"&amp;$A$2:$A$4001,0,-1)),9)</f>
        <v>9</v>
      </c>
      <c r="H693" cm="1">
        <f t="array" ref="H693">IF(OR(AND(G693=9,H$1&gt;YEAR($N693))),9,_xlfn.IFNA(INDEX($D$2:$D$4001,_xlfn.XMATCH(H$1&amp;"-"&amp;$F693,YEAR($B$2:$B$4001)&amp;"-"&amp;$A$2:$A$4001,0,-1)),G693))</f>
        <v>3</v>
      </c>
      <c r="I693" cm="1">
        <f t="array" ref="I693">IF(OR(AND(H693=9,I$1&gt;YEAR($N693))),9,_xlfn.IFNA(INDEX($D$2:$D$4001,_xlfn.XMATCH(I$1&amp;"-"&amp;$F693,YEAR($B$2:$B$4001)&amp;"-"&amp;$A$2:$A$4001,0,-1)),H693))</f>
        <v>4</v>
      </c>
      <c r="J693" cm="1">
        <f t="array" ref="J693">IF(OR(AND(I693=9,J$1&gt;YEAR($N693))),9,_xlfn.IFNA(INDEX($D$2:$D$4001,_xlfn.XMATCH(J$1&amp;"-"&amp;$F693,YEAR($B$2:$B$4001)&amp;"-"&amp;$A$2:$A$4001,0,-1)),I693))</f>
        <v>6</v>
      </c>
      <c r="K693" cm="1">
        <f t="array" ref="K693">IF(OR(AND(J693=9,K$1&gt;YEAR($N693))),9,_xlfn.IFNA(INDEX($D$2:$D$4001,_xlfn.XMATCH(K$1&amp;"-"&amp;$F693,YEAR($B$2:$B$4001)&amp;"-"&amp;$A$2:$A$4001,0,-1)),J693))</f>
        <v>5</v>
      </c>
      <c r="L693" cm="1">
        <f t="array" ref="L693">IF(OR(AND(K693=9,L$1&gt;YEAR($N693))),9,_xlfn.IFNA(INDEX($D$2:$D$4001,_xlfn.XMATCH(L$1&amp;"-"&amp;$F693,YEAR($B$2:$B$4001)&amp;"-"&amp;$A$2:$A$4001,0,-1)),K693))</f>
        <v>5</v>
      </c>
      <c r="M693" cm="1">
        <f t="array" ref="M693">IF(OR(AND(L693=9,M$1&gt;YEAR($N693))),9,_xlfn.IFNA(INDEX($D$2:$D$4001,_xlfn.XMATCH(M$1&amp;"-"&amp;$F693,YEAR($B$2:$B$4001)&amp;"-"&amp;$A$2:$A$4001,0,-1)),L693))</f>
        <v>5</v>
      </c>
      <c r="N693" s="1">
        <f t="shared" si="10"/>
        <v>36759</v>
      </c>
    </row>
    <row r="694" spans="1:14" x14ac:dyDescent="0.35">
      <c r="A694">
        <v>335</v>
      </c>
      <c r="B694" s="2">
        <v>37985</v>
      </c>
      <c r="C694">
        <v>3</v>
      </c>
      <c r="D694">
        <v>3</v>
      </c>
      <c r="F694">
        <v>693</v>
      </c>
      <c r="G694" cm="1">
        <f t="array" ref="G694">_xlfn.IFNA(INDEX($D$2:$D$4001,_xlfn.XMATCH(G$1&amp;"-"&amp;$F694,YEAR($B$2:$B$4001)&amp;"-"&amp;$A$2:$A$4001,0,-1)),9)</f>
        <v>9</v>
      </c>
      <c r="H694" cm="1">
        <f t="array" ref="H694">IF(OR(AND(G694=9,H$1&gt;YEAR($N694))),9,_xlfn.IFNA(INDEX($D$2:$D$4001,_xlfn.XMATCH(H$1&amp;"-"&amp;$F694,YEAR($B$2:$B$4001)&amp;"-"&amp;$A$2:$A$4001,0,-1)),G694))</f>
        <v>9</v>
      </c>
      <c r="I694" cm="1">
        <f t="array" ref="I694">IF(OR(AND(H694=9,I$1&gt;YEAR($N694))),9,_xlfn.IFNA(INDEX($D$2:$D$4001,_xlfn.XMATCH(I$1&amp;"-"&amp;$F694,YEAR($B$2:$B$4001)&amp;"-"&amp;$A$2:$A$4001,0,-1)),H694))</f>
        <v>9</v>
      </c>
      <c r="J694" cm="1">
        <f t="array" ref="J694">IF(OR(AND(I694=9,J$1&gt;YEAR($N694))),9,_xlfn.IFNA(INDEX($D$2:$D$4001,_xlfn.XMATCH(J$1&amp;"-"&amp;$F694,YEAR($B$2:$B$4001)&amp;"-"&amp;$A$2:$A$4001,0,-1)),I694))</f>
        <v>9</v>
      </c>
      <c r="K694" cm="1">
        <f t="array" ref="K694">IF(OR(AND(J694=9,K$1&gt;YEAR($N694))),9,_xlfn.IFNA(INDEX($D$2:$D$4001,_xlfn.XMATCH(K$1&amp;"-"&amp;$F694,YEAR($B$2:$B$4001)&amp;"-"&amp;$A$2:$A$4001,0,-1)),J694))</f>
        <v>9</v>
      </c>
      <c r="L694" cm="1">
        <f t="array" ref="L694">IF(OR(AND(K694=9,L$1&gt;YEAR($N694))),9,_xlfn.IFNA(INDEX($D$2:$D$4001,_xlfn.XMATCH(L$1&amp;"-"&amp;$F694,YEAR($B$2:$B$4001)&amp;"-"&amp;$A$2:$A$4001,0,-1)),K694))</f>
        <v>4</v>
      </c>
      <c r="M694" cm="1">
        <f t="array" ref="M694">IF(OR(AND(L694=9,M$1&gt;YEAR($N694))),9,_xlfn.IFNA(INDEX($D$2:$D$4001,_xlfn.XMATCH(M$1&amp;"-"&amp;$F694,YEAR($B$2:$B$4001)&amp;"-"&amp;$A$2:$A$4001,0,-1)),L694))</f>
        <v>4</v>
      </c>
      <c r="N694" s="1">
        <f t="shared" si="10"/>
        <v>38351</v>
      </c>
    </row>
    <row r="695" spans="1:14" x14ac:dyDescent="0.35">
      <c r="A695">
        <v>336</v>
      </c>
      <c r="B695" s="2">
        <v>37771</v>
      </c>
      <c r="C695">
        <v>4</v>
      </c>
      <c r="D695">
        <v>4</v>
      </c>
      <c r="F695">
        <v>694</v>
      </c>
      <c r="G695" cm="1">
        <f t="array" ref="G695">_xlfn.IFNA(INDEX($D$2:$D$4001,_xlfn.XMATCH(G$1&amp;"-"&amp;$F695,YEAR($B$2:$B$4001)&amp;"-"&amp;$A$2:$A$4001,0,-1)),9)</f>
        <v>9</v>
      </c>
      <c r="H695" cm="1">
        <f t="array" ref="H695">IF(OR(AND(G695=9,H$1&gt;YEAR($N695))),9,_xlfn.IFNA(INDEX($D$2:$D$4001,_xlfn.XMATCH(H$1&amp;"-"&amp;$F695,YEAR($B$2:$B$4001)&amp;"-"&amp;$A$2:$A$4001,0,-1)),G695))</f>
        <v>9</v>
      </c>
      <c r="I695" cm="1">
        <f t="array" ref="I695">IF(OR(AND(H695=9,I$1&gt;YEAR($N695))),9,_xlfn.IFNA(INDEX($D$2:$D$4001,_xlfn.XMATCH(I$1&amp;"-"&amp;$F695,YEAR($B$2:$B$4001)&amp;"-"&amp;$A$2:$A$4001,0,-1)),H695))</f>
        <v>4</v>
      </c>
      <c r="J695" cm="1">
        <f t="array" ref="J695">IF(OR(AND(I695=9,J$1&gt;YEAR($N695))),9,_xlfn.IFNA(INDEX($D$2:$D$4001,_xlfn.XMATCH(J$1&amp;"-"&amp;$F695,YEAR($B$2:$B$4001)&amp;"-"&amp;$A$2:$A$4001,0,-1)),I695))</f>
        <v>4</v>
      </c>
      <c r="K695" cm="1">
        <f t="array" ref="K695">IF(OR(AND(J695=9,K$1&gt;YEAR($N695))),9,_xlfn.IFNA(INDEX($D$2:$D$4001,_xlfn.XMATCH(K$1&amp;"-"&amp;$F695,YEAR($B$2:$B$4001)&amp;"-"&amp;$A$2:$A$4001,0,-1)),J695))</f>
        <v>4</v>
      </c>
      <c r="L695" cm="1">
        <f t="array" ref="L695">IF(OR(AND(K695=9,L$1&gt;YEAR($N695))),9,_xlfn.IFNA(INDEX($D$2:$D$4001,_xlfn.XMATCH(L$1&amp;"-"&amp;$F695,YEAR($B$2:$B$4001)&amp;"-"&amp;$A$2:$A$4001,0,-1)),K695))</f>
        <v>4</v>
      </c>
      <c r="M695" cm="1">
        <f t="array" ref="M695">IF(OR(AND(L695=9,M$1&gt;YEAR($N695))),9,_xlfn.IFNA(INDEX($D$2:$D$4001,_xlfn.XMATCH(M$1&amp;"-"&amp;$F695,YEAR($B$2:$B$4001)&amp;"-"&amp;$A$2:$A$4001,0,-1)),L695))</f>
        <v>4</v>
      </c>
      <c r="N695" s="1">
        <f t="shared" si="10"/>
        <v>37041</v>
      </c>
    </row>
    <row r="696" spans="1:14" x14ac:dyDescent="0.35">
      <c r="A696">
        <v>337</v>
      </c>
      <c r="B696" s="2">
        <v>37590</v>
      </c>
      <c r="C696">
        <v>4</v>
      </c>
      <c r="D696">
        <v>4</v>
      </c>
      <c r="F696">
        <v>695</v>
      </c>
      <c r="G696" cm="1">
        <f t="array" ref="G696">_xlfn.IFNA(INDEX($D$2:$D$4001,_xlfn.XMATCH(G$1&amp;"-"&amp;$F696,YEAR($B$2:$B$4001)&amp;"-"&amp;$A$2:$A$4001,0,-1)),9)</f>
        <v>9</v>
      </c>
      <c r="H696" cm="1">
        <f t="array" ref="H696">IF(OR(AND(G696=9,H$1&gt;YEAR($N696))),9,_xlfn.IFNA(INDEX($D$2:$D$4001,_xlfn.XMATCH(H$1&amp;"-"&amp;$F696,YEAR($B$2:$B$4001)&amp;"-"&amp;$A$2:$A$4001,0,-1)),G696))</f>
        <v>9</v>
      </c>
      <c r="I696" cm="1">
        <f t="array" ref="I696">IF(OR(AND(H696=9,I$1&gt;YEAR($N696))),9,_xlfn.IFNA(INDEX($D$2:$D$4001,_xlfn.XMATCH(I$1&amp;"-"&amp;$F696,YEAR($B$2:$B$4001)&amp;"-"&amp;$A$2:$A$4001,0,-1)),H696))</f>
        <v>9</v>
      </c>
      <c r="J696" cm="1">
        <f t="array" ref="J696">IF(OR(AND(I696=9,J$1&gt;YEAR($N696))),9,_xlfn.IFNA(INDEX($D$2:$D$4001,_xlfn.XMATCH(J$1&amp;"-"&amp;$F696,YEAR($B$2:$B$4001)&amp;"-"&amp;$A$2:$A$4001,0,-1)),I696))</f>
        <v>3</v>
      </c>
      <c r="K696" cm="1">
        <f t="array" ref="K696">IF(OR(AND(J696=9,K$1&gt;YEAR($N696))),9,_xlfn.IFNA(INDEX($D$2:$D$4001,_xlfn.XMATCH(K$1&amp;"-"&amp;$F696,YEAR($B$2:$B$4001)&amp;"-"&amp;$A$2:$A$4001,0,-1)),J696))</f>
        <v>3</v>
      </c>
      <c r="L696" cm="1">
        <f t="array" ref="L696">IF(OR(AND(K696=9,L$1&gt;YEAR($N696))),9,_xlfn.IFNA(INDEX($D$2:$D$4001,_xlfn.XMATCH(L$1&amp;"-"&amp;$F696,YEAR($B$2:$B$4001)&amp;"-"&amp;$A$2:$A$4001,0,-1)),K696))</f>
        <v>3</v>
      </c>
      <c r="M696" cm="1">
        <f t="array" ref="M696">IF(OR(AND(L696=9,M$1&gt;YEAR($N696))),9,_xlfn.IFNA(INDEX($D$2:$D$4001,_xlfn.XMATCH(M$1&amp;"-"&amp;$F696,YEAR($B$2:$B$4001)&amp;"-"&amp;$A$2:$A$4001,0,-1)),L696))</f>
        <v>3</v>
      </c>
      <c r="N696" s="1">
        <f t="shared" si="10"/>
        <v>37397</v>
      </c>
    </row>
    <row r="697" spans="1:14" x14ac:dyDescent="0.35">
      <c r="A697">
        <v>338</v>
      </c>
      <c r="B697" s="2">
        <v>36672</v>
      </c>
      <c r="C697">
        <v>3</v>
      </c>
      <c r="D697">
        <v>3</v>
      </c>
      <c r="F697">
        <v>696</v>
      </c>
      <c r="G697" cm="1">
        <f t="array" ref="G697">_xlfn.IFNA(INDEX($D$2:$D$4001,_xlfn.XMATCH(G$1&amp;"-"&amp;$F697,YEAR($B$2:$B$4001)&amp;"-"&amp;$A$2:$A$4001,0,-1)),9)</f>
        <v>9</v>
      </c>
      <c r="H697" cm="1">
        <f t="array" ref="H697">IF(OR(AND(G697=9,H$1&gt;YEAR($N697))),9,_xlfn.IFNA(INDEX($D$2:$D$4001,_xlfn.XMATCH(H$1&amp;"-"&amp;$F697,YEAR($B$2:$B$4001)&amp;"-"&amp;$A$2:$A$4001,0,-1)),G697))</f>
        <v>3</v>
      </c>
      <c r="I697" cm="1">
        <f t="array" ref="I697">IF(OR(AND(H697=9,I$1&gt;YEAR($N697))),9,_xlfn.IFNA(INDEX($D$2:$D$4001,_xlfn.XMATCH(I$1&amp;"-"&amp;$F697,YEAR($B$2:$B$4001)&amp;"-"&amp;$A$2:$A$4001,0,-1)),H697))</f>
        <v>3</v>
      </c>
      <c r="J697" cm="1">
        <f t="array" ref="J697">IF(OR(AND(I697=9,J$1&gt;YEAR($N697))),9,_xlfn.IFNA(INDEX($D$2:$D$4001,_xlfn.XMATCH(J$1&amp;"-"&amp;$F697,YEAR($B$2:$B$4001)&amp;"-"&amp;$A$2:$A$4001,0,-1)),I697))</f>
        <v>3</v>
      </c>
      <c r="K697" cm="1">
        <f t="array" ref="K697">IF(OR(AND(J697=9,K$1&gt;YEAR($N697))),9,_xlfn.IFNA(INDEX($D$2:$D$4001,_xlfn.XMATCH(K$1&amp;"-"&amp;$F697,YEAR($B$2:$B$4001)&amp;"-"&amp;$A$2:$A$4001,0,-1)),J697))</f>
        <v>3</v>
      </c>
      <c r="L697" cm="1">
        <f t="array" ref="L697">IF(OR(AND(K697=9,L$1&gt;YEAR($N697))),9,_xlfn.IFNA(INDEX($D$2:$D$4001,_xlfn.XMATCH(L$1&amp;"-"&amp;$F697,YEAR($B$2:$B$4001)&amp;"-"&amp;$A$2:$A$4001,0,-1)),K697))</f>
        <v>3</v>
      </c>
      <c r="M697" cm="1">
        <f t="array" ref="M697">IF(OR(AND(L697=9,M$1&gt;YEAR($N697))),9,_xlfn.IFNA(INDEX($D$2:$D$4001,_xlfn.XMATCH(M$1&amp;"-"&amp;$F697,YEAR($B$2:$B$4001)&amp;"-"&amp;$A$2:$A$4001,0,-1)),L697))</f>
        <v>4</v>
      </c>
      <c r="N697" s="1">
        <f t="shared" si="10"/>
        <v>36759</v>
      </c>
    </row>
    <row r="698" spans="1:14" x14ac:dyDescent="0.35">
      <c r="A698">
        <v>338</v>
      </c>
      <c r="B698" s="2">
        <v>38281</v>
      </c>
      <c r="C698">
        <v>3</v>
      </c>
      <c r="D698">
        <v>3</v>
      </c>
      <c r="F698">
        <v>697</v>
      </c>
      <c r="G698" cm="1">
        <f t="array" ref="G698">_xlfn.IFNA(INDEX($D$2:$D$4001,_xlfn.XMATCH(G$1&amp;"-"&amp;$F698,YEAR($B$2:$B$4001)&amp;"-"&amp;$A$2:$A$4001,0,-1)),9)</f>
        <v>2</v>
      </c>
      <c r="H698" cm="1">
        <f t="array" ref="H698">IF(OR(AND(G698=9,H$1&gt;YEAR($N698))),9,_xlfn.IFNA(INDEX($D$2:$D$4001,_xlfn.XMATCH(H$1&amp;"-"&amp;$F698,YEAR($B$2:$B$4001)&amp;"-"&amp;$A$2:$A$4001,0,-1)),G698))</f>
        <v>2</v>
      </c>
      <c r="I698" cm="1">
        <f t="array" ref="I698">IF(OR(AND(H698=9,I$1&gt;YEAR($N698))),9,_xlfn.IFNA(INDEX($D$2:$D$4001,_xlfn.XMATCH(I$1&amp;"-"&amp;$F698,YEAR($B$2:$B$4001)&amp;"-"&amp;$A$2:$A$4001,0,-1)),H698))</f>
        <v>2</v>
      </c>
      <c r="J698" cm="1">
        <f t="array" ref="J698">IF(OR(AND(I698=9,J$1&gt;YEAR($N698))),9,_xlfn.IFNA(INDEX($D$2:$D$4001,_xlfn.XMATCH(J$1&amp;"-"&amp;$F698,YEAR($B$2:$B$4001)&amp;"-"&amp;$A$2:$A$4001,0,-1)),I698))</f>
        <v>2</v>
      </c>
      <c r="K698" cm="1">
        <f t="array" ref="K698">IF(OR(AND(J698=9,K$1&gt;YEAR($N698))),9,_xlfn.IFNA(INDEX($D$2:$D$4001,_xlfn.XMATCH(K$1&amp;"-"&amp;$F698,YEAR($B$2:$B$4001)&amp;"-"&amp;$A$2:$A$4001,0,-1)),J698))</f>
        <v>2</v>
      </c>
      <c r="L698" cm="1">
        <f t="array" ref="L698">IF(OR(AND(K698=9,L$1&gt;YEAR($N698))),9,_xlfn.IFNA(INDEX($D$2:$D$4001,_xlfn.XMATCH(L$1&amp;"-"&amp;$F698,YEAR($B$2:$B$4001)&amp;"-"&amp;$A$2:$A$4001,0,-1)),K698))</f>
        <v>2</v>
      </c>
      <c r="M698" cm="1">
        <f t="array" ref="M698">IF(OR(AND(L698=9,M$1&gt;YEAR($N698))),9,_xlfn.IFNA(INDEX($D$2:$D$4001,_xlfn.XMATCH(M$1&amp;"-"&amp;$F698,YEAR($B$2:$B$4001)&amp;"-"&amp;$A$2:$A$4001,0,-1)),L698))</f>
        <v>2</v>
      </c>
      <c r="N698" s="1">
        <f t="shared" si="10"/>
        <v>36310</v>
      </c>
    </row>
    <row r="699" spans="1:14" x14ac:dyDescent="0.35">
      <c r="A699">
        <v>339</v>
      </c>
      <c r="B699" s="2">
        <v>36371</v>
      </c>
      <c r="C699">
        <v>3</v>
      </c>
      <c r="D699">
        <v>3</v>
      </c>
      <c r="F699">
        <v>698</v>
      </c>
      <c r="G699" cm="1">
        <f t="array" ref="G699">_xlfn.IFNA(INDEX($D$2:$D$4001,_xlfn.XMATCH(G$1&amp;"-"&amp;$F699,YEAR($B$2:$B$4001)&amp;"-"&amp;$A$2:$A$4001,0,-1)),9)</f>
        <v>9</v>
      </c>
      <c r="H699" cm="1">
        <f t="array" ref="H699">IF(OR(AND(G699=9,H$1&gt;YEAR($N699))),9,_xlfn.IFNA(INDEX($D$2:$D$4001,_xlfn.XMATCH(H$1&amp;"-"&amp;$F699,YEAR($B$2:$B$4001)&amp;"-"&amp;$A$2:$A$4001,0,-1)),G699))</f>
        <v>9</v>
      </c>
      <c r="I699" cm="1">
        <f t="array" ref="I699">IF(OR(AND(H699=9,I$1&gt;YEAR($N699))),9,_xlfn.IFNA(INDEX($D$2:$D$4001,_xlfn.XMATCH(I$1&amp;"-"&amp;$F699,YEAR($B$2:$B$4001)&amp;"-"&amp;$A$2:$A$4001,0,-1)),H699))</f>
        <v>9</v>
      </c>
      <c r="J699" cm="1">
        <f t="array" ref="J699">IF(OR(AND(I699=9,J$1&gt;YEAR($N699))),9,_xlfn.IFNA(INDEX($D$2:$D$4001,_xlfn.XMATCH(J$1&amp;"-"&amp;$F699,YEAR($B$2:$B$4001)&amp;"-"&amp;$A$2:$A$4001,0,-1)),I699))</f>
        <v>9</v>
      </c>
      <c r="K699" cm="1">
        <f t="array" ref="K699">IF(OR(AND(J699=9,K$1&gt;YEAR($N699))),9,_xlfn.IFNA(INDEX($D$2:$D$4001,_xlfn.XMATCH(K$1&amp;"-"&amp;$F699,YEAR($B$2:$B$4001)&amp;"-"&amp;$A$2:$A$4001,0,-1)),J699))</f>
        <v>4</v>
      </c>
      <c r="L699" cm="1">
        <f t="array" ref="L699">IF(OR(AND(K699=9,L$1&gt;YEAR($N699))),9,_xlfn.IFNA(INDEX($D$2:$D$4001,_xlfn.XMATCH(L$1&amp;"-"&amp;$F699,YEAR($B$2:$B$4001)&amp;"-"&amp;$A$2:$A$4001,0,-1)),K699))</f>
        <v>4</v>
      </c>
      <c r="M699" cm="1">
        <f t="array" ref="M699">IF(OR(AND(L699=9,M$1&gt;YEAR($N699))),9,_xlfn.IFNA(INDEX($D$2:$D$4001,_xlfn.XMATCH(M$1&amp;"-"&amp;$F699,YEAR($B$2:$B$4001)&amp;"-"&amp;$A$2:$A$4001,0,-1)),L699))</f>
        <v>4</v>
      </c>
      <c r="N699" s="1">
        <f t="shared" si="10"/>
        <v>37885</v>
      </c>
    </row>
    <row r="700" spans="1:14" x14ac:dyDescent="0.35">
      <c r="A700">
        <v>339</v>
      </c>
      <c r="B700" s="2">
        <v>36494</v>
      </c>
      <c r="C700">
        <v>4</v>
      </c>
      <c r="D700">
        <v>4</v>
      </c>
      <c r="F700">
        <v>699</v>
      </c>
      <c r="G700" cm="1">
        <f t="array" ref="G700">_xlfn.IFNA(INDEX($D$2:$D$4001,_xlfn.XMATCH(G$1&amp;"-"&amp;$F700,YEAR($B$2:$B$4001)&amp;"-"&amp;$A$2:$A$4001,0,-1)),9)</f>
        <v>9</v>
      </c>
      <c r="H700" cm="1">
        <f t="array" ref="H700">IF(OR(AND(G700=9,H$1&gt;YEAR($N700))),9,_xlfn.IFNA(INDEX($D$2:$D$4001,_xlfn.XMATCH(H$1&amp;"-"&amp;$F700,YEAR($B$2:$B$4001)&amp;"-"&amp;$A$2:$A$4001,0,-1)),G700))</f>
        <v>0</v>
      </c>
      <c r="I700" cm="1">
        <f t="array" ref="I700">IF(OR(AND(H700=9,I$1&gt;YEAR($N700))),9,_xlfn.IFNA(INDEX($D$2:$D$4001,_xlfn.XMATCH(I$1&amp;"-"&amp;$F700,YEAR($B$2:$B$4001)&amp;"-"&amp;$A$2:$A$4001,0,-1)),H700))</f>
        <v>0</v>
      </c>
      <c r="J700" cm="1">
        <f t="array" ref="J700">IF(OR(AND(I700=9,J$1&gt;YEAR($N700))),9,_xlfn.IFNA(INDEX($D$2:$D$4001,_xlfn.XMATCH(J$1&amp;"-"&amp;$F700,YEAR($B$2:$B$4001)&amp;"-"&amp;$A$2:$A$4001,0,-1)),I700))</f>
        <v>0</v>
      </c>
      <c r="K700" cm="1">
        <f t="array" ref="K700">IF(OR(AND(J700=9,K$1&gt;YEAR($N700))),9,_xlfn.IFNA(INDEX($D$2:$D$4001,_xlfn.XMATCH(K$1&amp;"-"&amp;$F700,YEAR($B$2:$B$4001)&amp;"-"&amp;$A$2:$A$4001,0,-1)),J700))</f>
        <v>0</v>
      </c>
      <c r="L700" cm="1">
        <f t="array" ref="L700">IF(OR(AND(K700=9,L$1&gt;YEAR($N700))),9,_xlfn.IFNA(INDEX($D$2:$D$4001,_xlfn.XMATCH(L$1&amp;"-"&amp;$F700,YEAR($B$2:$B$4001)&amp;"-"&amp;$A$2:$A$4001,0,-1)),K700))</f>
        <v>0</v>
      </c>
      <c r="M700" cm="1">
        <f t="array" ref="M700">IF(OR(AND(L700=9,M$1&gt;YEAR($N700))),9,_xlfn.IFNA(INDEX($D$2:$D$4001,_xlfn.XMATCH(M$1&amp;"-"&amp;$F700,YEAR($B$2:$B$4001)&amp;"-"&amp;$A$2:$A$4001,0,-1)),L700))</f>
        <v>0</v>
      </c>
      <c r="N700" s="1">
        <f t="shared" si="10"/>
        <v>36890</v>
      </c>
    </row>
    <row r="701" spans="1:14" x14ac:dyDescent="0.35">
      <c r="A701">
        <v>339</v>
      </c>
      <c r="B701" s="2">
        <v>37032</v>
      </c>
      <c r="C701">
        <v>4</v>
      </c>
      <c r="D701">
        <v>4</v>
      </c>
      <c r="F701">
        <v>700</v>
      </c>
      <c r="G701" cm="1">
        <f t="array" ref="G701">_xlfn.IFNA(INDEX($D$2:$D$4001,_xlfn.XMATCH(G$1&amp;"-"&amp;$F701,YEAR($B$2:$B$4001)&amp;"-"&amp;$A$2:$A$4001,0,-1)),9)</f>
        <v>6</v>
      </c>
      <c r="H701" cm="1">
        <f t="array" ref="H701">IF(OR(AND(G701=9,H$1&gt;YEAR($N701))),9,_xlfn.IFNA(INDEX($D$2:$D$4001,_xlfn.XMATCH(H$1&amp;"-"&amp;$F701,YEAR($B$2:$B$4001)&amp;"-"&amp;$A$2:$A$4001,0,-1)),G701))</f>
        <v>6</v>
      </c>
      <c r="I701" cm="1">
        <f t="array" ref="I701">IF(OR(AND(H701=9,I$1&gt;YEAR($N701))),9,_xlfn.IFNA(INDEX($D$2:$D$4001,_xlfn.XMATCH(I$1&amp;"-"&amp;$F701,YEAR($B$2:$B$4001)&amp;"-"&amp;$A$2:$A$4001,0,-1)),H701))</f>
        <v>6</v>
      </c>
      <c r="J701" cm="1">
        <f t="array" ref="J701">IF(OR(AND(I701=9,J$1&gt;YEAR($N701))),9,_xlfn.IFNA(INDEX($D$2:$D$4001,_xlfn.XMATCH(J$1&amp;"-"&amp;$F701,YEAR($B$2:$B$4001)&amp;"-"&amp;$A$2:$A$4001,0,-1)),I701))</f>
        <v>6</v>
      </c>
      <c r="K701" cm="1">
        <f t="array" ref="K701">IF(OR(AND(J701=9,K$1&gt;YEAR($N701))),9,_xlfn.IFNA(INDEX($D$2:$D$4001,_xlfn.XMATCH(K$1&amp;"-"&amp;$F701,YEAR($B$2:$B$4001)&amp;"-"&amp;$A$2:$A$4001,0,-1)),J701))</f>
        <v>5</v>
      </c>
      <c r="L701" cm="1">
        <f t="array" ref="L701">IF(OR(AND(K701=9,L$1&gt;YEAR($N701))),9,_xlfn.IFNA(INDEX($D$2:$D$4001,_xlfn.XMATCH(L$1&amp;"-"&amp;$F701,YEAR($B$2:$B$4001)&amp;"-"&amp;$A$2:$A$4001,0,-1)),K701))</f>
        <v>5</v>
      </c>
      <c r="M701" cm="1">
        <f t="array" ref="M701">IF(OR(AND(L701=9,M$1&gt;YEAR($N701))),9,_xlfn.IFNA(INDEX($D$2:$D$4001,_xlfn.XMATCH(M$1&amp;"-"&amp;$F701,YEAR($B$2:$B$4001)&amp;"-"&amp;$A$2:$A$4001,0,-1)),L701))</f>
        <v>6</v>
      </c>
      <c r="N701" s="1">
        <f t="shared" si="10"/>
        <v>36301</v>
      </c>
    </row>
    <row r="702" spans="1:14" x14ac:dyDescent="0.35">
      <c r="A702">
        <v>339</v>
      </c>
      <c r="B702" s="2">
        <v>37255</v>
      </c>
      <c r="C702">
        <v>4</v>
      </c>
      <c r="D702">
        <v>4</v>
      </c>
      <c r="F702">
        <v>701</v>
      </c>
      <c r="G702" cm="1">
        <f t="array" ref="G702">_xlfn.IFNA(INDEX($D$2:$D$4001,_xlfn.XMATCH(G$1&amp;"-"&amp;$F702,YEAR($B$2:$B$4001)&amp;"-"&amp;$A$2:$A$4001,0,-1)),9)</f>
        <v>9</v>
      </c>
      <c r="H702" cm="1">
        <f t="array" ref="H702">IF(OR(AND(G702=9,H$1&gt;YEAR($N702))),9,_xlfn.IFNA(INDEX($D$2:$D$4001,_xlfn.XMATCH(H$1&amp;"-"&amp;$F702,YEAR($B$2:$B$4001)&amp;"-"&amp;$A$2:$A$4001,0,-1)),G702))</f>
        <v>9</v>
      </c>
      <c r="I702" cm="1">
        <f t="array" ref="I702">IF(OR(AND(H702=9,I$1&gt;YEAR($N702))),9,_xlfn.IFNA(INDEX($D$2:$D$4001,_xlfn.XMATCH(I$1&amp;"-"&amp;$F702,YEAR($B$2:$B$4001)&amp;"-"&amp;$A$2:$A$4001,0,-1)),H702))</f>
        <v>5</v>
      </c>
      <c r="J702" cm="1">
        <f t="array" ref="J702">IF(OR(AND(I702=9,J$1&gt;YEAR($N702))),9,_xlfn.IFNA(INDEX($D$2:$D$4001,_xlfn.XMATCH(J$1&amp;"-"&amp;$F702,YEAR($B$2:$B$4001)&amp;"-"&amp;$A$2:$A$4001,0,-1)),I702))</f>
        <v>5</v>
      </c>
      <c r="K702" cm="1">
        <f t="array" ref="K702">IF(OR(AND(J702=9,K$1&gt;YEAR($N702))),9,_xlfn.IFNA(INDEX($D$2:$D$4001,_xlfn.XMATCH(K$1&amp;"-"&amp;$F702,YEAR($B$2:$B$4001)&amp;"-"&amp;$A$2:$A$4001,0,-1)),J702))</f>
        <v>6</v>
      </c>
      <c r="L702" cm="1">
        <f t="array" ref="L702">IF(OR(AND(K702=9,L$1&gt;YEAR($N702))),9,_xlfn.IFNA(INDEX($D$2:$D$4001,_xlfn.XMATCH(L$1&amp;"-"&amp;$F702,YEAR($B$2:$B$4001)&amp;"-"&amp;$A$2:$A$4001,0,-1)),K702))</f>
        <v>8</v>
      </c>
      <c r="M702" cm="1">
        <f t="array" ref="M702">IF(OR(AND(L702=9,M$1&gt;YEAR($N702))),9,_xlfn.IFNA(INDEX($D$2:$D$4001,_xlfn.XMATCH(M$1&amp;"-"&amp;$F702,YEAR($B$2:$B$4001)&amp;"-"&amp;$A$2:$A$4001,0,-1)),L702))</f>
        <v>8</v>
      </c>
      <c r="N702" s="1">
        <f t="shared" si="10"/>
        <v>37063</v>
      </c>
    </row>
    <row r="703" spans="1:14" x14ac:dyDescent="0.35">
      <c r="A703">
        <v>339</v>
      </c>
      <c r="B703" s="2">
        <v>38625</v>
      </c>
      <c r="C703">
        <v>4</v>
      </c>
      <c r="D703">
        <v>4</v>
      </c>
      <c r="F703">
        <v>702</v>
      </c>
      <c r="G703" cm="1">
        <f t="array" ref="G703">_xlfn.IFNA(INDEX($D$2:$D$4001,_xlfn.XMATCH(G$1&amp;"-"&amp;$F703,YEAR($B$2:$B$4001)&amp;"-"&amp;$A$2:$A$4001,0,-1)),9)</f>
        <v>9</v>
      </c>
      <c r="H703" cm="1">
        <f t="array" ref="H703">IF(OR(AND(G703=9,H$1&gt;YEAR($N703))),9,_xlfn.IFNA(INDEX($D$2:$D$4001,_xlfn.XMATCH(H$1&amp;"-"&amp;$F703,YEAR($B$2:$B$4001)&amp;"-"&amp;$A$2:$A$4001,0,-1)),G703))</f>
        <v>9</v>
      </c>
      <c r="I703" cm="1">
        <f t="array" ref="I703">IF(OR(AND(H703=9,I$1&gt;YEAR($N703))),9,_xlfn.IFNA(INDEX($D$2:$D$4001,_xlfn.XMATCH(I$1&amp;"-"&amp;$F703,YEAR($B$2:$B$4001)&amp;"-"&amp;$A$2:$A$4001,0,-1)),H703))</f>
        <v>9</v>
      </c>
      <c r="J703" cm="1">
        <f t="array" ref="J703">IF(OR(AND(I703=9,J$1&gt;YEAR($N703))),9,_xlfn.IFNA(INDEX($D$2:$D$4001,_xlfn.XMATCH(J$1&amp;"-"&amp;$F703,YEAR($B$2:$B$4001)&amp;"-"&amp;$A$2:$A$4001,0,-1)),I703))</f>
        <v>9</v>
      </c>
      <c r="K703" cm="1">
        <f t="array" ref="K703">IF(OR(AND(J703=9,K$1&gt;YEAR($N703))),9,_xlfn.IFNA(INDEX($D$2:$D$4001,_xlfn.XMATCH(K$1&amp;"-"&amp;$F703,YEAR($B$2:$B$4001)&amp;"-"&amp;$A$2:$A$4001,0,-1)),J703))</f>
        <v>9</v>
      </c>
      <c r="L703" cm="1">
        <f t="array" ref="L703">IF(OR(AND(K703=9,L$1&gt;YEAR($N703))),9,_xlfn.IFNA(INDEX($D$2:$D$4001,_xlfn.XMATCH(L$1&amp;"-"&amp;$F703,YEAR($B$2:$B$4001)&amp;"-"&amp;$A$2:$A$4001,0,-1)),K703))</f>
        <v>0</v>
      </c>
      <c r="M703" cm="1">
        <f t="array" ref="M703">IF(OR(AND(L703=9,M$1&gt;YEAR($N703))),9,_xlfn.IFNA(INDEX($D$2:$D$4001,_xlfn.XMATCH(M$1&amp;"-"&amp;$F703,YEAR($B$2:$B$4001)&amp;"-"&amp;$A$2:$A$4001,0,-1)),L703))</f>
        <v>0</v>
      </c>
      <c r="N703" s="1">
        <f t="shared" si="10"/>
        <v>38351</v>
      </c>
    </row>
    <row r="704" spans="1:14" x14ac:dyDescent="0.35">
      <c r="A704">
        <v>340</v>
      </c>
      <c r="B704" s="2">
        <v>36310</v>
      </c>
      <c r="C704">
        <v>5</v>
      </c>
      <c r="D704">
        <v>5</v>
      </c>
      <c r="F704">
        <v>703</v>
      </c>
      <c r="G704" cm="1">
        <f t="array" ref="G704">_xlfn.IFNA(INDEX($D$2:$D$4001,_xlfn.XMATCH(G$1&amp;"-"&amp;$F704,YEAR($B$2:$B$4001)&amp;"-"&amp;$A$2:$A$4001,0,-1)),9)</f>
        <v>9</v>
      </c>
      <c r="H704" cm="1">
        <f t="array" ref="H704">IF(OR(AND(G704=9,H$1&gt;YEAR($N704))),9,_xlfn.IFNA(INDEX($D$2:$D$4001,_xlfn.XMATCH(H$1&amp;"-"&amp;$F704,YEAR($B$2:$B$4001)&amp;"-"&amp;$A$2:$A$4001,0,-1)),G704))</f>
        <v>9</v>
      </c>
      <c r="I704" cm="1">
        <f t="array" ref="I704">IF(OR(AND(H704=9,I$1&gt;YEAR($N704))),9,_xlfn.IFNA(INDEX($D$2:$D$4001,_xlfn.XMATCH(I$1&amp;"-"&amp;$F704,YEAR($B$2:$B$4001)&amp;"-"&amp;$A$2:$A$4001,0,-1)),H704))</f>
        <v>0</v>
      </c>
      <c r="J704" cm="1">
        <f t="array" ref="J704">IF(OR(AND(I704=9,J$1&gt;YEAR($N704))),9,_xlfn.IFNA(INDEX($D$2:$D$4001,_xlfn.XMATCH(J$1&amp;"-"&amp;$F704,YEAR($B$2:$B$4001)&amp;"-"&amp;$A$2:$A$4001,0,-1)),I704))</f>
        <v>3</v>
      </c>
      <c r="K704" cm="1">
        <f t="array" ref="K704">IF(OR(AND(J704=9,K$1&gt;YEAR($N704))),9,_xlfn.IFNA(INDEX($D$2:$D$4001,_xlfn.XMATCH(K$1&amp;"-"&amp;$F704,YEAR($B$2:$B$4001)&amp;"-"&amp;$A$2:$A$4001,0,-1)),J704))</f>
        <v>3</v>
      </c>
      <c r="L704" cm="1">
        <f t="array" ref="L704">IF(OR(AND(K704=9,L$1&gt;YEAR($N704))),9,_xlfn.IFNA(INDEX($D$2:$D$4001,_xlfn.XMATCH(L$1&amp;"-"&amp;$F704,YEAR($B$2:$B$4001)&amp;"-"&amp;$A$2:$A$4001,0,-1)),K704))</f>
        <v>4</v>
      </c>
      <c r="M704" cm="1">
        <f t="array" ref="M704">IF(OR(AND(L704=9,M$1&gt;YEAR($N704))),9,_xlfn.IFNA(INDEX($D$2:$D$4001,_xlfn.XMATCH(M$1&amp;"-"&amp;$F704,YEAR($B$2:$B$4001)&amp;"-"&amp;$A$2:$A$4001,0,-1)),L704))</f>
        <v>4</v>
      </c>
      <c r="N704" s="1">
        <f t="shared" si="10"/>
        <v>37032</v>
      </c>
    </row>
    <row r="705" spans="1:14" x14ac:dyDescent="0.35">
      <c r="A705">
        <v>340</v>
      </c>
      <c r="B705" s="2">
        <v>37885</v>
      </c>
      <c r="C705">
        <v>6</v>
      </c>
      <c r="D705">
        <v>6</v>
      </c>
      <c r="F705">
        <v>704</v>
      </c>
      <c r="G705" cm="1">
        <f t="array" ref="G705">_xlfn.IFNA(INDEX($D$2:$D$4001,_xlfn.XMATCH(G$1&amp;"-"&amp;$F705,YEAR($B$2:$B$4001)&amp;"-"&amp;$A$2:$A$4001,0,-1)),9)</f>
        <v>9</v>
      </c>
      <c r="H705" cm="1">
        <f t="array" ref="H705">IF(OR(AND(G705=9,H$1&gt;YEAR($N705))),9,_xlfn.IFNA(INDEX($D$2:$D$4001,_xlfn.XMATCH(H$1&amp;"-"&amp;$F705,YEAR($B$2:$B$4001)&amp;"-"&amp;$A$2:$A$4001,0,-1)),G705))</f>
        <v>9</v>
      </c>
      <c r="I705" cm="1">
        <f t="array" ref="I705">IF(OR(AND(H705=9,I$1&gt;YEAR($N705))),9,_xlfn.IFNA(INDEX($D$2:$D$4001,_xlfn.XMATCH(I$1&amp;"-"&amp;$F705,YEAR($B$2:$B$4001)&amp;"-"&amp;$A$2:$A$4001,0,-1)),H705))</f>
        <v>2</v>
      </c>
      <c r="J705" cm="1">
        <f t="array" ref="J705">IF(OR(AND(I705=9,J$1&gt;YEAR($N705))),9,_xlfn.IFNA(INDEX($D$2:$D$4001,_xlfn.XMATCH(J$1&amp;"-"&amp;$F705,YEAR($B$2:$B$4001)&amp;"-"&amp;$A$2:$A$4001,0,-1)),I705))</f>
        <v>2</v>
      </c>
      <c r="K705" cm="1">
        <f t="array" ref="K705">IF(OR(AND(J705=9,K$1&gt;YEAR($N705))),9,_xlfn.IFNA(INDEX($D$2:$D$4001,_xlfn.XMATCH(K$1&amp;"-"&amp;$F705,YEAR($B$2:$B$4001)&amp;"-"&amp;$A$2:$A$4001,0,-1)),J705))</f>
        <v>2</v>
      </c>
      <c r="L705" cm="1">
        <f t="array" ref="L705">IF(OR(AND(K705=9,L$1&gt;YEAR($N705))),9,_xlfn.IFNA(INDEX($D$2:$D$4001,_xlfn.XMATCH(L$1&amp;"-"&amp;$F705,YEAR($B$2:$B$4001)&amp;"-"&amp;$A$2:$A$4001,0,-1)),K705))</f>
        <v>2</v>
      </c>
      <c r="M705" cm="1">
        <f t="array" ref="M705">IF(OR(AND(L705=9,M$1&gt;YEAR($N705))),9,_xlfn.IFNA(INDEX($D$2:$D$4001,_xlfn.XMATCH(M$1&amp;"-"&amp;$F705,YEAR($B$2:$B$4001)&amp;"-"&amp;$A$2:$A$4001,0,-1)),L705))</f>
        <v>2</v>
      </c>
      <c r="N705" s="1">
        <f t="shared" si="10"/>
        <v>37032</v>
      </c>
    </row>
    <row r="706" spans="1:14" x14ac:dyDescent="0.35">
      <c r="A706">
        <v>341</v>
      </c>
      <c r="B706" s="2">
        <v>38128</v>
      </c>
      <c r="C706">
        <v>2</v>
      </c>
      <c r="D706">
        <v>2</v>
      </c>
      <c r="F706">
        <v>705</v>
      </c>
      <c r="G706" cm="1">
        <f t="array" ref="G706">_xlfn.IFNA(INDEX($D$2:$D$4001,_xlfn.XMATCH(G$1&amp;"-"&amp;$F706,YEAR($B$2:$B$4001)&amp;"-"&amp;$A$2:$A$4001,0,-1)),9)</f>
        <v>3</v>
      </c>
      <c r="H706" cm="1">
        <f t="array" ref="H706">IF(OR(AND(G706=9,H$1&gt;YEAR($N706))),9,_xlfn.IFNA(INDEX($D$2:$D$4001,_xlfn.XMATCH(H$1&amp;"-"&amp;$F706,YEAR($B$2:$B$4001)&amp;"-"&amp;$A$2:$A$4001,0,-1)),G706))</f>
        <v>3</v>
      </c>
      <c r="I706" cm="1">
        <f t="array" ref="I706">IF(OR(AND(H706=9,I$1&gt;YEAR($N706))),9,_xlfn.IFNA(INDEX($D$2:$D$4001,_xlfn.XMATCH(I$1&amp;"-"&amp;$F706,YEAR($B$2:$B$4001)&amp;"-"&amp;$A$2:$A$4001,0,-1)),H706))</f>
        <v>3</v>
      </c>
      <c r="J706" cm="1">
        <f t="array" ref="J706">IF(OR(AND(I706=9,J$1&gt;YEAR($N706))),9,_xlfn.IFNA(INDEX($D$2:$D$4001,_xlfn.XMATCH(J$1&amp;"-"&amp;$F706,YEAR($B$2:$B$4001)&amp;"-"&amp;$A$2:$A$4001,0,-1)),I706))</f>
        <v>2</v>
      </c>
      <c r="K706" cm="1">
        <f t="array" ref="K706">IF(OR(AND(J706=9,K$1&gt;YEAR($N706))),9,_xlfn.IFNA(INDEX($D$2:$D$4001,_xlfn.XMATCH(K$1&amp;"-"&amp;$F706,YEAR($B$2:$B$4001)&amp;"-"&amp;$A$2:$A$4001,0,-1)),J706))</f>
        <v>2</v>
      </c>
      <c r="L706" cm="1">
        <f t="array" ref="L706">IF(OR(AND(K706=9,L$1&gt;YEAR($N706))),9,_xlfn.IFNA(INDEX($D$2:$D$4001,_xlfn.XMATCH(L$1&amp;"-"&amp;$F706,YEAR($B$2:$B$4001)&amp;"-"&amp;$A$2:$A$4001,0,-1)),K706))</f>
        <v>2</v>
      </c>
      <c r="M706" cm="1">
        <f t="array" ref="M706">IF(OR(AND(L706=9,M$1&gt;YEAR($N706))),9,_xlfn.IFNA(INDEX($D$2:$D$4001,_xlfn.XMATCH(M$1&amp;"-"&amp;$F706,YEAR($B$2:$B$4001)&amp;"-"&amp;$A$2:$A$4001,0,-1)),L706))</f>
        <v>2</v>
      </c>
      <c r="N706" s="1">
        <f t="shared" si="10"/>
        <v>36524</v>
      </c>
    </row>
    <row r="707" spans="1:14" x14ac:dyDescent="0.35">
      <c r="A707">
        <v>342</v>
      </c>
      <c r="B707" s="2">
        <v>36524</v>
      </c>
      <c r="C707">
        <v>6</v>
      </c>
      <c r="D707">
        <v>6</v>
      </c>
      <c r="F707">
        <v>706</v>
      </c>
      <c r="G707" cm="1">
        <f t="array" ref="G707">_xlfn.IFNA(INDEX($D$2:$D$4001,_xlfn.XMATCH(G$1&amp;"-"&amp;$F707,YEAR($B$2:$B$4001)&amp;"-"&amp;$A$2:$A$4001,0,-1)),9)</f>
        <v>1</v>
      </c>
      <c r="H707" cm="1">
        <f t="array" ref="H707">IF(OR(AND(G707=9,H$1&gt;YEAR($N707))),9,_xlfn.IFNA(INDEX($D$2:$D$4001,_xlfn.XMATCH(H$1&amp;"-"&amp;$F707,YEAR($B$2:$B$4001)&amp;"-"&amp;$A$2:$A$4001,0,-1)),G707))</f>
        <v>1</v>
      </c>
      <c r="I707" cm="1">
        <f t="array" ref="I707">IF(OR(AND(H707=9,I$1&gt;YEAR($N707))),9,_xlfn.IFNA(INDEX($D$2:$D$4001,_xlfn.XMATCH(I$1&amp;"-"&amp;$F707,YEAR($B$2:$B$4001)&amp;"-"&amp;$A$2:$A$4001,0,-1)),H707))</f>
        <v>1</v>
      </c>
      <c r="J707" cm="1">
        <f t="array" ref="J707">IF(OR(AND(I707=9,J$1&gt;YEAR($N707))),9,_xlfn.IFNA(INDEX($D$2:$D$4001,_xlfn.XMATCH(J$1&amp;"-"&amp;$F707,YEAR($B$2:$B$4001)&amp;"-"&amp;$A$2:$A$4001,0,-1)),I707))</f>
        <v>1</v>
      </c>
      <c r="K707" cm="1">
        <f t="array" ref="K707">IF(OR(AND(J707=9,K$1&gt;YEAR($N707))),9,_xlfn.IFNA(INDEX($D$2:$D$4001,_xlfn.XMATCH(K$1&amp;"-"&amp;$F707,YEAR($B$2:$B$4001)&amp;"-"&amp;$A$2:$A$4001,0,-1)),J707))</f>
        <v>1</v>
      </c>
      <c r="L707" cm="1">
        <f t="array" ref="L707">IF(OR(AND(K707=9,L$1&gt;YEAR($N707))),9,_xlfn.IFNA(INDEX($D$2:$D$4001,_xlfn.XMATCH(L$1&amp;"-"&amp;$F707,YEAR($B$2:$B$4001)&amp;"-"&amp;$A$2:$A$4001,0,-1)),K707))</f>
        <v>1</v>
      </c>
      <c r="M707" cm="1">
        <f t="array" ref="M707">IF(OR(AND(L707=9,M$1&gt;YEAR($N707))),9,_xlfn.IFNA(INDEX($D$2:$D$4001,_xlfn.XMATCH(M$1&amp;"-"&amp;$F707,YEAR($B$2:$B$4001)&amp;"-"&amp;$A$2:$A$4001,0,-1)),L707))</f>
        <v>1</v>
      </c>
      <c r="N707" s="1">
        <f t="shared" ref="N707:N770" si="11">_xlfn.MINIFS($B$2:$B$4001,$A$2:$A$4001,F707)</f>
        <v>36301</v>
      </c>
    </row>
    <row r="708" spans="1:14" x14ac:dyDescent="0.35">
      <c r="A708">
        <v>342</v>
      </c>
      <c r="B708" s="2">
        <v>37032</v>
      </c>
      <c r="C708">
        <v>6</v>
      </c>
      <c r="D708">
        <v>6</v>
      </c>
      <c r="F708">
        <v>707</v>
      </c>
      <c r="G708" cm="1">
        <f t="array" ref="G708">_xlfn.IFNA(INDEX($D$2:$D$4001,_xlfn.XMATCH(G$1&amp;"-"&amp;$F708,YEAR($B$2:$B$4001)&amp;"-"&amp;$A$2:$A$4001,0,-1)),9)</f>
        <v>9</v>
      </c>
      <c r="H708" cm="1">
        <f t="array" ref="H708">IF(OR(AND(G708=9,H$1&gt;YEAR($N708))),9,_xlfn.IFNA(INDEX($D$2:$D$4001,_xlfn.XMATCH(H$1&amp;"-"&amp;$F708,YEAR($B$2:$B$4001)&amp;"-"&amp;$A$2:$A$4001,0,-1)),G708))</f>
        <v>9</v>
      </c>
      <c r="I708" cm="1">
        <f t="array" ref="I708">IF(OR(AND(H708=9,I$1&gt;YEAR($N708))),9,_xlfn.IFNA(INDEX($D$2:$D$4001,_xlfn.XMATCH(I$1&amp;"-"&amp;$F708,YEAR($B$2:$B$4001)&amp;"-"&amp;$A$2:$A$4001,0,-1)),H708))</f>
        <v>9</v>
      </c>
      <c r="J708" cm="1">
        <f t="array" ref="J708">IF(OR(AND(I708=9,J$1&gt;YEAR($N708))),9,_xlfn.IFNA(INDEX($D$2:$D$4001,_xlfn.XMATCH(J$1&amp;"-"&amp;$F708,YEAR($B$2:$B$4001)&amp;"-"&amp;$A$2:$A$4001,0,-1)),I708))</f>
        <v>9</v>
      </c>
      <c r="K708" cm="1">
        <f t="array" ref="K708">IF(OR(AND(J708=9,K$1&gt;YEAR($N708))),9,_xlfn.IFNA(INDEX($D$2:$D$4001,_xlfn.XMATCH(K$1&amp;"-"&amp;$F708,YEAR($B$2:$B$4001)&amp;"-"&amp;$A$2:$A$4001,0,-1)),J708))</f>
        <v>9</v>
      </c>
      <c r="L708" cm="1">
        <f t="array" ref="L708">IF(OR(AND(K708=9,L$1&gt;YEAR($N708))),9,_xlfn.IFNA(INDEX($D$2:$D$4001,_xlfn.XMATCH(L$1&amp;"-"&amp;$F708,YEAR($B$2:$B$4001)&amp;"-"&amp;$A$2:$A$4001,0,-1)),K708))</f>
        <v>9</v>
      </c>
      <c r="M708" cm="1">
        <f t="array" ref="M708">IF(OR(AND(L708=9,M$1&gt;YEAR($N708))),9,_xlfn.IFNA(INDEX($D$2:$D$4001,_xlfn.XMATCH(M$1&amp;"-"&amp;$F708,YEAR($B$2:$B$4001)&amp;"-"&amp;$A$2:$A$4001,0,-1)),L708))</f>
        <v>5</v>
      </c>
      <c r="N708" s="1">
        <f t="shared" si="11"/>
        <v>38594</v>
      </c>
    </row>
    <row r="709" spans="1:14" x14ac:dyDescent="0.35">
      <c r="A709">
        <v>342</v>
      </c>
      <c r="B709" s="2">
        <v>37124</v>
      </c>
      <c r="C709">
        <v>7</v>
      </c>
      <c r="D709">
        <v>7</v>
      </c>
      <c r="F709">
        <v>708</v>
      </c>
      <c r="G709" cm="1">
        <f t="array" ref="G709">_xlfn.IFNA(INDEX($D$2:$D$4001,_xlfn.XMATCH(G$1&amp;"-"&amp;$F709,YEAR($B$2:$B$4001)&amp;"-"&amp;$A$2:$A$4001,0,-1)),9)</f>
        <v>2</v>
      </c>
      <c r="H709" cm="1">
        <f t="array" ref="H709">IF(OR(AND(G709=9,H$1&gt;YEAR($N709))),9,_xlfn.IFNA(INDEX($D$2:$D$4001,_xlfn.XMATCH(H$1&amp;"-"&amp;$F709,YEAR($B$2:$B$4001)&amp;"-"&amp;$A$2:$A$4001,0,-1)),G709))</f>
        <v>2</v>
      </c>
      <c r="I709" cm="1">
        <f t="array" ref="I709">IF(OR(AND(H709=9,I$1&gt;YEAR($N709))),9,_xlfn.IFNA(INDEX($D$2:$D$4001,_xlfn.XMATCH(I$1&amp;"-"&amp;$F709,YEAR($B$2:$B$4001)&amp;"-"&amp;$A$2:$A$4001,0,-1)),H709))</f>
        <v>2</v>
      </c>
      <c r="J709" cm="1">
        <f t="array" ref="J709">IF(OR(AND(I709=9,J$1&gt;YEAR($N709))),9,_xlfn.IFNA(INDEX($D$2:$D$4001,_xlfn.XMATCH(J$1&amp;"-"&amp;$F709,YEAR($B$2:$B$4001)&amp;"-"&amp;$A$2:$A$4001,0,-1)),I709))</f>
        <v>2</v>
      </c>
      <c r="K709" cm="1">
        <f t="array" ref="K709">IF(OR(AND(J709=9,K$1&gt;YEAR($N709))),9,_xlfn.IFNA(INDEX($D$2:$D$4001,_xlfn.XMATCH(K$1&amp;"-"&amp;$F709,YEAR($B$2:$B$4001)&amp;"-"&amp;$A$2:$A$4001,0,-1)),J709))</f>
        <v>2</v>
      </c>
      <c r="L709" cm="1">
        <f t="array" ref="L709">IF(OR(AND(K709=9,L$1&gt;YEAR($N709))),9,_xlfn.IFNA(INDEX($D$2:$D$4001,_xlfn.XMATCH(L$1&amp;"-"&amp;$F709,YEAR($B$2:$B$4001)&amp;"-"&amp;$A$2:$A$4001,0,-1)),K709))</f>
        <v>2</v>
      </c>
      <c r="M709" cm="1">
        <f t="array" ref="M709">IF(OR(AND(L709=9,M$1&gt;YEAR($N709))),9,_xlfn.IFNA(INDEX($D$2:$D$4001,_xlfn.XMATCH(M$1&amp;"-"&amp;$F709,YEAR($B$2:$B$4001)&amp;"-"&amp;$A$2:$A$4001,0,-1)),L709))</f>
        <v>2</v>
      </c>
      <c r="N709" s="1">
        <f t="shared" si="11"/>
        <v>36301</v>
      </c>
    </row>
    <row r="710" spans="1:14" x14ac:dyDescent="0.35">
      <c r="A710">
        <v>342</v>
      </c>
      <c r="B710" s="2">
        <v>37155</v>
      </c>
      <c r="C710">
        <v>8</v>
      </c>
      <c r="D710">
        <v>8</v>
      </c>
      <c r="F710">
        <v>709</v>
      </c>
      <c r="G710" cm="1">
        <f t="array" ref="G710">_xlfn.IFNA(INDEX($D$2:$D$4001,_xlfn.XMATCH(G$1&amp;"-"&amp;$F710,YEAR($B$2:$B$4001)&amp;"-"&amp;$A$2:$A$4001,0,-1)),9)</f>
        <v>2</v>
      </c>
      <c r="H710" cm="1">
        <f t="array" ref="H710">IF(OR(AND(G710=9,H$1&gt;YEAR($N710))),9,_xlfn.IFNA(INDEX($D$2:$D$4001,_xlfn.XMATCH(H$1&amp;"-"&amp;$F710,YEAR($B$2:$B$4001)&amp;"-"&amp;$A$2:$A$4001,0,-1)),G710))</f>
        <v>2</v>
      </c>
      <c r="I710" cm="1">
        <f t="array" ref="I710">IF(OR(AND(H710=9,I$1&gt;YEAR($N710))),9,_xlfn.IFNA(INDEX($D$2:$D$4001,_xlfn.XMATCH(I$1&amp;"-"&amp;$F710,YEAR($B$2:$B$4001)&amp;"-"&amp;$A$2:$A$4001,0,-1)),H710))</f>
        <v>2</v>
      </c>
      <c r="J710" cm="1">
        <f t="array" ref="J710">IF(OR(AND(I710=9,J$1&gt;YEAR($N710))),9,_xlfn.IFNA(INDEX($D$2:$D$4001,_xlfn.XMATCH(J$1&amp;"-"&amp;$F710,YEAR($B$2:$B$4001)&amp;"-"&amp;$A$2:$A$4001,0,-1)),I710))</f>
        <v>2</v>
      </c>
      <c r="K710" cm="1">
        <f t="array" ref="K710">IF(OR(AND(J710=9,K$1&gt;YEAR($N710))),9,_xlfn.IFNA(INDEX($D$2:$D$4001,_xlfn.XMATCH(K$1&amp;"-"&amp;$F710,YEAR($B$2:$B$4001)&amp;"-"&amp;$A$2:$A$4001,0,-1)),J710))</f>
        <v>2</v>
      </c>
      <c r="L710" cm="1">
        <f t="array" ref="L710">IF(OR(AND(K710=9,L$1&gt;YEAR($N710))),9,_xlfn.IFNA(INDEX($D$2:$D$4001,_xlfn.XMATCH(L$1&amp;"-"&amp;$F710,YEAR($B$2:$B$4001)&amp;"-"&amp;$A$2:$A$4001,0,-1)),K710))</f>
        <v>2</v>
      </c>
      <c r="M710" cm="1">
        <f t="array" ref="M710">IF(OR(AND(L710=9,M$1&gt;YEAR($N710))),9,_xlfn.IFNA(INDEX($D$2:$D$4001,_xlfn.XMATCH(M$1&amp;"-"&amp;$F710,YEAR($B$2:$B$4001)&amp;"-"&amp;$A$2:$A$4001,0,-1)),L710))</f>
        <v>2</v>
      </c>
      <c r="N710" s="1">
        <f t="shared" si="11"/>
        <v>36301</v>
      </c>
    </row>
    <row r="711" spans="1:14" x14ac:dyDescent="0.35">
      <c r="A711">
        <v>342</v>
      </c>
      <c r="B711" s="2">
        <v>37225</v>
      </c>
      <c r="C711">
        <v>7</v>
      </c>
      <c r="D711">
        <v>8</v>
      </c>
      <c r="F711">
        <v>710</v>
      </c>
      <c r="G711" cm="1">
        <f t="array" ref="G711">_xlfn.IFNA(INDEX($D$2:$D$4001,_xlfn.XMATCH(G$1&amp;"-"&amp;$F711,YEAR($B$2:$B$4001)&amp;"-"&amp;$A$2:$A$4001,0,-1)),9)</f>
        <v>9</v>
      </c>
      <c r="H711" cm="1">
        <f t="array" ref="H711">IF(OR(AND(G711=9,H$1&gt;YEAR($N711))),9,_xlfn.IFNA(INDEX($D$2:$D$4001,_xlfn.XMATCH(H$1&amp;"-"&amp;$F711,YEAR($B$2:$B$4001)&amp;"-"&amp;$A$2:$A$4001,0,-1)),G711))</f>
        <v>9</v>
      </c>
      <c r="I711" cm="1">
        <f t="array" ref="I711">IF(OR(AND(H711=9,I$1&gt;YEAR($N711))),9,_xlfn.IFNA(INDEX($D$2:$D$4001,_xlfn.XMATCH(I$1&amp;"-"&amp;$F711,YEAR($B$2:$B$4001)&amp;"-"&amp;$A$2:$A$4001,0,-1)),H711))</f>
        <v>9</v>
      </c>
      <c r="J711" cm="1">
        <f t="array" ref="J711">IF(OR(AND(I711=9,J$1&gt;YEAR($N711))),9,_xlfn.IFNA(INDEX($D$2:$D$4001,_xlfn.XMATCH(J$1&amp;"-"&amp;$F711,YEAR($B$2:$B$4001)&amp;"-"&amp;$A$2:$A$4001,0,-1)),I711))</f>
        <v>2</v>
      </c>
      <c r="K711" cm="1">
        <f t="array" ref="K711">IF(OR(AND(J711=9,K$1&gt;YEAR($N711))),9,_xlfn.IFNA(INDEX($D$2:$D$4001,_xlfn.XMATCH(K$1&amp;"-"&amp;$F711,YEAR($B$2:$B$4001)&amp;"-"&amp;$A$2:$A$4001,0,-1)),J711))</f>
        <v>2</v>
      </c>
      <c r="L711" cm="1">
        <f t="array" ref="L711">IF(OR(AND(K711=9,L$1&gt;YEAR($N711))),9,_xlfn.IFNA(INDEX($D$2:$D$4001,_xlfn.XMATCH(L$1&amp;"-"&amp;$F711,YEAR($B$2:$B$4001)&amp;"-"&amp;$A$2:$A$4001,0,-1)),K711))</f>
        <v>2</v>
      </c>
      <c r="M711" cm="1">
        <f t="array" ref="M711">IF(OR(AND(L711=9,M$1&gt;YEAR($N711))),9,_xlfn.IFNA(INDEX($D$2:$D$4001,_xlfn.XMATCH(M$1&amp;"-"&amp;$F711,YEAR($B$2:$B$4001)&amp;"-"&amp;$A$2:$A$4001,0,-1)),L711))</f>
        <v>2</v>
      </c>
      <c r="N711" s="1">
        <f t="shared" si="11"/>
        <v>37522</v>
      </c>
    </row>
    <row r="712" spans="1:14" x14ac:dyDescent="0.35">
      <c r="A712">
        <v>342</v>
      </c>
      <c r="B712" s="2">
        <v>37255</v>
      </c>
      <c r="C712">
        <v>6</v>
      </c>
      <c r="D712">
        <v>8</v>
      </c>
      <c r="F712">
        <v>711</v>
      </c>
      <c r="G712" cm="1">
        <f t="array" ref="G712">_xlfn.IFNA(INDEX($D$2:$D$4001,_xlfn.XMATCH(G$1&amp;"-"&amp;$F712,YEAR($B$2:$B$4001)&amp;"-"&amp;$A$2:$A$4001,0,-1)),9)</f>
        <v>9</v>
      </c>
      <c r="H712" cm="1">
        <f t="array" ref="H712">IF(OR(AND(G712=9,H$1&gt;YEAR($N712))),9,_xlfn.IFNA(INDEX($D$2:$D$4001,_xlfn.XMATCH(H$1&amp;"-"&amp;$F712,YEAR($B$2:$B$4001)&amp;"-"&amp;$A$2:$A$4001,0,-1)),G712))</f>
        <v>4</v>
      </c>
      <c r="I712" cm="1">
        <f t="array" ref="I712">IF(OR(AND(H712=9,I$1&gt;YEAR($N712))),9,_xlfn.IFNA(INDEX($D$2:$D$4001,_xlfn.XMATCH(I$1&amp;"-"&amp;$F712,YEAR($B$2:$B$4001)&amp;"-"&amp;$A$2:$A$4001,0,-1)),H712))</f>
        <v>4</v>
      </c>
      <c r="J712" cm="1">
        <f t="array" ref="J712">IF(OR(AND(I712=9,J$1&gt;YEAR($N712))),9,_xlfn.IFNA(INDEX($D$2:$D$4001,_xlfn.XMATCH(J$1&amp;"-"&amp;$F712,YEAR($B$2:$B$4001)&amp;"-"&amp;$A$2:$A$4001,0,-1)),I712))</f>
        <v>4</v>
      </c>
      <c r="K712" cm="1">
        <f t="array" ref="K712">IF(OR(AND(J712=9,K$1&gt;YEAR($N712))),9,_xlfn.IFNA(INDEX($D$2:$D$4001,_xlfn.XMATCH(K$1&amp;"-"&amp;$F712,YEAR($B$2:$B$4001)&amp;"-"&amp;$A$2:$A$4001,0,-1)),J712))</f>
        <v>4</v>
      </c>
      <c r="L712" cm="1">
        <f t="array" ref="L712">IF(OR(AND(K712=9,L$1&gt;YEAR($N712))),9,_xlfn.IFNA(INDEX($D$2:$D$4001,_xlfn.XMATCH(L$1&amp;"-"&amp;$F712,YEAR($B$2:$B$4001)&amp;"-"&amp;$A$2:$A$4001,0,-1)),K712))</f>
        <v>4</v>
      </c>
      <c r="M712" cm="1">
        <f t="array" ref="M712">IF(OR(AND(L712=9,M$1&gt;YEAR($N712))),9,_xlfn.IFNA(INDEX($D$2:$D$4001,_xlfn.XMATCH(M$1&amp;"-"&amp;$F712,YEAR($B$2:$B$4001)&amp;"-"&amp;$A$2:$A$4001,0,-1)),L712))</f>
        <v>4</v>
      </c>
      <c r="N712" s="1">
        <f t="shared" si="11"/>
        <v>36860</v>
      </c>
    </row>
    <row r="713" spans="1:14" x14ac:dyDescent="0.35">
      <c r="A713">
        <v>342</v>
      </c>
      <c r="B713" s="2">
        <v>37985</v>
      </c>
      <c r="C713">
        <v>7</v>
      </c>
      <c r="D713">
        <v>8</v>
      </c>
      <c r="F713">
        <v>712</v>
      </c>
      <c r="G713" cm="1">
        <f t="array" ref="G713">_xlfn.IFNA(INDEX($D$2:$D$4001,_xlfn.XMATCH(G$1&amp;"-"&amp;$F713,YEAR($B$2:$B$4001)&amp;"-"&amp;$A$2:$A$4001,0,-1)),9)</f>
        <v>9</v>
      </c>
      <c r="H713" cm="1">
        <f t="array" ref="H713">IF(OR(AND(G713=9,H$1&gt;YEAR($N713))),9,_xlfn.IFNA(INDEX($D$2:$D$4001,_xlfn.XMATCH(H$1&amp;"-"&amp;$F713,YEAR($B$2:$B$4001)&amp;"-"&amp;$A$2:$A$4001,0,-1)),G713))</f>
        <v>5</v>
      </c>
      <c r="I713" cm="1">
        <f t="array" ref="I713">IF(OR(AND(H713=9,I$1&gt;YEAR($N713))),9,_xlfn.IFNA(INDEX($D$2:$D$4001,_xlfn.XMATCH(I$1&amp;"-"&amp;$F713,YEAR($B$2:$B$4001)&amp;"-"&amp;$A$2:$A$4001,0,-1)),H713))</f>
        <v>5</v>
      </c>
      <c r="J713" cm="1">
        <f t="array" ref="J713">IF(OR(AND(I713=9,J$1&gt;YEAR($N713))),9,_xlfn.IFNA(INDEX($D$2:$D$4001,_xlfn.XMATCH(J$1&amp;"-"&amp;$F713,YEAR($B$2:$B$4001)&amp;"-"&amp;$A$2:$A$4001,0,-1)),I713))</f>
        <v>5</v>
      </c>
      <c r="K713" cm="1">
        <f t="array" ref="K713">IF(OR(AND(J713=9,K$1&gt;YEAR($N713))),9,_xlfn.IFNA(INDEX($D$2:$D$4001,_xlfn.XMATCH(K$1&amp;"-"&amp;$F713,YEAR($B$2:$B$4001)&amp;"-"&amp;$A$2:$A$4001,0,-1)),J713))</f>
        <v>5</v>
      </c>
      <c r="L713" cm="1">
        <f t="array" ref="L713">IF(OR(AND(K713=9,L$1&gt;YEAR($N713))),9,_xlfn.IFNA(INDEX($D$2:$D$4001,_xlfn.XMATCH(L$1&amp;"-"&amp;$F713,YEAR($B$2:$B$4001)&amp;"-"&amp;$A$2:$A$4001,0,-1)),K713))</f>
        <v>4</v>
      </c>
      <c r="M713" cm="1">
        <f t="array" ref="M713">IF(OR(AND(L713=9,M$1&gt;YEAR($N713))),9,_xlfn.IFNA(INDEX($D$2:$D$4001,_xlfn.XMATCH(M$1&amp;"-"&amp;$F713,YEAR($B$2:$B$4001)&amp;"-"&amp;$A$2:$A$4001,0,-1)),L713))</f>
        <v>4</v>
      </c>
      <c r="N713" s="1">
        <f t="shared" si="11"/>
        <v>36890</v>
      </c>
    </row>
    <row r="714" spans="1:14" x14ac:dyDescent="0.35">
      <c r="A714">
        <v>343</v>
      </c>
      <c r="B714" s="2">
        <v>37529</v>
      </c>
      <c r="C714">
        <v>4</v>
      </c>
      <c r="D714">
        <v>4</v>
      </c>
      <c r="F714">
        <v>713</v>
      </c>
      <c r="G714" cm="1">
        <f t="array" ref="G714">_xlfn.IFNA(INDEX($D$2:$D$4001,_xlfn.XMATCH(G$1&amp;"-"&amp;$F714,YEAR($B$2:$B$4001)&amp;"-"&amp;$A$2:$A$4001,0,-1)),9)</f>
        <v>4</v>
      </c>
      <c r="H714" cm="1">
        <f t="array" ref="H714">IF(OR(AND(G714=9,H$1&gt;YEAR($N714))),9,_xlfn.IFNA(INDEX($D$2:$D$4001,_xlfn.XMATCH(H$1&amp;"-"&amp;$F714,YEAR($B$2:$B$4001)&amp;"-"&amp;$A$2:$A$4001,0,-1)),G714))</f>
        <v>0</v>
      </c>
      <c r="I714" cm="1">
        <f t="array" ref="I714">IF(OR(AND(H714=9,I$1&gt;YEAR($N714))),9,_xlfn.IFNA(INDEX($D$2:$D$4001,_xlfn.XMATCH(I$1&amp;"-"&amp;$F714,YEAR($B$2:$B$4001)&amp;"-"&amp;$A$2:$A$4001,0,-1)),H714))</f>
        <v>0</v>
      </c>
      <c r="J714" cm="1">
        <f t="array" ref="J714">IF(OR(AND(I714=9,J$1&gt;YEAR($N714))),9,_xlfn.IFNA(INDEX($D$2:$D$4001,_xlfn.XMATCH(J$1&amp;"-"&amp;$F714,YEAR($B$2:$B$4001)&amp;"-"&amp;$A$2:$A$4001,0,-1)),I714))</f>
        <v>0</v>
      </c>
      <c r="K714" cm="1">
        <f t="array" ref="K714">IF(OR(AND(J714=9,K$1&gt;YEAR($N714))),9,_xlfn.IFNA(INDEX($D$2:$D$4001,_xlfn.XMATCH(K$1&amp;"-"&amp;$F714,YEAR($B$2:$B$4001)&amp;"-"&amp;$A$2:$A$4001,0,-1)),J714))</f>
        <v>0</v>
      </c>
      <c r="L714" cm="1">
        <f t="array" ref="L714">IF(OR(AND(K714=9,L$1&gt;YEAR($N714))),9,_xlfn.IFNA(INDEX($D$2:$D$4001,_xlfn.XMATCH(L$1&amp;"-"&amp;$F714,YEAR($B$2:$B$4001)&amp;"-"&amp;$A$2:$A$4001,0,-1)),K714))</f>
        <v>0</v>
      </c>
      <c r="M714" cm="1">
        <f t="array" ref="M714">IF(OR(AND(L714=9,M$1&gt;YEAR($N714))),9,_xlfn.IFNA(INDEX($D$2:$D$4001,_xlfn.XMATCH(M$1&amp;"-"&amp;$F714,YEAR($B$2:$B$4001)&amp;"-"&amp;$A$2:$A$4001,0,-1)),L714))</f>
        <v>0</v>
      </c>
      <c r="N714" s="1">
        <f t="shared" si="11"/>
        <v>36301</v>
      </c>
    </row>
    <row r="715" spans="1:14" x14ac:dyDescent="0.35">
      <c r="A715">
        <v>343</v>
      </c>
      <c r="B715" s="2">
        <v>38251</v>
      </c>
      <c r="C715">
        <v>3</v>
      </c>
      <c r="D715">
        <v>3</v>
      </c>
      <c r="F715">
        <v>714</v>
      </c>
      <c r="G715" cm="1">
        <f t="array" ref="G715">_xlfn.IFNA(INDEX($D$2:$D$4001,_xlfn.XMATCH(G$1&amp;"-"&amp;$F715,YEAR($B$2:$B$4001)&amp;"-"&amp;$A$2:$A$4001,0,-1)),9)</f>
        <v>9</v>
      </c>
      <c r="H715" cm="1">
        <f t="array" ref="H715">IF(OR(AND(G715=9,H$1&gt;YEAR($N715))),9,_xlfn.IFNA(INDEX($D$2:$D$4001,_xlfn.XMATCH(H$1&amp;"-"&amp;$F715,YEAR($B$2:$B$4001)&amp;"-"&amp;$A$2:$A$4001,0,-1)),G715))</f>
        <v>9</v>
      </c>
      <c r="I715" cm="1">
        <f t="array" ref="I715">IF(OR(AND(H715=9,I$1&gt;YEAR($N715))),9,_xlfn.IFNA(INDEX($D$2:$D$4001,_xlfn.XMATCH(I$1&amp;"-"&amp;$F715,YEAR($B$2:$B$4001)&amp;"-"&amp;$A$2:$A$4001,0,-1)),H715))</f>
        <v>9</v>
      </c>
      <c r="J715" cm="1">
        <f t="array" ref="J715">IF(OR(AND(I715=9,J$1&gt;YEAR($N715))),9,_xlfn.IFNA(INDEX($D$2:$D$4001,_xlfn.XMATCH(J$1&amp;"-"&amp;$F715,YEAR($B$2:$B$4001)&amp;"-"&amp;$A$2:$A$4001,0,-1)),I715))</f>
        <v>9</v>
      </c>
      <c r="K715" cm="1">
        <f t="array" ref="K715">IF(OR(AND(J715=9,K$1&gt;YEAR($N715))),9,_xlfn.IFNA(INDEX($D$2:$D$4001,_xlfn.XMATCH(K$1&amp;"-"&amp;$F715,YEAR($B$2:$B$4001)&amp;"-"&amp;$A$2:$A$4001,0,-1)),J715))</f>
        <v>6</v>
      </c>
      <c r="L715" cm="1">
        <f t="array" ref="L715">IF(OR(AND(K715=9,L$1&gt;YEAR($N715))),9,_xlfn.IFNA(INDEX($D$2:$D$4001,_xlfn.XMATCH(L$1&amp;"-"&amp;$F715,YEAR($B$2:$B$4001)&amp;"-"&amp;$A$2:$A$4001,0,-1)),K715))</f>
        <v>6</v>
      </c>
      <c r="M715" cm="1">
        <f t="array" ref="M715">IF(OR(AND(L715=9,M$1&gt;YEAR($N715))),9,_xlfn.IFNA(INDEX($D$2:$D$4001,_xlfn.XMATCH(M$1&amp;"-"&amp;$F715,YEAR($B$2:$B$4001)&amp;"-"&amp;$A$2:$A$4001,0,-1)),L715))</f>
        <v>6</v>
      </c>
      <c r="N715" s="1">
        <f t="shared" si="11"/>
        <v>37765</v>
      </c>
    </row>
    <row r="716" spans="1:14" x14ac:dyDescent="0.35">
      <c r="A716">
        <v>344</v>
      </c>
      <c r="B716" s="2">
        <v>37041</v>
      </c>
      <c r="C716">
        <v>4</v>
      </c>
      <c r="D716">
        <v>4</v>
      </c>
      <c r="F716">
        <v>715</v>
      </c>
      <c r="G716" cm="1">
        <f t="array" ref="G716">_xlfn.IFNA(INDEX($D$2:$D$4001,_xlfn.XMATCH(G$1&amp;"-"&amp;$F716,YEAR($B$2:$B$4001)&amp;"-"&amp;$A$2:$A$4001,0,-1)),9)</f>
        <v>9</v>
      </c>
      <c r="H716" cm="1">
        <f t="array" ref="H716">IF(OR(AND(G716=9,H$1&gt;YEAR($N716))),9,_xlfn.IFNA(INDEX($D$2:$D$4001,_xlfn.XMATCH(H$1&amp;"-"&amp;$F716,YEAR($B$2:$B$4001)&amp;"-"&amp;$A$2:$A$4001,0,-1)),G716))</f>
        <v>2</v>
      </c>
      <c r="I716" cm="1">
        <f t="array" ref="I716">IF(OR(AND(H716=9,I$1&gt;YEAR($N716))),9,_xlfn.IFNA(INDEX($D$2:$D$4001,_xlfn.XMATCH(I$1&amp;"-"&amp;$F716,YEAR($B$2:$B$4001)&amp;"-"&amp;$A$2:$A$4001,0,-1)),H716))</f>
        <v>2</v>
      </c>
      <c r="J716" cm="1">
        <f t="array" ref="J716">IF(OR(AND(I716=9,J$1&gt;YEAR($N716))),9,_xlfn.IFNA(INDEX($D$2:$D$4001,_xlfn.XMATCH(J$1&amp;"-"&amp;$F716,YEAR($B$2:$B$4001)&amp;"-"&amp;$A$2:$A$4001,0,-1)),I716))</f>
        <v>2</v>
      </c>
      <c r="K716" cm="1">
        <f t="array" ref="K716">IF(OR(AND(J716=9,K$1&gt;YEAR($N716))),9,_xlfn.IFNA(INDEX($D$2:$D$4001,_xlfn.XMATCH(K$1&amp;"-"&amp;$F716,YEAR($B$2:$B$4001)&amp;"-"&amp;$A$2:$A$4001,0,-1)),J716))</f>
        <v>2</v>
      </c>
      <c r="L716" cm="1">
        <f t="array" ref="L716">IF(OR(AND(K716=9,L$1&gt;YEAR($N716))),9,_xlfn.IFNA(INDEX($D$2:$D$4001,_xlfn.XMATCH(L$1&amp;"-"&amp;$F716,YEAR($B$2:$B$4001)&amp;"-"&amp;$A$2:$A$4001,0,-1)),K716))</f>
        <v>2</v>
      </c>
      <c r="M716" cm="1">
        <f t="array" ref="M716">IF(OR(AND(L716=9,M$1&gt;YEAR($N716))),9,_xlfn.IFNA(INDEX($D$2:$D$4001,_xlfn.XMATCH(M$1&amp;"-"&amp;$F716,YEAR($B$2:$B$4001)&amp;"-"&amp;$A$2:$A$4001,0,-1)),L716))</f>
        <v>2</v>
      </c>
      <c r="N716" s="1">
        <f t="shared" si="11"/>
        <v>36860</v>
      </c>
    </row>
    <row r="717" spans="1:14" x14ac:dyDescent="0.35">
      <c r="A717">
        <v>345</v>
      </c>
      <c r="B717" s="2">
        <v>36310</v>
      </c>
      <c r="C717">
        <v>5</v>
      </c>
      <c r="D717">
        <v>5</v>
      </c>
      <c r="F717">
        <v>716</v>
      </c>
      <c r="G717" cm="1">
        <f t="array" ref="G717">_xlfn.IFNA(INDEX($D$2:$D$4001,_xlfn.XMATCH(G$1&amp;"-"&amp;$F717,YEAR($B$2:$B$4001)&amp;"-"&amp;$A$2:$A$4001,0,-1)),9)</f>
        <v>6</v>
      </c>
      <c r="H717" cm="1">
        <f t="array" ref="H717">IF(OR(AND(G717=9,H$1&gt;YEAR($N717))),9,_xlfn.IFNA(INDEX($D$2:$D$4001,_xlfn.XMATCH(H$1&amp;"-"&amp;$F717,YEAR($B$2:$B$4001)&amp;"-"&amp;$A$2:$A$4001,0,-1)),G717))</f>
        <v>6</v>
      </c>
      <c r="I717" cm="1">
        <f t="array" ref="I717">IF(OR(AND(H717=9,I$1&gt;YEAR($N717))),9,_xlfn.IFNA(INDEX($D$2:$D$4001,_xlfn.XMATCH(I$1&amp;"-"&amp;$F717,YEAR($B$2:$B$4001)&amp;"-"&amp;$A$2:$A$4001,0,-1)),H717))</f>
        <v>6</v>
      </c>
      <c r="J717" cm="1">
        <f t="array" ref="J717">IF(OR(AND(I717=9,J$1&gt;YEAR($N717))),9,_xlfn.IFNA(INDEX($D$2:$D$4001,_xlfn.XMATCH(J$1&amp;"-"&amp;$F717,YEAR($B$2:$B$4001)&amp;"-"&amp;$A$2:$A$4001,0,-1)),I717))</f>
        <v>6</v>
      </c>
      <c r="K717" cm="1">
        <f t="array" ref="K717">IF(OR(AND(J717=9,K$1&gt;YEAR($N717))),9,_xlfn.IFNA(INDEX($D$2:$D$4001,_xlfn.XMATCH(K$1&amp;"-"&amp;$F717,YEAR($B$2:$B$4001)&amp;"-"&amp;$A$2:$A$4001,0,-1)),J717))</f>
        <v>6</v>
      </c>
      <c r="L717" cm="1">
        <f t="array" ref="L717">IF(OR(AND(K717=9,L$1&gt;YEAR($N717))),9,_xlfn.IFNA(INDEX($D$2:$D$4001,_xlfn.XMATCH(L$1&amp;"-"&amp;$F717,YEAR($B$2:$B$4001)&amp;"-"&amp;$A$2:$A$4001,0,-1)),K717))</f>
        <v>6</v>
      </c>
      <c r="M717" cm="1">
        <f t="array" ref="M717">IF(OR(AND(L717=9,M$1&gt;YEAR($N717))),9,_xlfn.IFNA(INDEX($D$2:$D$4001,_xlfn.XMATCH(M$1&amp;"-"&amp;$F717,YEAR($B$2:$B$4001)&amp;"-"&amp;$A$2:$A$4001,0,-1)),L717))</f>
        <v>6</v>
      </c>
      <c r="N717" s="1">
        <f t="shared" si="11"/>
        <v>36524</v>
      </c>
    </row>
    <row r="718" spans="1:14" x14ac:dyDescent="0.35">
      <c r="A718">
        <v>345</v>
      </c>
      <c r="B718" s="2">
        <v>36667</v>
      </c>
      <c r="C718">
        <v>5</v>
      </c>
      <c r="D718">
        <v>5</v>
      </c>
      <c r="F718">
        <v>717</v>
      </c>
      <c r="G718" cm="1">
        <f t="array" ref="G718">_xlfn.IFNA(INDEX($D$2:$D$4001,_xlfn.XMATCH(G$1&amp;"-"&amp;$F718,YEAR($B$2:$B$4001)&amp;"-"&amp;$A$2:$A$4001,0,-1)),9)</f>
        <v>9</v>
      </c>
      <c r="H718" cm="1">
        <f t="array" ref="H718">IF(OR(AND(G718=9,H$1&gt;YEAR($N718))),9,_xlfn.IFNA(INDEX($D$2:$D$4001,_xlfn.XMATCH(H$1&amp;"-"&amp;$F718,YEAR($B$2:$B$4001)&amp;"-"&amp;$A$2:$A$4001,0,-1)),G718))</f>
        <v>3</v>
      </c>
      <c r="I718" cm="1">
        <f t="array" ref="I718">IF(OR(AND(H718=9,I$1&gt;YEAR($N718))),9,_xlfn.IFNA(INDEX($D$2:$D$4001,_xlfn.XMATCH(I$1&amp;"-"&amp;$F718,YEAR($B$2:$B$4001)&amp;"-"&amp;$A$2:$A$4001,0,-1)),H718))</f>
        <v>4</v>
      </c>
      <c r="J718" cm="1">
        <f t="array" ref="J718">IF(OR(AND(I718=9,J$1&gt;YEAR($N718))),9,_xlfn.IFNA(INDEX($D$2:$D$4001,_xlfn.XMATCH(J$1&amp;"-"&amp;$F718,YEAR($B$2:$B$4001)&amp;"-"&amp;$A$2:$A$4001,0,-1)),I718))</f>
        <v>4</v>
      </c>
      <c r="K718" cm="1">
        <f t="array" ref="K718">IF(OR(AND(J718=9,K$1&gt;YEAR($N718))),9,_xlfn.IFNA(INDEX($D$2:$D$4001,_xlfn.XMATCH(K$1&amp;"-"&amp;$F718,YEAR($B$2:$B$4001)&amp;"-"&amp;$A$2:$A$4001,0,-1)),J718))</f>
        <v>4</v>
      </c>
      <c r="L718" cm="1">
        <f t="array" ref="L718">IF(OR(AND(K718=9,L$1&gt;YEAR($N718))),9,_xlfn.IFNA(INDEX($D$2:$D$4001,_xlfn.XMATCH(L$1&amp;"-"&amp;$F718,YEAR($B$2:$B$4001)&amp;"-"&amp;$A$2:$A$4001,0,-1)),K718))</f>
        <v>4</v>
      </c>
      <c r="M718" cm="1">
        <f t="array" ref="M718">IF(OR(AND(L718=9,M$1&gt;YEAR($N718))),9,_xlfn.IFNA(INDEX($D$2:$D$4001,_xlfn.XMATCH(M$1&amp;"-"&amp;$F718,YEAR($B$2:$B$4001)&amp;"-"&amp;$A$2:$A$4001,0,-1)),L718))</f>
        <v>4</v>
      </c>
      <c r="N718" s="1">
        <f t="shared" si="11"/>
        <v>36890</v>
      </c>
    </row>
    <row r="719" spans="1:14" x14ac:dyDescent="0.35">
      <c r="A719">
        <v>345</v>
      </c>
      <c r="B719" s="2">
        <v>36890</v>
      </c>
      <c r="C719">
        <v>0</v>
      </c>
      <c r="D719">
        <v>0</v>
      </c>
      <c r="F719">
        <v>718</v>
      </c>
      <c r="G719" cm="1">
        <f t="array" ref="G719">_xlfn.IFNA(INDEX($D$2:$D$4001,_xlfn.XMATCH(G$1&amp;"-"&amp;$F719,YEAR($B$2:$B$4001)&amp;"-"&amp;$A$2:$A$4001,0,-1)),9)</f>
        <v>9</v>
      </c>
      <c r="H719" cm="1">
        <f t="array" ref="H719">IF(OR(AND(G719=9,H$1&gt;YEAR($N719))),9,_xlfn.IFNA(INDEX($D$2:$D$4001,_xlfn.XMATCH(H$1&amp;"-"&amp;$F719,YEAR($B$2:$B$4001)&amp;"-"&amp;$A$2:$A$4001,0,-1)),G719))</f>
        <v>9</v>
      </c>
      <c r="I719" cm="1">
        <f t="array" ref="I719">IF(OR(AND(H719=9,I$1&gt;YEAR($N719))),9,_xlfn.IFNA(INDEX($D$2:$D$4001,_xlfn.XMATCH(I$1&amp;"-"&amp;$F719,YEAR($B$2:$B$4001)&amp;"-"&amp;$A$2:$A$4001,0,-1)),H719))</f>
        <v>9</v>
      </c>
      <c r="J719" cm="1">
        <f t="array" ref="J719">IF(OR(AND(I719=9,J$1&gt;YEAR($N719))),9,_xlfn.IFNA(INDEX($D$2:$D$4001,_xlfn.XMATCH(J$1&amp;"-"&amp;$F719,YEAR($B$2:$B$4001)&amp;"-"&amp;$A$2:$A$4001,0,-1)),I719))</f>
        <v>9</v>
      </c>
      <c r="K719" cm="1">
        <f t="array" ref="K719">IF(OR(AND(J719=9,K$1&gt;YEAR($N719))),9,_xlfn.IFNA(INDEX($D$2:$D$4001,_xlfn.XMATCH(K$1&amp;"-"&amp;$F719,YEAR($B$2:$B$4001)&amp;"-"&amp;$A$2:$A$4001,0,-1)),J719))</f>
        <v>4</v>
      </c>
      <c r="L719" cm="1">
        <f t="array" ref="L719">IF(OR(AND(K719=9,L$1&gt;YEAR($N719))),9,_xlfn.IFNA(INDEX($D$2:$D$4001,_xlfn.XMATCH(L$1&amp;"-"&amp;$F719,YEAR($B$2:$B$4001)&amp;"-"&amp;$A$2:$A$4001,0,-1)),K719))</f>
        <v>4</v>
      </c>
      <c r="M719" cm="1">
        <f t="array" ref="M719">IF(OR(AND(L719=9,M$1&gt;YEAR($N719))),9,_xlfn.IFNA(INDEX($D$2:$D$4001,_xlfn.XMATCH(M$1&amp;"-"&amp;$F719,YEAR($B$2:$B$4001)&amp;"-"&amp;$A$2:$A$4001,0,-1)),L719))</f>
        <v>4</v>
      </c>
      <c r="N719" s="1">
        <f t="shared" si="11"/>
        <v>37771</v>
      </c>
    </row>
    <row r="720" spans="1:14" x14ac:dyDescent="0.35">
      <c r="A720">
        <v>345</v>
      </c>
      <c r="B720" s="2">
        <v>37397</v>
      </c>
      <c r="C720">
        <v>5</v>
      </c>
      <c r="D720">
        <v>5</v>
      </c>
      <c r="F720">
        <v>719</v>
      </c>
      <c r="G720" cm="1">
        <f t="array" ref="G720">_xlfn.IFNA(INDEX($D$2:$D$4001,_xlfn.XMATCH(G$1&amp;"-"&amp;$F720,YEAR($B$2:$B$4001)&amp;"-"&amp;$A$2:$A$4001,0,-1)),9)</f>
        <v>9</v>
      </c>
      <c r="H720" cm="1">
        <f t="array" ref="H720">IF(OR(AND(G720=9,H$1&gt;YEAR($N720))),9,_xlfn.IFNA(INDEX($D$2:$D$4001,_xlfn.XMATCH(H$1&amp;"-"&amp;$F720,YEAR($B$2:$B$4001)&amp;"-"&amp;$A$2:$A$4001,0,-1)),G720))</f>
        <v>9</v>
      </c>
      <c r="I720" cm="1">
        <f t="array" ref="I720">IF(OR(AND(H720=9,I$1&gt;YEAR($N720))),9,_xlfn.IFNA(INDEX($D$2:$D$4001,_xlfn.XMATCH(I$1&amp;"-"&amp;$F720,YEAR($B$2:$B$4001)&amp;"-"&amp;$A$2:$A$4001,0,-1)),H720))</f>
        <v>9</v>
      </c>
      <c r="J720" cm="1">
        <f t="array" ref="J720">IF(OR(AND(I720=9,J$1&gt;YEAR($N720))),9,_xlfn.IFNA(INDEX($D$2:$D$4001,_xlfn.XMATCH(J$1&amp;"-"&amp;$F720,YEAR($B$2:$B$4001)&amp;"-"&amp;$A$2:$A$4001,0,-1)),I720))</f>
        <v>2</v>
      </c>
      <c r="K720" cm="1">
        <f t="array" ref="K720">IF(OR(AND(J720=9,K$1&gt;YEAR($N720))),9,_xlfn.IFNA(INDEX($D$2:$D$4001,_xlfn.XMATCH(K$1&amp;"-"&amp;$F720,YEAR($B$2:$B$4001)&amp;"-"&amp;$A$2:$A$4001,0,-1)),J720))</f>
        <v>2</v>
      </c>
      <c r="L720" cm="1">
        <f t="array" ref="L720">IF(OR(AND(K720=9,L$1&gt;YEAR($N720))),9,_xlfn.IFNA(INDEX($D$2:$D$4001,_xlfn.XMATCH(L$1&amp;"-"&amp;$F720,YEAR($B$2:$B$4001)&amp;"-"&amp;$A$2:$A$4001,0,-1)),K720))</f>
        <v>2</v>
      </c>
      <c r="M720" cm="1">
        <f t="array" ref="M720">IF(OR(AND(L720=9,M$1&gt;YEAR($N720))),9,_xlfn.IFNA(INDEX($D$2:$D$4001,_xlfn.XMATCH(M$1&amp;"-"&amp;$F720,YEAR($B$2:$B$4001)&amp;"-"&amp;$A$2:$A$4001,0,-1)),L720))</f>
        <v>2</v>
      </c>
      <c r="N720" s="1">
        <f t="shared" si="11"/>
        <v>37620</v>
      </c>
    </row>
    <row r="721" spans="1:14" x14ac:dyDescent="0.35">
      <c r="A721">
        <v>345</v>
      </c>
      <c r="B721" s="2">
        <v>38502</v>
      </c>
      <c r="C721">
        <v>0</v>
      </c>
      <c r="D721">
        <v>0</v>
      </c>
      <c r="F721">
        <v>720</v>
      </c>
      <c r="G721" cm="1">
        <f t="array" ref="G721">_xlfn.IFNA(INDEX($D$2:$D$4001,_xlfn.XMATCH(G$1&amp;"-"&amp;$F721,YEAR($B$2:$B$4001)&amp;"-"&amp;$A$2:$A$4001,0,-1)),9)</f>
        <v>9</v>
      </c>
      <c r="H721" cm="1">
        <f t="array" ref="H721">IF(OR(AND(G721=9,H$1&gt;YEAR($N721))),9,_xlfn.IFNA(INDEX($D$2:$D$4001,_xlfn.XMATCH(H$1&amp;"-"&amp;$F721,YEAR($B$2:$B$4001)&amp;"-"&amp;$A$2:$A$4001,0,-1)),G721))</f>
        <v>5</v>
      </c>
      <c r="I721" cm="1">
        <f t="array" ref="I721">IF(OR(AND(H721=9,I$1&gt;YEAR($N721))),9,_xlfn.IFNA(INDEX($D$2:$D$4001,_xlfn.XMATCH(I$1&amp;"-"&amp;$F721,YEAR($B$2:$B$4001)&amp;"-"&amp;$A$2:$A$4001,0,-1)),H721))</f>
        <v>5</v>
      </c>
      <c r="J721" cm="1">
        <f t="array" ref="J721">IF(OR(AND(I721=9,J$1&gt;YEAR($N721))),9,_xlfn.IFNA(INDEX($D$2:$D$4001,_xlfn.XMATCH(J$1&amp;"-"&amp;$F721,YEAR($B$2:$B$4001)&amp;"-"&amp;$A$2:$A$4001,0,-1)),I721))</f>
        <v>5</v>
      </c>
      <c r="K721" cm="1">
        <f t="array" ref="K721">IF(OR(AND(J721=9,K$1&gt;YEAR($N721))),9,_xlfn.IFNA(INDEX($D$2:$D$4001,_xlfn.XMATCH(K$1&amp;"-"&amp;$F721,YEAR($B$2:$B$4001)&amp;"-"&amp;$A$2:$A$4001,0,-1)),J721))</f>
        <v>5</v>
      </c>
      <c r="L721" cm="1">
        <f t="array" ref="L721">IF(OR(AND(K721=9,L$1&gt;YEAR($N721))),9,_xlfn.IFNA(INDEX($D$2:$D$4001,_xlfn.XMATCH(L$1&amp;"-"&amp;$F721,YEAR($B$2:$B$4001)&amp;"-"&amp;$A$2:$A$4001,0,-1)),K721))</f>
        <v>4</v>
      </c>
      <c r="M721" cm="1">
        <f t="array" ref="M721">IF(OR(AND(L721=9,M$1&gt;YEAR($N721))),9,_xlfn.IFNA(INDEX($D$2:$D$4001,_xlfn.XMATCH(M$1&amp;"-"&amp;$F721,YEAR($B$2:$B$4001)&amp;"-"&amp;$A$2:$A$4001,0,-1)),L721))</f>
        <v>3</v>
      </c>
      <c r="N721" s="1">
        <f t="shared" si="11"/>
        <v>36829</v>
      </c>
    </row>
    <row r="722" spans="1:14" x14ac:dyDescent="0.35">
      <c r="A722">
        <v>346</v>
      </c>
      <c r="B722" s="2">
        <v>37255</v>
      </c>
      <c r="C722">
        <v>4</v>
      </c>
      <c r="D722">
        <v>4</v>
      </c>
      <c r="F722">
        <v>721</v>
      </c>
      <c r="G722" cm="1">
        <f t="array" ref="G722">_xlfn.IFNA(INDEX($D$2:$D$4001,_xlfn.XMATCH(G$1&amp;"-"&amp;$F722,YEAR($B$2:$B$4001)&amp;"-"&amp;$A$2:$A$4001,0,-1)),9)</f>
        <v>5</v>
      </c>
      <c r="H722" cm="1">
        <f t="array" ref="H722">IF(OR(AND(G722=9,H$1&gt;YEAR($N722))),9,_xlfn.IFNA(INDEX($D$2:$D$4001,_xlfn.XMATCH(H$1&amp;"-"&amp;$F722,YEAR($B$2:$B$4001)&amp;"-"&amp;$A$2:$A$4001,0,-1)),G722))</f>
        <v>5</v>
      </c>
      <c r="I722" cm="1">
        <f t="array" ref="I722">IF(OR(AND(H722=9,I$1&gt;YEAR($N722))),9,_xlfn.IFNA(INDEX($D$2:$D$4001,_xlfn.XMATCH(I$1&amp;"-"&amp;$F722,YEAR($B$2:$B$4001)&amp;"-"&amp;$A$2:$A$4001,0,-1)),H722))</f>
        <v>5</v>
      </c>
      <c r="J722" cm="1">
        <f t="array" ref="J722">IF(OR(AND(I722=9,J$1&gt;YEAR($N722))),9,_xlfn.IFNA(INDEX($D$2:$D$4001,_xlfn.XMATCH(J$1&amp;"-"&amp;$F722,YEAR($B$2:$B$4001)&amp;"-"&amp;$A$2:$A$4001,0,-1)),I722))</f>
        <v>5</v>
      </c>
      <c r="K722" cm="1">
        <f t="array" ref="K722">IF(OR(AND(J722=9,K$1&gt;YEAR($N722))),9,_xlfn.IFNA(INDEX($D$2:$D$4001,_xlfn.XMATCH(K$1&amp;"-"&amp;$F722,YEAR($B$2:$B$4001)&amp;"-"&amp;$A$2:$A$4001,0,-1)),J722))</f>
        <v>5</v>
      </c>
      <c r="L722" cm="1">
        <f t="array" ref="L722">IF(OR(AND(K722=9,L$1&gt;YEAR($N722))),9,_xlfn.IFNA(INDEX($D$2:$D$4001,_xlfn.XMATCH(L$1&amp;"-"&amp;$F722,YEAR($B$2:$B$4001)&amp;"-"&amp;$A$2:$A$4001,0,-1)),K722))</f>
        <v>6</v>
      </c>
      <c r="M722" cm="1">
        <f t="array" ref="M722">IF(OR(AND(L722=9,M$1&gt;YEAR($N722))),9,_xlfn.IFNA(INDEX($D$2:$D$4001,_xlfn.XMATCH(M$1&amp;"-"&amp;$F722,YEAR($B$2:$B$4001)&amp;"-"&amp;$A$2:$A$4001,0,-1)),L722))</f>
        <v>0</v>
      </c>
      <c r="N722" s="1">
        <f t="shared" si="11"/>
        <v>36524</v>
      </c>
    </row>
    <row r="723" spans="1:14" x14ac:dyDescent="0.35">
      <c r="A723">
        <v>346</v>
      </c>
      <c r="B723" s="2">
        <v>37620</v>
      </c>
      <c r="C723">
        <v>5</v>
      </c>
      <c r="D723">
        <v>5</v>
      </c>
      <c r="F723">
        <v>722</v>
      </c>
      <c r="G723" cm="1">
        <f t="array" ref="G723">_xlfn.IFNA(INDEX($D$2:$D$4001,_xlfn.XMATCH(G$1&amp;"-"&amp;$F723,YEAR($B$2:$B$4001)&amp;"-"&amp;$A$2:$A$4001,0,-1)),9)</f>
        <v>9</v>
      </c>
      <c r="H723" cm="1">
        <f t="array" ref="H723">IF(OR(AND(G723=9,H$1&gt;YEAR($N723))),9,_xlfn.IFNA(INDEX($D$2:$D$4001,_xlfn.XMATCH(H$1&amp;"-"&amp;$F723,YEAR($B$2:$B$4001)&amp;"-"&amp;$A$2:$A$4001,0,-1)),G723))</f>
        <v>9</v>
      </c>
      <c r="I723" cm="1">
        <f t="array" ref="I723">IF(OR(AND(H723=9,I$1&gt;YEAR($N723))),9,_xlfn.IFNA(INDEX($D$2:$D$4001,_xlfn.XMATCH(I$1&amp;"-"&amp;$F723,YEAR($B$2:$B$4001)&amp;"-"&amp;$A$2:$A$4001,0,-1)),H723))</f>
        <v>9</v>
      </c>
      <c r="J723" cm="1">
        <f t="array" ref="J723">IF(OR(AND(I723=9,J$1&gt;YEAR($N723))),9,_xlfn.IFNA(INDEX($D$2:$D$4001,_xlfn.XMATCH(J$1&amp;"-"&amp;$F723,YEAR($B$2:$B$4001)&amp;"-"&amp;$A$2:$A$4001,0,-1)),I723))</f>
        <v>9</v>
      </c>
      <c r="K723" cm="1">
        <f t="array" ref="K723">IF(OR(AND(J723=9,K$1&gt;YEAR($N723))),9,_xlfn.IFNA(INDEX($D$2:$D$4001,_xlfn.XMATCH(K$1&amp;"-"&amp;$F723,YEAR($B$2:$B$4001)&amp;"-"&amp;$A$2:$A$4001,0,-1)),J723))</f>
        <v>6</v>
      </c>
      <c r="L723" cm="1">
        <f t="array" ref="L723">IF(OR(AND(K723=9,L$1&gt;YEAR($N723))),9,_xlfn.IFNA(INDEX($D$2:$D$4001,_xlfn.XMATCH(L$1&amp;"-"&amp;$F723,YEAR($B$2:$B$4001)&amp;"-"&amp;$A$2:$A$4001,0,-1)),K723))</f>
        <v>6</v>
      </c>
      <c r="M723" cm="1">
        <f t="array" ref="M723">IF(OR(AND(L723=9,M$1&gt;YEAR($N723))),9,_xlfn.IFNA(INDEX($D$2:$D$4001,_xlfn.XMATCH(M$1&amp;"-"&amp;$F723,YEAR($B$2:$B$4001)&amp;"-"&amp;$A$2:$A$4001,0,-1)),L723))</f>
        <v>6</v>
      </c>
      <c r="N723" s="1">
        <f t="shared" si="11"/>
        <v>37885</v>
      </c>
    </row>
    <row r="724" spans="1:14" x14ac:dyDescent="0.35">
      <c r="A724">
        <v>347</v>
      </c>
      <c r="B724" s="2">
        <v>38351</v>
      </c>
      <c r="C724">
        <v>4</v>
      </c>
      <c r="D724">
        <v>4</v>
      </c>
      <c r="F724">
        <v>723</v>
      </c>
      <c r="G724" cm="1">
        <f t="array" ref="G724">_xlfn.IFNA(INDEX($D$2:$D$4001,_xlfn.XMATCH(G$1&amp;"-"&amp;$F724,YEAR($B$2:$B$4001)&amp;"-"&amp;$A$2:$A$4001,0,-1)),9)</f>
        <v>9</v>
      </c>
      <c r="H724" cm="1">
        <f t="array" ref="H724">IF(OR(AND(G724=9,H$1&gt;YEAR($N724))),9,_xlfn.IFNA(INDEX($D$2:$D$4001,_xlfn.XMATCH(H$1&amp;"-"&amp;$F724,YEAR($B$2:$B$4001)&amp;"-"&amp;$A$2:$A$4001,0,-1)),G724))</f>
        <v>0</v>
      </c>
      <c r="I724" cm="1">
        <f t="array" ref="I724">IF(OR(AND(H724=9,I$1&gt;YEAR($N724))),9,_xlfn.IFNA(INDEX($D$2:$D$4001,_xlfn.XMATCH(I$1&amp;"-"&amp;$F724,YEAR($B$2:$B$4001)&amp;"-"&amp;$A$2:$A$4001,0,-1)),H724))</f>
        <v>0</v>
      </c>
      <c r="J724" cm="1">
        <f t="array" ref="J724">IF(OR(AND(I724=9,J$1&gt;YEAR($N724))),9,_xlfn.IFNA(INDEX($D$2:$D$4001,_xlfn.XMATCH(J$1&amp;"-"&amp;$F724,YEAR($B$2:$B$4001)&amp;"-"&amp;$A$2:$A$4001,0,-1)),I724))</f>
        <v>0</v>
      </c>
      <c r="K724" cm="1">
        <f t="array" ref="K724">IF(OR(AND(J724=9,K$1&gt;YEAR($N724))),9,_xlfn.IFNA(INDEX($D$2:$D$4001,_xlfn.XMATCH(K$1&amp;"-"&amp;$F724,YEAR($B$2:$B$4001)&amp;"-"&amp;$A$2:$A$4001,0,-1)),J724))</f>
        <v>0</v>
      </c>
      <c r="L724" cm="1">
        <f t="array" ref="L724">IF(OR(AND(K724=9,L$1&gt;YEAR($N724))),9,_xlfn.IFNA(INDEX($D$2:$D$4001,_xlfn.XMATCH(L$1&amp;"-"&amp;$F724,YEAR($B$2:$B$4001)&amp;"-"&amp;$A$2:$A$4001,0,-1)),K724))</f>
        <v>0</v>
      </c>
      <c r="M724" cm="1">
        <f t="array" ref="M724">IF(OR(AND(L724=9,M$1&gt;YEAR($N724))),9,_xlfn.IFNA(INDEX($D$2:$D$4001,_xlfn.XMATCH(M$1&amp;"-"&amp;$F724,YEAR($B$2:$B$4001)&amp;"-"&amp;$A$2:$A$4001,0,-1)),L724))</f>
        <v>0</v>
      </c>
      <c r="N724" s="1">
        <f t="shared" si="11"/>
        <v>36820</v>
      </c>
    </row>
    <row r="725" spans="1:14" x14ac:dyDescent="0.35">
      <c r="A725">
        <v>348</v>
      </c>
      <c r="B725" s="2">
        <v>36301</v>
      </c>
      <c r="C725">
        <v>3</v>
      </c>
      <c r="D725">
        <v>3</v>
      </c>
      <c r="F725">
        <v>724</v>
      </c>
      <c r="G725" cm="1">
        <f t="array" ref="G725">_xlfn.IFNA(INDEX($D$2:$D$4001,_xlfn.XMATCH(G$1&amp;"-"&amp;$F725,YEAR($B$2:$B$4001)&amp;"-"&amp;$A$2:$A$4001,0,-1)),9)</f>
        <v>9</v>
      </c>
      <c r="H725" cm="1">
        <f t="array" ref="H725">IF(OR(AND(G725=9,H$1&gt;YEAR($N725))),9,_xlfn.IFNA(INDEX($D$2:$D$4001,_xlfn.XMATCH(H$1&amp;"-"&amp;$F725,YEAR($B$2:$B$4001)&amp;"-"&amp;$A$2:$A$4001,0,-1)),G725))</f>
        <v>4</v>
      </c>
      <c r="I725" cm="1">
        <f t="array" ref="I725">IF(OR(AND(H725=9,I$1&gt;YEAR($N725))),9,_xlfn.IFNA(INDEX($D$2:$D$4001,_xlfn.XMATCH(I$1&amp;"-"&amp;$F725,YEAR($B$2:$B$4001)&amp;"-"&amp;$A$2:$A$4001,0,-1)),H725))</f>
        <v>4</v>
      </c>
      <c r="J725" cm="1">
        <f t="array" ref="J725">IF(OR(AND(I725=9,J$1&gt;YEAR($N725))),9,_xlfn.IFNA(INDEX($D$2:$D$4001,_xlfn.XMATCH(J$1&amp;"-"&amp;$F725,YEAR($B$2:$B$4001)&amp;"-"&amp;$A$2:$A$4001,0,-1)),I725))</f>
        <v>4</v>
      </c>
      <c r="K725" cm="1">
        <f t="array" ref="K725">IF(OR(AND(J725=9,K$1&gt;YEAR($N725))),9,_xlfn.IFNA(INDEX($D$2:$D$4001,_xlfn.XMATCH(K$1&amp;"-"&amp;$F725,YEAR($B$2:$B$4001)&amp;"-"&amp;$A$2:$A$4001,0,-1)),J725))</f>
        <v>6</v>
      </c>
      <c r="L725" cm="1">
        <f t="array" ref="L725">IF(OR(AND(K725=9,L$1&gt;YEAR($N725))),9,_xlfn.IFNA(INDEX($D$2:$D$4001,_xlfn.XMATCH(L$1&amp;"-"&amp;$F725,YEAR($B$2:$B$4001)&amp;"-"&amp;$A$2:$A$4001,0,-1)),K725))</f>
        <v>6</v>
      </c>
      <c r="M725" cm="1">
        <f t="array" ref="M725">IF(OR(AND(L725=9,M$1&gt;YEAR($N725))),9,_xlfn.IFNA(INDEX($D$2:$D$4001,_xlfn.XMATCH(M$1&amp;"-"&amp;$F725,YEAR($B$2:$B$4001)&amp;"-"&amp;$A$2:$A$4001,0,-1)),L725))</f>
        <v>6</v>
      </c>
      <c r="N725" s="1">
        <f t="shared" si="11"/>
        <v>36890</v>
      </c>
    </row>
    <row r="726" spans="1:14" x14ac:dyDescent="0.35">
      <c r="A726">
        <v>348</v>
      </c>
      <c r="B726" s="2">
        <v>38168</v>
      </c>
      <c r="C726">
        <v>3</v>
      </c>
      <c r="D726">
        <v>3</v>
      </c>
      <c r="F726">
        <v>725</v>
      </c>
      <c r="G726" cm="1">
        <f t="array" ref="G726">_xlfn.IFNA(INDEX($D$2:$D$4001,_xlfn.XMATCH(G$1&amp;"-"&amp;$F726,YEAR($B$2:$B$4001)&amp;"-"&amp;$A$2:$A$4001,0,-1)),9)</f>
        <v>9</v>
      </c>
      <c r="H726" cm="1">
        <f t="array" ref="H726">IF(OR(AND(G726=9,H$1&gt;YEAR($N726))),9,_xlfn.IFNA(INDEX($D$2:$D$4001,_xlfn.XMATCH(H$1&amp;"-"&amp;$F726,YEAR($B$2:$B$4001)&amp;"-"&amp;$A$2:$A$4001,0,-1)),G726))</f>
        <v>9</v>
      </c>
      <c r="I726" cm="1">
        <f t="array" ref="I726">IF(OR(AND(H726=9,I$1&gt;YEAR($N726))),9,_xlfn.IFNA(INDEX($D$2:$D$4001,_xlfn.XMATCH(I$1&amp;"-"&amp;$F726,YEAR($B$2:$B$4001)&amp;"-"&amp;$A$2:$A$4001,0,-1)),H726))</f>
        <v>0</v>
      </c>
      <c r="J726" cm="1">
        <f t="array" ref="J726">IF(OR(AND(I726=9,J$1&gt;YEAR($N726))),9,_xlfn.IFNA(INDEX($D$2:$D$4001,_xlfn.XMATCH(J$1&amp;"-"&amp;$F726,YEAR($B$2:$B$4001)&amp;"-"&amp;$A$2:$A$4001,0,-1)),I726))</f>
        <v>0</v>
      </c>
      <c r="K726" cm="1">
        <f t="array" ref="K726">IF(OR(AND(J726=9,K$1&gt;YEAR($N726))),9,_xlfn.IFNA(INDEX($D$2:$D$4001,_xlfn.XMATCH(K$1&amp;"-"&amp;$F726,YEAR($B$2:$B$4001)&amp;"-"&amp;$A$2:$A$4001,0,-1)),J726))</f>
        <v>0</v>
      </c>
      <c r="L726" cm="1">
        <f t="array" ref="L726">IF(OR(AND(K726=9,L$1&gt;YEAR($N726))),9,_xlfn.IFNA(INDEX($D$2:$D$4001,_xlfn.XMATCH(L$1&amp;"-"&amp;$F726,YEAR($B$2:$B$4001)&amp;"-"&amp;$A$2:$A$4001,0,-1)),K726))</f>
        <v>0</v>
      </c>
      <c r="M726" cm="1">
        <f t="array" ref="M726">IF(OR(AND(L726=9,M$1&gt;YEAR($N726))),9,_xlfn.IFNA(INDEX($D$2:$D$4001,_xlfn.XMATCH(M$1&amp;"-"&amp;$F726,YEAR($B$2:$B$4001)&amp;"-"&amp;$A$2:$A$4001,0,-1)),L726))</f>
        <v>0</v>
      </c>
      <c r="N726" s="1">
        <f t="shared" si="11"/>
        <v>37194</v>
      </c>
    </row>
    <row r="727" spans="1:14" x14ac:dyDescent="0.35">
      <c r="A727">
        <v>349</v>
      </c>
      <c r="B727" s="2">
        <v>36524</v>
      </c>
      <c r="C727">
        <v>0</v>
      </c>
      <c r="D727">
        <v>0</v>
      </c>
      <c r="F727">
        <v>726</v>
      </c>
      <c r="G727" cm="1">
        <f t="array" ref="G727">_xlfn.IFNA(INDEX($D$2:$D$4001,_xlfn.XMATCH(G$1&amp;"-"&amp;$F727,YEAR($B$2:$B$4001)&amp;"-"&amp;$A$2:$A$4001,0,-1)),9)</f>
        <v>9</v>
      </c>
      <c r="H727" cm="1">
        <f t="array" ref="H727">IF(OR(AND(G727=9,H$1&gt;YEAR($N727))),9,_xlfn.IFNA(INDEX($D$2:$D$4001,_xlfn.XMATCH(H$1&amp;"-"&amp;$F727,YEAR($B$2:$B$4001)&amp;"-"&amp;$A$2:$A$4001,0,-1)),G727))</f>
        <v>9</v>
      </c>
      <c r="I727" cm="1">
        <f t="array" ref="I727">IF(OR(AND(H727=9,I$1&gt;YEAR($N727))),9,_xlfn.IFNA(INDEX($D$2:$D$4001,_xlfn.XMATCH(I$1&amp;"-"&amp;$F727,YEAR($B$2:$B$4001)&amp;"-"&amp;$A$2:$A$4001,0,-1)),H727))</f>
        <v>9</v>
      </c>
      <c r="J727" cm="1">
        <f t="array" ref="J727">IF(OR(AND(I727=9,J$1&gt;YEAR($N727))),9,_xlfn.IFNA(INDEX($D$2:$D$4001,_xlfn.XMATCH(J$1&amp;"-"&amp;$F727,YEAR($B$2:$B$4001)&amp;"-"&amp;$A$2:$A$4001,0,-1)),I727))</f>
        <v>9</v>
      </c>
      <c r="K727" cm="1">
        <f t="array" ref="K727">IF(OR(AND(J727=9,K$1&gt;YEAR($N727))),9,_xlfn.IFNA(INDEX($D$2:$D$4001,_xlfn.XMATCH(K$1&amp;"-"&amp;$F727,YEAR($B$2:$B$4001)&amp;"-"&amp;$A$2:$A$4001,0,-1)),J727))</f>
        <v>4</v>
      </c>
      <c r="L727" cm="1">
        <f t="array" ref="L727">IF(OR(AND(K727=9,L$1&gt;YEAR($N727))),9,_xlfn.IFNA(INDEX($D$2:$D$4001,_xlfn.XMATCH(L$1&amp;"-"&amp;$F727,YEAR($B$2:$B$4001)&amp;"-"&amp;$A$2:$A$4001,0,-1)),K727))</f>
        <v>4</v>
      </c>
      <c r="M727" cm="1">
        <f t="array" ref="M727">IF(OR(AND(L727=9,M$1&gt;YEAR($N727))),9,_xlfn.IFNA(INDEX($D$2:$D$4001,_xlfn.XMATCH(M$1&amp;"-"&amp;$F727,YEAR($B$2:$B$4001)&amp;"-"&amp;$A$2:$A$4001,0,-1)),L727))</f>
        <v>4</v>
      </c>
      <c r="N727" s="1">
        <f t="shared" si="11"/>
        <v>37985</v>
      </c>
    </row>
    <row r="728" spans="1:14" x14ac:dyDescent="0.35">
      <c r="A728">
        <v>350</v>
      </c>
      <c r="B728" s="2">
        <v>36371</v>
      </c>
      <c r="C728">
        <v>6</v>
      </c>
      <c r="D728">
        <v>6</v>
      </c>
      <c r="F728">
        <v>727</v>
      </c>
      <c r="G728" cm="1">
        <f t="array" ref="G728">_xlfn.IFNA(INDEX($D$2:$D$4001,_xlfn.XMATCH(G$1&amp;"-"&amp;$F728,YEAR($B$2:$B$4001)&amp;"-"&amp;$A$2:$A$4001,0,-1)),9)</f>
        <v>9</v>
      </c>
      <c r="H728" cm="1">
        <f t="array" ref="H728">IF(OR(AND(G728=9,H$1&gt;YEAR($N728))),9,_xlfn.IFNA(INDEX($D$2:$D$4001,_xlfn.XMATCH(H$1&amp;"-"&amp;$F728,YEAR($B$2:$B$4001)&amp;"-"&amp;$A$2:$A$4001,0,-1)),G728))</f>
        <v>9</v>
      </c>
      <c r="I728" cm="1">
        <f t="array" ref="I728">IF(OR(AND(H728=9,I$1&gt;YEAR($N728))),9,_xlfn.IFNA(INDEX($D$2:$D$4001,_xlfn.XMATCH(I$1&amp;"-"&amp;$F728,YEAR($B$2:$B$4001)&amp;"-"&amp;$A$2:$A$4001,0,-1)),H728))</f>
        <v>3</v>
      </c>
      <c r="J728" cm="1">
        <f t="array" ref="J728">IF(OR(AND(I728=9,J$1&gt;YEAR($N728))),9,_xlfn.IFNA(INDEX($D$2:$D$4001,_xlfn.XMATCH(J$1&amp;"-"&amp;$F728,YEAR($B$2:$B$4001)&amp;"-"&amp;$A$2:$A$4001,0,-1)),I728))</f>
        <v>0</v>
      </c>
      <c r="K728" cm="1">
        <f t="array" ref="K728">IF(OR(AND(J728=9,K$1&gt;YEAR($N728))),9,_xlfn.IFNA(INDEX($D$2:$D$4001,_xlfn.XMATCH(K$1&amp;"-"&amp;$F728,YEAR($B$2:$B$4001)&amp;"-"&amp;$A$2:$A$4001,0,-1)),J728))</f>
        <v>0</v>
      </c>
      <c r="L728" cm="1">
        <f t="array" ref="L728">IF(OR(AND(K728=9,L$1&gt;YEAR($N728))),9,_xlfn.IFNA(INDEX($D$2:$D$4001,_xlfn.XMATCH(L$1&amp;"-"&amp;$F728,YEAR($B$2:$B$4001)&amp;"-"&amp;$A$2:$A$4001,0,-1)),K728))</f>
        <v>0</v>
      </c>
      <c r="M728" cm="1">
        <f t="array" ref="M728">IF(OR(AND(L728=9,M$1&gt;YEAR($N728))),9,_xlfn.IFNA(INDEX($D$2:$D$4001,_xlfn.XMATCH(M$1&amp;"-"&amp;$F728,YEAR($B$2:$B$4001)&amp;"-"&amp;$A$2:$A$4001,0,-1)),L728))</f>
        <v>0</v>
      </c>
      <c r="N728" s="1">
        <f t="shared" si="11"/>
        <v>37255</v>
      </c>
    </row>
    <row r="729" spans="1:14" x14ac:dyDescent="0.35">
      <c r="A729">
        <v>350</v>
      </c>
      <c r="B729" s="2">
        <v>36454</v>
      </c>
      <c r="C729">
        <v>5</v>
      </c>
      <c r="D729">
        <v>5</v>
      </c>
      <c r="F729">
        <v>728</v>
      </c>
      <c r="G729" cm="1">
        <f t="array" ref="G729">_xlfn.IFNA(INDEX($D$2:$D$4001,_xlfn.XMATCH(G$1&amp;"-"&amp;$F729,YEAR($B$2:$B$4001)&amp;"-"&amp;$A$2:$A$4001,0,-1)),9)</f>
        <v>6</v>
      </c>
      <c r="H729" cm="1">
        <f t="array" ref="H729">IF(OR(AND(G729=9,H$1&gt;YEAR($N729))),9,_xlfn.IFNA(INDEX($D$2:$D$4001,_xlfn.XMATCH(H$1&amp;"-"&amp;$F729,YEAR($B$2:$B$4001)&amp;"-"&amp;$A$2:$A$4001,0,-1)),G729))</f>
        <v>6</v>
      </c>
      <c r="I729" cm="1">
        <f t="array" ref="I729">IF(OR(AND(H729=9,I$1&gt;YEAR($N729))),9,_xlfn.IFNA(INDEX($D$2:$D$4001,_xlfn.XMATCH(I$1&amp;"-"&amp;$F729,YEAR($B$2:$B$4001)&amp;"-"&amp;$A$2:$A$4001,0,-1)),H729))</f>
        <v>6</v>
      </c>
      <c r="J729" cm="1">
        <f t="array" ref="J729">IF(OR(AND(I729=9,J$1&gt;YEAR($N729))),9,_xlfn.IFNA(INDEX($D$2:$D$4001,_xlfn.XMATCH(J$1&amp;"-"&amp;$F729,YEAR($B$2:$B$4001)&amp;"-"&amp;$A$2:$A$4001,0,-1)),I729))</f>
        <v>6</v>
      </c>
      <c r="K729" cm="1">
        <f t="array" ref="K729">IF(OR(AND(J729=9,K$1&gt;YEAR($N729))),9,_xlfn.IFNA(INDEX($D$2:$D$4001,_xlfn.XMATCH(K$1&amp;"-"&amp;$F729,YEAR($B$2:$B$4001)&amp;"-"&amp;$A$2:$A$4001,0,-1)),J729))</f>
        <v>6</v>
      </c>
      <c r="L729" cm="1">
        <f t="array" ref="L729">IF(OR(AND(K729=9,L$1&gt;YEAR($N729))),9,_xlfn.IFNA(INDEX($D$2:$D$4001,_xlfn.XMATCH(L$1&amp;"-"&amp;$F729,YEAR($B$2:$B$4001)&amp;"-"&amp;$A$2:$A$4001,0,-1)),K729))</f>
        <v>6</v>
      </c>
      <c r="M729" cm="1">
        <f t="array" ref="M729">IF(OR(AND(L729=9,M$1&gt;YEAR($N729))),9,_xlfn.IFNA(INDEX($D$2:$D$4001,_xlfn.XMATCH(M$1&amp;"-"&amp;$F729,YEAR($B$2:$B$4001)&amp;"-"&amp;$A$2:$A$4001,0,-1)),L729))</f>
        <v>6</v>
      </c>
      <c r="N729" s="1">
        <f t="shared" si="11"/>
        <v>36524</v>
      </c>
    </row>
    <row r="730" spans="1:14" x14ac:dyDescent="0.35">
      <c r="A730">
        <v>350</v>
      </c>
      <c r="B730" s="2">
        <v>37255</v>
      </c>
      <c r="C730">
        <v>6</v>
      </c>
      <c r="D730">
        <v>6</v>
      </c>
      <c r="F730">
        <v>729</v>
      </c>
      <c r="G730" cm="1">
        <f t="array" ref="G730">_xlfn.IFNA(INDEX($D$2:$D$4001,_xlfn.XMATCH(G$1&amp;"-"&amp;$F730,YEAR($B$2:$B$4001)&amp;"-"&amp;$A$2:$A$4001,0,-1)),9)</f>
        <v>9</v>
      </c>
      <c r="H730" cm="1">
        <f t="array" ref="H730">IF(OR(AND(G730=9,H$1&gt;YEAR($N730))),9,_xlfn.IFNA(INDEX($D$2:$D$4001,_xlfn.XMATCH(H$1&amp;"-"&amp;$F730,YEAR($B$2:$B$4001)&amp;"-"&amp;$A$2:$A$4001,0,-1)),G730))</f>
        <v>4</v>
      </c>
      <c r="I730" cm="1">
        <f t="array" ref="I730">IF(OR(AND(H730=9,I$1&gt;YEAR($N730))),9,_xlfn.IFNA(INDEX($D$2:$D$4001,_xlfn.XMATCH(I$1&amp;"-"&amp;$F730,YEAR($B$2:$B$4001)&amp;"-"&amp;$A$2:$A$4001,0,-1)),H730))</f>
        <v>4</v>
      </c>
      <c r="J730" cm="1">
        <f t="array" ref="J730">IF(OR(AND(I730=9,J$1&gt;YEAR($N730))),9,_xlfn.IFNA(INDEX($D$2:$D$4001,_xlfn.XMATCH(J$1&amp;"-"&amp;$F730,YEAR($B$2:$B$4001)&amp;"-"&amp;$A$2:$A$4001,0,-1)),I730))</f>
        <v>4</v>
      </c>
      <c r="K730" cm="1">
        <f t="array" ref="K730">IF(OR(AND(J730=9,K$1&gt;YEAR($N730))),9,_xlfn.IFNA(INDEX($D$2:$D$4001,_xlfn.XMATCH(K$1&amp;"-"&amp;$F730,YEAR($B$2:$B$4001)&amp;"-"&amp;$A$2:$A$4001,0,-1)),J730))</f>
        <v>4</v>
      </c>
      <c r="L730" cm="1">
        <f t="array" ref="L730">IF(OR(AND(K730=9,L$1&gt;YEAR($N730))),9,_xlfn.IFNA(INDEX($D$2:$D$4001,_xlfn.XMATCH(L$1&amp;"-"&amp;$F730,YEAR($B$2:$B$4001)&amp;"-"&amp;$A$2:$A$4001,0,-1)),K730))</f>
        <v>4</v>
      </c>
      <c r="M730" cm="1">
        <f t="array" ref="M730">IF(OR(AND(L730=9,M$1&gt;YEAR($N730))),9,_xlfn.IFNA(INDEX($D$2:$D$4001,_xlfn.XMATCH(M$1&amp;"-"&amp;$F730,YEAR($B$2:$B$4001)&amp;"-"&amp;$A$2:$A$4001,0,-1)),L730))</f>
        <v>4</v>
      </c>
      <c r="N730" s="1">
        <f t="shared" si="11"/>
        <v>36667</v>
      </c>
    </row>
    <row r="731" spans="1:14" x14ac:dyDescent="0.35">
      <c r="A731">
        <v>350</v>
      </c>
      <c r="B731" s="2">
        <v>37771</v>
      </c>
      <c r="C731">
        <v>6</v>
      </c>
      <c r="D731">
        <v>6</v>
      </c>
      <c r="F731">
        <v>730</v>
      </c>
      <c r="G731" cm="1">
        <f t="array" ref="G731">_xlfn.IFNA(INDEX($D$2:$D$4001,_xlfn.XMATCH(G$1&amp;"-"&amp;$F731,YEAR($B$2:$B$4001)&amp;"-"&amp;$A$2:$A$4001,0,-1)),9)</f>
        <v>9</v>
      </c>
      <c r="H731" cm="1">
        <f t="array" ref="H731">IF(OR(AND(G731=9,H$1&gt;YEAR($N731))),9,_xlfn.IFNA(INDEX($D$2:$D$4001,_xlfn.XMATCH(H$1&amp;"-"&amp;$F731,YEAR($B$2:$B$4001)&amp;"-"&amp;$A$2:$A$4001,0,-1)),G731))</f>
        <v>3</v>
      </c>
      <c r="I731" cm="1">
        <f t="array" ref="I731">IF(OR(AND(H731=9,I$1&gt;YEAR($N731))),9,_xlfn.IFNA(INDEX($D$2:$D$4001,_xlfn.XMATCH(I$1&amp;"-"&amp;$F731,YEAR($B$2:$B$4001)&amp;"-"&amp;$A$2:$A$4001,0,-1)),H731))</f>
        <v>2</v>
      </c>
      <c r="J731" cm="1">
        <f t="array" ref="J731">IF(OR(AND(I731=9,J$1&gt;YEAR($N731))),9,_xlfn.IFNA(INDEX($D$2:$D$4001,_xlfn.XMATCH(J$1&amp;"-"&amp;$F731,YEAR($B$2:$B$4001)&amp;"-"&amp;$A$2:$A$4001,0,-1)),I731))</f>
        <v>2</v>
      </c>
      <c r="K731" cm="1">
        <f t="array" ref="K731">IF(OR(AND(J731=9,K$1&gt;YEAR($N731))),9,_xlfn.IFNA(INDEX($D$2:$D$4001,_xlfn.XMATCH(K$1&amp;"-"&amp;$F731,YEAR($B$2:$B$4001)&amp;"-"&amp;$A$2:$A$4001,0,-1)),J731))</f>
        <v>2</v>
      </c>
      <c r="L731" cm="1">
        <f t="array" ref="L731">IF(OR(AND(K731=9,L$1&gt;YEAR($N731))),9,_xlfn.IFNA(INDEX($D$2:$D$4001,_xlfn.XMATCH(L$1&amp;"-"&amp;$F731,YEAR($B$2:$B$4001)&amp;"-"&amp;$A$2:$A$4001,0,-1)),K731))</f>
        <v>2</v>
      </c>
      <c r="M731" cm="1">
        <f t="array" ref="M731">IF(OR(AND(L731=9,M$1&gt;YEAR($N731))),9,_xlfn.IFNA(INDEX($D$2:$D$4001,_xlfn.XMATCH(M$1&amp;"-"&amp;$F731,YEAR($B$2:$B$4001)&amp;"-"&amp;$A$2:$A$4001,0,-1)),L731))</f>
        <v>2</v>
      </c>
      <c r="N731" s="1">
        <f t="shared" si="11"/>
        <v>36890</v>
      </c>
    </row>
    <row r="732" spans="1:14" x14ac:dyDescent="0.35">
      <c r="A732">
        <v>350</v>
      </c>
      <c r="B732" s="2">
        <v>37985</v>
      </c>
      <c r="C732">
        <v>6</v>
      </c>
      <c r="D732">
        <v>6</v>
      </c>
      <c r="F732">
        <v>731</v>
      </c>
      <c r="G732" cm="1">
        <f t="array" ref="G732">_xlfn.IFNA(INDEX($D$2:$D$4001,_xlfn.XMATCH(G$1&amp;"-"&amp;$F732,YEAR($B$2:$B$4001)&amp;"-"&amp;$A$2:$A$4001,0,-1)),9)</f>
        <v>9</v>
      </c>
      <c r="H732" cm="1">
        <f t="array" ref="H732">IF(OR(AND(G732=9,H$1&gt;YEAR($N732))),9,_xlfn.IFNA(INDEX($D$2:$D$4001,_xlfn.XMATCH(H$1&amp;"-"&amp;$F732,YEAR($B$2:$B$4001)&amp;"-"&amp;$A$2:$A$4001,0,-1)),G732))</f>
        <v>9</v>
      </c>
      <c r="I732" cm="1">
        <f t="array" ref="I732">IF(OR(AND(H732=9,I$1&gt;YEAR($N732))),9,_xlfn.IFNA(INDEX($D$2:$D$4001,_xlfn.XMATCH(I$1&amp;"-"&amp;$F732,YEAR($B$2:$B$4001)&amp;"-"&amp;$A$2:$A$4001,0,-1)),H732))</f>
        <v>9</v>
      </c>
      <c r="J732" cm="1">
        <f t="array" ref="J732">IF(OR(AND(I732=9,J$1&gt;YEAR($N732))),9,_xlfn.IFNA(INDEX($D$2:$D$4001,_xlfn.XMATCH(J$1&amp;"-"&amp;$F732,YEAR($B$2:$B$4001)&amp;"-"&amp;$A$2:$A$4001,0,-1)),I732))</f>
        <v>0</v>
      </c>
      <c r="K732" cm="1">
        <f t="array" ref="K732">IF(OR(AND(J732=9,K$1&gt;YEAR($N732))),9,_xlfn.IFNA(INDEX($D$2:$D$4001,_xlfn.XMATCH(K$1&amp;"-"&amp;$F732,YEAR($B$2:$B$4001)&amp;"-"&amp;$A$2:$A$4001,0,-1)),J732))</f>
        <v>0</v>
      </c>
      <c r="L732" cm="1">
        <f t="array" ref="L732">IF(OR(AND(K732=9,L$1&gt;YEAR($N732))),9,_xlfn.IFNA(INDEX($D$2:$D$4001,_xlfn.XMATCH(L$1&amp;"-"&amp;$F732,YEAR($B$2:$B$4001)&amp;"-"&amp;$A$2:$A$4001,0,-1)),K732))</f>
        <v>0</v>
      </c>
      <c r="M732" cm="1">
        <f t="array" ref="M732">IF(OR(AND(L732=9,M$1&gt;YEAR($N732))),9,_xlfn.IFNA(INDEX($D$2:$D$4001,_xlfn.XMATCH(M$1&amp;"-"&amp;$F732,YEAR($B$2:$B$4001)&amp;"-"&amp;$A$2:$A$4001,0,-1)),L732))</f>
        <v>0</v>
      </c>
      <c r="N732" s="1">
        <f t="shared" si="11"/>
        <v>37467</v>
      </c>
    </row>
    <row r="733" spans="1:14" x14ac:dyDescent="0.35">
      <c r="A733">
        <v>350</v>
      </c>
      <c r="B733" s="2">
        <v>38220</v>
      </c>
      <c r="C733">
        <v>0</v>
      </c>
      <c r="D733">
        <v>0</v>
      </c>
      <c r="F733">
        <v>732</v>
      </c>
      <c r="G733" cm="1">
        <f t="array" ref="G733">_xlfn.IFNA(INDEX($D$2:$D$4001,_xlfn.XMATCH(G$1&amp;"-"&amp;$F733,YEAR($B$2:$B$4001)&amp;"-"&amp;$A$2:$A$4001,0,-1)),9)</f>
        <v>9</v>
      </c>
      <c r="H733" cm="1">
        <f t="array" ref="H733">IF(OR(AND(G733=9,H$1&gt;YEAR($N733))),9,_xlfn.IFNA(INDEX($D$2:$D$4001,_xlfn.XMATCH(H$1&amp;"-"&amp;$F733,YEAR($B$2:$B$4001)&amp;"-"&amp;$A$2:$A$4001,0,-1)),G733))</f>
        <v>9</v>
      </c>
      <c r="I733" cm="1">
        <f t="array" ref="I733">IF(OR(AND(H733=9,I$1&gt;YEAR($N733))),9,_xlfn.IFNA(INDEX($D$2:$D$4001,_xlfn.XMATCH(I$1&amp;"-"&amp;$F733,YEAR($B$2:$B$4001)&amp;"-"&amp;$A$2:$A$4001,0,-1)),H733))</f>
        <v>9</v>
      </c>
      <c r="J733" cm="1">
        <f t="array" ref="J733">IF(OR(AND(I733=9,J$1&gt;YEAR($N733))),9,_xlfn.IFNA(INDEX($D$2:$D$4001,_xlfn.XMATCH(J$1&amp;"-"&amp;$F733,YEAR($B$2:$B$4001)&amp;"-"&amp;$A$2:$A$4001,0,-1)),I733))</f>
        <v>9</v>
      </c>
      <c r="K733" cm="1">
        <f t="array" ref="K733">IF(OR(AND(J733=9,K$1&gt;YEAR($N733))),9,_xlfn.IFNA(INDEX($D$2:$D$4001,_xlfn.XMATCH(K$1&amp;"-"&amp;$F733,YEAR($B$2:$B$4001)&amp;"-"&amp;$A$2:$A$4001,0,-1)),J733))</f>
        <v>9</v>
      </c>
      <c r="L733" cm="1">
        <f t="array" ref="L733">IF(OR(AND(K733=9,L$1&gt;YEAR($N733))),9,_xlfn.IFNA(INDEX($D$2:$D$4001,_xlfn.XMATCH(L$1&amp;"-"&amp;$F733,YEAR($B$2:$B$4001)&amp;"-"&amp;$A$2:$A$4001,0,-1)),K733))</f>
        <v>9</v>
      </c>
      <c r="M733" cm="1">
        <f t="array" ref="M733">IF(OR(AND(L733=9,M$1&gt;YEAR($N733))),9,_xlfn.IFNA(INDEX($D$2:$D$4001,_xlfn.XMATCH(M$1&amp;"-"&amp;$F733,YEAR($B$2:$B$4001)&amp;"-"&amp;$A$2:$A$4001,0,-1)),L733))</f>
        <v>3</v>
      </c>
      <c r="N733" s="1">
        <f t="shared" si="11"/>
        <v>38493</v>
      </c>
    </row>
    <row r="734" spans="1:14" x14ac:dyDescent="0.35">
      <c r="A734">
        <v>351</v>
      </c>
      <c r="B734" s="2">
        <v>36676</v>
      </c>
      <c r="C734">
        <v>4</v>
      </c>
      <c r="D734">
        <v>4</v>
      </c>
      <c r="F734">
        <v>733</v>
      </c>
      <c r="G734" cm="1">
        <f t="array" ref="G734">_xlfn.IFNA(INDEX($D$2:$D$4001,_xlfn.XMATCH(G$1&amp;"-"&amp;$F734,YEAR($B$2:$B$4001)&amp;"-"&amp;$A$2:$A$4001,0,-1)),9)</f>
        <v>2</v>
      </c>
      <c r="H734" cm="1">
        <f t="array" ref="H734">IF(OR(AND(G734=9,H$1&gt;YEAR($N734))),9,_xlfn.IFNA(INDEX($D$2:$D$4001,_xlfn.XMATCH(H$1&amp;"-"&amp;$F734,YEAR($B$2:$B$4001)&amp;"-"&amp;$A$2:$A$4001,0,-1)),G734))</f>
        <v>2</v>
      </c>
      <c r="I734" cm="1">
        <f t="array" ref="I734">IF(OR(AND(H734=9,I$1&gt;YEAR($N734))),9,_xlfn.IFNA(INDEX($D$2:$D$4001,_xlfn.XMATCH(I$1&amp;"-"&amp;$F734,YEAR($B$2:$B$4001)&amp;"-"&amp;$A$2:$A$4001,0,-1)),H734))</f>
        <v>2</v>
      </c>
      <c r="J734" cm="1">
        <f t="array" ref="J734">IF(OR(AND(I734=9,J$1&gt;YEAR($N734))),9,_xlfn.IFNA(INDEX($D$2:$D$4001,_xlfn.XMATCH(J$1&amp;"-"&amp;$F734,YEAR($B$2:$B$4001)&amp;"-"&amp;$A$2:$A$4001,0,-1)),I734))</f>
        <v>2</v>
      </c>
      <c r="K734" cm="1">
        <f t="array" ref="K734">IF(OR(AND(J734=9,K$1&gt;YEAR($N734))),9,_xlfn.IFNA(INDEX($D$2:$D$4001,_xlfn.XMATCH(K$1&amp;"-"&amp;$F734,YEAR($B$2:$B$4001)&amp;"-"&amp;$A$2:$A$4001,0,-1)),J734))</f>
        <v>3</v>
      </c>
      <c r="L734" cm="1">
        <f t="array" ref="L734">IF(OR(AND(K734=9,L$1&gt;YEAR($N734))),9,_xlfn.IFNA(INDEX($D$2:$D$4001,_xlfn.XMATCH(L$1&amp;"-"&amp;$F734,YEAR($B$2:$B$4001)&amp;"-"&amp;$A$2:$A$4001,0,-1)),K734))</f>
        <v>3</v>
      </c>
      <c r="M734" cm="1">
        <f t="array" ref="M734">IF(OR(AND(L734=9,M$1&gt;YEAR($N734))),9,_xlfn.IFNA(INDEX($D$2:$D$4001,_xlfn.XMATCH(M$1&amp;"-"&amp;$F734,YEAR($B$2:$B$4001)&amp;"-"&amp;$A$2:$A$4001,0,-1)),L734))</f>
        <v>3</v>
      </c>
      <c r="N734" s="1">
        <f t="shared" si="11"/>
        <v>36494</v>
      </c>
    </row>
    <row r="735" spans="1:14" x14ac:dyDescent="0.35">
      <c r="A735">
        <v>351</v>
      </c>
      <c r="B735" s="2">
        <v>36890</v>
      </c>
      <c r="C735">
        <v>6</v>
      </c>
      <c r="D735">
        <v>6</v>
      </c>
      <c r="F735">
        <v>734</v>
      </c>
      <c r="G735" cm="1">
        <f t="array" ref="G735">_xlfn.IFNA(INDEX($D$2:$D$4001,_xlfn.XMATCH(G$1&amp;"-"&amp;$F735,YEAR($B$2:$B$4001)&amp;"-"&amp;$A$2:$A$4001,0,-1)),9)</f>
        <v>9</v>
      </c>
      <c r="H735" cm="1">
        <f t="array" ref="H735">IF(OR(AND(G735=9,H$1&gt;YEAR($N735))),9,_xlfn.IFNA(INDEX($D$2:$D$4001,_xlfn.XMATCH(H$1&amp;"-"&amp;$F735,YEAR($B$2:$B$4001)&amp;"-"&amp;$A$2:$A$4001,0,-1)),G735))</f>
        <v>9</v>
      </c>
      <c r="I735" cm="1">
        <f t="array" ref="I735">IF(OR(AND(H735=9,I$1&gt;YEAR($N735))),9,_xlfn.IFNA(INDEX($D$2:$D$4001,_xlfn.XMATCH(I$1&amp;"-"&amp;$F735,YEAR($B$2:$B$4001)&amp;"-"&amp;$A$2:$A$4001,0,-1)),H735))</f>
        <v>3</v>
      </c>
      <c r="J735" cm="1">
        <f t="array" ref="J735">IF(OR(AND(I735=9,J$1&gt;YEAR($N735))),9,_xlfn.IFNA(INDEX($D$2:$D$4001,_xlfn.XMATCH(J$1&amp;"-"&amp;$F735,YEAR($B$2:$B$4001)&amp;"-"&amp;$A$2:$A$4001,0,-1)),I735))</f>
        <v>4</v>
      </c>
      <c r="K735" cm="1">
        <f t="array" ref="K735">IF(OR(AND(J735=9,K$1&gt;YEAR($N735))),9,_xlfn.IFNA(INDEX($D$2:$D$4001,_xlfn.XMATCH(K$1&amp;"-"&amp;$F735,YEAR($B$2:$B$4001)&amp;"-"&amp;$A$2:$A$4001,0,-1)),J735))</f>
        <v>4</v>
      </c>
      <c r="L735" cm="1">
        <f t="array" ref="L735">IF(OR(AND(K735=9,L$1&gt;YEAR($N735))),9,_xlfn.IFNA(INDEX($D$2:$D$4001,_xlfn.XMATCH(L$1&amp;"-"&amp;$F735,YEAR($B$2:$B$4001)&amp;"-"&amp;$A$2:$A$4001,0,-1)),K735))</f>
        <v>0</v>
      </c>
      <c r="M735" cm="1">
        <f t="array" ref="M735">IF(OR(AND(L735=9,M$1&gt;YEAR($N735))),9,_xlfn.IFNA(INDEX($D$2:$D$4001,_xlfn.XMATCH(M$1&amp;"-"&amp;$F735,YEAR($B$2:$B$4001)&amp;"-"&amp;$A$2:$A$4001,0,-1)),L735))</f>
        <v>0</v>
      </c>
      <c r="N735" s="1">
        <f t="shared" si="11"/>
        <v>37155</v>
      </c>
    </row>
    <row r="736" spans="1:14" x14ac:dyDescent="0.35">
      <c r="A736">
        <v>351</v>
      </c>
      <c r="B736" s="2">
        <v>36890</v>
      </c>
      <c r="C736">
        <v>8</v>
      </c>
      <c r="D736">
        <v>8</v>
      </c>
      <c r="F736">
        <v>735</v>
      </c>
      <c r="G736" cm="1">
        <f t="array" ref="G736">_xlfn.IFNA(INDEX($D$2:$D$4001,_xlfn.XMATCH(G$1&amp;"-"&amp;$F736,YEAR($B$2:$B$4001)&amp;"-"&amp;$A$2:$A$4001,0,-1)),9)</f>
        <v>3</v>
      </c>
      <c r="H736" cm="1">
        <f t="array" ref="H736">IF(OR(AND(G736=9,H$1&gt;YEAR($N736))),9,_xlfn.IFNA(INDEX($D$2:$D$4001,_xlfn.XMATCH(H$1&amp;"-"&amp;$F736,YEAR($B$2:$B$4001)&amp;"-"&amp;$A$2:$A$4001,0,-1)),G736))</f>
        <v>3</v>
      </c>
      <c r="I736" cm="1">
        <f t="array" ref="I736">IF(OR(AND(H736=9,I$1&gt;YEAR($N736))),9,_xlfn.IFNA(INDEX($D$2:$D$4001,_xlfn.XMATCH(I$1&amp;"-"&amp;$F736,YEAR($B$2:$B$4001)&amp;"-"&amp;$A$2:$A$4001,0,-1)),H736))</f>
        <v>3</v>
      </c>
      <c r="J736" cm="1">
        <f t="array" ref="J736">IF(OR(AND(I736=9,J$1&gt;YEAR($N736))),9,_xlfn.IFNA(INDEX($D$2:$D$4001,_xlfn.XMATCH(J$1&amp;"-"&amp;$F736,YEAR($B$2:$B$4001)&amp;"-"&amp;$A$2:$A$4001,0,-1)),I736))</f>
        <v>3</v>
      </c>
      <c r="K736" cm="1">
        <f t="array" ref="K736">IF(OR(AND(J736=9,K$1&gt;YEAR($N736))),9,_xlfn.IFNA(INDEX($D$2:$D$4001,_xlfn.XMATCH(K$1&amp;"-"&amp;$F736,YEAR($B$2:$B$4001)&amp;"-"&amp;$A$2:$A$4001,0,-1)),J736))</f>
        <v>4</v>
      </c>
      <c r="L736" cm="1">
        <f t="array" ref="L736">IF(OR(AND(K736=9,L$1&gt;YEAR($N736))),9,_xlfn.IFNA(INDEX($D$2:$D$4001,_xlfn.XMATCH(L$1&amp;"-"&amp;$F736,YEAR($B$2:$B$4001)&amp;"-"&amp;$A$2:$A$4001,0,-1)),K736))</f>
        <v>5</v>
      </c>
      <c r="M736" cm="1">
        <f t="array" ref="M736">IF(OR(AND(L736=9,M$1&gt;YEAR($N736))),9,_xlfn.IFNA(INDEX($D$2:$D$4001,_xlfn.XMATCH(M$1&amp;"-"&amp;$F736,YEAR($B$2:$B$4001)&amp;"-"&amp;$A$2:$A$4001,0,-1)),L736))</f>
        <v>5</v>
      </c>
      <c r="N736" s="1">
        <f t="shared" si="11"/>
        <v>36371</v>
      </c>
    </row>
    <row r="737" spans="1:14" x14ac:dyDescent="0.35">
      <c r="A737">
        <v>351</v>
      </c>
      <c r="B737" s="2">
        <v>37406</v>
      </c>
      <c r="C737">
        <v>0</v>
      </c>
      <c r="D737">
        <v>8</v>
      </c>
      <c r="F737">
        <v>736</v>
      </c>
      <c r="G737" cm="1">
        <f t="array" ref="G737">_xlfn.IFNA(INDEX($D$2:$D$4001,_xlfn.XMATCH(G$1&amp;"-"&amp;$F737,YEAR($B$2:$B$4001)&amp;"-"&amp;$A$2:$A$4001,0,-1)),9)</f>
        <v>9</v>
      </c>
      <c r="H737" cm="1">
        <f t="array" ref="H737">IF(OR(AND(G737=9,H$1&gt;YEAR($N737))),9,_xlfn.IFNA(INDEX($D$2:$D$4001,_xlfn.XMATCH(H$1&amp;"-"&amp;$F737,YEAR($B$2:$B$4001)&amp;"-"&amp;$A$2:$A$4001,0,-1)),G737))</f>
        <v>9</v>
      </c>
      <c r="I737" cm="1">
        <f t="array" ref="I737">IF(OR(AND(H737=9,I$1&gt;YEAR($N737))),9,_xlfn.IFNA(INDEX($D$2:$D$4001,_xlfn.XMATCH(I$1&amp;"-"&amp;$F737,YEAR($B$2:$B$4001)&amp;"-"&amp;$A$2:$A$4001,0,-1)),H737))</f>
        <v>9</v>
      </c>
      <c r="J737" cm="1">
        <f t="array" ref="J737">IF(OR(AND(I737=9,J$1&gt;YEAR($N737))),9,_xlfn.IFNA(INDEX($D$2:$D$4001,_xlfn.XMATCH(J$1&amp;"-"&amp;$F737,YEAR($B$2:$B$4001)&amp;"-"&amp;$A$2:$A$4001,0,-1)),I737))</f>
        <v>9</v>
      </c>
      <c r="K737" cm="1">
        <f t="array" ref="K737">IF(OR(AND(J737=9,K$1&gt;YEAR($N737))),9,_xlfn.IFNA(INDEX($D$2:$D$4001,_xlfn.XMATCH(K$1&amp;"-"&amp;$F737,YEAR($B$2:$B$4001)&amp;"-"&amp;$A$2:$A$4001,0,-1)),J737))</f>
        <v>4</v>
      </c>
      <c r="L737" cm="1">
        <f t="array" ref="L737">IF(OR(AND(K737=9,L$1&gt;YEAR($N737))),9,_xlfn.IFNA(INDEX($D$2:$D$4001,_xlfn.XMATCH(L$1&amp;"-"&amp;$F737,YEAR($B$2:$B$4001)&amp;"-"&amp;$A$2:$A$4001,0,-1)),K737))</f>
        <v>4</v>
      </c>
      <c r="M737" cm="1">
        <f t="array" ref="M737">IF(OR(AND(L737=9,M$1&gt;YEAR($N737))),9,_xlfn.IFNA(INDEX($D$2:$D$4001,_xlfn.XMATCH(M$1&amp;"-"&amp;$F737,YEAR($B$2:$B$4001)&amp;"-"&amp;$A$2:$A$4001,0,-1)),L737))</f>
        <v>4</v>
      </c>
      <c r="N737" s="1">
        <f t="shared" si="11"/>
        <v>37771</v>
      </c>
    </row>
    <row r="738" spans="1:14" x14ac:dyDescent="0.35">
      <c r="A738">
        <v>352</v>
      </c>
      <c r="B738" s="2">
        <v>37041</v>
      </c>
      <c r="C738">
        <v>4</v>
      </c>
      <c r="D738">
        <v>4</v>
      </c>
      <c r="F738">
        <v>737</v>
      </c>
      <c r="G738" cm="1">
        <f t="array" ref="G738">_xlfn.IFNA(INDEX($D$2:$D$4001,_xlfn.XMATCH(G$1&amp;"-"&amp;$F738,YEAR($B$2:$B$4001)&amp;"-"&amp;$A$2:$A$4001,0,-1)),9)</f>
        <v>5</v>
      </c>
      <c r="H738" cm="1">
        <f t="array" ref="H738">IF(OR(AND(G738=9,H$1&gt;YEAR($N738))),9,_xlfn.IFNA(INDEX($D$2:$D$4001,_xlfn.XMATCH(H$1&amp;"-"&amp;$F738,YEAR($B$2:$B$4001)&amp;"-"&amp;$A$2:$A$4001,0,-1)),G738))</f>
        <v>0</v>
      </c>
      <c r="I738" cm="1">
        <f t="array" ref="I738">IF(OR(AND(H738=9,I$1&gt;YEAR($N738))),9,_xlfn.IFNA(INDEX($D$2:$D$4001,_xlfn.XMATCH(I$1&amp;"-"&amp;$F738,YEAR($B$2:$B$4001)&amp;"-"&amp;$A$2:$A$4001,0,-1)),H738))</f>
        <v>0</v>
      </c>
      <c r="J738" cm="1">
        <f t="array" ref="J738">IF(OR(AND(I738=9,J$1&gt;YEAR($N738))),9,_xlfn.IFNA(INDEX($D$2:$D$4001,_xlfn.XMATCH(J$1&amp;"-"&amp;$F738,YEAR($B$2:$B$4001)&amp;"-"&amp;$A$2:$A$4001,0,-1)),I738))</f>
        <v>0</v>
      </c>
      <c r="K738" cm="1">
        <f t="array" ref="K738">IF(OR(AND(J738=9,K$1&gt;YEAR($N738))),9,_xlfn.IFNA(INDEX($D$2:$D$4001,_xlfn.XMATCH(K$1&amp;"-"&amp;$F738,YEAR($B$2:$B$4001)&amp;"-"&amp;$A$2:$A$4001,0,-1)),J738))</f>
        <v>0</v>
      </c>
      <c r="L738" cm="1">
        <f t="array" ref="L738">IF(OR(AND(K738=9,L$1&gt;YEAR($N738))),9,_xlfn.IFNA(INDEX($D$2:$D$4001,_xlfn.XMATCH(L$1&amp;"-"&amp;$F738,YEAR($B$2:$B$4001)&amp;"-"&amp;$A$2:$A$4001,0,-1)),K738))</f>
        <v>0</v>
      </c>
      <c r="M738" cm="1">
        <f t="array" ref="M738">IF(OR(AND(L738=9,M$1&gt;YEAR($N738))),9,_xlfn.IFNA(INDEX($D$2:$D$4001,_xlfn.XMATCH(M$1&amp;"-"&amp;$F738,YEAR($B$2:$B$4001)&amp;"-"&amp;$A$2:$A$4001,0,-1)),L738))</f>
        <v>0</v>
      </c>
      <c r="N738" s="1">
        <f t="shared" si="11"/>
        <v>36332</v>
      </c>
    </row>
    <row r="739" spans="1:14" x14ac:dyDescent="0.35">
      <c r="A739">
        <v>352</v>
      </c>
      <c r="B739" s="2">
        <v>37620</v>
      </c>
      <c r="C739">
        <v>4</v>
      </c>
      <c r="D739">
        <v>4</v>
      </c>
      <c r="F739">
        <v>738</v>
      </c>
      <c r="G739" cm="1">
        <f t="array" ref="G739">_xlfn.IFNA(INDEX($D$2:$D$4001,_xlfn.XMATCH(G$1&amp;"-"&amp;$F739,YEAR($B$2:$B$4001)&amp;"-"&amp;$A$2:$A$4001,0,-1)),9)</f>
        <v>9</v>
      </c>
      <c r="H739" cm="1">
        <f t="array" ref="H739">IF(OR(AND(G739=9,H$1&gt;YEAR($N739))),9,_xlfn.IFNA(INDEX($D$2:$D$4001,_xlfn.XMATCH(H$1&amp;"-"&amp;$F739,YEAR($B$2:$B$4001)&amp;"-"&amp;$A$2:$A$4001,0,-1)),G739))</f>
        <v>9</v>
      </c>
      <c r="I739" cm="1">
        <f t="array" ref="I739">IF(OR(AND(H739=9,I$1&gt;YEAR($N739))),9,_xlfn.IFNA(INDEX($D$2:$D$4001,_xlfn.XMATCH(I$1&amp;"-"&amp;$F739,YEAR($B$2:$B$4001)&amp;"-"&amp;$A$2:$A$4001,0,-1)),H739))</f>
        <v>9</v>
      </c>
      <c r="J739" cm="1">
        <f t="array" ref="J739">IF(OR(AND(I739=9,J$1&gt;YEAR($N739))),9,_xlfn.IFNA(INDEX($D$2:$D$4001,_xlfn.XMATCH(J$1&amp;"-"&amp;$F739,YEAR($B$2:$B$4001)&amp;"-"&amp;$A$2:$A$4001,0,-1)),I739))</f>
        <v>4</v>
      </c>
      <c r="K739" cm="1">
        <f t="array" ref="K739">IF(OR(AND(J739=9,K$1&gt;YEAR($N739))),9,_xlfn.IFNA(INDEX($D$2:$D$4001,_xlfn.XMATCH(K$1&amp;"-"&amp;$F739,YEAR($B$2:$B$4001)&amp;"-"&amp;$A$2:$A$4001,0,-1)),J739))</f>
        <v>4</v>
      </c>
      <c r="L739" cm="1">
        <f t="array" ref="L739">IF(OR(AND(K739=9,L$1&gt;YEAR($N739))),9,_xlfn.IFNA(INDEX($D$2:$D$4001,_xlfn.XMATCH(L$1&amp;"-"&amp;$F739,YEAR($B$2:$B$4001)&amp;"-"&amp;$A$2:$A$4001,0,-1)),K739))</f>
        <v>4</v>
      </c>
      <c r="M739" cm="1">
        <f t="array" ref="M739">IF(OR(AND(L739=9,M$1&gt;YEAR($N739))),9,_xlfn.IFNA(INDEX($D$2:$D$4001,_xlfn.XMATCH(M$1&amp;"-"&amp;$F739,YEAR($B$2:$B$4001)&amp;"-"&amp;$A$2:$A$4001,0,-1)),L739))</f>
        <v>4</v>
      </c>
      <c r="N739" s="1">
        <f t="shared" si="11"/>
        <v>37461</v>
      </c>
    </row>
    <row r="740" spans="1:14" x14ac:dyDescent="0.35">
      <c r="A740">
        <v>353</v>
      </c>
      <c r="B740" s="2">
        <v>36674</v>
      </c>
      <c r="C740">
        <v>3</v>
      </c>
      <c r="D740">
        <v>3</v>
      </c>
      <c r="F740">
        <v>739</v>
      </c>
      <c r="G740" cm="1">
        <f t="array" ref="G740">_xlfn.IFNA(INDEX($D$2:$D$4001,_xlfn.XMATCH(G$1&amp;"-"&amp;$F740,YEAR($B$2:$B$4001)&amp;"-"&amp;$A$2:$A$4001,0,-1)),9)</f>
        <v>9</v>
      </c>
      <c r="H740" cm="1">
        <f t="array" ref="H740">IF(OR(AND(G740=9,H$1&gt;YEAR($N740))),9,_xlfn.IFNA(INDEX($D$2:$D$4001,_xlfn.XMATCH(H$1&amp;"-"&amp;$F740,YEAR($B$2:$B$4001)&amp;"-"&amp;$A$2:$A$4001,0,-1)),G740))</f>
        <v>9</v>
      </c>
      <c r="I740" cm="1">
        <f t="array" ref="I740">IF(OR(AND(H740=9,I$1&gt;YEAR($N740))),9,_xlfn.IFNA(INDEX($D$2:$D$4001,_xlfn.XMATCH(I$1&amp;"-"&amp;$F740,YEAR($B$2:$B$4001)&amp;"-"&amp;$A$2:$A$4001,0,-1)),H740))</f>
        <v>6</v>
      </c>
      <c r="J740" cm="1">
        <f t="array" ref="J740">IF(OR(AND(I740=9,J$1&gt;YEAR($N740))),9,_xlfn.IFNA(INDEX($D$2:$D$4001,_xlfn.XMATCH(J$1&amp;"-"&amp;$F740,YEAR($B$2:$B$4001)&amp;"-"&amp;$A$2:$A$4001,0,-1)),I740))</f>
        <v>6</v>
      </c>
      <c r="K740" cm="1">
        <f t="array" ref="K740">IF(OR(AND(J740=9,K$1&gt;YEAR($N740))),9,_xlfn.IFNA(INDEX($D$2:$D$4001,_xlfn.XMATCH(K$1&amp;"-"&amp;$F740,YEAR($B$2:$B$4001)&amp;"-"&amp;$A$2:$A$4001,0,-1)),J740))</f>
        <v>6</v>
      </c>
      <c r="L740" cm="1">
        <f t="array" ref="L740">IF(OR(AND(K740=9,L$1&gt;YEAR($N740))),9,_xlfn.IFNA(INDEX($D$2:$D$4001,_xlfn.XMATCH(L$1&amp;"-"&amp;$F740,YEAR($B$2:$B$4001)&amp;"-"&amp;$A$2:$A$4001,0,-1)),K740))</f>
        <v>6</v>
      </c>
      <c r="M740" cm="1">
        <f t="array" ref="M740">IF(OR(AND(L740=9,M$1&gt;YEAR($N740))),9,_xlfn.IFNA(INDEX($D$2:$D$4001,_xlfn.XMATCH(M$1&amp;"-"&amp;$F740,YEAR($B$2:$B$4001)&amp;"-"&amp;$A$2:$A$4001,0,-1)),L740))</f>
        <v>7</v>
      </c>
      <c r="N740" s="1">
        <f t="shared" si="11"/>
        <v>37032</v>
      </c>
    </row>
    <row r="741" spans="1:14" x14ac:dyDescent="0.35">
      <c r="A741">
        <v>353</v>
      </c>
      <c r="B741" s="2">
        <v>38131</v>
      </c>
      <c r="C741">
        <v>0</v>
      </c>
      <c r="D741">
        <v>0</v>
      </c>
      <c r="F741">
        <v>740</v>
      </c>
      <c r="G741" cm="1">
        <f t="array" ref="G741">_xlfn.IFNA(INDEX($D$2:$D$4001,_xlfn.XMATCH(G$1&amp;"-"&amp;$F741,YEAR($B$2:$B$4001)&amp;"-"&amp;$A$2:$A$4001,0,-1)),9)</f>
        <v>3</v>
      </c>
      <c r="H741" cm="1">
        <f t="array" ref="H741">IF(OR(AND(G741=9,H$1&gt;YEAR($N741))),9,_xlfn.IFNA(INDEX($D$2:$D$4001,_xlfn.XMATCH(H$1&amp;"-"&amp;$F741,YEAR($B$2:$B$4001)&amp;"-"&amp;$A$2:$A$4001,0,-1)),G741))</f>
        <v>0</v>
      </c>
      <c r="I741" cm="1">
        <f t="array" ref="I741">IF(OR(AND(H741=9,I$1&gt;YEAR($N741))),9,_xlfn.IFNA(INDEX($D$2:$D$4001,_xlfn.XMATCH(I$1&amp;"-"&amp;$F741,YEAR($B$2:$B$4001)&amp;"-"&amp;$A$2:$A$4001,0,-1)),H741))</f>
        <v>0</v>
      </c>
      <c r="J741" cm="1">
        <f t="array" ref="J741">IF(OR(AND(I741=9,J$1&gt;YEAR($N741))),9,_xlfn.IFNA(INDEX($D$2:$D$4001,_xlfn.XMATCH(J$1&amp;"-"&amp;$F741,YEAR($B$2:$B$4001)&amp;"-"&amp;$A$2:$A$4001,0,-1)),I741))</f>
        <v>0</v>
      </c>
      <c r="K741" cm="1">
        <f t="array" ref="K741">IF(OR(AND(J741=9,K$1&gt;YEAR($N741))),9,_xlfn.IFNA(INDEX($D$2:$D$4001,_xlfn.XMATCH(K$1&amp;"-"&amp;$F741,YEAR($B$2:$B$4001)&amp;"-"&amp;$A$2:$A$4001,0,-1)),J741))</f>
        <v>0</v>
      </c>
      <c r="L741" cm="1">
        <f t="array" ref="L741">IF(OR(AND(K741=9,L$1&gt;YEAR($N741))),9,_xlfn.IFNA(INDEX($D$2:$D$4001,_xlfn.XMATCH(L$1&amp;"-"&amp;$F741,YEAR($B$2:$B$4001)&amp;"-"&amp;$A$2:$A$4001,0,-1)),K741))</f>
        <v>0</v>
      </c>
      <c r="M741" cm="1">
        <f t="array" ref="M741">IF(OR(AND(L741=9,M$1&gt;YEAR($N741))),9,_xlfn.IFNA(INDEX($D$2:$D$4001,_xlfn.XMATCH(M$1&amp;"-"&amp;$F741,YEAR($B$2:$B$4001)&amp;"-"&amp;$A$2:$A$4001,0,-1)),L741))</f>
        <v>0</v>
      </c>
      <c r="N741" s="1">
        <f t="shared" si="11"/>
        <v>36524</v>
      </c>
    </row>
    <row r="742" spans="1:14" x14ac:dyDescent="0.35">
      <c r="A742">
        <v>354</v>
      </c>
      <c r="B742" s="2">
        <v>36698</v>
      </c>
      <c r="C742">
        <v>4</v>
      </c>
      <c r="D742">
        <v>4</v>
      </c>
      <c r="F742">
        <v>741</v>
      </c>
      <c r="G742" cm="1">
        <f t="array" ref="G742">_xlfn.IFNA(INDEX($D$2:$D$4001,_xlfn.XMATCH(G$1&amp;"-"&amp;$F742,YEAR($B$2:$B$4001)&amp;"-"&amp;$A$2:$A$4001,0,-1)),9)</f>
        <v>6</v>
      </c>
      <c r="H742" cm="1">
        <f t="array" ref="H742">IF(OR(AND(G742=9,H$1&gt;YEAR($N742))),9,_xlfn.IFNA(INDEX($D$2:$D$4001,_xlfn.XMATCH(H$1&amp;"-"&amp;$F742,YEAR($B$2:$B$4001)&amp;"-"&amp;$A$2:$A$4001,0,-1)),G742))</f>
        <v>6</v>
      </c>
      <c r="I742" cm="1">
        <f t="array" ref="I742">IF(OR(AND(H742=9,I$1&gt;YEAR($N742))),9,_xlfn.IFNA(INDEX($D$2:$D$4001,_xlfn.XMATCH(I$1&amp;"-"&amp;$F742,YEAR($B$2:$B$4001)&amp;"-"&amp;$A$2:$A$4001,0,-1)),H742))</f>
        <v>6</v>
      </c>
      <c r="J742" cm="1">
        <f t="array" ref="J742">IF(OR(AND(I742=9,J$1&gt;YEAR($N742))),9,_xlfn.IFNA(INDEX($D$2:$D$4001,_xlfn.XMATCH(J$1&amp;"-"&amp;$F742,YEAR($B$2:$B$4001)&amp;"-"&amp;$A$2:$A$4001,0,-1)),I742))</f>
        <v>6</v>
      </c>
      <c r="K742" cm="1">
        <f t="array" ref="K742">IF(OR(AND(J742=9,K$1&gt;YEAR($N742))),9,_xlfn.IFNA(INDEX($D$2:$D$4001,_xlfn.XMATCH(K$1&amp;"-"&amp;$F742,YEAR($B$2:$B$4001)&amp;"-"&amp;$A$2:$A$4001,0,-1)),J742))</f>
        <v>0</v>
      </c>
      <c r="L742" cm="1">
        <f t="array" ref="L742">IF(OR(AND(K742=9,L$1&gt;YEAR($N742))),9,_xlfn.IFNA(INDEX($D$2:$D$4001,_xlfn.XMATCH(L$1&amp;"-"&amp;$F742,YEAR($B$2:$B$4001)&amp;"-"&amp;$A$2:$A$4001,0,-1)),K742))</f>
        <v>0</v>
      </c>
      <c r="M742" cm="1">
        <f t="array" ref="M742">IF(OR(AND(L742=9,M$1&gt;YEAR($N742))),9,_xlfn.IFNA(INDEX($D$2:$D$4001,_xlfn.XMATCH(M$1&amp;"-"&amp;$F742,YEAR($B$2:$B$4001)&amp;"-"&amp;$A$2:$A$4001,0,-1)),L742))</f>
        <v>0</v>
      </c>
      <c r="N742" s="1">
        <f t="shared" si="11"/>
        <v>36524</v>
      </c>
    </row>
    <row r="743" spans="1:14" x14ac:dyDescent="0.35">
      <c r="A743">
        <v>354</v>
      </c>
      <c r="B743" s="2">
        <v>37225</v>
      </c>
      <c r="C743">
        <v>4</v>
      </c>
      <c r="D743">
        <v>4</v>
      </c>
      <c r="F743">
        <v>742</v>
      </c>
      <c r="G743" cm="1">
        <f t="array" ref="G743">_xlfn.IFNA(INDEX($D$2:$D$4001,_xlfn.XMATCH(G$1&amp;"-"&amp;$F743,YEAR($B$2:$B$4001)&amp;"-"&amp;$A$2:$A$4001,0,-1)),9)</f>
        <v>9</v>
      </c>
      <c r="H743" cm="1">
        <f t="array" ref="H743">IF(OR(AND(G743=9,H$1&gt;YEAR($N743))),9,_xlfn.IFNA(INDEX($D$2:$D$4001,_xlfn.XMATCH(H$1&amp;"-"&amp;$F743,YEAR($B$2:$B$4001)&amp;"-"&amp;$A$2:$A$4001,0,-1)),G743))</f>
        <v>9</v>
      </c>
      <c r="I743" cm="1">
        <f t="array" ref="I743">IF(OR(AND(H743=9,I$1&gt;YEAR($N743))),9,_xlfn.IFNA(INDEX($D$2:$D$4001,_xlfn.XMATCH(I$1&amp;"-"&amp;$F743,YEAR($B$2:$B$4001)&amp;"-"&amp;$A$2:$A$4001,0,-1)),H743))</f>
        <v>9</v>
      </c>
      <c r="J743" cm="1">
        <f t="array" ref="J743">IF(OR(AND(I743=9,J$1&gt;YEAR($N743))),9,_xlfn.IFNA(INDEX($D$2:$D$4001,_xlfn.XMATCH(J$1&amp;"-"&amp;$F743,YEAR($B$2:$B$4001)&amp;"-"&amp;$A$2:$A$4001,0,-1)),I743))</f>
        <v>9</v>
      </c>
      <c r="K743" cm="1">
        <f t="array" ref="K743">IF(OR(AND(J743=9,K$1&gt;YEAR($N743))),9,_xlfn.IFNA(INDEX($D$2:$D$4001,_xlfn.XMATCH(K$1&amp;"-"&amp;$F743,YEAR($B$2:$B$4001)&amp;"-"&amp;$A$2:$A$4001,0,-1)),J743))</f>
        <v>6</v>
      </c>
      <c r="L743" cm="1">
        <f t="array" ref="L743">IF(OR(AND(K743=9,L$1&gt;YEAR($N743))),9,_xlfn.IFNA(INDEX($D$2:$D$4001,_xlfn.XMATCH(L$1&amp;"-"&amp;$F743,YEAR($B$2:$B$4001)&amp;"-"&amp;$A$2:$A$4001,0,-1)),K743))</f>
        <v>6</v>
      </c>
      <c r="M743" cm="1">
        <f t="array" ref="M743">IF(OR(AND(L743=9,M$1&gt;YEAR($N743))),9,_xlfn.IFNA(INDEX($D$2:$D$4001,_xlfn.XMATCH(M$1&amp;"-"&amp;$F743,YEAR($B$2:$B$4001)&amp;"-"&amp;$A$2:$A$4001,0,-1)),L743))</f>
        <v>6</v>
      </c>
      <c r="N743" s="1">
        <f t="shared" si="11"/>
        <v>37762</v>
      </c>
    </row>
    <row r="744" spans="1:14" x14ac:dyDescent="0.35">
      <c r="A744">
        <v>354</v>
      </c>
      <c r="B744" s="2">
        <v>38168</v>
      </c>
      <c r="C744">
        <v>5</v>
      </c>
      <c r="D744">
        <v>5</v>
      </c>
      <c r="F744">
        <v>743</v>
      </c>
      <c r="G744" cm="1">
        <f t="array" ref="G744">_xlfn.IFNA(INDEX($D$2:$D$4001,_xlfn.XMATCH(G$1&amp;"-"&amp;$F744,YEAR($B$2:$B$4001)&amp;"-"&amp;$A$2:$A$4001,0,-1)),9)</f>
        <v>9</v>
      </c>
      <c r="H744" cm="1">
        <f t="array" ref="H744">IF(OR(AND(G744=9,H$1&gt;YEAR($N744))),9,_xlfn.IFNA(INDEX($D$2:$D$4001,_xlfn.XMATCH(H$1&amp;"-"&amp;$F744,YEAR($B$2:$B$4001)&amp;"-"&amp;$A$2:$A$4001,0,-1)),G744))</f>
        <v>9</v>
      </c>
      <c r="I744" cm="1">
        <f t="array" ref="I744">IF(OR(AND(H744=9,I$1&gt;YEAR($N744))),9,_xlfn.IFNA(INDEX($D$2:$D$4001,_xlfn.XMATCH(I$1&amp;"-"&amp;$F744,YEAR($B$2:$B$4001)&amp;"-"&amp;$A$2:$A$4001,0,-1)),H744))</f>
        <v>3</v>
      </c>
      <c r="J744" cm="1">
        <f t="array" ref="J744">IF(OR(AND(I744=9,J$1&gt;YEAR($N744))),9,_xlfn.IFNA(INDEX($D$2:$D$4001,_xlfn.XMATCH(J$1&amp;"-"&amp;$F744,YEAR($B$2:$B$4001)&amp;"-"&amp;$A$2:$A$4001,0,-1)),I744))</f>
        <v>4</v>
      </c>
      <c r="K744" cm="1">
        <f t="array" ref="K744">IF(OR(AND(J744=9,K$1&gt;YEAR($N744))),9,_xlfn.IFNA(INDEX($D$2:$D$4001,_xlfn.XMATCH(K$1&amp;"-"&amp;$F744,YEAR($B$2:$B$4001)&amp;"-"&amp;$A$2:$A$4001,0,-1)),J744))</f>
        <v>4</v>
      </c>
      <c r="L744" cm="1">
        <f t="array" ref="L744">IF(OR(AND(K744=9,L$1&gt;YEAR($N744))),9,_xlfn.IFNA(INDEX($D$2:$D$4001,_xlfn.XMATCH(L$1&amp;"-"&amp;$F744,YEAR($B$2:$B$4001)&amp;"-"&amp;$A$2:$A$4001,0,-1)),K744))</f>
        <v>4</v>
      </c>
      <c r="M744" cm="1">
        <f t="array" ref="M744">IF(OR(AND(L744=9,M$1&gt;YEAR($N744))),9,_xlfn.IFNA(INDEX($D$2:$D$4001,_xlfn.XMATCH(M$1&amp;"-"&amp;$F744,YEAR($B$2:$B$4001)&amp;"-"&amp;$A$2:$A$4001,0,-1)),L744))</f>
        <v>5</v>
      </c>
      <c r="N744" s="1">
        <f t="shared" si="11"/>
        <v>37190</v>
      </c>
    </row>
    <row r="745" spans="1:14" x14ac:dyDescent="0.35">
      <c r="A745">
        <v>355</v>
      </c>
      <c r="B745" s="2">
        <v>36524</v>
      </c>
      <c r="C745">
        <v>6</v>
      </c>
      <c r="D745">
        <v>6</v>
      </c>
      <c r="F745">
        <v>744</v>
      </c>
      <c r="G745" cm="1">
        <f t="array" ref="G745">_xlfn.IFNA(INDEX($D$2:$D$4001,_xlfn.XMATCH(G$1&amp;"-"&amp;$F745,YEAR($B$2:$B$4001)&amp;"-"&amp;$A$2:$A$4001,0,-1)),9)</f>
        <v>6</v>
      </c>
      <c r="H745" cm="1">
        <f t="array" ref="H745">IF(OR(AND(G745=9,H$1&gt;YEAR($N745))),9,_xlfn.IFNA(INDEX($D$2:$D$4001,_xlfn.XMATCH(H$1&amp;"-"&amp;$F745,YEAR($B$2:$B$4001)&amp;"-"&amp;$A$2:$A$4001,0,-1)),G745))</f>
        <v>6</v>
      </c>
      <c r="I745" cm="1">
        <f t="array" ref="I745">IF(OR(AND(H745=9,I$1&gt;YEAR($N745))),9,_xlfn.IFNA(INDEX($D$2:$D$4001,_xlfn.XMATCH(I$1&amp;"-"&amp;$F745,YEAR($B$2:$B$4001)&amp;"-"&amp;$A$2:$A$4001,0,-1)),H745))</f>
        <v>6</v>
      </c>
      <c r="J745" cm="1">
        <f t="array" ref="J745">IF(OR(AND(I745=9,J$1&gt;YEAR($N745))),9,_xlfn.IFNA(INDEX($D$2:$D$4001,_xlfn.XMATCH(J$1&amp;"-"&amp;$F745,YEAR($B$2:$B$4001)&amp;"-"&amp;$A$2:$A$4001,0,-1)),I745))</f>
        <v>6</v>
      </c>
      <c r="K745" cm="1">
        <f t="array" ref="K745">IF(OR(AND(J745=9,K$1&gt;YEAR($N745))),9,_xlfn.IFNA(INDEX($D$2:$D$4001,_xlfn.XMATCH(K$1&amp;"-"&amp;$F745,YEAR($B$2:$B$4001)&amp;"-"&amp;$A$2:$A$4001,0,-1)),J745))</f>
        <v>6</v>
      </c>
      <c r="L745" cm="1">
        <f t="array" ref="L745">IF(OR(AND(K745=9,L$1&gt;YEAR($N745))),9,_xlfn.IFNA(INDEX($D$2:$D$4001,_xlfn.XMATCH(L$1&amp;"-"&amp;$F745,YEAR($B$2:$B$4001)&amp;"-"&amp;$A$2:$A$4001,0,-1)),K745))</f>
        <v>6</v>
      </c>
      <c r="M745" cm="1">
        <f t="array" ref="M745">IF(OR(AND(L745=9,M$1&gt;YEAR($N745))),9,_xlfn.IFNA(INDEX($D$2:$D$4001,_xlfn.XMATCH(M$1&amp;"-"&amp;$F745,YEAR($B$2:$B$4001)&amp;"-"&amp;$A$2:$A$4001,0,-1)),L745))</f>
        <v>0</v>
      </c>
      <c r="N745" s="1">
        <f t="shared" si="11"/>
        <v>36524</v>
      </c>
    </row>
    <row r="746" spans="1:14" x14ac:dyDescent="0.35">
      <c r="A746">
        <v>355</v>
      </c>
      <c r="B746" s="2">
        <v>37129</v>
      </c>
      <c r="C746">
        <v>8</v>
      </c>
      <c r="D746">
        <v>8</v>
      </c>
      <c r="F746">
        <v>745</v>
      </c>
      <c r="G746" cm="1">
        <f t="array" ref="G746">_xlfn.IFNA(INDEX($D$2:$D$4001,_xlfn.XMATCH(G$1&amp;"-"&amp;$F746,YEAR($B$2:$B$4001)&amp;"-"&amp;$A$2:$A$4001,0,-1)),9)</f>
        <v>7</v>
      </c>
      <c r="H746" cm="1">
        <f t="array" ref="H746">IF(OR(AND(G746=9,H$1&gt;YEAR($N746))),9,_xlfn.IFNA(INDEX($D$2:$D$4001,_xlfn.XMATCH(H$1&amp;"-"&amp;$F746,YEAR($B$2:$B$4001)&amp;"-"&amp;$A$2:$A$4001,0,-1)),G746))</f>
        <v>7</v>
      </c>
      <c r="I746" cm="1">
        <f t="array" ref="I746">IF(OR(AND(H746=9,I$1&gt;YEAR($N746))),9,_xlfn.IFNA(INDEX($D$2:$D$4001,_xlfn.XMATCH(I$1&amp;"-"&amp;$F746,YEAR($B$2:$B$4001)&amp;"-"&amp;$A$2:$A$4001,0,-1)),H746))</f>
        <v>0</v>
      </c>
      <c r="J746" cm="1">
        <f t="array" ref="J746">IF(OR(AND(I746=9,J$1&gt;YEAR($N746))),9,_xlfn.IFNA(INDEX($D$2:$D$4001,_xlfn.XMATCH(J$1&amp;"-"&amp;$F746,YEAR($B$2:$B$4001)&amp;"-"&amp;$A$2:$A$4001,0,-1)),I746))</f>
        <v>0</v>
      </c>
      <c r="K746" cm="1">
        <f t="array" ref="K746">IF(OR(AND(J746=9,K$1&gt;YEAR($N746))),9,_xlfn.IFNA(INDEX($D$2:$D$4001,_xlfn.XMATCH(K$1&amp;"-"&amp;$F746,YEAR($B$2:$B$4001)&amp;"-"&amp;$A$2:$A$4001,0,-1)),J746))</f>
        <v>0</v>
      </c>
      <c r="L746" cm="1">
        <f t="array" ref="L746">IF(OR(AND(K746=9,L$1&gt;YEAR($N746))),9,_xlfn.IFNA(INDEX($D$2:$D$4001,_xlfn.XMATCH(L$1&amp;"-"&amp;$F746,YEAR($B$2:$B$4001)&amp;"-"&amp;$A$2:$A$4001,0,-1)),K746))</f>
        <v>0</v>
      </c>
      <c r="M746" cm="1">
        <f t="array" ref="M746">IF(OR(AND(L746=9,M$1&gt;YEAR($N746))),9,_xlfn.IFNA(INDEX($D$2:$D$4001,_xlfn.XMATCH(M$1&amp;"-"&amp;$F746,YEAR($B$2:$B$4001)&amp;"-"&amp;$A$2:$A$4001,0,-1)),L746))</f>
        <v>0</v>
      </c>
      <c r="N746" s="1">
        <f t="shared" si="11"/>
        <v>36524</v>
      </c>
    </row>
    <row r="747" spans="1:14" x14ac:dyDescent="0.35">
      <c r="A747">
        <v>356</v>
      </c>
      <c r="B747" s="2">
        <v>37397</v>
      </c>
      <c r="C747">
        <v>3</v>
      </c>
      <c r="D747">
        <v>3</v>
      </c>
      <c r="F747">
        <v>746</v>
      </c>
      <c r="G747" cm="1">
        <f t="array" ref="G747">_xlfn.IFNA(INDEX($D$2:$D$4001,_xlfn.XMATCH(G$1&amp;"-"&amp;$F747,YEAR($B$2:$B$4001)&amp;"-"&amp;$A$2:$A$4001,0,-1)),9)</f>
        <v>0</v>
      </c>
      <c r="H747" cm="1">
        <f t="array" ref="H747">IF(OR(AND(G747=9,H$1&gt;YEAR($N747))),9,_xlfn.IFNA(INDEX($D$2:$D$4001,_xlfn.XMATCH(H$1&amp;"-"&amp;$F747,YEAR($B$2:$B$4001)&amp;"-"&amp;$A$2:$A$4001,0,-1)),G747))</f>
        <v>0</v>
      </c>
      <c r="I747" cm="1">
        <f t="array" ref="I747">IF(OR(AND(H747=9,I$1&gt;YEAR($N747))),9,_xlfn.IFNA(INDEX($D$2:$D$4001,_xlfn.XMATCH(I$1&amp;"-"&amp;$F747,YEAR($B$2:$B$4001)&amp;"-"&amp;$A$2:$A$4001,0,-1)),H747))</f>
        <v>0</v>
      </c>
      <c r="J747" cm="1">
        <f t="array" ref="J747">IF(OR(AND(I747=9,J$1&gt;YEAR($N747))),9,_xlfn.IFNA(INDEX($D$2:$D$4001,_xlfn.XMATCH(J$1&amp;"-"&amp;$F747,YEAR($B$2:$B$4001)&amp;"-"&amp;$A$2:$A$4001,0,-1)),I747))</f>
        <v>0</v>
      </c>
      <c r="K747" cm="1">
        <f t="array" ref="K747">IF(OR(AND(J747=9,K$1&gt;YEAR($N747))),9,_xlfn.IFNA(INDEX($D$2:$D$4001,_xlfn.XMATCH(K$1&amp;"-"&amp;$F747,YEAR($B$2:$B$4001)&amp;"-"&amp;$A$2:$A$4001,0,-1)),J747))</f>
        <v>0</v>
      </c>
      <c r="L747" cm="1">
        <f t="array" ref="L747">IF(OR(AND(K747=9,L$1&gt;YEAR($N747))),9,_xlfn.IFNA(INDEX($D$2:$D$4001,_xlfn.XMATCH(L$1&amp;"-"&amp;$F747,YEAR($B$2:$B$4001)&amp;"-"&amp;$A$2:$A$4001,0,-1)),K747))</f>
        <v>0</v>
      </c>
      <c r="M747" cm="1">
        <f t="array" ref="M747">IF(OR(AND(L747=9,M$1&gt;YEAR($N747))),9,_xlfn.IFNA(INDEX($D$2:$D$4001,_xlfn.XMATCH(M$1&amp;"-"&amp;$F747,YEAR($B$2:$B$4001)&amp;"-"&amp;$A$2:$A$4001,0,-1)),L747))</f>
        <v>0</v>
      </c>
      <c r="N747" s="1">
        <f t="shared" si="11"/>
        <v>36433</v>
      </c>
    </row>
    <row r="748" spans="1:14" x14ac:dyDescent="0.35">
      <c r="A748">
        <v>356</v>
      </c>
      <c r="B748" s="2">
        <v>37985</v>
      </c>
      <c r="C748">
        <v>4</v>
      </c>
      <c r="D748">
        <v>4</v>
      </c>
      <c r="F748">
        <v>747</v>
      </c>
      <c r="G748" cm="1">
        <f t="array" ref="G748">_xlfn.IFNA(INDEX($D$2:$D$4001,_xlfn.XMATCH(G$1&amp;"-"&amp;$F748,YEAR($B$2:$B$4001)&amp;"-"&amp;$A$2:$A$4001,0,-1)),9)</f>
        <v>3</v>
      </c>
      <c r="H748" cm="1">
        <f t="array" ref="H748">IF(OR(AND(G748=9,H$1&gt;YEAR($N748))),9,_xlfn.IFNA(INDEX($D$2:$D$4001,_xlfn.XMATCH(H$1&amp;"-"&amp;$F748,YEAR($B$2:$B$4001)&amp;"-"&amp;$A$2:$A$4001,0,-1)),G748))</f>
        <v>3</v>
      </c>
      <c r="I748" cm="1">
        <f t="array" ref="I748">IF(OR(AND(H748=9,I$1&gt;YEAR($N748))),9,_xlfn.IFNA(INDEX($D$2:$D$4001,_xlfn.XMATCH(I$1&amp;"-"&amp;$F748,YEAR($B$2:$B$4001)&amp;"-"&amp;$A$2:$A$4001,0,-1)),H748))</f>
        <v>3</v>
      </c>
      <c r="J748" cm="1">
        <f t="array" ref="J748">IF(OR(AND(I748=9,J$1&gt;YEAR($N748))),9,_xlfn.IFNA(INDEX($D$2:$D$4001,_xlfn.XMATCH(J$1&amp;"-"&amp;$F748,YEAR($B$2:$B$4001)&amp;"-"&amp;$A$2:$A$4001,0,-1)),I748))</f>
        <v>3</v>
      </c>
      <c r="K748" cm="1">
        <f t="array" ref="K748">IF(OR(AND(J748=9,K$1&gt;YEAR($N748))),9,_xlfn.IFNA(INDEX($D$2:$D$4001,_xlfn.XMATCH(K$1&amp;"-"&amp;$F748,YEAR($B$2:$B$4001)&amp;"-"&amp;$A$2:$A$4001,0,-1)),J748))</f>
        <v>3</v>
      </c>
      <c r="L748" cm="1">
        <f t="array" ref="L748">IF(OR(AND(K748=9,L$1&gt;YEAR($N748))),9,_xlfn.IFNA(INDEX($D$2:$D$4001,_xlfn.XMATCH(L$1&amp;"-"&amp;$F748,YEAR($B$2:$B$4001)&amp;"-"&amp;$A$2:$A$4001,0,-1)),K748))</f>
        <v>3</v>
      </c>
      <c r="M748" cm="1">
        <f t="array" ref="M748">IF(OR(AND(L748=9,M$1&gt;YEAR($N748))),9,_xlfn.IFNA(INDEX($D$2:$D$4001,_xlfn.XMATCH(M$1&amp;"-"&amp;$F748,YEAR($B$2:$B$4001)&amp;"-"&amp;$A$2:$A$4001,0,-1)),L748))</f>
        <v>3</v>
      </c>
      <c r="N748" s="1">
        <f t="shared" si="11"/>
        <v>36524</v>
      </c>
    </row>
    <row r="749" spans="1:14" x14ac:dyDescent="0.35">
      <c r="A749">
        <v>356</v>
      </c>
      <c r="B749" s="2">
        <v>38351</v>
      </c>
      <c r="C749">
        <v>4</v>
      </c>
      <c r="D749">
        <v>4</v>
      </c>
      <c r="F749">
        <v>748</v>
      </c>
      <c r="G749" cm="1">
        <f t="array" ref="G749">_xlfn.IFNA(INDEX($D$2:$D$4001,_xlfn.XMATCH(G$1&amp;"-"&amp;$F749,YEAR($B$2:$B$4001)&amp;"-"&amp;$A$2:$A$4001,0,-1)),9)</f>
        <v>9</v>
      </c>
      <c r="H749" cm="1">
        <f t="array" ref="H749">IF(OR(AND(G749=9,H$1&gt;YEAR($N749))),9,_xlfn.IFNA(INDEX($D$2:$D$4001,_xlfn.XMATCH(H$1&amp;"-"&amp;$F749,YEAR($B$2:$B$4001)&amp;"-"&amp;$A$2:$A$4001,0,-1)),G749))</f>
        <v>0</v>
      </c>
      <c r="I749" cm="1">
        <f t="array" ref="I749">IF(OR(AND(H749=9,I$1&gt;YEAR($N749))),9,_xlfn.IFNA(INDEX($D$2:$D$4001,_xlfn.XMATCH(I$1&amp;"-"&amp;$F749,YEAR($B$2:$B$4001)&amp;"-"&amp;$A$2:$A$4001,0,-1)),H749))</f>
        <v>0</v>
      </c>
      <c r="J749" cm="1">
        <f t="array" ref="J749">IF(OR(AND(I749=9,J$1&gt;YEAR($N749))),9,_xlfn.IFNA(INDEX($D$2:$D$4001,_xlfn.XMATCH(J$1&amp;"-"&amp;$F749,YEAR($B$2:$B$4001)&amp;"-"&amp;$A$2:$A$4001,0,-1)),I749))</f>
        <v>0</v>
      </c>
      <c r="K749" cm="1">
        <f t="array" ref="K749">IF(OR(AND(J749=9,K$1&gt;YEAR($N749))),9,_xlfn.IFNA(INDEX($D$2:$D$4001,_xlfn.XMATCH(K$1&amp;"-"&amp;$F749,YEAR($B$2:$B$4001)&amp;"-"&amp;$A$2:$A$4001,0,-1)),J749))</f>
        <v>0</v>
      </c>
      <c r="L749" cm="1">
        <f t="array" ref="L749">IF(OR(AND(K749=9,L$1&gt;YEAR($N749))),9,_xlfn.IFNA(INDEX($D$2:$D$4001,_xlfn.XMATCH(L$1&amp;"-"&amp;$F749,YEAR($B$2:$B$4001)&amp;"-"&amp;$A$2:$A$4001,0,-1)),K749))</f>
        <v>0</v>
      </c>
      <c r="M749" cm="1">
        <f t="array" ref="M749">IF(OR(AND(L749=9,M$1&gt;YEAR($N749))),9,_xlfn.IFNA(INDEX($D$2:$D$4001,_xlfn.XMATCH(M$1&amp;"-"&amp;$F749,YEAR($B$2:$B$4001)&amp;"-"&amp;$A$2:$A$4001,0,-1)),L749))</f>
        <v>0</v>
      </c>
      <c r="N749" s="1">
        <f t="shared" si="11"/>
        <v>36706</v>
      </c>
    </row>
    <row r="750" spans="1:14" x14ac:dyDescent="0.35">
      <c r="A750">
        <v>357</v>
      </c>
      <c r="B750" s="2">
        <v>36768</v>
      </c>
      <c r="C750">
        <v>2</v>
      </c>
      <c r="D750">
        <v>2</v>
      </c>
      <c r="F750">
        <v>749</v>
      </c>
      <c r="G750" cm="1">
        <f t="array" ref="G750">_xlfn.IFNA(INDEX($D$2:$D$4001,_xlfn.XMATCH(G$1&amp;"-"&amp;$F750,YEAR($B$2:$B$4001)&amp;"-"&amp;$A$2:$A$4001,0,-1)),9)</f>
        <v>0</v>
      </c>
      <c r="H750" cm="1">
        <f t="array" ref="H750">IF(OR(AND(G750=9,H$1&gt;YEAR($N750))),9,_xlfn.IFNA(INDEX($D$2:$D$4001,_xlfn.XMATCH(H$1&amp;"-"&amp;$F750,YEAR($B$2:$B$4001)&amp;"-"&amp;$A$2:$A$4001,0,-1)),G750))</f>
        <v>0</v>
      </c>
      <c r="I750" cm="1">
        <f t="array" ref="I750">IF(OR(AND(H750=9,I$1&gt;YEAR($N750))),9,_xlfn.IFNA(INDEX($D$2:$D$4001,_xlfn.XMATCH(I$1&amp;"-"&amp;$F750,YEAR($B$2:$B$4001)&amp;"-"&amp;$A$2:$A$4001,0,-1)),H750))</f>
        <v>0</v>
      </c>
      <c r="J750" cm="1">
        <f t="array" ref="J750">IF(OR(AND(I750=9,J$1&gt;YEAR($N750))),9,_xlfn.IFNA(INDEX($D$2:$D$4001,_xlfn.XMATCH(J$1&amp;"-"&amp;$F750,YEAR($B$2:$B$4001)&amp;"-"&amp;$A$2:$A$4001,0,-1)),I750))</f>
        <v>0</v>
      </c>
      <c r="K750" cm="1">
        <f t="array" ref="K750">IF(OR(AND(J750=9,K$1&gt;YEAR($N750))),9,_xlfn.IFNA(INDEX($D$2:$D$4001,_xlfn.XMATCH(K$1&amp;"-"&amp;$F750,YEAR($B$2:$B$4001)&amp;"-"&amp;$A$2:$A$4001,0,-1)),J750))</f>
        <v>0</v>
      </c>
      <c r="L750" cm="1">
        <f t="array" ref="L750">IF(OR(AND(K750=9,L$1&gt;YEAR($N750))),9,_xlfn.IFNA(INDEX($D$2:$D$4001,_xlfn.XMATCH(L$1&amp;"-"&amp;$F750,YEAR($B$2:$B$4001)&amp;"-"&amp;$A$2:$A$4001,0,-1)),K750))</f>
        <v>0</v>
      </c>
      <c r="M750" cm="1">
        <f t="array" ref="M750">IF(OR(AND(L750=9,M$1&gt;YEAR($N750))),9,_xlfn.IFNA(INDEX($D$2:$D$4001,_xlfn.XMATCH(M$1&amp;"-"&amp;$F750,YEAR($B$2:$B$4001)&amp;"-"&amp;$A$2:$A$4001,0,-1)),L750))</f>
        <v>0</v>
      </c>
      <c r="N750" s="1">
        <f t="shared" si="11"/>
        <v>36393</v>
      </c>
    </row>
    <row r="751" spans="1:14" x14ac:dyDescent="0.35">
      <c r="A751">
        <v>357</v>
      </c>
      <c r="B751" s="2">
        <v>36890</v>
      </c>
      <c r="C751">
        <v>3</v>
      </c>
      <c r="D751">
        <v>3</v>
      </c>
      <c r="F751">
        <v>750</v>
      </c>
      <c r="G751" cm="1">
        <f t="array" ref="G751">_xlfn.IFNA(INDEX($D$2:$D$4001,_xlfn.XMATCH(G$1&amp;"-"&amp;$F751,YEAR($B$2:$B$4001)&amp;"-"&amp;$A$2:$A$4001,0,-1)),9)</f>
        <v>5</v>
      </c>
      <c r="H751" cm="1">
        <f t="array" ref="H751">IF(OR(AND(G751=9,H$1&gt;YEAR($N751))),9,_xlfn.IFNA(INDEX($D$2:$D$4001,_xlfn.XMATCH(H$1&amp;"-"&amp;$F751,YEAR($B$2:$B$4001)&amp;"-"&amp;$A$2:$A$4001,0,-1)),G751))</f>
        <v>5</v>
      </c>
      <c r="I751" cm="1">
        <f t="array" ref="I751">IF(OR(AND(H751=9,I$1&gt;YEAR($N751))),9,_xlfn.IFNA(INDEX($D$2:$D$4001,_xlfn.XMATCH(I$1&amp;"-"&amp;$F751,YEAR($B$2:$B$4001)&amp;"-"&amp;$A$2:$A$4001,0,-1)),H751))</f>
        <v>5</v>
      </c>
      <c r="J751" cm="1">
        <f t="array" ref="J751">IF(OR(AND(I751=9,J$1&gt;YEAR($N751))),9,_xlfn.IFNA(INDEX($D$2:$D$4001,_xlfn.XMATCH(J$1&amp;"-"&amp;$F751,YEAR($B$2:$B$4001)&amp;"-"&amp;$A$2:$A$4001,0,-1)),I751))</f>
        <v>5</v>
      </c>
      <c r="K751" cm="1">
        <f t="array" ref="K751">IF(OR(AND(J751=9,K$1&gt;YEAR($N751))),9,_xlfn.IFNA(INDEX($D$2:$D$4001,_xlfn.XMATCH(K$1&amp;"-"&amp;$F751,YEAR($B$2:$B$4001)&amp;"-"&amp;$A$2:$A$4001,0,-1)),J751))</f>
        <v>5</v>
      </c>
      <c r="L751" cm="1">
        <f t="array" ref="L751">IF(OR(AND(K751=9,L$1&gt;YEAR($N751))),9,_xlfn.IFNA(INDEX($D$2:$D$4001,_xlfn.XMATCH(L$1&amp;"-"&amp;$F751,YEAR($B$2:$B$4001)&amp;"-"&amp;$A$2:$A$4001,0,-1)),K751))</f>
        <v>4</v>
      </c>
      <c r="M751" cm="1">
        <f t="array" ref="M751">IF(OR(AND(L751=9,M$1&gt;YEAR($N751))),9,_xlfn.IFNA(INDEX($D$2:$D$4001,_xlfn.XMATCH(M$1&amp;"-"&amp;$F751,YEAR($B$2:$B$4001)&amp;"-"&amp;$A$2:$A$4001,0,-1)),L751))</f>
        <v>4</v>
      </c>
      <c r="N751" s="1">
        <f t="shared" si="11"/>
        <v>36433</v>
      </c>
    </row>
    <row r="752" spans="1:14" x14ac:dyDescent="0.35">
      <c r="A752">
        <v>357</v>
      </c>
      <c r="B752" s="2">
        <v>37185</v>
      </c>
      <c r="C752">
        <v>2</v>
      </c>
      <c r="D752">
        <v>2</v>
      </c>
      <c r="F752">
        <v>751</v>
      </c>
      <c r="G752" cm="1">
        <f t="array" ref="G752">_xlfn.IFNA(INDEX($D$2:$D$4001,_xlfn.XMATCH(G$1&amp;"-"&amp;$F752,YEAR($B$2:$B$4001)&amp;"-"&amp;$A$2:$A$4001,0,-1)),9)</f>
        <v>4</v>
      </c>
      <c r="H752" cm="1">
        <f t="array" ref="H752">IF(OR(AND(G752=9,H$1&gt;YEAR($N752))),9,_xlfn.IFNA(INDEX($D$2:$D$4001,_xlfn.XMATCH(H$1&amp;"-"&amp;$F752,YEAR($B$2:$B$4001)&amp;"-"&amp;$A$2:$A$4001,0,-1)),G752))</f>
        <v>4</v>
      </c>
      <c r="I752" cm="1">
        <f t="array" ref="I752">IF(OR(AND(H752=9,I$1&gt;YEAR($N752))),9,_xlfn.IFNA(INDEX($D$2:$D$4001,_xlfn.XMATCH(I$1&amp;"-"&amp;$F752,YEAR($B$2:$B$4001)&amp;"-"&amp;$A$2:$A$4001,0,-1)),H752))</f>
        <v>4</v>
      </c>
      <c r="J752" cm="1">
        <f t="array" ref="J752">IF(OR(AND(I752=9,J$1&gt;YEAR($N752))),9,_xlfn.IFNA(INDEX($D$2:$D$4001,_xlfn.XMATCH(J$1&amp;"-"&amp;$F752,YEAR($B$2:$B$4001)&amp;"-"&amp;$A$2:$A$4001,0,-1)),I752))</f>
        <v>5</v>
      </c>
      <c r="K752" cm="1">
        <f t="array" ref="K752">IF(OR(AND(J752=9,K$1&gt;YEAR($N752))),9,_xlfn.IFNA(INDEX($D$2:$D$4001,_xlfn.XMATCH(K$1&amp;"-"&amp;$F752,YEAR($B$2:$B$4001)&amp;"-"&amp;$A$2:$A$4001,0,-1)),J752))</f>
        <v>6</v>
      </c>
      <c r="L752" cm="1">
        <f t="array" ref="L752">IF(OR(AND(K752=9,L$1&gt;YEAR($N752))),9,_xlfn.IFNA(INDEX($D$2:$D$4001,_xlfn.XMATCH(L$1&amp;"-"&amp;$F752,YEAR($B$2:$B$4001)&amp;"-"&amp;$A$2:$A$4001,0,-1)),K752))</f>
        <v>6</v>
      </c>
      <c r="M752" cm="1">
        <f t="array" ref="M752">IF(OR(AND(L752=9,M$1&gt;YEAR($N752))),9,_xlfn.IFNA(INDEX($D$2:$D$4001,_xlfn.XMATCH(M$1&amp;"-"&amp;$F752,YEAR($B$2:$B$4001)&amp;"-"&amp;$A$2:$A$4001,0,-1)),L752))</f>
        <v>6</v>
      </c>
      <c r="N752" s="1">
        <f t="shared" si="11"/>
        <v>36310</v>
      </c>
    </row>
    <row r="753" spans="1:14" x14ac:dyDescent="0.35">
      <c r="A753">
        <v>358</v>
      </c>
      <c r="B753" s="2">
        <v>36524</v>
      </c>
      <c r="C753">
        <v>4</v>
      </c>
      <c r="D753">
        <v>4</v>
      </c>
      <c r="F753">
        <v>752</v>
      </c>
      <c r="G753" cm="1">
        <f t="array" ref="G753">_xlfn.IFNA(INDEX($D$2:$D$4001,_xlfn.XMATCH(G$1&amp;"-"&amp;$F753,YEAR($B$2:$B$4001)&amp;"-"&amp;$A$2:$A$4001,0,-1)),9)</f>
        <v>9</v>
      </c>
      <c r="H753" cm="1">
        <f t="array" ref="H753">IF(OR(AND(G753=9,H$1&gt;YEAR($N753))),9,_xlfn.IFNA(INDEX($D$2:$D$4001,_xlfn.XMATCH(H$1&amp;"-"&amp;$F753,YEAR($B$2:$B$4001)&amp;"-"&amp;$A$2:$A$4001,0,-1)),G753))</f>
        <v>9</v>
      </c>
      <c r="I753" cm="1">
        <f t="array" ref="I753">IF(OR(AND(H753=9,I$1&gt;YEAR($N753))),9,_xlfn.IFNA(INDEX($D$2:$D$4001,_xlfn.XMATCH(I$1&amp;"-"&amp;$F753,YEAR($B$2:$B$4001)&amp;"-"&amp;$A$2:$A$4001,0,-1)),H753))</f>
        <v>9</v>
      </c>
      <c r="J753" cm="1">
        <f t="array" ref="J753">IF(OR(AND(I753=9,J$1&gt;YEAR($N753))),9,_xlfn.IFNA(INDEX($D$2:$D$4001,_xlfn.XMATCH(J$1&amp;"-"&amp;$F753,YEAR($B$2:$B$4001)&amp;"-"&amp;$A$2:$A$4001,0,-1)),I753))</f>
        <v>2</v>
      </c>
      <c r="K753" cm="1">
        <f t="array" ref="K753">IF(OR(AND(J753=9,K$1&gt;YEAR($N753))),9,_xlfn.IFNA(INDEX($D$2:$D$4001,_xlfn.XMATCH(K$1&amp;"-"&amp;$F753,YEAR($B$2:$B$4001)&amp;"-"&amp;$A$2:$A$4001,0,-1)),J753))</f>
        <v>2</v>
      </c>
      <c r="L753" cm="1">
        <f t="array" ref="L753">IF(OR(AND(K753=9,L$1&gt;YEAR($N753))),9,_xlfn.IFNA(INDEX($D$2:$D$4001,_xlfn.XMATCH(L$1&amp;"-"&amp;$F753,YEAR($B$2:$B$4001)&amp;"-"&amp;$A$2:$A$4001,0,-1)),K753))</f>
        <v>2</v>
      </c>
      <c r="M753" cm="1">
        <f t="array" ref="M753">IF(OR(AND(L753=9,M$1&gt;YEAR($N753))),9,_xlfn.IFNA(INDEX($D$2:$D$4001,_xlfn.XMATCH(M$1&amp;"-"&amp;$F753,YEAR($B$2:$B$4001)&amp;"-"&amp;$A$2:$A$4001,0,-1)),L753))</f>
        <v>2</v>
      </c>
      <c r="N753" s="1">
        <f t="shared" si="11"/>
        <v>37489</v>
      </c>
    </row>
    <row r="754" spans="1:14" x14ac:dyDescent="0.35">
      <c r="A754">
        <v>358</v>
      </c>
      <c r="B754" s="2">
        <v>37032</v>
      </c>
      <c r="C754">
        <v>4</v>
      </c>
      <c r="D754">
        <v>4</v>
      </c>
      <c r="F754">
        <v>753</v>
      </c>
      <c r="G754" cm="1">
        <f t="array" ref="G754">_xlfn.IFNA(INDEX($D$2:$D$4001,_xlfn.XMATCH(G$1&amp;"-"&amp;$F754,YEAR($B$2:$B$4001)&amp;"-"&amp;$A$2:$A$4001,0,-1)),9)</f>
        <v>9</v>
      </c>
      <c r="H754" cm="1">
        <f t="array" ref="H754">IF(OR(AND(G754=9,H$1&gt;YEAR($N754))),9,_xlfn.IFNA(INDEX($D$2:$D$4001,_xlfn.XMATCH(H$1&amp;"-"&amp;$F754,YEAR($B$2:$B$4001)&amp;"-"&amp;$A$2:$A$4001,0,-1)),G754))</f>
        <v>4</v>
      </c>
      <c r="I754" cm="1">
        <f t="array" ref="I754">IF(OR(AND(H754=9,I$1&gt;YEAR($N754))),9,_xlfn.IFNA(INDEX($D$2:$D$4001,_xlfn.XMATCH(I$1&amp;"-"&amp;$F754,YEAR($B$2:$B$4001)&amp;"-"&amp;$A$2:$A$4001,0,-1)),H754))</f>
        <v>4</v>
      </c>
      <c r="J754" cm="1">
        <f t="array" ref="J754">IF(OR(AND(I754=9,J$1&gt;YEAR($N754))),9,_xlfn.IFNA(INDEX($D$2:$D$4001,_xlfn.XMATCH(J$1&amp;"-"&amp;$F754,YEAR($B$2:$B$4001)&amp;"-"&amp;$A$2:$A$4001,0,-1)),I754))</f>
        <v>4</v>
      </c>
      <c r="K754" cm="1">
        <f t="array" ref="K754">IF(OR(AND(J754=9,K$1&gt;YEAR($N754))),9,_xlfn.IFNA(INDEX($D$2:$D$4001,_xlfn.XMATCH(K$1&amp;"-"&amp;$F754,YEAR($B$2:$B$4001)&amp;"-"&amp;$A$2:$A$4001,0,-1)),J754))</f>
        <v>4</v>
      </c>
      <c r="L754" cm="1">
        <f t="array" ref="L754">IF(OR(AND(K754=9,L$1&gt;YEAR($N754))),9,_xlfn.IFNA(INDEX($D$2:$D$4001,_xlfn.XMATCH(L$1&amp;"-"&amp;$F754,YEAR($B$2:$B$4001)&amp;"-"&amp;$A$2:$A$4001,0,-1)),K754))</f>
        <v>4</v>
      </c>
      <c r="M754" cm="1">
        <f t="array" ref="M754">IF(OR(AND(L754=9,M$1&gt;YEAR($N754))),9,_xlfn.IFNA(INDEX($D$2:$D$4001,_xlfn.XMATCH(M$1&amp;"-"&amp;$F754,YEAR($B$2:$B$4001)&amp;"-"&amp;$A$2:$A$4001,0,-1)),L754))</f>
        <v>4</v>
      </c>
      <c r="N754" s="1">
        <f t="shared" si="11"/>
        <v>36667</v>
      </c>
    </row>
    <row r="755" spans="1:14" x14ac:dyDescent="0.35">
      <c r="A755">
        <v>358</v>
      </c>
      <c r="B755" s="2">
        <v>37406</v>
      </c>
      <c r="C755">
        <v>0</v>
      </c>
      <c r="D755">
        <v>0</v>
      </c>
      <c r="F755">
        <v>754</v>
      </c>
      <c r="G755" cm="1">
        <f t="array" ref="G755">_xlfn.IFNA(INDEX($D$2:$D$4001,_xlfn.XMATCH(G$1&amp;"-"&amp;$F755,YEAR($B$2:$B$4001)&amp;"-"&amp;$A$2:$A$4001,0,-1)),9)</f>
        <v>9</v>
      </c>
      <c r="H755" cm="1">
        <f t="array" ref="H755">IF(OR(AND(G755=9,H$1&gt;YEAR($N755))),9,_xlfn.IFNA(INDEX($D$2:$D$4001,_xlfn.XMATCH(H$1&amp;"-"&amp;$F755,YEAR($B$2:$B$4001)&amp;"-"&amp;$A$2:$A$4001,0,-1)),G755))</f>
        <v>6</v>
      </c>
      <c r="I755" cm="1">
        <f t="array" ref="I755">IF(OR(AND(H755=9,I$1&gt;YEAR($N755))),9,_xlfn.IFNA(INDEX($D$2:$D$4001,_xlfn.XMATCH(I$1&amp;"-"&amp;$F755,YEAR($B$2:$B$4001)&amp;"-"&amp;$A$2:$A$4001,0,-1)),H755))</f>
        <v>6</v>
      </c>
      <c r="J755" cm="1">
        <f t="array" ref="J755">IF(OR(AND(I755=9,J$1&gt;YEAR($N755))),9,_xlfn.IFNA(INDEX($D$2:$D$4001,_xlfn.XMATCH(J$1&amp;"-"&amp;$F755,YEAR($B$2:$B$4001)&amp;"-"&amp;$A$2:$A$4001,0,-1)),I755))</f>
        <v>6</v>
      </c>
      <c r="K755" cm="1">
        <f t="array" ref="K755">IF(OR(AND(J755=9,K$1&gt;YEAR($N755))),9,_xlfn.IFNA(INDEX($D$2:$D$4001,_xlfn.XMATCH(K$1&amp;"-"&amp;$F755,YEAR($B$2:$B$4001)&amp;"-"&amp;$A$2:$A$4001,0,-1)),J755))</f>
        <v>6</v>
      </c>
      <c r="L755" cm="1">
        <f t="array" ref="L755">IF(OR(AND(K755=9,L$1&gt;YEAR($N755))),9,_xlfn.IFNA(INDEX($D$2:$D$4001,_xlfn.XMATCH(L$1&amp;"-"&amp;$F755,YEAR($B$2:$B$4001)&amp;"-"&amp;$A$2:$A$4001,0,-1)),K755))</f>
        <v>6</v>
      </c>
      <c r="M755" cm="1">
        <f t="array" ref="M755">IF(OR(AND(L755=9,M$1&gt;YEAR($N755))),9,_xlfn.IFNA(INDEX($D$2:$D$4001,_xlfn.XMATCH(M$1&amp;"-"&amp;$F755,YEAR($B$2:$B$4001)&amp;"-"&amp;$A$2:$A$4001,0,-1)),L755))</f>
        <v>6</v>
      </c>
      <c r="N755" s="1">
        <f t="shared" si="11"/>
        <v>36676</v>
      </c>
    </row>
    <row r="756" spans="1:14" x14ac:dyDescent="0.35">
      <c r="A756">
        <v>358</v>
      </c>
      <c r="B756" s="2">
        <v>37529</v>
      </c>
      <c r="C756">
        <v>4</v>
      </c>
      <c r="D756">
        <v>4</v>
      </c>
      <c r="F756">
        <v>755</v>
      </c>
      <c r="G756" cm="1">
        <f t="array" ref="G756">_xlfn.IFNA(INDEX($D$2:$D$4001,_xlfn.XMATCH(G$1&amp;"-"&amp;$F756,YEAR($B$2:$B$4001)&amp;"-"&amp;$A$2:$A$4001,0,-1)),9)</f>
        <v>9</v>
      </c>
      <c r="H756" cm="1">
        <f t="array" ref="H756">IF(OR(AND(G756=9,H$1&gt;YEAR($N756))),9,_xlfn.IFNA(INDEX($D$2:$D$4001,_xlfn.XMATCH(H$1&amp;"-"&amp;$F756,YEAR($B$2:$B$4001)&amp;"-"&amp;$A$2:$A$4001,0,-1)),G756))</f>
        <v>9</v>
      </c>
      <c r="I756" cm="1">
        <f t="array" ref="I756">IF(OR(AND(H756=9,I$1&gt;YEAR($N756))),9,_xlfn.IFNA(INDEX($D$2:$D$4001,_xlfn.XMATCH(I$1&amp;"-"&amp;$F756,YEAR($B$2:$B$4001)&amp;"-"&amp;$A$2:$A$4001,0,-1)),H756))</f>
        <v>9</v>
      </c>
      <c r="J756" cm="1">
        <f t="array" ref="J756">IF(OR(AND(I756=9,J$1&gt;YEAR($N756))),9,_xlfn.IFNA(INDEX($D$2:$D$4001,_xlfn.XMATCH(J$1&amp;"-"&amp;$F756,YEAR($B$2:$B$4001)&amp;"-"&amp;$A$2:$A$4001,0,-1)),I756))</f>
        <v>7</v>
      </c>
      <c r="K756" cm="1">
        <f t="array" ref="K756">IF(OR(AND(J756=9,K$1&gt;YEAR($N756))),9,_xlfn.IFNA(INDEX($D$2:$D$4001,_xlfn.XMATCH(K$1&amp;"-"&amp;$F756,YEAR($B$2:$B$4001)&amp;"-"&amp;$A$2:$A$4001,0,-1)),J756))</f>
        <v>7</v>
      </c>
      <c r="L756" cm="1">
        <f t="array" ref="L756">IF(OR(AND(K756=9,L$1&gt;YEAR($N756))),9,_xlfn.IFNA(INDEX($D$2:$D$4001,_xlfn.XMATCH(L$1&amp;"-"&amp;$F756,YEAR($B$2:$B$4001)&amp;"-"&amp;$A$2:$A$4001,0,-1)),K756))</f>
        <v>7</v>
      </c>
      <c r="M756" cm="1">
        <f t="array" ref="M756">IF(OR(AND(L756=9,M$1&gt;YEAR($N756))),9,_xlfn.IFNA(INDEX($D$2:$D$4001,_xlfn.XMATCH(M$1&amp;"-"&amp;$F756,YEAR($B$2:$B$4001)&amp;"-"&amp;$A$2:$A$4001,0,-1)),L756))</f>
        <v>7</v>
      </c>
      <c r="N756" s="1">
        <f t="shared" si="11"/>
        <v>37620</v>
      </c>
    </row>
    <row r="757" spans="1:14" x14ac:dyDescent="0.35">
      <c r="A757">
        <v>359</v>
      </c>
      <c r="B757" s="2">
        <v>36524</v>
      </c>
      <c r="C757">
        <v>0</v>
      </c>
      <c r="D757">
        <v>0</v>
      </c>
      <c r="F757">
        <v>756</v>
      </c>
      <c r="G757" cm="1">
        <f t="array" ref="G757">_xlfn.IFNA(INDEX($D$2:$D$4001,_xlfn.XMATCH(G$1&amp;"-"&amp;$F757,YEAR($B$2:$B$4001)&amp;"-"&amp;$A$2:$A$4001,0,-1)),9)</f>
        <v>9</v>
      </c>
      <c r="H757" cm="1">
        <f t="array" ref="H757">IF(OR(AND(G757=9,H$1&gt;YEAR($N757))),9,_xlfn.IFNA(INDEX($D$2:$D$4001,_xlfn.XMATCH(H$1&amp;"-"&amp;$F757,YEAR($B$2:$B$4001)&amp;"-"&amp;$A$2:$A$4001,0,-1)),G757))</f>
        <v>9</v>
      </c>
      <c r="I757" cm="1">
        <f t="array" ref="I757">IF(OR(AND(H757=9,I$1&gt;YEAR($N757))),9,_xlfn.IFNA(INDEX($D$2:$D$4001,_xlfn.XMATCH(I$1&amp;"-"&amp;$F757,YEAR($B$2:$B$4001)&amp;"-"&amp;$A$2:$A$4001,0,-1)),H757))</f>
        <v>5</v>
      </c>
      <c r="J757" cm="1">
        <f t="array" ref="J757">IF(OR(AND(I757=9,J$1&gt;YEAR($N757))),9,_xlfn.IFNA(INDEX($D$2:$D$4001,_xlfn.XMATCH(J$1&amp;"-"&amp;$F757,YEAR($B$2:$B$4001)&amp;"-"&amp;$A$2:$A$4001,0,-1)),I757))</f>
        <v>4</v>
      </c>
      <c r="K757" cm="1">
        <f t="array" ref="K757">IF(OR(AND(J757=9,K$1&gt;YEAR($N757))),9,_xlfn.IFNA(INDEX($D$2:$D$4001,_xlfn.XMATCH(K$1&amp;"-"&amp;$F757,YEAR($B$2:$B$4001)&amp;"-"&amp;$A$2:$A$4001,0,-1)),J757))</f>
        <v>4</v>
      </c>
      <c r="L757" cm="1">
        <f t="array" ref="L757">IF(OR(AND(K757=9,L$1&gt;YEAR($N757))),9,_xlfn.IFNA(INDEX($D$2:$D$4001,_xlfn.XMATCH(L$1&amp;"-"&amp;$F757,YEAR($B$2:$B$4001)&amp;"-"&amp;$A$2:$A$4001,0,-1)),K757))</f>
        <v>4</v>
      </c>
      <c r="M757" cm="1">
        <f t="array" ref="M757">IF(OR(AND(L757=9,M$1&gt;YEAR($N757))),9,_xlfn.IFNA(INDEX($D$2:$D$4001,_xlfn.XMATCH(M$1&amp;"-"&amp;$F757,YEAR($B$2:$B$4001)&amp;"-"&amp;$A$2:$A$4001,0,-1)),L757))</f>
        <v>4</v>
      </c>
      <c r="N757" s="1">
        <f t="shared" si="11"/>
        <v>37133</v>
      </c>
    </row>
    <row r="758" spans="1:14" x14ac:dyDescent="0.35">
      <c r="A758">
        <v>360</v>
      </c>
      <c r="B758" s="2">
        <v>37255</v>
      </c>
      <c r="C758">
        <v>2</v>
      </c>
      <c r="D758">
        <v>2</v>
      </c>
      <c r="F758">
        <v>757</v>
      </c>
      <c r="G758" cm="1">
        <f t="array" ref="G758">_xlfn.IFNA(INDEX($D$2:$D$4001,_xlfn.XMATCH(G$1&amp;"-"&amp;$F758,YEAR($B$2:$B$4001)&amp;"-"&amp;$A$2:$A$4001,0,-1)),9)</f>
        <v>9</v>
      </c>
      <c r="H758" cm="1">
        <f t="array" ref="H758">IF(OR(AND(G758=9,H$1&gt;YEAR($N758))),9,_xlfn.IFNA(INDEX($D$2:$D$4001,_xlfn.XMATCH(H$1&amp;"-"&amp;$F758,YEAR($B$2:$B$4001)&amp;"-"&amp;$A$2:$A$4001,0,-1)),G758))</f>
        <v>9</v>
      </c>
      <c r="I758" cm="1">
        <f t="array" ref="I758">IF(OR(AND(H758=9,I$1&gt;YEAR($N758))),9,_xlfn.IFNA(INDEX($D$2:$D$4001,_xlfn.XMATCH(I$1&amp;"-"&amp;$F758,YEAR($B$2:$B$4001)&amp;"-"&amp;$A$2:$A$4001,0,-1)),H758))</f>
        <v>9</v>
      </c>
      <c r="J758" cm="1">
        <f t="array" ref="J758">IF(OR(AND(I758=9,J$1&gt;YEAR($N758))),9,_xlfn.IFNA(INDEX($D$2:$D$4001,_xlfn.XMATCH(J$1&amp;"-"&amp;$F758,YEAR($B$2:$B$4001)&amp;"-"&amp;$A$2:$A$4001,0,-1)),I758))</f>
        <v>9</v>
      </c>
      <c r="K758" cm="1">
        <f t="array" ref="K758">IF(OR(AND(J758=9,K$1&gt;YEAR($N758))),9,_xlfn.IFNA(INDEX($D$2:$D$4001,_xlfn.XMATCH(K$1&amp;"-"&amp;$F758,YEAR($B$2:$B$4001)&amp;"-"&amp;$A$2:$A$4001,0,-1)),J758))</f>
        <v>9</v>
      </c>
      <c r="L758" cm="1">
        <f t="array" ref="L758">IF(OR(AND(K758=9,L$1&gt;YEAR($N758))),9,_xlfn.IFNA(INDEX($D$2:$D$4001,_xlfn.XMATCH(L$1&amp;"-"&amp;$F758,YEAR($B$2:$B$4001)&amp;"-"&amp;$A$2:$A$4001,0,-1)),K758))</f>
        <v>0</v>
      </c>
      <c r="M758" cm="1">
        <f t="array" ref="M758">IF(OR(AND(L758=9,M$1&gt;YEAR($N758))),9,_xlfn.IFNA(INDEX($D$2:$D$4001,_xlfn.XMATCH(M$1&amp;"-"&amp;$F758,YEAR($B$2:$B$4001)&amp;"-"&amp;$A$2:$A$4001,0,-1)),L758))</f>
        <v>0</v>
      </c>
      <c r="N758" s="1">
        <f t="shared" si="11"/>
        <v>38128</v>
      </c>
    </row>
    <row r="759" spans="1:14" x14ac:dyDescent="0.35">
      <c r="A759">
        <v>361</v>
      </c>
      <c r="B759" s="2">
        <v>37832</v>
      </c>
      <c r="C759">
        <v>4</v>
      </c>
      <c r="D759">
        <v>4</v>
      </c>
      <c r="F759">
        <v>758</v>
      </c>
      <c r="G759" cm="1">
        <f t="array" ref="G759">_xlfn.IFNA(INDEX($D$2:$D$4001,_xlfn.XMATCH(G$1&amp;"-"&amp;$F759,YEAR($B$2:$B$4001)&amp;"-"&amp;$A$2:$A$4001,0,-1)),9)</f>
        <v>9</v>
      </c>
      <c r="H759" cm="1">
        <f t="array" ref="H759">IF(OR(AND(G759=9,H$1&gt;YEAR($N759))),9,_xlfn.IFNA(INDEX($D$2:$D$4001,_xlfn.XMATCH(H$1&amp;"-"&amp;$F759,YEAR($B$2:$B$4001)&amp;"-"&amp;$A$2:$A$4001,0,-1)),G759))</f>
        <v>0</v>
      </c>
      <c r="I759" cm="1">
        <f t="array" ref="I759">IF(OR(AND(H759=9,I$1&gt;YEAR($N759))),9,_xlfn.IFNA(INDEX($D$2:$D$4001,_xlfn.XMATCH(I$1&amp;"-"&amp;$F759,YEAR($B$2:$B$4001)&amp;"-"&amp;$A$2:$A$4001,0,-1)),H759))</f>
        <v>0</v>
      </c>
      <c r="J759" cm="1">
        <f t="array" ref="J759">IF(OR(AND(I759=9,J$1&gt;YEAR($N759))),9,_xlfn.IFNA(INDEX($D$2:$D$4001,_xlfn.XMATCH(J$1&amp;"-"&amp;$F759,YEAR($B$2:$B$4001)&amp;"-"&amp;$A$2:$A$4001,0,-1)),I759))</f>
        <v>0</v>
      </c>
      <c r="K759" cm="1">
        <f t="array" ref="K759">IF(OR(AND(J759=9,K$1&gt;YEAR($N759))),9,_xlfn.IFNA(INDEX($D$2:$D$4001,_xlfn.XMATCH(K$1&amp;"-"&amp;$F759,YEAR($B$2:$B$4001)&amp;"-"&amp;$A$2:$A$4001,0,-1)),J759))</f>
        <v>0</v>
      </c>
      <c r="L759" cm="1">
        <f t="array" ref="L759">IF(OR(AND(K759=9,L$1&gt;YEAR($N759))),9,_xlfn.IFNA(INDEX($D$2:$D$4001,_xlfn.XMATCH(L$1&amp;"-"&amp;$F759,YEAR($B$2:$B$4001)&amp;"-"&amp;$A$2:$A$4001,0,-1)),K759))</f>
        <v>0</v>
      </c>
      <c r="M759" cm="1">
        <f t="array" ref="M759">IF(OR(AND(L759=9,M$1&gt;YEAR($N759))),9,_xlfn.IFNA(INDEX($D$2:$D$4001,_xlfn.XMATCH(M$1&amp;"-"&amp;$F759,YEAR($B$2:$B$4001)&amp;"-"&amp;$A$2:$A$4001,0,-1)),L759))</f>
        <v>0</v>
      </c>
      <c r="N759" s="1">
        <f t="shared" si="11"/>
        <v>36890</v>
      </c>
    </row>
    <row r="760" spans="1:14" x14ac:dyDescent="0.35">
      <c r="A760">
        <v>362</v>
      </c>
      <c r="B760" s="2">
        <v>36728</v>
      </c>
      <c r="C760">
        <v>3</v>
      </c>
      <c r="D760">
        <v>3</v>
      </c>
      <c r="F760">
        <v>759</v>
      </c>
      <c r="G760" cm="1">
        <f t="array" ref="G760">_xlfn.IFNA(INDEX($D$2:$D$4001,_xlfn.XMATCH(G$1&amp;"-"&amp;$F760,YEAR($B$2:$B$4001)&amp;"-"&amp;$A$2:$A$4001,0,-1)),9)</f>
        <v>5</v>
      </c>
      <c r="H760" cm="1">
        <f t="array" ref="H760">IF(OR(AND(G760=9,H$1&gt;YEAR($N760))),9,_xlfn.IFNA(INDEX($D$2:$D$4001,_xlfn.XMATCH(H$1&amp;"-"&amp;$F760,YEAR($B$2:$B$4001)&amp;"-"&amp;$A$2:$A$4001,0,-1)),G760))</f>
        <v>5</v>
      </c>
      <c r="I760" cm="1">
        <f t="array" ref="I760">IF(OR(AND(H760=9,I$1&gt;YEAR($N760))),9,_xlfn.IFNA(INDEX($D$2:$D$4001,_xlfn.XMATCH(I$1&amp;"-"&amp;$F760,YEAR($B$2:$B$4001)&amp;"-"&amp;$A$2:$A$4001,0,-1)),H760))</f>
        <v>5</v>
      </c>
      <c r="J760" cm="1">
        <f t="array" ref="J760">IF(OR(AND(I760=9,J$1&gt;YEAR($N760))),9,_xlfn.IFNA(INDEX($D$2:$D$4001,_xlfn.XMATCH(J$1&amp;"-"&amp;$F760,YEAR($B$2:$B$4001)&amp;"-"&amp;$A$2:$A$4001,0,-1)),I760))</f>
        <v>5</v>
      </c>
      <c r="K760" cm="1">
        <f t="array" ref="K760">IF(OR(AND(J760=9,K$1&gt;YEAR($N760))),9,_xlfn.IFNA(INDEX($D$2:$D$4001,_xlfn.XMATCH(K$1&amp;"-"&amp;$F760,YEAR($B$2:$B$4001)&amp;"-"&amp;$A$2:$A$4001,0,-1)),J760))</f>
        <v>5</v>
      </c>
      <c r="L760" cm="1">
        <f t="array" ref="L760">IF(OR(AND(K760=9,L$1&gt;YEAR($N760))),9,_xlfn.IFNA(INDEX($D$2:$D$4001,_xlfn.XMATCH(L$1&amp;"-"&amp;$F760,YEAR($B$2:$B$4001)&amp;"-"&amp;$A$2:$A$4001,0,-1)),K760))</f>
        <v>5</v>
      </c>
      <c r="M760" cm="1">
        <f t="array" ref="M760">IF(OR(AND(L760=9,M$1&gt;YEAR($N760))),9,_xlfn.IFNA(INDEX($D$2:$D$4001,_xlfn.XMATCH(M$1&amp;"-"&amp;$F760,YEAR($B$2:$B$4001)&amp;"-"&amp;$A$2:$A$4001,0,-1)),L760))</f>
        <v>5</v>
      </c>
      <c r="N760" s="1">
        <f t="shared" si="11"/>
        <v>36524</v>
      </c>
    </row>
    <row r="761" spans="1:14" x14ac:dyDescent="0.35">
      <c r="A761">
        <v>363</v>
      </c>
      <c r="B761" s="2">
        <v>37924</v>
      </c>
      <c r="C761">
        <v>0</v>
      </c>
      <c r="D761">
        <v>0</v>
      </c>
      <c r="F761">
        <v>760</v>
      </c>
      <c r="G761" cm="1">
        <f t="array" ref="G761">_xlfn.IFNA(INDEX($D$2:$D$4001,_xlfn.XMATCH(G$1&amp;"-"&amp;$F761,YEAR($B$2:$B$4001)&amp;"-"&amp;$A$2:$A$4001,0,-1)),9)</f>
        <v>9</v>
      </c>
      <c r="H761" cm="1">
        <f t="array" ref="H761">IF(OR(AND(G761=9,H$1&gt;YEAR($N761))),9,_xlfn.IFNA(INDEX($D$2:$D$4001,_xlfn.XMATCH(H$1&amp;"-"&amp;$F761,YEAR($B$2:$B$4001)&amp;"-"&amp;$A$2:$A$4001,0,-1)),G761))</f>
        <v>9</v>
      </c>
      <c r="I761" cm="1">
        <f t="array" ref="I761">IF(OR(AND(H761=9,I$1&gt;YEAR($N761))),9,_xlfn.IFNA(INDEX($D$2:$D$4001,_xlfn.XMATCH(I$1&amp;"-"&amp;$F761,YEAR($B$2:$B$4001)&amp;"-"&amp;$A$2:$A$4001,0,-1)),H761))</f>
        <v>9</v>
      </c>
      <c r="J761" cm="1">
        <f t="array" ref="J761">IF(OR(AND(I761=9,J$1&gt;YEAR($N761))),9,_xlfn.IFNA(INDEX($D$2:$D$4001,_xlfn.XMATCH(J$1&amp;"-"&amp;$F761,YEAR($B$2:$B$4001)&amp;"-"&amp;$A$2:$A$4001,0,-1)),I761))</f>
        <v>9</v>
      </c>
      <c r="K761" cm="1">
        <f t="array" ref="K761">IF(OR(AND(J761=9,K$1&gt;YEAR($N761))),9,_xlfn.IFNA(INDEX($D$2:$D$4001,_xlfn.XMATCH(K$1&amp;"-"&amp;$F761,YEAR($B$2:$B$4001)&amp;"-"&amp;$A$2:$A$4001,0,-1)),J761))</f>
        <v>9</v>
      </c>
      <c r="L761" cm="1">
        <f t="array" ref="L761">IF(OR(AND(K761=9,L$1&gt;YEAR($N761))),9,_xlfn.IFNA(INDEX($D$2:$D$4001,_xlfn.XMATCH(L$1&amp;"-"&amp;$F761,YEAR($B$2:$B$4001)&amp;"-"&amp;$A$2:$A$4001,0,-1)),K761))</f>
        <v>3</v>
      </c>
      <c r="M761" cm="1">
        <f t="array" ref="M761">IF(OR(AND(L761=9,M$1&gt;YEAR($N761))),9,_xlfn.IFNA(INDEX($D$2:$D$4001,_xlfn.XMATCH(M$1&amp;"-"&amp;$F761,YEAR($B$2:$B$4001)&amp;"-"&amp;$A$2:$A$4001,0,-1)),L761))</f>
        <v>3</v>
      </c>
      <c r="N761" s="1">
        <f t="shared" si="11"/>
        <v>38137</v>
      </c>
    </row>
    <row r="762" spans="1:14" x14ac:dyDescent="0.35">
      <c r="A762">
        <v>364</v>
      </c>
      <c r="B762" s="2">
        <v>37041</v>
      </c>
      <c r="C762">
        <v>3</v>
      </c>
      <c r="D762">
        <v>3</v>
      </c>
      <c r="F762">
        <v>761</v>
      </c>
      <c r="G762" cm="1">
        <f t="array" ref="G762">_xlfn.IFNA(INDEX($D$2:$D$4001,_xlfn.XMATCH(G$1&amp;"-"&amp;$F762,YEAR($B$2:$B$4001)&amp;"-"&amp;$A$2:$A$4001,0,-1)),9)</f>
        <v>9</v>
      </c>
      <c r="H762" cm="1">
        <f t="array" ref="H762">IF(OR(AND(G762=9,H$1&gt;YEAR($N762))),9,_xlfn.IFNA(INDEX($D$2:$D$4001,_xlfn.XMATCH(H$1&amp;"-"&amp;$F762,YEAR($B$2:$B$4001)&amp;"-"&amp;$A$2:$A$4001,0,-1)),G762))</f>
        <v>9</v>
      </c>
      <c r="I762" cm="1">
        <f t="array" ref="I762">IF(OR(AND(H762=9,I$1&gt;YEAR($N762))),9,_xlfn.IFNA(INDEX($D$2:$D$4001,_xlfn.XMATCH(I$1&amp;"-"&amp;$F762,YEAR($B$2:$B$4001)&amp;"-"&amp;$A$2:$A$4001,0,-1)),H762))</f>
        <v>9</v>
      </c>
      <c r="J762" cm="1">
        <f t="array" ref="J762">IF(OR(AND(I762=9,J$1&gt;YEAR($N762))),9,_xlfn.IFNA(INDEX($D$2:$D$4001,_xlfn.XMATCH(J$1&amp;"-"&amp;$F762,YEAR($B$2:$B$4001)&amp;"-"&amp;$A$2:$A$4001,0,-1)),I762))</f>
        <v>3</v>
      </c>
      <c r="K762" cm="1">
        <f t="array" ref="K762">IF(OR(AND(J762=9,K$1&gt;YEAR($N762))),9,_xlfn.IFNA(INDEX($D$2:$D$4001,_xlfn.XMATCH(K$1&amp;"-"&amp;$F762,YEAR($B$2:$B$4001)&amp;"-"&amp;$A$2:$A$4001,0,-1)),J762))</f>
        <v>3</v>
      </c>
      <c r="L762" cm="1">
        <f t="array" ref="L762">IF(OR(AND(K762=9,L$1&gt;YEAR($N762))),9,_xlfn.IFNA(INDEX($D$2:$D$4001,_xlfn.XMATCH(L$1&amp;"-"&amp;$F762,YEAR($B$2:$B$4001)&amp;"-"&amp;$A$2:$A$4001,0,-1)),K762))</f>
        <v>3</v>
      </c>
      <c r="M762" cm="1">
        <f t="array" ref="M762">IF(OR(AND(L762=9,M$1&gt;YEAR($N762))),9,_xlfn.IFNA(INDEX($D$2:$D$4001,_xlfn.XMATCH(M$1&amp;"-"&amp;$F762,YEAR($B$2:$B$4001)&amp;"-"&amp;$A$2:$A$4001,0,-1)),L762))</f>
        <v>3</v>
      </c>
      <c r="N762" s="1">
        <f t="shared" si="11"/>
        <v>37397</v>
      </c>
    </row>
    <row r="763" spans="1:14" x14ac:dyDescent="0.35">
      <c r="A763">
        <v>364</v>
      </c>
      <c r="B763" s="2">
        <v>37832</v>
      </c>
      <c r="C763">
        <v>4</v>
      </c>
      <c r="D763">
        <v>4</v>
      </c>
      <c r="F763">
        <v>762</v>
      </c>
      <c r="G763" cm="1">
        <f t="array" ref="G763">_xlfn.IFNA(INDEX($D$2:$D$4001,_xlfn.XMATCH(G$1&amp;"-"&amp;$F763,YEAR($B$2:$B$4001)&amp;"-"&amp;$A$2:$A$4001,0,-1)),9)</f>
        <v>9</v>
      </c>
      <c r="H763" cm="1">
        <f t="array" ref="H763">IF(OR(AND(G763=9,H$1&gt;YEAR($N763))),9,_xlfn.IFNA(INDEX($D$2:$D$4001,_xlfn.XMATCH(H$1&amp;"-"&amp;$F763,YEAR($B$2:$B$4001)&amp;"-"&amp;$A$2:$A$4001,0,-1)),G763))</f>
        <v>9</v>
      </c>
      <c r="I763" cm="1">
        <f t="array" ref="I763">IF(OR(AND(H763=9,I$1&gt;YEAR($N763))),9,_xlfn.IFNA(INDEX($D$2:$D$4001,_xlfn.XMATCH(I$1&amp;"-"&amp;$F763,YEAR($B$2:$B$4001)&amp;"-"&amp;$A$2:$A$4001,0,-1)),H763))</f>
        <v>0</v>
      </c>
      <c r="J763" cm="1">
        <f t="array" ref="J763">IF(OR(AND(I763=9,J$1&gt;YEAR($N763))),9,_xlfn.IFNA(INDEX($D$2:$D$4001,_xlfn.XMATCH(J$1&amp;"-"&amp;$F763,YEAR($B$2:$B$4001)&amp;"-"&amp;$A$2:$A$4001,0,-1)),I763))</f>
        <v>0</v>
      </c>
      <c r="K763" cm="1">
        <f t="array" ref="K763">IF(OR(AND(J763=9,K$1&gt;YEAR($N763))),9,_xlfn.IFNA(INDEX($D$2:$D$4001,_xlfn.XMATCH(K$1&amp;"-"&amp;$F763,YEAR($B$2:$B$4001)&amp;"-"&amp;$A$2:$A$4001,0,-1)),J763))</f>
        <v>0</v>
      </c>
      <c r="L763" cm="1">
        <f t="array" ref="L763">IF(OR(AND(K763=9,L$1&gt;YEAR($N763))),9,_xlfn.IFNA(INDEX($D$2:$D$4001,_xlfn.XMATCH(L$1&amp;"-"&amp;$F763,YEAR($B$2:$B$4001)&amp;"-"&amp;$A$2:$A$4001,0,-1)),K763))</f>
        <v>0</v>
      </c>
      <c r="M763" cm="1">
        <f t="array" ref="M763">IF(OR(AND(L763=9,M$1&gt;YEAR($N763))),9,_xlfn.IFNA(INDEX($D$2:$D$4001,_xlfn.XMATCH(M$1&amp;"-"&amp;$F763,YEAR($B$2:$B$4001)&amp;"-"&amp;$A$2:$A$4001,0,-1)),L763))</f>
        <v>0</v>
      </c>
      <c r="N763" s="1">
        <f t="shared" si="11"/>
        <v>37255</v>
      </c>
    </row>
    <row r="764" spans="1:14" x14ac:dyDescent="0.35">
      <c r="A764">
        <v>365</v>
      </c>
      <c r="B764" s="2">
        <v>37581</v>
      </c>
      <c r="C764">
        <v>2</v>
      </c>
      <c r="D764">
        <v>2</v>
      </c>
      <c r="F764">
        <v>763</v>
      </c>
      <c r="G764" cm="1">
        <f t="array" ref="G764">_xlfn.IFNA(INDEX($D$2:$D$4001,_xlfn.XMATCH(G$1&amp;"-"&amp;$F764,YEAR($B$2:$B$4001)&amp;"-"&amp;$A$2:$A$4001,0,-1)),9)</f>
        <v>9</v>
      </c>
      <c r="H764" cm="1">
        <f t="array" ref="H764">IF(OR(AND(G764=9,H$1&gt;YEAR($N764))),9,_xlfn.IFNA(INDEX($D$2:$D$4001,_xlfn.XMATCH(H$1&amp;"-"&amp;$F764,YEAR($B$2:$B$4001)&amp;"-"&amp;$A$2:$A$4001,0,-1)),G764))</f>
        <v>9</v>
      </c>
      <c r="I764" cm="1">
        <f t="array" ref="I764">IF(OR(AND(H764=9,I$1&gt;YEAR($N764))),9,_xlfn.IFNA(INDEX($D$2:$D$4001,_xlfn.XMATCH(I$1&amp;"-"&amp;$F764,YEAR($B$2:$B$4001)&amp;"-"&amp;$A$2:$A$4001,0,-1)),H764))</f>
        <v>4</v>
      </c>
      <c r="J764" cm="1">
        <f t="array" ref="J764">IF(OR(AND(I764=9,J$1&gt;YEAR($N764))),9,_xlfn.IFNA(INDEX($D$2:$D$4001,_xlfn.XMATCH(J$1&amp;"-"&amp;$F764,YEAR($B$2:$B$4001)&amp;"-"&amp;$A$2:$A$4001,0,-1)),I764))</f>
        <v>4</v>
      </c>
      <c r="K764" cm="1">
        <f t="array" ref="K764">IF(OR(AND(J764=9,K$1&gt;YEAR($N764))),9,_xlfn.IFNA(INDEX($D$2:$D$4001,_xlfn.XMATCH(K$1&amp;"-"&amp;$F764,YEAR($B$2:$B$4001)&amp;"-"&amp;$A$2:$A$4001,0,-1)),J764))</f>
        <v>4</v>
      </c>
      <c r="L764" cm="1">
        <f t="array" ref="L764">IF(OR(AND(K764=9,L$1&gt;YEAR($N764))),9,_xlfn.IFNA(INDEX($D$2:$D$4001,_xlfn.XMATCH(L$1&amp;"-"&amp;$F764,YEAR($B$2:$B$4001)&amp;"-"&amp;$A$2:$A$4001,0,-1)),K764))</f>
        <v>4</v>
      </c>
      <c r="M764" cm="1">
        <f t="array" ref="M764">IF(OR(AND(L764=9,M$1&gt;YEAR($N764))),9,_xlfn.IFNA(INDEX($D$2:$D$4001,_xlfn.XMATCH(M$1&amp;"-"&amp;$F764,YEAR($B$2:$B$4001)&amp;"-"&amp;$A$2:$A$4001,0,-1)),L764))</f>
        <v>4</v>
      </c>
      <c r="N764" s="1">
        <f t="shared" si="11"/>
        <v>37032</v>
      </c>
    </row>
    <row r="765" spans="1:14" x14ac:dyDescent="0.35">
      <c r="A765">
        <v>366</v>
      </c>
      <c r="B765" s="2">
        <v>36667</v>
      </c>
      <c r="C765">
        <v>5</v>
      </c>
      <c r="D765">
        <v>5</v>
      </c>
      <c r="F765">
        <v>764</v>
      </c>
      <c r="G765" cm="1">
        <f t="array" ref="G765">_xlfn.IFNA(INDEX($D$2:$D$4001,_xlfn.XMATCH(G$1&amp;"-"&amp;$F765,YEAR($B$2:$B$4001)&amp;"-"&amp;$A$2:$A$4001,0,-1)),9)</f>
        <v>8</v>
      </c>
      <c r="H765" cm="1">
        <f t="array" ref="H765">IF(OR(AND(G765=9,H$1&gt;YEAR($N765))),9,_xlfn.IFNA(INDEX($D$2:$D$4001,_xlfn.XMATCH(H$1&amp;"-"&amp;$F765,YEAR($B$2:$B$4001)&amp;"-"&amp;$A$2:$A$4001,0,-1)),G765))</f>
        <v>8</v>
      </c>
      <c r="I765" cm="1">
        <f t="array" ref="I765">IF(OR(AND(H765=9,I$1&gt;YEAR($N765))),9,_xlfn.IFNA(INDEX($D$2:$D$4001,_xlfn.XMATCH(I$1&amp;"-"&amp;$F765,YEAR($B$2:$B$4001)&amp;"-"&amp;$A$2:$A$4001,0,-1)),H765))</f>
        <v>8</v>
      </c>
      <c r="J765" cm="1">
        <f t="array" ref="J765">IF(OR(AND(I765=9,J$1&gt;YEAR($N765))),9,_xlfn.IFNA(INDEX($D$2:$D$4001,_xlfn.XMATCH(J$1&amp;"-"&amp;$F765,YEAR($B$2:$B$4001)&amp;"-"&amp;$A$2:$A$4001,0,-1)),I765))</f>
        <v>8</v>
      </c>
      <c r="K765" cm="1">
        <f t="array" ref="K765">IF(OR(AND(J765=9,K$1&gt;YEAR($N765))),9,_xlfn.IFNA(INDEX($D$2:$D$4001,_xlfn.XMATCH(K$1&amp;"-"&amp;$F765,YEAR($B$2:$B$4001)&amp;"-"&amp;$A$2:$A$4001,0,-1)),J765))</f>
        <v>8</v>
      </c>
      <c r="L765" cm="1">
        <f t="array" ref="L765">IF(OR(AND(K765=9,L$1&gt;YEAR($N765))),9,_xlfn.IFNA(INDEX($D$2:$D$4001,_xlfn.XMATCH(L$1&amp;"-"&amp;$F765,YEAR($B$2:$B$4001)&amp;"-"&amp;$A$2:$A$4001,0,-1)),K765))</f>
        <v>8</v>
      </c>
      <c r="M765" cm="1">
        <f t="array" ref="M765">IF(OR(AND(L765=9,M$1&gt;YEAR($N765))),9,_xlfn.IFNA(INDEX($D$2:$D$4001,_xlfn.XMATCH(M$1&amp;"-"&amp;$F765,YEAR($B$2:$B$4001)&amp;"-"&amp;$A$2:$A$4001,0,-1)),L765))</f>
        <v>8</v>
      </c>
      <c r="N765" s="1">
        <f t="shared" si="11"/>
        <v>36524</v>
      </c>
    </row>
    <row r="766" spans="1:14" x14ac:dyDescent="0.35">
      <c r="A766">
        <v>366</v>
      </c>
      <c r="B766" s="2">
        <v>36667</v>
      </c>
      <c r="C766">
        <v>0</v>
      </c>
      <c r="D766">
        <v>0</v>
      </c>
      <c r="F766">
        <v>765</v>
      </c>
      <c r="G766" cm="1">
        <f t="array" ref="G766">_xlfn.IFNA(INDEX($D$2:$D$4001,_xlfn.XMATCH(G$1&amp;"-"&amp;$F766,YEAR($B$2:$B$4001)&amp;"-"&amp;$A$2:$A$4001,0,-1)),9)</f>
        <v>9</v>
      </c>
      <c r="H766" cm="1">
        <f t="array" ref="H766">IF(OR(AND(G766=9,H$1&gt;YEAR($N766))),9,_xlfn.IFNA(INDEX($D$2:$D$4001,_xlfn.XMATCH(H$1&amp;"-"&amp;$F766,YEAR($B$2:$B$4001)&amp;"-"&amp;$A$2:$A$4001,0,-1)),G766))</f>
        <v>9</v>
      </c>
      <c r="I766" cm="1">
        <f t="array" ref="I766">IF(OR(AND(H766=9,I$1&gt;YEAR($N766))),9,_xlfn.IFNA(INDEX($D$2:$D$4001,_xlfn.XMATCH(I$1&amp;"-"&amp;$F766,YEAR($B$2:$B$4001)&amp;"-"&amp;$A$2:$A$4001,0,-1)),H766))</f>
        <v>9</v>
      </c>
      <c r="J766" cm="1">
        <f t="array" ref="J766">IF(OR(AND(I766=9,J$1&gt;YEAR($N766))),9,_xlfn.IFNA(INDEX($D$2:$D$4001,_xlfn.XMATCH(J$1&amp;"-"&amp;$F766,YEAR($B$2:$B$4001)&amp;"-"&amp;$A$2:$A$4001,0,-1)),I766))</f>
        <v>3</v>
      </c>
      <c r="K766" cm="1">
        <f t="array" ref="K766">IF(OR(AND(J766=9,K$1&gt;YEAR($N766))),9,_xlfn.IFNA(INDEX($D$2:$D$4001,_xlfn.XMATCH(K$1&amp;"-"&amp;$F766,YEAR($B$2:$B$4001)&amp;"-"&amp;$A$2:$A$4001,0,-1)),J766))</f>
        <v>3</v>
      </c>
      <c r="L766" cm="1">
        <f t="array" ref="L766">IF(OR(AND(K766=9,L$1&gt;YEAR($N766))),9,_xlfn.IFNA(INDEX($D$2:$D$4001,_xlfn.XMATCH(L$1&amp;"-"&amp;$F766,YEAR($B$2:$B$4001)&amp;"-"&amp;$A$2:$A$4001,0,-1)),K766))</f>
        <v>3</v>
      </c>
      <c r="M766" cm="1">
        <f t="array" ref="M766">IF(OR(AND(L766=9,M$1&gt;YEAR($N766))),9,_xlfn.IFNA(INDEX($D$2:$D$4001,_xlfn.XMATCH(M$1&amp;"-"&amp;$F766,YEAR($B$2:$B$4001)&amp;"-"&amp;$A$2:$A$4001,0,-1)),L766))</f>
        <v>3</v>
      </c>
      <c r="N766" s="1">
        <f t="shared" si="11"/>
        <v>37406</v>
      </c>
    </row>
    <row r="767" spans="1:14" x14ac:dyDescent="0.35">
      <c r="A767">
        <v>367</v>
      </c>
      <c r="B767" s="2">
        <v>36674</v>
      </c>
      <c r="C767">
        <v>0</v>
      </c>
      <c r="D767">
        <v>0</v>
      </c>
      <c r="F767">
        <v>766</v>
      </c>
      <c r="G767" cm="1">
        <f t="array" ref="G767">_xlfn.IFNA(INDEX($D$2:$D$4001,_xlfn.XMATCH(G$1&amp;"-"&amp;$F767,YEAR($B$2:$B$4001)&amp;"-"&amp;$A$2:$A$4001,0,-1)),9)</f>
        <v>9</v>
      </c>
      <c r="H767" cm="1">
        <f t="array" ref="H767">IF(OR(AND(G767=9,H$1&gt;YEAR($N767))),9,_xlfn.IFNA(INDEX($D$2:$D$4001,_xlfn.XMATCH(H$1&amp;"-"&amp;$F767,YEAR($B$2:$B$4001)&amp;"-"&amp;$A$2:$A$4001,0,-1)),G767))</f>
        <v>9</v>
      </c>
      <c r="I767" cm="1">
        <f t="array" ref="I767">IF(OR(AND(H767=9,I$1&gt;YEAR($N767))),9,_xlfn.IFNA(INDEX($D$2:$D$4001,_xlfn.XMATCH(I$1&amp;"-"&amp;$F767,YEAR($B$2:$B$4001)&amp;"-"&amp;$A$2:$A$4001,0,-1)),H767))</f>
        <v>7</v>
      </c>
      <c r="J767" cm="1">
        <f t="array" ref="J767">IF(OR(AND(I767=9,J$1&gt;YEAR($N767))),9,_xlfn.IFNA(INDEX($D$2:$D$4001,_xlfn.XMATCH(J$1&amp;"-"&amp;$F767,YEAR($B$2:$B$4001)&amp;"-"&amp;$A$2:$A$4001,0,-1)),I767))</f>
        <v>0</v>
      </c>
      <c r="K767" cm="1">
        <f t="array" ref="K767">IF(OR(AND(J767=9,K$1&gt;YEAR($N767))),9,_xlfn.IFNA(INDEX($D$2:$D$4001,_xlfn.XMATCH(K$1&amp;"-"&amp;$F767,YEAR($B$2:$B$4001)&amp;"-"&amp;$A$2:$A$4001,0,-1)),J767))</f>
        <v>0</v>
      </c>
      <c r="L767" cm="1">
        <f t="array" ref="L767">IF(OR(AND(K767=9,L$1&gt;YEAR($N767))),9,_xlfn.IFNA(INDEX($D$2:$D$4001,_xlfn.XMATCH(L$1&amp;"-"&amp;$F767,YEAR($B$2:$B$4001)&amp;"-"&amp;$A$2:$A$4001,0,-1)),K767))</f>
        <v>0</v>
      </c>
      <c r="M767" cm="1">
        <f t="array" ref="M767">IF(OR(AND(L767=9,M$1&gt;YEAR($N767))),9,_xlfn.IFNA(INDEX($D$2:$D$4001,_xlfn.XMATCH(M$1&amp;"-"&amp;$F767,YEAR($B$2:$B$4001)&amp;"-"&amp;$A$2:$A$4001,0,-1)),L767))</f>
        <v>0</v>
      </c>
      <c r="N767" s="1">
        <f t="shared" si="11"/>
        <v>37216</v>
      </c>
    </row>
    <row r="768" spans="1:14" x14ac:dyDescent="0.35">
      <c r="A768">
        <v>368</v>
      </c>
      <c r="B768" s="2">
        <v>36524</v>
      </c>
      <c r="C768">
        <v>6</v>
      </c>
      <c r="D768">
        <v>6</v>
      </c>
      <c r="F768">
        <v>767</v>
      </c>
      <c r="G768" cm="1">
        <f t="array" ref="G768">_xlfn.IFNA(INDEX($D$2:$D$4001,_xlfn.XMATCH(G$1&amp;"-"&amp;$F768,YEAR($B$2:$B$4001)&amp;"-"&amp;$A$2:$A$4001,0,-1)),9)</f>
        <v>2</v>
      </c>
      <c r="H768" cm="1">
        <f t="array" ref="H768">IF(OR(AND(G768=9,H$1&gt;YEAR($N768))),9,_xlfn.IFNA(INDEX($D$2:$D$4001,_xlfn.XMATCH(H$1&amp;"-"&amp;$F768,YEAR($B$2:$B$4001)&amp;"-"&amp;$A$2:$A$4001,0,-1)),G768))</f>
        <v>2</v>
      </c>
      <c r="I768" cm="1">
        <f t="array" ref="I768">IF(OR(AND(H768=9,I$1&gt;YEAR($N768))),9,_xlfn.IFNA(INDEX($D$2:$D$4001,_xlfn.XMATCH(I$1&amp;"-"&amp;$F768,YEAR($B$2:$B$4001)&amp;"-"&amp;$A$2:$A$4001,0,-1)),H768))</f>
        <v>2</v>
      </c>
      <c r="J768" cm="1">
        <f t="array" ref="J768">IF(OR(AND(I768=9,J$1&gt;YEAR($N768))),9,_xlfn.IFNA(INDEX($D$2:$D$4001,_xlfn.XMATCH(J$1&amp;"-"&amp;$F768,YEAR($B$2:$B$4001)&amp;"-"&amp;$A$2:$A$4001,0,-1)),I768))</f>
        <v>2</v>
      </c>
      <c r="K768" cm="1">
        <f t="array" ref="K768">IF(OR(AND(J768=9,K$1&gt;YEAR($N768))),9,_xlfn.IFNA(INDEX($D$2:$D$4001,_xlfn.XMATCH(K$1&amp;"-"&amp;$F768,YEAR($B$2:$B$4001)&amp;"-"&amp;$A$2:$A$4001,0,-1)),J768))</f>
        <v>2</v>
      </c>
      <c r="L768" cm="1">
        <f t="array" ref="L768">IF(OR(AND(K768=9,L$1&gt;YEAR($N768))),9,_xlfn.IFNA(INDEX($D$2:$D$4001,_xlfn.XMATCH(L$1&amp;"-"&amp;$F768,YEAR($B$2:$B$4001)&amp;"-"&amp;$A$2:$A$4001,0,-1)),K768))</f>
        <v>2</v>
      </c>
      <c r="M768" cm="1">
        <f t="array" ref="M768">IF(OR(AND(L768=9,M$1&gt;YEAR($N768))),9,_xlfn.IFNA(INDEX($D$2:$D$4001,_xlfn.XMATCH(M$1&amp;"-"&amp;$F768,YEAR($B$2:$B$4001)&amp;"-"&amp;$A$2:$A$4001,0,-1)),L768))</f>
        <v>2</v>
      </c>
      <c r="N768" s="1">
        <f t="shared" si="11"/>
        <v>36524</v>
      </c>
    </row>
    <row r="769" spans="1:14" x14ac:dyDescent="0.35">
      <c r="A769">
        <v>368</v>
      </c>
      <c r="B769" s="2">
        <v>37437</v>
      </c>
      <c r="C769">
        <v>0</v>
      </c>
      <c r="D769">
        <v>0</v>
      </c>
      <c r="F769">
        <v>768</v>
      </c>
      <c r="G769" cm="1">
        <f t="array" ref="G769">_xlfn.IFNA(INDEX($D$2:$D$4001,_xlfn.XMATCH(G$1&amp;"-"&amp;$F769,YEAR($B$2:$B$4001)&amp;"-"&amp;$A$2:$A$4001,0,-1)),9)</f>
        <v>9</v>
      </c>
      <c r="H769" cm="1">
        <f t="array" ref="H769">IF(OR(AND(G769=9,H$1&gt;YEAR($N769))),9,_xlfn.IFNA(INDEX($D$2:$D$4001,_xlfn.XMATCH(H$1&amp;"-"&amp;$F769,YEAR($B$2:$B$4001)&amp;"-"&amp;$A$2:$A$4001,0,-1)),G769))</f>
        <v>9</v>
      </c>
      <c r="I769" cm="1">
        <f t="array" ref="I769">IF(OR(AND(H769=9,I$1&gt;YEAR($N769))),9,_xlfn.IFNA(INDEX($D$2:$D$4001,_xlfn.XMATCH(I$1&amp;"-"&amp;$F769,YEAR($B$2:$B$4001)&amp;"-"&amp;$A$2:$A$4001,0,-1)),H769))</f>
        <v>9</v>
      </c>
      <c r="J769" cm="1">
        <f t="array" ref="J769">IF(OR(AND(I769=9,J$1&gt;YEAR($N769))),9,_xlfn.IFNA(INDEX($D$2:$D$4001,_xlfn.XMATCH(J$1&amp;"-"&amp;$F769,YEAR($B$2:$B$4001)&amp;"-"&amp;$A$2:$A$4001,0,-1)),I769))</f>
        <v>0</v>
      </c>
      <c r="K769" cm="1">
        <f t="array" ref="K769">IF(OR(AND(J769=9,K$1&gt;YEAR($N769))),9,_xlfn.IFNA(INDEX($D$2:$D$4001,_xlfn.XMATCH(K$1&amp;"-"&amp;$F769,YEAR($B$2:$B$4001)&amp;"-"&amp;$A$2:$A$4001,0,-1)),J769))</f>
        <v>0</v>
      </c>
      <c r="L769" cm="1">
        <f t="array" ref="L769">IF(OR(AND(K769=9,L$1&gt;YEAR($N769))),9,_xlfn.IFNA(INDEX($D$2:$D$4001,_xlfn.XMATCH(L$1&amp;"-"&amp;$F769,YEAR($B$2:$B$4001)&amp;"-"&amp;$A$2:$A$4001,0,-1)),K769))</f>
        <v>0</v>
      </c>
      <c r="M769" cm="1">
        <f t="array" ref="M769">IF(OR(AND(L769=9,M$1&gt;YEAR($N769))),9,_xlfn.IFNA(INDEX($D$2:$D$4001,_xlfn.XMATCH(M$1&amp;"-"&amp;$F769,YEAR($B$2:$B$4001)&amp;"-"&amp;$A$2:$A$4001,0,-1)),L769))</f>
        <v>0</v>
      </c>
      <c r="N769" s="1">
        <f t="shared" si="11"/>
        <v>37400</v>
      </c>
    </row>
    <row r="770" spans="1:14" x14ac:dyDescent="0.35">
      <c r="A770">
        <v>369</v>
      </c>
      <c r="B770" s="2">
        <v>37406</v>
      </c>
      <c r="C770">
        <v>1</v>
      </c>
      <c r="D770">
        <v>1</v>
      </c>
      <c r="F770">
        <v>769</v>
      </c>
      <c r="G770" cm="1">
        <f t="array" ref="G770">_xlfn.IFNA(INDEX($D$2:$D$4001,_xlfn.XMATCH(G$1&amp;"-"&amp;$F770,YEAR($B$2:$B$4001)&amp;"-"&amp;$A$2:$A$4001,0,-1)),9)</f>
        <v>9</v>
      </c>
      <c r="H770" cm="1">
        <f t="array" ref="H770">IF(OR(AND(G770=9,H$1&gt;YEAR($N770))),9,_xlfn.IFNA(INDEX($D$2:$D$4001,_xlfn.XMATCH(H$1&amp;"-"&amp;$F770,YEAR($B$2:$B$4001)&amp;"-"&amp;$A$2:$A$4001,0,-1)),G770))</f>
        <v>9</v>
      </c>
      <c r="I770" cm="1">
        <f t="array" ref="I770">IF(OR(AND(H770=9,I$1&gt;YEAR($N770))),9,_xlfn.IFNA(INDEX($D$2:$D$4001,_xlfn.XMATCH(I$1&amp;"-"&amp;$F770,YEAR($B$2:$B$4001)&amp;"-"&amp;$A$2:$A$4001,0,-1)),H770))</f>
        <v>2</v>
      </c>
      <c r="J770" cm="1">
        <f t="array" ref="J770">IF(OR(AND(I770=9,J$1&gt;YEAR($N770))),9,_xlfn.IFNA(INDEX($D$2:$D$4001,_xlfn.XMATCH(J$1&amp;"-"&amp;$F770,YEAR($B$2:$B$4001)&amp;"-"&amp;$A$2:$A$4001,0,-1)),I770))</f>
        <v>2</v>
      </c>
      <c r="K770" cm="1">
        <f t="array" ref="K770">IF(OR(AND(J770=9,K$1&gt;YEAR($N770))),9,_xlfn.IFNA(INDEX($D$2:$D$4001,_xlfn.XMATCH(K$1&amp;"-"&amp;$F770,YEAR($B$2:$B$4001)&amp;"-"&amp;$A$2:$A$4001,0,-1)),J770))</f>
        <v>3</v>
      </c>
      <c r="L770" cm="1">
        <f t="array" ref="L770">IF(OR(AND(K770=9,L$1&gt;YEAR($N770))),9,_xlfn.IFNA(INDEX($D$2:$D$4001,_xlfn.XMATCH(L$1&amp;"-"&amp;$F770,YEAR($B$2:$B$4001)&amp;"-"&amp;$A$2:$A$4001,0,-1)),K770))</f>
        <v>3</v>
      </c>
      <c r="M770" cm="1">
        <f t="array" ref="M770">IF(OR(AND(L770=9,M$1&gt;YEAR($N770))),9,_xlfn.IFNA(INDEX($D$2:$D$4001,_xlfn.XMATCH(M$1&amp;"-"&amp;$F770,YEAR($B$2:$B$4001)&amp;"-"&amp;$A$2:$A$4001,0,-1)),L770))</f>
        <v>0</v>
      </c>
      <c r="N770" s="1">
        <f t="shared" si="11"/>
        <v>37032</v>
      </c>
    </row>
    <row r="771" spans="1:14" x14ac:dyDescent="0.35">
      <c r="A771">
        <v>370</v>
      </c>
      <c r="B771" s="2">
        <v>36310</v>
      </c>
      <c r="C771">
        <v>0</v>
      </c>
      <c r="D771">
        <v>0</v>
      </c>
      <c r="F771">
        <v>770</v>
      </c>
      <c r="G771" cm="1">
        <f t="array" ref="G771">_xlfn.IFNA(INDEX($D$2:$D$4001,_xlfn.XMATCH(G$1&amp;"-"&amp;$F771,YEAR($B$2:$B$4001)&amp;"-"&amp;$A$2:$A$4001,0,-1)),9)</f>
        <v>9</v>
      </c>
      <c r="H771" cm="1">
        <f t="array" ref="H771">IF(OR(AND(G771=9,H$1&gt;YEAR($N771))),9,_xlfn.IFNA(INDEX($D$2:$D$4001,_xlfn.XMATCH(H$1&amp;"-"&amp;$F771,YEAR($B$2:$B$4001)&amp;"-"&amp;$A$2:$A$4001,0,-1)),G771))</f>
        <v>9</v>
      </c>
      <c r="I771" cm="1">
        <f t="array" ref="I771">IF(OR(AND(H771=9,I$1&gt;YEAR($N771))),9,_xlfn.IFNA(INDEX($D$2:$D$4001,_xlfn.XMATCH(I$1&amp;"-"&amp;$F771,YEAR($B$2:$B$4001)&amp;"-"&amp;$A$2:$A$4001,0,-1)),H771))</f>
        <v>5</v>
      </c>
      <c r="J771" cm="1">
        <f t="array" ref="J771">IF(OR(AND(I771=9,J$1&gt;YEAR($N771))),9,_xlfn.IFNA(INDEX($D$2:$D$4001,_xlfn.XMATCH(J$1&amp;"-"&amp;$F771,YEAR($B$2:$B$4001)&amp;"-"&amp;$A$2:$A$4001,0,-1)),I771))</f>
        <v>0</v>
      </c>
      <c r="K771" cm="1">
        <f t="array" ref="K771">IF(OR(AND(J771=9,K$1&gt;YEAR($N771))),9,_xlfn.IFNA(INDEX($D$2:$D$4001,_xlfn.XMATCH(K$1&amp;"-"&amp;$F771,YEAR($B$2:$B$4001)&amp;"-"&amp;$A$2:$A$4001,0,-1)),J771))</f>
        <v>6</v>
      </c>
      <c r="L771" cm="1">
        <f t="array" ref="L771">IF(OR(AND(K771=9,L$1&gt;YEAR($N771))),9,_xlfn.IFNA(INDEX($D$2:$D$4001,_xlfn.XMATCH(L$1&amp;"-"&amp;$F771,YEAR($B$2:$B$4001)&amp;"-"&amp;$A$2:$A$4001,0,-1)),K771))</f>
        <v>6</v>
      </c>
      <c r="M771" cm="1">
        <f t="array" ref="M771">IF(OR(AND(L771=9,M$1&gt;YEAR($N771))),9,_xlfn.IFNA(INDEX($D$2:$D$4001,_xlfn.XMATCH(M$1&amp;"-"&amp;$F771,YEAR($B$2:$B$4001)&amp;"-"&amp;$A$2:$A$4001,0,-1)),L771))</f>
        <v>6</v>
      </c>
      <c r="N771" s="1">
        <f t="shared" ref="N771:N834" si="12">_xlfn.MINIFS($B$2:$B$4001,$A$2:$A$4001,F771)</f>
        <v>37032</v>
      </c>
    </row>
    <row r="772" spans="1:14" x14ac:dyDescent="0.35">
      <c r="A772">
        <v>371</v>
      </c>
      <c r="B772" s="2">
        <v>36890</v>
      </c>
      <c r="C772">
        <v>1</v>
      </c>
      <c r="D772">
        <v>1</v>
      </c>
      <c r="F772">
        <v>771</v>
      </c>
      <c r="G772" cm="1">
        <f t="array" ref="G772">_xlfn.IFNA(INDEX($D$2:$D$4001,_xlfn.XMATCH(G$1&amp;"-"&amp;$F772,YEAR($B$2:$B$4001)&amp;"-"&amp;$A$2:$A$4001,0,-1)),9)</f>
        <v>6</v>
      </c>
      <c r="H772" cm="1">
        <f t="array" ref="H772">IF(OR(AND(G772=9,H$1&gt;YEAR($N772))),9,_xlfn.IFNA(INDEX($D$2:$D$4001,_xlfn.XMATCH(H$1&amp;"-"&amp;$F772,YEAR($B$2:$B$4001)&amp;"-"&amp;$A$2:$A$4001,0,-1)),G772))</f>
        <v>6</v>
      </c>
      <c r="I772" cm="1">
        <f t="array" ref="I772">IF(OR(AND(H772=9,I$1&gt;YEAR($N772))),9,_xlfn.IFNA(INDEX($D$2:$D$4001,_xlfn.XMATCH(I$1&amp;"-"&amp;$F772,YEAR($B$2:$B$4001)&amp;"-"&amp;$A$2:$A$4001,0,-1)),H772))</f>
        <v>6</v>
      </c>
      <c r="J772" cm="1">
        <f t="array" ref="J772">IF(OR(AND(I772=9,J$1&gt;YEAR($N772))),9,_xlfn.IFNA(INDEX($D$2:$D$4001,_xlfn.XMATCH(J$1&amp;"-"&amp;$F772,YEAR($B$2:$B$4001)&amp;"-"&amp;$A$2:$A$4001,0,-1)),I772))</f>
        <v>6</v>
      </c>
      <c r="K772" cm="1">
        <f t="array" ref="K772">IF(OR(AND(J772=9,K$1&gt;YEAR($N772))),9,_xlfn.IFNA(INDEX($D$2:$D$4001,_xlfn.XMATCH(K$1&amp;"-"&amp;$F772,YEAR($B$2:$B$4001)&amp;"-"&amp;$A$2:$A$4001,0,-1)),J772))</f>
        <v>7</v>
      </c>
      <c r="L772" cm="1">
        <f t="array" ref="L772">IF(OR(AND(K772=9,L$1&gt;YEAR($N772))),9,_xlfn.IFNA(INDEX($D$2:$D$4001,_xlfn.XMATCH(L$1&amp;"-"&amp;$F772,YEAR($B$2:$B$4001)&amp;"-"&amp;$A$2:$A$4001,0,-1)),K772))</f>
        <v>7</v>
      </c>
      <c r="M772" cm="1">
        <f t="array" ref="M772">IF(OR(AND(L772=9,M$1&gt;YEAR($N772))),9,_xlfn.IFNA(INDEX($D$2:$D$4001,_xlfn.XMATCH(M$1&amp;"-"&amp;$F772,YEAR($B$2:$B$4001)&amp;"-"&amp;$A$2:$A$4001,0,-1)),L772))</f>
        <v>7</v>
      </c>
      <c r="N772" s="1">
        <f t="shared" si="12"/>
        <v>36524</v>
      </c>
    </row>
    <row r="773" spans="1:14" x14ac:dyDescent="0.35">
      <c r="A773">
        <v>372</v>
      </c>
      <c r="B773" s="2">
        <v>36341</v>
      </c>
      <c r="C773">
        <v>3</v>
      </c>
      <c r="D773">
        <v>3</v>
      </c>
      <c r="F773">
        <v>772</v>
      </c>
      <c r="G773" cm="1">
        <f t="array" ref="G773">_xlfn.IFNA(INDEX($D$2:$D$4001,_xlfn.XMATCH(G$1&amp;"-"&amp;$F773,YEAR($B$2:$B$4001)&amp;"-"&amp;$A$2:$A$4001,0,-1)),9)</f>
        <v>9</v>
      </c>
      <c r="H773" cm="1">
        <f t="array" ref="H773">IF(OR(AND(G773=9,H$1&gt;YEAR($N773))),9,_xlfn.IFNA(INDEX($D$2:$D$4001,_xlfn.XMATCH(H$1&amp;"-"&amp;$F773,YEAR($B$2:$B$4001)&amp;"-"&amp;$A$2:$A$4001,0,-1)),G773))</f>
        <v>9</v>
      </c>
      <c r="I773" cm="1">
        <f t="array" ref="I773">IF(OR(AND(H773=9,I$1&gt;YEAR($N773))),9,_xlfn.IFNA(INDEX($D$2:$D$4001,_xlfn.XMATCH(I$1&amp;"-"&amp;$F773,YEAR($B$2:$B$4001)&amp;"-"&amp;$A$2:$A$4001,0,-1)),H773))</f>
        <v>8</v>
      </c>
      <c r="J773" cm="1">
        <f t="array" ref="J773">IF(OR(AND(I773=9,J$1&gt;YEAR($N773))),9,_xlfn.IFNA(INDEX($D$2:$D$4001,_xlfn.XMATCH(J$1&amp;"-"&amp;$F773,YEAR($B$2:$B$4001)&amp;"-"&amp;$A$2:$A$4001,0,-1)),I773))</f>
        <v>8</v>
      </c>
      <c r="K773" cm="1">
        <f t="array" ref="K773">IF(OR(AND(J773=9,K$1&gt;YEAR($N773))),9,_xlfn.IFNA(INDEX($D$2:$D$4001,_xlfn.XMATCH(K$1&amp;"-"&amp;$F773,YEAR($B$2:$B$4001)&amp;"-"&amp;$A$2:$A$4001,0,-1)),J773))</f>
        <v>8</v>
      </c>
      <c r="L773" cm="1">
        <f t="array" ref="L773">IF(OR(AND(K773=9,L$1&gt;YEAR($N773))),9,_xlfn.IFNA(INDEX($D$2:$D$4001,_xlfn.XMATCH(L$1&amp;"-"&amp;$F773,YEAR($B$2:$B$4001)&amp;"-"&amp;$A$2:$A$4001,0,-1)),K773))</f>
        <v>8</v>
      </c>
      <c r="M773" cm="1">
        <f t="array" ref="M773">IF(OR(AND(L773=9,M$1&gt;YEAR($N773))),9,_xlfn.IFNA(INDEX($D$2:$D$4001,_xlfn.XMATCH(M$1&amp;"-"&amp;$F773,YEAR($B$2:$B$4001)&amp;"-"&amp;$A$2:$A$4001,0,-1)),L773))</f>
        <v>8</v>
      </c>
      <c r="N773" s="1">
        <f t="shared" si="12"/>
        <v>37216</v>
      </c>
    </row>
    <row r="774" spans="1:14" x14ac:dyDescent="0.35">
      <c r="A774">
        <v>372</v>
      </c>
      <c r="B774" s="2">
        <v>36728</v>
      </c>
      <c r="C774">
        <v>3</v>
      </c>
      <c r="D774">
        <v>3</v>
      </c>
      <c r="F774">
        <v>773</v>
      </c>
      <c r="G774" cm="1">
        <f t="array" ref="G774">_xlfn.IFNA(INDEX($D$2:$D$4001,_xlfn.XMATCH(G$1&amp;"-"&amp;$F774,YEAR($B$2:$B$4001)&amp;"-"&amp;$A$2:$A$4001,0,-1)),9)</f>
        <v>9</v>
      </c>
      <c r="H774" cm="1">
        <f t="array" ref="H774">IF(OR(AND(G774=9,H$1&gt;YEAR($N774))),9,_xlfn.IFNA(INDEX($D$2:$D$4001,_xlfn.XMATCH(H$1&amp;"-"&amp;$F774,YEAR($B$2:$B$4001)&amp;"-"&amp;$A$2:$A$4001,0,-1)),G774))</f>
        <v>9</v>
      </c>
      <c r="I774" cm="1">
        <f t="array" ref="I774">IF(OR(AND(H774=9,I$1&gt;YEAR($N774))),9,_xlfn.IFNA(INDEX($D$2:$D$4001,_xlfn.XMATCH(I$1&amp;"-"&amp;$F774,YEAR($B$2:$B$4001)&amp;"-"&amp;$A$2:$A$4001,0,-1)),H774))</f>
        <v>9</v>
      </c>
      <c r="J774" cm="1">
        <f t="array" ref="J774">IF(OR(AND(I774=9,J$1&gt;YEAR($N774))),9,_xlfn.IFNA(INDEX($D$2:$D$4001,_xlfn.XMATCH(J$1&amp;"-"&amp;$F774,YEAR($B$2:$B$4001)&amp;"-"&amp;$A$2:$A$4001,0,-1)),I774))</f>
        <v>9</v>
      </c>
      <c r="K774" cm="1">
        <f t="array" ref="K774">IF(OR(AND(J774=9,K$1&gt;YEAR($N774))),9,_xlfn.IFNA(INDEX($D$2:$D$4001,_xlfn.XMATCH(K$1&amp;"-"&amp;$F774,YEAR($B$2:$B$4001)&amp;"-"&amp;$A$2:$A$4001,0,-1)),J774))</f>
        <v>9</v>
      </c>
      <c r="L774" cm="1">
        <f t="array" ref="L774">IF(OR(AND(K774=9,L$1&gt;YEAR($N774))),9,_xlfn.IFNA(INDEX($D$2:$D$4001,_xlfn.XMATCH(L$1&amp;"-"&amp;$F774,YEAR($B$2:$B$4001)&amp;"-"&amp;$A$2:$A$4001,0,-1)),K774))</f>
        <v>9</v>
      </c>
      <c r="M774" cm="1">
        <f t="array" ref="M774">IF(OR(AND(L774=9,M$1&gt;YEAR($N774))),9,_xlfn.IFNA(INDEX($D$2:$D$4001,_xlfn.XMATCH(M$1&amp;"-"&amp;$F774,YEAR($B$2:$B$4001)&amp;"-"&amp;$A$2:$A$4001,0,-1)),L774))</f>
        <v>0</v>
      </c>
      <c r="N774" s="1">
        <f t="shared" si="12"/>
        <v>38493</v>
      </c>
    </row>
    <row r="775" spans="1:14" x14ac:dyDescent="0.35">
      <c r="A775">
        <v>372</v>
      </c>
      <c r="B775" s="2">
        <v>36820</v>
      </c>
      <c r="C775">
        <v>2</v>
      </c>
      <c r="D775">
        <v>2</v>
      </c>
      <c r="F775">
        <v>774</v>
      </c>
      <c r="G775" cm="1">
        <f t="array" ref="G775">_xlfn.IFNA(INDEX($D$2:$D$4001,_xlfn.XMATCH(G$1&amp;"-"&amp;$F775,YEAR($B$2:$B$4001)&amp;"-"&amp;$A$2:$A$4001,0,-1)),9)</f>
        <v>9</v>
      </c>
      <c r="H775" cm="1">
        <f t="array" ref="H775">IF(OR(AND(G775=9,H$1&gt;YEAR($N775))),9,_xlfn.IFNA(INDEX($D$2:$D$4001,_xlfn.XMATCH(H$1&amp;"-"&amp;$F775,YEAR($B$2:$B$4001)&amp;"-"&amp;$A$2:$A$4001,0,-1)),G775))</f>
        <v>2</v>
      </c>
      <c r="I775" cm="1">
        <f t="array" ref="I775">IF(OR(AND(H775=9,I$1&gt;YEAR($N775))),9,_xlfn.IFNA(INDEX($D$2:$D$4001,_xlfn.XMATCH(I$1&amp;"-"&amp;$F775,YEAR($B$2:$B$4001)&amp;"-"&amp;$A$2:$A$4001,0,-1)),H775))</f>
        <v>2</v>
      </c>
      <c r="J775" cm="1">
        <f t="array" ref="J775">IF(OR(AND(I775=9,J$1&gt;YEAR($N775))),9,_xlfn.IFNA(INDEX($D$2:$D$4001,_xlfn.XMATCH(J$1&amp;"-"&amp;$F775,YEAR($B$2:$B$4001)&amp;"-"&amp;$A$2:$A$4001,0,-1)),I775))</f>
        <v>2</v>
      </c>
      <c r="K775" cm="1">
        <f t="array" ref="K775">IF(OR(AND(J775=9,K$1&gt;YEAR($N775))),9,_xlfn.IFNA(INDEX($D$2:$D$4001,_xlfn.XMATCH(K$1&amp;"-"&amp;$F775,YEAR($B$2:$B$4001)&amp;"-"&amp;$A$2:$A$4001,0,-1)),J775))</f>
        <v>2</v>
      </c>
      <c r="L775" cm="1">
        <f t="array" ref="L775">IF(OR(AND(K775=9,L$1&gt;YEAR($N775))),9,_xlfn.IFNA(INDEX($D$2:$D$4001,_xlfn.XMATCH(L$1&amp;"-"&amp;$F775,YEAR($B$2:$B$4001)&amp;"-"&amp;$A$2:$A$4001,0,-1)),K775))</f>
        <v>2</v>
      </c>
      <c r="M775" cm="1">
        <f t="array" ref="M775">IF(OR(AND(L775=9,M$1&gt;YEAR($N775))),9,_xlfn.IFNA(INDEX($D$2:$D$4001,_xlfn.XMATCH(M$1&amp;"-"&amp;$F775,YEAR($B$2:$B$4001)&amp;"-"&amp;$A$2:$A$4001,0,-1)),L775))</f>
        <v>2</v>
      </c>
      <c r="N775" s="1">
        <f t="shared" si="12"/>
        <v>36890</v>
      </c>
    </row>
    <row r="776" spans="1:14" x14ac:dyDescent="0.35">
      <c r="A776">
        <v>372</v>
      </c>
      <c r="B776" s="2">
        <v>37041</v>
      </c>
      <c r="C776">
        <v>2</v>
      </c>
      <c r="D776">
        <v>2</v>
      </c>
      <c r="F776">
        <v>775</v>
      </c>
      <c r="G776" cm="1">
        <f t="array" ref="G776">_xlfn.IFNA(INDEX($D$2:$D$4001,_xlfn.XMATCH(G$1&amp;"-"&amp;$F776,YEAR($B$2:$B$4001)&amp;"-"&amp;$A$2:$A$4001,0,-1)),9)</f>
        <v>9</v>
      </c>
      <c r="H776" cm="1">
        <f t="array" ref="H776">IF(OR(AND(G776=9,H$1&gt;YEAR($N776))),9,_xlfn.IFNA(INDEX($D$2:$D$4001,_xlfn.XMATCH(H$1&amp;"-"&amp;$F776,YEAR($B$2:$B$4001)&amp;"-"&amp;$A$2:$A$4001,0,-1)),G776))</f>
        <v>9</v>
      </c>
      <c r="I776" cm="1">
        <f t="array" ref="I776">IF(OR(AND(H776=9,I$1&gt;YEAR($N776))),9,_xlfn.IFNA(INDEX($D$2:$D$4001,_xlfn.XMATCH(I$1&amp;"-"&amp;$F776,YEAR($B$2:$B$4001)&amp;"-"&amp;$A$2:$A$4001,0,-1)),H776))</f>
        <v>0</v>
      </c>
      <c r="J776" cm="1">
        <f t="array" ref="J776">IF(OR(AND(I776=9,J$1&gt;YEAR($N776))),9,_xlfn.IFNA(INDEX($D$2:$D$4001,_xlfn.XMATCH(J$1&amp;"-"&amp;$F776,YEAR($B$2:$B$4001)&amp;"-"&amp;$A$2:$A$4001,0,-1)),I776))</f>
        <v>0</v>
      </c>
      <c r="K776" cm="1">
        <f t="array" ref="K776">IF(OR(AND(J776=9,K$1&gt;YEAR($N776))),9,_xlfn.IFNA(INDEX($D$2:$D$4001,_xlfn.XMATCH(K$1&amp;"-"&amp;$F776,YEAR($B$2:$B$4001)&amp;"-"&amp;$A$2:$A$4001,0,-1)),J776))</f>
        <v>0</v>
      </c>
      <c r="L776" cm="1">
        <f t="array" ref="L776">IF(OR(AND(K776=9,L$1&gt;YEAR($N776))),9,_xlfn.IFNA(INDEX($D$2:$D$4001,_xlfn.XMATCH(L$1&amp;"-"&amp;$F776,YEAR($B$2:$B$4001)&amp;"-"&amp;$A$2:$A$4001,0,-1)),K776))</f>
        <v>0</v>
      </c>
      <c r="M776" cm="1">
        <f t="array" ref="M776">IF(OR(AND(L776=9,M$1&gt;YEAR($N776))),9,_xlfn.IFNA(INDEX($D$2:$D$4001,_xlfn.XMATCH(M$1&amp;"-"&amp;$F776,YEAR($B$2:$B$4001)&amp;"-"&amp;$A$2:$A$4001,0,-1)),L776))</f>
        <v>0</v>
      </c>
      <c r="N776" s="1">
        <f t="shared" si="12"/>
        <v>37033</v>
      </c>
    </row>
    <row r="777" spans="1:14" x14ac:dyDescent="0.35">
      <c r="A777">
        <v>372</v>
      </c>
      <c r="B777" s="2">
        <v>37985</v>
      </c>
      <c r="C777">
        <v>0</v>
      </c>
      <c r="D777">
        <v>0</v>
      </c>
      <c r="F777">
        <v>776</v>
      </c>
      <c r="G777" cm="1">
        <f t="array" ref="G777">_xlfn.IFNA(INDEX($D$2:$D$4001,_xlfn.XMATCH(G$1&amp;"-"&amp;$F777,YEAR($B$2:$B$4001)&amp;"-"&amp;$A$2:$A$4001,0,-1)),9)</f>
        <v>9</v>
      </c>
      <c r="H777" cm="1">
        <f t="array" ref="H777">IF(OR(AND(G777=9,H$1&gt;YEAR($N777))),9,_xlfn.IFNA(INDEX($D$2:$D$4001,_xlfn.XMATCH(H$1&amp;"-"&amp;$F777,YEAR($B$2:$B$4001)&amp;"-"&amp;$A$2:$A$4001,0,-1)),G777))</f>
        <v>9</v>
      </c>
      <c r="I777" cm="1">
        <f t="array" ref="I777">IF(OR(AND(H777=9,I$1&gt;YEAR($N777))),9,_xlfn.IFNA(INDEX($D$2:$D$4001,_xlfn.XMATCH(I$1&amp;"-"&amp;$F777,YEAR($B$2:$B$4001)&amp;"-"&amp;$A$2:$A$4001,0,-1)),H777))</f>
        <v>2</v>
      </c>
      <c r="J777" cm="1">
        <f t="array" ref="J777">IF(OR(AND(I777=9,J$1&gt;YEAR($N777))),9,_xlfn.IFNA(INDEX($D$2:$D$4001,_xlfn.XMATCH(J$1&amp;"-"&amp;$F777,YEAR($B$2:$B$4001)&amp;"-"&amp;$A$2:$A$4001,0,-1)),I777))</f>
        <v>3</v>
      </c>
      <c r="K777" cm="1">
        <f t="array" ref="K777">IF(OR(AND(J777=9,K$1&gt;YEAR($N777))),9,_xlfn.IFNA(INDEX($D$2:$D$4001,_xlfn.XMATCH(K$1&amp;"-"&amp;$F777,YEAR($B$2:$B$4001)&amp;"-"&amp;$A$2:$A$4001,0,-1)),J777))</f>
        <v>3</v>
      </c>
      <c r="L777" cm="1">
        <f t="array" ref="L777">IF(OR(AND(K777=9,L$1&gt;YEAR($N777))),9,_xlfn.IFNA(INDEX($D$2:$D$4001,_xlfn.XMATCH(L$1&amp;"-"&amp;$F777,YEAR($B$2:$B$4001)&amp;"-"&amp;$A$2:$A$4001,0,-1)),K777))</f>
        <v>3</v>
      </c>
      <c r="M777" cm="1">
        <f t="array" ref="M777">IF(OR(AND(L777=9,M$1&gt;YEAR($N777))),9,_xlfn.IFNA(INDEX($D$2:$D$4001,_xlfn.XMATCH(M$1&amp;"-"&amp;$F777,YEAR($B$2:$B$4001)&amp;"-"&amp;$A$2:$A$4001,0,-1)),L777))</f>
        <v>3</v>
      </c>
      <c r="N777" s="1">
        <f t="shared" si="12"/>
        <v>37255</v>
      </c>
    </row>
    <row r="778" spans="1:14" x14ac:dyDescent="0.35">
      <c r="A778">
        <v>373</v>
      </c>
      <c r="B778" s="2">
        <v>36301</v>
      </c>
      <c r="C778">
        <v>3</v>
      </c>
      <c r="D778">
        <v>3</v>
      </c>
      <c r="F778">
        <v>777</v>
      </c>
      <c r="G778" cm="1">
        <f t="array" ref="G778">_xlfn.IFNA(INDEX($D$2:$D$4001,_xlfn.XMATCH(G$1&amp;"-"&amp;$F778,YEAR($B$2:$B$4001)&amp;"-"&amp;$A$2:$A$4001,0,-1)),9)</f>
        <v>9</v>
      </c>
      <c r="H778" cm="1">
        <f t="array" ref="H778">IF(OR(AND(G778=9,H$1&gt;YEAR($N778))),9,_xlfn.IFNA(INDEX($D$2:$D$4001,_xlfn.XMATCH(H$1&amp;"-"&amp;$F778,YEAR($B$2:$B$4001)&amp;"-"&amp;$A$2:$A$4001,0,-1)),G778))</f>
        <v>9</v>
      </c>
      <c r="I778" cm="1">
        <f t="array" ref="I778">IF(OR(AND(H778=9,I$1&gt;YEAR($N778))),9,_xlfn.IFNA(INDEX($D$2:$D$4001,_xlfn.XMATCH(I$1&amp;"-"&amp;$F778,YEAR($B$2:$B$4001)&amp;"-"&amp;$A$2:$A$4001,0,-1)),H778))</f>
        <v>4</v>
      </c>
      <c r="J778" cm="1">
        <f t="array" ref="J778">IF(OR(AND(I778=9,J$1&gt;YEAR($N778))),9,_xlfn.IFNA(INDEX($D$2:$D$4001,_xlfn.XMATCH(J$1&amp;"-"&amp;$F778,YEAR($B$2:$B$4001)&amp;"-"&amp;$A$2:$A$4001,0,-1)),I778))</f>
        <v>5</v>
      </c>
      <c r="K778" cm="1">
        <f t="array" ref="K778">IF(OR(AND(J778=9,K$1&gt;YEAR($N778))),9,_xlfn.IFNA(INDEX($D$2:$D$4001,_xlfn.XMATCH(K$1&amp;"-"&amp;$F778,YEAR($B$2:$B$4001)&amp;"-"&amp;$A$2:$A$4001,0,-1)),J778))</f>
        <v>5</v>
      </c>
      <c r="L778" cm="1">
        <f t="array" ref="L778">IF(OR(AND(K778=9,L$1&gt;YEAR($N778))),9,_xlfn.IFNA(INDEX($D$2:$D$4001,_xlfn.XMATCH(L$1&amp;"-"&amp;$F778,YEAR($B$2:$B$4001)&amp;"-"&amp;$A$2:$A$4001,0,-1)),K778))</f>
        <v>5</v>
      </c>
      <c r="M778" cm="1">
        <f t="array" ref="M778">IF(OR(AND(L778=9,M$1&gt;YEAR($N778))),9,_xlfn.IFNA(INDEX($D$2:$D$4001,_xlfn.XMATCH(M$1&amp;"-"&amp;$F778,YEAR($B$2:$B$4001)&amp;"-"&amp;$A$2:$A$4001,0,-1)),L778))</f>
        <v>5</v>
      </c>
      <c r="N778" s="1">
        <f t="shared" si="12"/>
        <v>37072</v>
      </c>
    </row>
    <row r="779" spans="1:14" x14ac:dyDescent="0.35">
      <c r="A779">
        <v>373</v>
      </c>
      <c r="B779" s="2">
        <v>36676</v>
      </c>
      <c r="C779">
        <v>2</v>
      </c>
      <c r="D779">
        <v>2</v>
      </c>
      <c r="F779">
        <v>778</v>
      </c>
      <c r="G779" cm="1">
        <f t="array" ref="G779">_xlfn.IFNA(INDEX($D$2:$D$4001,_xlfn.XMATCH(G$1&amp;"-"&amp;$F779,YEAR($B$2:$B$4001)&amp;"-"&amp;$A$2:$A$4001,0,-1)),9)</f>
        <v>6</v>
      </c>
      <c r="H779" cm="1">
        <f t="array" ref="H779">IF(OR(AND(G779=9,H$1&gt;YEAR($N779))),9,_xlfn.IFNA(INDEX($D$2:$D$4001,_xlfn.XMATCH(H$1&amp;"-"&amp;$F779,YEAR($B$2:$B$4001)&amp;"-"&amp;$A$2:$A$4001,0,-1)),G779))</f>
        <v>6</v>
      </c>
      <c r="I779" cm="1">
        <f t="array" ref="I779">IF(OR(AND(H779=9,I$1&gt;YEAR($N779))),9,_xlfn.IFNA(INDEX($D$2:$D$4001,_xlfn.XMATCH(I$1&amp;"-"&amp;$F779,YEAR($B$2:$B$4001)&amp;"-"&amp;$A$2:$A$4001,0,-1)),H779))</f>
        <v>6</v>
      </c>
      <c r="J779" cm="1">
        <f t="array" ref="J779">IF(OR(AND(I779=9,J$1&gt;YEAR($N779))),9,_xlfn.IFNA(INDEX($D$2:$D$4001,_xlfn.XMATCH(J$1&amp;"-"&amp;$F779,YEAR($B$2:$B$4001)&amp;"-"&amp;$A$2:$A$4001,0,-1)),I779))</f>
        <v>6</v>
      </c>
      <c r="K779" cm="1">
        <f t="array" ref="K779">IF(OR(AND(J779=9,K$1&gt;YEAR($N779))),9,_xlfn.IFNA(INDEX($D$2:$D$4001,_xlfn.XMATCH(K$1&amp;"-"&amp;$F779,YEAR($B$2:$B$4001)&amp;"-"&amp;$A$2:$A$4001,0,-1)),J779))</f>
        <v>6</v>
      </c>
      <c r="L779" cm="1">
        <f t="array" ref="L779">IF(OR(AND(K779=9,L$1&gt;YEAR($N779))),9,_xlfn.IFNA(INDEX($D$2:$D$4001,_xlfn.XMATCH(L$1&amp;"-"&amp;$F779,YEAR($B$2:$B$4001)&amp;"-"&amp;$A$2:$A$4001,0,-1)),K779))</f>
        <v>6</v>
      </c>
      <c r="M779" cm="1">
        <f t="array" ref="M779">IF(OR(AND(L779=9,M$1&gt;YEAR($N779))),9,_xlfn.IFNA(INDEX($D$2:$D$4001,_xlfn.XMATCH(M$1&amp;"-"&amp;$F779,YEAR($B$2:$B$4001)&amp;"-"&amp;$A$2:$A$4001,0,-1)),L779))</f>
        <v>6</v>
      </c>
      <c r="N779" s="1">
        <f t="shared" si="12"/>
        <v>36494</v>
      </c>
    </row>
    <row r="780" spans="1:14" x14ac:dyDescent="0.35">
      <c r="A780">
        <v>373</v>
      </c>
      <c r="B780" s="2">
        <v>36890</v>
      </c>
      <c r="C780">
        <v>3</v>
      </c>
      <c r="D780">
        <v>3</v>
      </c>
      <c r="F780">
        <v>779</v>
      </c>
      <c r="G780" cm="1">
        <f t="array" ref="G780">_xlfn.IFNA(INDEX($D$2:$D$4001,_xlfn.XMATCH(G$1&amp;"-"&amp;$F780,YEAR($B$2:$B$4001)&amp;"-"&amp;$A$2:$A$4001,0,-1)),9)</f>
        <v>9</v>
      </c>
      <c r="H780" cm="1">
        <f t="array" ref="H780">IF(OR(AND(G780=9,H$1&gt;YEAR($N780))),9,_xlfn.IFNA(INDEX($D$2:$D$4001,_xlfn.XMATCH(H$1&amp;"-"&amp;$F780,YEAR($B$2:$B$4001)&amp;"-"&amp;$A$2:$A$4001,0,-1)),G780))</f>
        <v>9</v>
      </c>
      <c r="I780" cm="1">
        <f t="array" ref="I780">IF(OR(AND(H780=9,I$1&gt;YEAR($N780))),9,_xlfn.IFNA(INDEX($D$2:$D$4001,_xlfn.XMATCH(I$1&amp;"-"&amp;$F780,YEAR($B$2:$B$4001)&amp;"-"&amp;$A$2:$A$4001,0,-1)),H780))</f>
        <v>9</v>
      </c>
      <c r="J780" cm="1">
        <f t="array" ref="J780">IF(OR(AND(I780=9,J$1&gt;YEAR($N780))),9,_xlfn.IFNA(INDEX($D$2:$D$4001,_xlfn.XMATCH(J$1&amp;"-"&amp;$F780,YEAR($B$2:$B$4001)&amp;"-"&amp;$A$2:$A$4001,0,-1)),I780))</f>
        <v>4</v>
      </c>
      <c r="K780" cm="1">
        <f t="array" ref="K780">IF(OR(AND(J780=9,K$1&gt;YEAR($N780))),9,_xlfn.IFNA(INDEX($D$2:$D$4001,_xlfn.XMATCH(K$1&amp;"-"&amp;$F780,YEAR($B$2:$B$4001)&amp;"-"&amp;$A$2:$A$4001,0,-1)),J780))</f>
        <v>4</v>
      </c>
      <c r="L780" cm="1">
        <f t="array" ref="L780">IF(OR(AND(K780=9,L$1&gt;YEAR($N780))),9,_xlfn.IFNA(INDEX($D$2:$D$4001,_xlfn.XMATCH(L$1&amp;"-"&amp;$F780,YEAR($B$2:$B$4001)&amp;"-"&amp;$A$2:$A$4001,0,-1)),K780))</f>
        <v>4</v>
      </c>
      <c r="M780" cm="1">
        <f t="array" ref="M780">IF(OR(AND(L780=9,M$1&gt;YEAR($N780))),9,_xlfn.IFNA(INDEX($D$2:$D$4001,_xlfn.XMATCH(M$1&amp;"-"&amp;$F780,YEAR($B$2:$B$4001)&amp;"-"&amp;$A$2:$A$4001,0,-1)),L780))</f>
        <v>4</v>
      </c>
      <c r="N780" s="1">
        <f t="shared" si="12"/>
        <v>37620</v>
      </c>
    </row>
    <row r="781" spans="1:14" x14ac:dyDescent="0.35">
      <c r="A781">
        <v>373</v>
      </c>
      <c r="B781" s="2">
        <v>37093</v>
      </c>
      <c r="C781">
        <v>2</v>
      </c>
      <c r="D781">
        <v>2</v>
      </c>
      <c r="F781">
        <v>780</v>
      </c>
      <c r="G781" cm="1">
        <f t="array" ref="G781">_xlfn.IFNA(INDEX($D$2:$D$4001,_xlfn.XMATCH(G$1&amp;"-"&amp;$F781,YEAR($B$2:$B$4001)&amp;"-"&amp;$A$2:$A$4001,0,-1)),9)</f>
        <v>9</v>
      </c>
      <c r="H781" cm="1">
        <f t="array" ref="H781">IF(OR(AND(G781=9,H$1&gt;YEAR($N781))),9,_xlfn.IFNA(INDEX($D$2:$D$4001,_xlfn.XMATCH(H$1&amp;"-"&amp;$F781,YEAR($B$2:$B$4001)&amp;"-"&amp;$A$2:$A$4001,0,-1)),G781))</f>
        <v>2</v>
      </c>
      <c r="I781" cm="1">
        <f t="array" ref="I781">IF(OR(AND(H781=9,I$1&gt;YEAR($N781))),9,_xlfn.IFNA(INDEX($D$2:$D$4001,_xlfn.XMATCH(I$1&amp;"-"&amp;$F781,YEAR($B$2:$B$4001)&amp;"-"&amp;$A$2:$A$4001,0,-1)),H781))</f>
        <v>2</v>
      </c>
      <c r="J781" cm="1">
        <f t="array" ref="J781">IF(OR(AND(I781=9,J$1&gt;YEAR($N781))),9,_xlfn.IFNA(INDEX($D$2:$D$4001,_xlfn.XMATCH(J$1&amp;"-"&amp;$F781,YEAR($B$2:$B$4001)&amp;"-"&amp;$A$2:$A$4001,0,-1)),I781))</f>
        <v>1</v>
      </c>
      <c r="K781" cm="1">
        <f t="array" ref="K781">IF(OR(AND(J781=9,K$1&gt;YEAR($N781))),9,_xlfn.IFNA(INDEX($D$2:$D$4001,_xlfn.XMATCH(K$1&amp;"-"&amp;$F781,YEAR($B$2:$B$4001)&amp;"-"&amp;$A$2:$A$4001,0,-1)),J781))</f>
        <v>1</v>
      </c>
      <c r="L781" cm="1">
        <f t="array" ref="L781">IF(OR(AND(K781=9,L$1&gt;YEAR($N781))),9,_xlfn.IFNA(INDEX($D$2:$D$4001,_xlfn.XMATCH(L$1&amp;"-"&amp;$F781,YEAR($B$2:$B$4001)&amp;"-"&amp;$A$2:$A$4001,0,-1)),K781))</f>
        <v>1</v>
      </c>
      <c r="M781" cm="1">
        <f t="array" ref="M781">IF(OR(AND(L781=9,M$1&gt;YEAR($N781))),9,_xlfn.IFNA(INDEX($D$2:$D$4001,_xlfn.XMATCH(M$1&amp;"-"&amp;$F781,YEAR($B$2:$B$4001)&amp;"-"&amp;$A$2:$A$4001,0,-1)),L781))</f>
        <v>1</v>
      </c>
      <c r="N781" s="1">
        <f t="shared" si="12"/>
        <v>36667</v>
      </c>
    </row>
    <row r="782" spans="1:14" x14ac:dyDescent="0.35">
      <c r="A782">
        <v>374</v>
      </c>
      <c r="B782" s="2">
        <v>36890</v>
      </c>
      <c r="C782">
        <v>2</v>
      </c>
      <c r="D782">
        <v>2</v>
      </c>
      <c r="F782">
        <v>781</v>
      </c>
      <c r="G782" cm="1">
        <f t="array" ref="G782">_xlfn.IFNA(INDEX($D$2:$D$4001,_xlfn.XMATCH(G$1&amp;"-"&amp;$F782,YEAR($B$2:$B$4001)&amp;"-"&amp;$A$2:$A$4001,0,-1)),9)</f>
        <v>9</v>
      </c>
      <c r="H782" cm="1">
        <f t="array" ref="H782">IF(OR(AND(G782=9,H$1&gt;YEAR($N782))),9,_xlfn.IFNA(INDEX($D$2:$D$4001,_xlfn.XMATCH(H$1&amp;"-"&amp;$F782,YEAR($B$2:$B$4001)&amp;"-"&amp;$A$2:$A$4001,0,-1)),G782))</f>
        <v>2</v>
      </c>
      <c r="I782" cm="1">
        <f t="array" ref="I782">IF(OR(AND(H782=9,I$1&gt;YEAR($N782))),9,_xlfn.IFNA(INDEX($D$2:$D$4001,_xlfn.XMATCH(I$1&amp;"-"&amp;$F782,YEAR($B$2:$B$4001)&amp;"-"&amp;$A$2:$A$4001,0,-1)),H782))</f>
        <v>2</v>
      </c>
      <c r="J782" cm="1">
        <f t="array" ref="J782">IF(OR(AND(I782=9,J$1&gt;YEAR($N782))),9,_xlfn.IFNA(INDEX($D$2:$D$4001,_xlfn.XMATCH(J$1&amp;"-"&amp;$F782,YEAR($B$2:$B$4001)&amp;"-"&amp;$A$2:$A$4001,0,-1)),I782))</f>
        <v>1</v>
      </c>
      <c r="K782" cm="1">
        <f t="array" ref="K782">IF(OR(AND(J782=9,K$1&gt;YEAR($N782))),9,_xlfn.IFNA(INDEX($D$2:$D$4001,_xlfn.XMATCH(K$1&amp;"-"&amp;$F782,YEAR($B$2:$B$4001)&amp;"-"&amp;$A$2:$A$4001,0,-1)),J782))</f>
        <v>1</v>
      </c>
      <c r="L782" cm="1">
        <f t="array" ref="L782">IF(OR(AND(K782=9,L$1&gt;YEAR($N782))),9,_xlfn.IFNA(INDEX($D$2:$D$4001,_xlfn.XMATCH(L$1&amp;"-"&amp;$F782,YEAR($B$2:$B$4001)&amp;"-"&amp;$A$2:$A$4001,0,-1)),K782))</f>
        <v>1</v>
      </c>
      <c r="M782" cm="1">
        <f t="array" ref="M782">IF(OR(AND(L782=9,M$1&gt;YEAR($N782))),9,_xlfn.IFNA(INDEX($D$2:$D$4001,_xlfn.XMATCH(M$1&amp;"-"&amp;$F782,YEAR($B$2:$B$4001)&amp;"-"&amp;$A$2:$A$4001,0,-1)),L782))</f>
        <v>1</v>
      </c>
      <c r="N782" s="1">
        <f t="shared" si="12"/>
        <v>36667</v>
      </c>
    </row>
    <row r="783" spans="1:14" x14ac:dyDescent="0.35">
      <c r="A783">
        <v>375</v>
      </c>
      <c r="B783" s="2">
        <v>38321</v>
      </c>
      <c r="C783">
        <v>2</v>
      </c>
      <c r="D783">
        <v>2</v>
      </c>
      <c r="F783">
        <v>782</v>
      </c>
      <c r="G783" cm="1">
        <f t="array" ref="G783">_xlfn.IFNA(INDEX($D$2:$D$4001,_xlfn.XMATCH(G$1&amp;"-"&amp;$F783,YEAR($B$2:$B$4001)&amp;"-"&amp;$A$2:$A$4001,0,-1)),9)</f>
        <v>9</v>
      </c>
      <c r="H783" cm="1">
        <f t="array" ref="H783">IF(OR(AND(G783=9,H$1&gt;YEAR($N783))),9,_xlfn.IFNA(INDEX($D$2:$D$4001,_xlfn.XMATCH(H$1&amp;"-"&amp;$F783,YEAR($B$2:$B$4001)&amp;"-"&amp;$A$2:$A$4001,0,-1)),G783))</f>
        <v>6</v>
      </c>
      <c r="I783" cm="1">
        <f t="array" ref="I783">IF(OR(AND(H783=9,I$1&gt;YEAR($N783))),9,_xlfn.IFNA(INDEX($D$2:$D$4001,_xlfn.XMATCH(I$1&amp;"-"&amp;$F783,YEAR($B$2:$B$4001)&amp;"-"&amp;$A$2:$A$4001,0,-1)),H783))</f>
        <v>6</v>
      </c>
      <c r="J783" cm="1">
        <f t="array" ref="J783">IF(OR(AND(I783=9,J$1&gt;YEAR($N783))),9,_xlfn.IFNA(INDEX($D$2:$D$4001,_xlfn.XMATCH(J$1&amp;"-"&amp;$F783,YEAR($B$2:$B$4001)&amp;"-"&amp;$A$2:$A$4001,0,-1)),I783))</f>
        <v>0</v>
      </c>
      <c r="K783" cm="1">
        <f t="array" ref="K783">IF(OR(AND(J783=9,K$1&gt;YEAR($N783))),9,_xlfn.IFNA(INDEX($D$2:$D$4001,_xlfn.XMATCH(K$1&amp;"-"&amp;$F783,YEAR($B$2:$B$4001)&amp;"-"&amp;$A$2:$A$4001,0,-1)),J783))</f>
        <v>0</v>
      </c>
      <c r="L783" cm="1">
        <f t="array" ref="L783">IF(OR(AND(K783=9,L$1&gt;YEAR($N783))),9,_xlfn.IFNA(INDEX($D$2:$D$4001,_xlfn.XMATCH(L$1&amp;"-"&amp;$F783,YEAR($B$2:$B$4001)&amp;"-"&amp;$A$2:$A$4001,0,-1)),K783))</f>
        <v>0</v>
      </c>
      <c r="M783" cm="1">
        <f t="array" ref="M783">IF(OR(AND(L783=9,M$1&gt;YEAR($N783))),9,_xlfn.IFNA(INDEX($D$2:$D$4001,_xlfn.XMATCH(M$1&amp;"-"&amp;$F783,YEAR($B$2:$B$4001)&amp;"-"&amp;$A$2:$A$4001,0,-1)),L783))</f>
        <v>0</v>
      </c>
      <c r="N783" s="1">
        <f t="shared" si="12"/>
        <v>36667</v>
      </c>
    </row>
    <row r="784" spans="1:14" x14ac:dyDescent="0.35">
      <c r="A784">
        <v>376</v>
      </c>
      <c r="B784" s="2">
        <v>36424</v>
      </c>
      <c r="C784">
        <v>3</v>
      </c>
      <c r="D784">
        <v>3</v>
      </c>
      <c r="F784">
        <v>783</v>
      </c>
      <c r="G784" cm="1">
        <f t="array" ref="G784">_xlfn.IFNA(INDEX($D$2:$D$4001,_xlfn.XMATCH(G$1&amp;"-"&amp;$F784,YEAR($B$2:$B$4001)&amp;"-"&amp;$A$2:$A$4001,0,-1)),9)</f>
        <v>9</v>
      </c>
      <c r="H784" cm="1">
        <f t="array" ref="H784">IF(OR(AND(G784=9,H$1&gt;YEAR($N784))),9,_xlfn.IFNA(INDEX($D$2:$D$4001,_xlfn.XMATCH(H$1&amp;"-"&amp;$F784,YEAR($B$2:$B$4001)&amp;"-"&amp;$A$2:$A$4001,0,-1)),G784))</f>
        <v>5</v>
      </c>
      <c r="I784" cm="1">
        <f t="array" ref="I784">IF(OR(AND(H784=9,I$1&gt;YEAR($N784))),9,_xlfn.IFNA(INDEX($D$2:$D$4001,_xlfn.XMATCH(I$1&amp;"-"&amp;$F784,YEAR($B$2:$B$4001)&amp;"-"&amp;$A$2:$A$4001,0,-1)),H784))</f>
        <v>0</v>
      </c>
      <c r="J784" cm="1">
        <f t="array" ref="J784">IF(OR(AND(I784=9,J$1&gt;YEAR($N784))),9,_xlfn.IFNA(INDEX($D$2:$D$4001,_xlfn.XMATCH(J$1&amp;"-"&amp;$F784,YEAR($B$2:$B$4001)&amp;"-"&amp;$A$2:$A$4001,0,-1)),I784))</f>
        <v>0</v>
      </c>
      <c r="K784" cm="1">
        <f t="array" ref="K784">IF(OR(AND(J784=9,K$1&gt;YEAR($N784))),9,_xlfn.IFNA(INDEX($D$2:$D$4001,_xlfn.XMATCH(K$1&amp;"-"&amp;$F784,YEAR($B$2:$B$4001)&amp;"-"&amp;$A$2:$A$4001,0,-1)),J784))</f>
        <v>0</v>
      </c>
      <c r="L784" cm="1">
        <f t="array" ref="L784">IF(OR(AND(K784=9,L$1&gt;YEAR($N784))),9,_xlfn.IFNA(INDEX($D$2:$D$4001,_xlfn.XMATCH(L$1&amp;"-"&amp;$F784,YEAR($B$2:$B$4001)&amp;"-"&amp;$A$2:$A$4001,0,-1)),K784))</f>
        <v>0</v>
      </c>
      <c r="M784" cm="1">
        <f t="array" ref="M784">IF(OR(AND(L784=9,M$1&gt;YEAR($N784))),9,_xlfn.IFNA(INDEX($D$2:$D$4001,_xlfn.XMATCH(M$1&amp;"-"&amp;$F784,YEAR($B$2:$B$4001)&amp;"-"&amp;$A$2:$A$4001,0,-1)),L784))</f>
        <v>0</v>
      </c>
      <c r="N784" s="1">
        <f t="shared" si="12"/>
        <v>36728</v>
      </c>
    </row>
    <row r="785" spans="1:14" x14ac:dyDescent="0.35">
      <c r="A785">
        <v>376</v>
      </c>
      <c r="B785" s="2">
        <v>37032</v>
      </c>
      <c r="C785">
        <v>4</v>
      </c>
      <c r="D785">
        <v>4</v>
      </c>
      <c r="F785">
        <v>784</v>
      </c>
      <c r="G785" cm="1">
        <f t="array" ref="G785">_xlfn.IFNA(INDEX($D$2:$D$4001,_xlfn.XMATCH(G$1&amp;"-"&amp;$F785,YEAR($B$2:$B$4001)&amp;"-"&amp;$A$2:$A$4001,0,-1)),9)</f>
        <v>9</v>
      </c>
      <c r="H785" cm="1">
        <f t="array" ref="H785">IF(OR(AND(G785=9,H$1&gt;YEAR($N785))),9,_xlfn.IFNA(INDEX($D$2:$D$4001,_xlfn.XMATCH(H$1&amp;"-"&amp;$F785,YEAR($B$2:$B$4001)&amp;"-"&amp;$A$2:$A$4001,0,-1)),G785))</f>
        <v>4</v>
      </c>
      <c r="I785" cm="1">
        <f t="array" ref="I785">IF(OR(AND(H785=9,I$1&gt;YEAR($N785))),9,_xlfn.IFNA(INDEX($D$2:$D$4001,_xlfn.XMATCH(I$1&amp;"-"&amp;$F785,YEAR($B$2:$B$4001)&amp;"-"&amp;$A$2:$A$4001,0,-1)),H785))</f>
        <v>4</v>
      </c>
      <c r="J785" cm="1">
        <f t="array" ref="J785">IF(OR(AND(I785=9,J$1&gt;YEAR($N785))),9,_xlfn.IFNA(INDEX($D$2:$D$4001,_xlfn.XMATCH(J$1&amp;"-"&amp;$F785,YEAR($B$2:$B$4001)&amp;"-"&amp;$A$2:$A$4001,0,-1)),I785))</f>
        <v>4</v>
      </c>
      <c r="K785" cm="1">
        <f t="array" ref="K785">IF(OR(AND(J785=9,K$1&gt;YEAR($N785))),9,_xlfn.IFNA(INDEX($D$2:$D$4001,_xlfn.XMATCH(K$1&amp;"-"&amp;$F785,YEAR($B$2:$B$4001)&amp;"-"&amp;$A$2:$A$4001,0,-1)),J785))</f>
        <v>4</v>
      </c>
      <c r="L785" cm="1">
        <f t="array" ref="L785">IF(OR(AND(K785=9,L$1&gt;YEAR($N785))),9,_xlfn.IFNA(INDEX($D$2:$D$4001,_xlfn.XMATCH(L$1&amp;"-"&amp;$F785,YEAR($B$2:$B$4001)&amp;"-"&amp;$A$2:$A$4001,0,-1)),K785))</f>
        <v>4</v>
      </c>
      <c r="M785" cm="1">
        <f t="array" ref="M785">IF(OR(AND(L785=9,M$1&gt;YEAR($N785))),9,_xlfn.IFNA(INDEX($D$2:$D$4001,_xlfn.XMATCH(M$1&amp;"-"&amp;$F785,YEAR($B$2:$B$4001)&amp;"-"&amp;$A$2:$A$4001,0,-1)),L785))</f>
        <v>4</v>
      </c>
      <c r="N785" s="1">
        <f t="shared" si="12"/>
        <v>36670</v>
      </c>
    </row>
    <row r="786" spans="1:14" x14ac:dyDescent="0.35">
      <c r="A786">
        <v>376</v>
      </c>
      <c r="B786" s="2">
        <v>37397</v>
      </c>
      <c r="C786">
        <v>4</v>
      </c>
      <c r="D786">
        <v>4</v>
      </c>
      <c r="F786">
        <v>785</v>
      </c>
      <c r="G786" cm="1">
        <f t="array" ref="G786">_xlfn.IFNA(INDEX($D$2:$D$4001,_xlfn.XMATCH(G$1&amp;"-"&amp;$F786,YEAR($B$2:$B$4001)&amp;"-"&amp;$A$2:$A$4001,0,-1)),9)</f>
        <v>4</v>
      </c>
      <c r="H786" cm="1">
        <f t="array" ref="H786">IF(OR(AND(G786=9,H$1&gt;YEAR($N786))),9,_xlfn.IFNA(INDEX($D$2:$D$4001,_xlfn.XMATCH(H$1&amp;"-"&amp;$F786,YEAR($B$2:$B$4001)&amp;"-"&amp;$A$2:$A$4001,0,-1)),G786))</f>
        <v>4</v>
      </c>
      <c r="I786" cm="1">
        <f t="array" ref="I786">IF(OR(AND(H786=9,I$1&gt;YEAR($N786))),9,_xlfn.IFNA(INDEX($D$2:$D$4001,_xlfn.XMATCH(I$1&amp;"-"&amp;$F786,YEAR($B$2:$B$4001)&amp;"-"&amp;$A$2:$A$4001,0,-1)),H786))</f>
        <v>4</v>
      </c>
      <c r="J786" cm="1">
        <f t="array" ref="J786">IF(OR(AND(I786=9,J$1&gt;YEAR($N786))),9,_xlfn.IFNA(INDEX($D$2:$D$4001,_xlfn.XMATCH(J$1&amp;"-"&amp;$F786,YEAR($B$2:$B$4001)&amp;"-"&amp;$A$2:$A$4001,0,-1)),I786))</f>
        <v>4</v>
      </c>
      <c r="K786" cm="1">
        <f t="array" ref="K786">IF(OR(AND(J786=9,K$1&gt;YEAR($N786))),9,_xlfn.IFNA(INDEX($D$2:$D$4001,_xlfn.XMATCH(K$1&amp;"-"&amp;$F786,YEAR($B$2:$B$4001)&amp;"-"&amp;$A$2:$A$4001,0,-1)),J786))</f>
        <v>4</v>
      </c>
      <c r="L786" cm="1">
        <f t="array" ref="L786">IF(OR(AND(K786=9,L$1&gt;YEAR($N786))),9,_xlfn.IFNA(INDEX($D$2:$D$4001,_xlfn.XMATCH(L$1&amp;"-"&amp;$F786,YEAR($B$2:$B$4001)&amp;"-"&amp;$A$2:$A$4001,0,-1)),K786))</f>
        <v>4</v>
      </c>
      <c r="M786" cm="1">
        <f t="array" ref="M786">IF(OR(AND(L786=9,M$1&gt;YEAR($N786))),9,_xlfn.IFNA(INDEX($D$2:$D$4001,_xlfn.XMATCH(M$1&amp;"-"&amp;$F786,YEAR($B$2:$B$4001)&amp;"-"&amp;$A$2:$A$4001,0,-1)),L786))</f>
        <v>4</v>
      </c>
      <c r="N786" s="1">
        <f t="shared" si="12"/>
        <v>36454</v>
      </c>
    </row>
    <row r="787" spans="1:14" x14ac:dyDescent="0.35">
      <c r="A787">
        <v>376</v>
      </c>
      <c r="B787" s="2">
        <v>37985</v>
      </c>
      <c r="C787">
        <v>5</v>
      </c>
      <c r="D787">
        <v>5</v>
      </c>
      <c r="F787">
        <v>786</v>
      </c>
      <c r="G787" cm="1">
        <f t="array" ref="G787">_xlfn.IFNA(INDEX($D$2:$D$4001,_xlfn.XMATCH(G$1&amp;"-"&amp;$F787,YEAR($B$2:$B$4001)&amp;"-"&amp;$A$2:$A$4001,0,-1)),9)</f>
        <v>9</v>
      </c>
      <c r="H787" cm="1">
        <f t="array" ref="H787">IF(OR(AND(G787=9,H$1&gt;YEAR($N787))),9,_xlfn.IFNA(INDEX($D$2:$D$4001,_xlfn.XMATCH(H$1&amp;"-"&amp;$F787,YEAR($B$2:$B$4001)&amp;"-"&amp;$A$2:$A$4001,0,-1)),G787))</f>
        <v>9</v>
      </c>
      <c r="I787" cm="1">
        <f t="array" ref="I787">IF(OR(AND(H787=9,I$1&gt;YEAR($N787))),9,_xlfn.IFNA(INDEX($D$2:$D$4001,_xlfn.XMATCH(I$1&amp;"-"&amp;$F787,YEAR($B$2:$B$4001)&amp;"-"&amp;$A$2:$A$4001,0,-1)),H787))</f>
        <v>4</v>
      </c>
      <c r="J787" cm="1">
        <f t="array" ref="J787">IF(OR(AND(I787=9,J$1&gt;YEAR($N787))),9,_xlfn.IFNA(INDEX($D$2:$D$4001,_xlfn.XMATCH(J$1&amp;"-"&amp;$F787,YEAR($B$2:$B$4001)&amp;"-"&amp;$A$2:$A$4001,0,-1)),I787))</f>
        <v>4</v>
      </c>
      <c r="K787" cm="1">
        <f t="array" ref="K787">IF(OR(AND(J787=9,K$1&gt;YEAR($N787))),9,_xlfn.IFNA(INDEX($D$2:$D$4001,_xlfn.XMATCH(K$1&amp;"-"&amp;$F787,YEAR($B$2:$B$4001)&amp;"-"&amp;$A$2:$A$4001,0,-1)),J787))</f>
        <v>4</v>
      </c>
      <c r="L787" cm="1">
        <f t="array" ref="L787">IF(OR(AND(K787=9,L$1&gt;YEAR($N787))),9,_xlfn.IFNA(INDEX($D$2:$D$4001,_xlfn.XMATCH(L$1&amp;"-"&amp;$F787,YEAR($B$2:$B$4001)&amp;"-"&amp;$A$2:$A$4001,0,-1)),K787))</f>
        <v>4</v>
      </c>
      <c r="M787" cm="1">
        <f t="array" ref="M787">IF(OR(AND(L787=9,M$1&gt;YEAR($N787))),9,_xlfn.IFNA(INDEX($D$2:$D$4001,_xlfn.XMATCH(M$1&amp;"-"&amp;$F787,YEAR($B$2:$B$4001)&amp;"-"&amp;$A$2:$A$4001,0,-1)),L787))</f>
        <v>5</v>
      </c>
      <c r="N787" s="1">
        <f t="shared" si="12"/>
        <v>37032</v>
      </c>
    </row>
    <row r="788" spans="1:14" x14ac:dyDescent="0.35">
      <c r="A788">
        <v>377</v>
      </c>
      <c r="B788" s="2">
        <v>37762</v>
      </c>
      <c r="C788">
        <v>4</v>
      </c>
      <c r="D788">
        <v>4</v>
      </c>
      <c r="F788">
        <v>787</v>
      </c>
      <c r="G788" cm="1">
        <f t="array" ref="G788">_xlfn.IFNA(INDEX($D$2:$D$4001,_xlfn.XMATCH(G$1&amp;"-"&amp;$F788,YEAR($B$2:$B$4001)&amp;"-"&amp;$A$2:$A$4001,0,-1)),9)</f>
        <v>3</v>
      </c>
      <c r="H788" cm="1">
        <f t="array" ref="H788">IF(OR(AND(G788=9,H$1&gt;YEAR($N788))),9,_xlfn.IFNA(INDEX($D$2:$D$4001,_xlfn.XMATCH(H$1&amp;"-"&amp;$F788,YEAR($B$2:$B$4001)&amp;"-"&amp;$A$2:$A$4001,0,-1)),G788))</f>
        <v>3</v>
      </c>
      <c r="I788" cm="1">
        <f t="array" ref="I788">IF(OR(AND(H788=9,I$1&gt;YEAR($N788))),9,_xlfn.IFNA(INDEX($D$2:$D$4001,_xlfn.XMATCH(I$1&amp;"-"&amp;$F788,YEAR($B$2:$B$4001)&amp;"-"&amp;$A$2:$A$4001,0,-1)),H788))</f>
        <v>4</v>
      </c>
      <c r="J788" cm="1">
        <f t="array" ref="J788">IF(OR(AND(I788=9,J$1&gt;YEAR($N788))),9,_xlfn.IFNA(INDEX($D$2:$D$4001,_xlfn.XMATCH(J$1&amp;"-"&amp;$F788,YEAR($B$2:$B$4001)&amp;"-"&amp;$A$2:$A$4001,0,-1)),I788))</f>
        <v>5</v>
      </c>
      <c r="K788" cm="1">
        <f t="array" ref="K788">IF(OR(AND(J788=9,K$1&gt;YEAR($N788))),9,_xlfn.IFNA(INDEX($D$2:$D$4001,_xlfn.XMATCH(K$1&amp;"-"&amp;$F788,YEAR($B$2:$B$4001)&amp;"-"&amp;$A$2:$A$4001,0,-1)),J788))</f>
        <v>5</v>
      </c>
      <c r="L788" cm="1">
        <f t="array" ref="L788">IF(OR(AND(K788=9,L$1&gt;YEAR($N788))),9,_xlfn.IFNA(INDEX($D$2:$D$4001,_xlfn.XMATCH(L$1&amp;"-"&amp;$F788,YEAR($B$2:$B$4001)&amp;"-"&amp;$A$2:$A$4001,0,-1)),K788))</f>
        <v>5</v>
      </c>
      <c r="M788" cm="1">
        <f t="array" ref="M788">IF(OR(AND(L788=9,M$1&gt;YEAR($N788))),9,_xlfn.IFNA(INDEX($D$2:$D$4001,_xlfn.XMATCH(M$1&amp;"-"&amp;$F788,YEAR($B$2:$B$4001)&amp;"-"&amp;$A$2:$A$4001,0,-1)),L788))</f>
        <v>5</v>
      </c>
      <c r="N788" s="1">
        <f t="shared" si="12"/>
        <v>36301</v>
      </c>
    </row>
    <row r="789" spans="1:14" x14ac:dyDescent="0.35">
      <c r="A789">
        <v>378</v>
      </c>
      <c r="B789" s="2">
        <v>37985</v>
      </c>
      <c r="C789">
        <v>4</v>
      </c>
      <c r="D789">
        <v>4</v>
      </c>
      <c r="F789">
        <v>788</v>
      </c>
      <c r="G789" cm="1">
        <f t="array" ref="G789">_xlfn.IFNA(INDEX($D$2:$D$4001,_xlfn.XMATCH(G$1&amp;"-"&amp;$F789,YEAR($B$2:$B$4001)&amp;"-"&amp;$A$2:$A$4001,0,-1)),9)</f>
        <v>3</v>
      </c>
      <c r="H789" cm="1">
        <f t="array" ref="H789">IF(OR(AND(G789=9,H$1&gt;YEAR($N789))),9,_xlfn.IFNA(INDEX($D$2:$D$4001,_xlfn.XMATCH(H$1&amp;"-"&amp;$F789,YEAR($B$2:$B$4001)&amp;"-"&amp;$A$2:$A$4001,0,-1)),G789))</f>
        <v>2</v>
      </c>
      <c r="I789" cm="1">
        <f t="array" ref="I789">IF(OR(AND(H789=9,I$1&gt;YEAR($N789))),9,_xlfn.IFNA(INDEX($D$2:$D$4001,_xlfn.XMATCH(I$1&amp;"-"&amp;$F789,YEAR($B$2:$B$4001)&amp;"-"&amp;$A$2:$A$4001,0,-1)),H789))</f>
        <v>2</v>
      </c>
      <c r="J789" cm="1">
        <f t="array" ref="J789">IF(OR(AND(I789=9,J$1&gt;YEAR($N789))),9,_xlfn.IFNA(INDEX($D$2:$D$4001,_xlfn.XMATCH(J$1&amp;"-"&amp;$F789,YEAR($B$2:$B$4001)&amp;"-"&amp;$A$2:$A$4001,0,-1)),I789))</f>
        <v>2</v>
      </c>
      <c r="K789" cm="1">
        <f t="array" ref="K789">IF(OR(AND(J789=9,K$1&gt;YEAR($N789))),9,_xlfn.IFNA(INDEX($D$2:$D$4001,_xlfn.XMATCH(K$1&amp;"-"&amp;$F789,YEAR($B$2:$B$4001)&amp;"-"&amp;$A$2:$A$4001,0,-1)),J789))</f>
        <v>2</v>
      </c>
      <c r="L789" cm="1">
        <f t="array" ref="L789">IF(OR(AND(K789=9,L$1&gt;YEAR($N789))),9,_xlfn.IFNA(INDEX($D$2:$D$4001,_xlfn.XMATCH(L$1&amp;"-"&amp;$F789,YEAR($B$2:$B$4001)&amp;"-"&amp;$A$2:$A$4001,0,-1)),K789))</f>
        <v>2</v>
      </c>
      <c r="M789" cm="1">
        <f t="array" ref="M789">IF(OR(AND(L789=9,M$1&gt;YEAR($N789))),9,_xlfn.IFNA(INDEX($D$2:$D$4001,_xlfn.XMATCH(M$1&amp;"-"&amp;$F789,YEAR($B$2:$B$4001)&amp;"-"&amp;$A$2:$A$4001,0,-1)),L789))</f>
        <v>2</v>
      </c>
      <c r="N789" s="1">
        <f t="shared" si="12"/>
        <v>36301</v>
      </c>
    </row>
    <row r="790" spans="1:14" x14ac:dyDescent="0.35">
      <c r="A790">
        <v>379</v>
      </c>
      <c r="B790" s="2">
        <v>37952</v>
      </c>
      <c r="C790">
        <v>2</v>
      </c>
      <c r="D790">
        <v>2</v>
      </c>
      <c r="F790">
        <v>789</v>
      </c>
      <c r="G790" cm="1">
        <f t="array" ref="G790">_xlfn.IFNA(INDEX($D$2:$D$4001,_xlfn.XMATCH(G$1&amp;"-"&amp;$F790,YEAR($B$2:$B$4001)&amp;"-"&amp;$A$2:$A$4001,0,-1)),9)</f>
        <v>9</v>
      </c>
      <c r="H790" cm="1">
        <f t="array" ref="H790">IF(OR(AND(G790=9,H$1&gt;YEAR($N790))),9,_xlfn.IFNA(INDEX($D$2:$D$4001,_xlfn.XMATCH(H$1&amp;"-"&amp;$F790,YEAR($B$2:$B$4001)&amp;"-"&amp;$A$2:$A$4001,0,-1)),G790))</f>
        <v>9</v>
      </c>
      <c r="I790" cm="1">
        <f t="array" ref="I790">IF(OR(AND(H790=9,I$1&gt;YEAR($N790))),9,_xlfn.IFNA(INDEX($D$2:$D$4001,_xlfn.XMATCH(I$1&amp;"-"&amp;$F790,YEAR($B$2:$B$4001)&amp;"-"&amp;$A$2:$A$4001,0,-1)),H790))</f>
        <v>9</v>
      </c>
      <c r="J790" cm="1">
        <f t="array" ref="J790">IF(OR(AND(I790=9,J$1&gt;YEAR($N790))),9,_xlfn.IFNA(INDEX($D$2:$D$4001,_xlfn.XMATCH(J$1&amp;"-"&amp;$F790,YEAR($B$2:$B$4001)&amp;"-"&amp;$A$2:$A$4001,0,-1)),I790))</f>
        <v>2</v>
      </c>
      <c r="K790" cm="1">
        <f t="array" ref="K790">IF(OR(AND(J790=9,K$1&gt;YEAR($N790))),9,_xlfn.IFNA(INDEX($D$2:$D$4001,_xlfn.XMATCH(K$1&amp;"-"&amp;$F790,YEAR($B$2:$B$4001)&amp;"-"&amp;$A$2:$A$4001,0,-1)),J790))</f>
        <v>2</v>
      </c>
      <c r="L790" cm="1">
        <f t="array" ref="L790">IF(OR(AND(K790=9,L$1&gt;YEAR($N790))),9,_xlfn.IFNA(INDEX($D$2:$D$4001,_xlfn.XMATCH(L$1&amp;"-"&amp;$F790,YEAR($B$2:$B$4001)&amp;"-"&amp;$A$2:$A$4001,0,-1)),K790))</f>
        <v>2</v>
      </c>
      <c r="M790" cm="1">
        <f t="array" ref="M790">IF(OR(AND(L790=9,M$1&gt;YEAR($N790))),9,_xlfn.IFNA(INDEX($D$2:$D$4001,_xlfn.XMATCH(M$1&amp;"-"&amp;$F790,YEAR($B$2:$B$4001)&amp;"-"&amp;$A$2:$A$4001,0,-1)),L790))</f>
        <v>2</v>
      </c>
      <c r="N790" s="1">
        <f t="shared" si="12"/>
        <v>37406</v>
      </c>
    </row>
    <row r="791" spans="1:14" x14ac:dyDescent="0.35">
      <c r="A791">
        <v>380</v>
      </c>
      <c r="B791" s="2">
        <v>36701</v>
      </c>
      <c r="C791">
        <v>3</v>
      </c>
      <c r="D791">
        <v>3</v>
      </c>
      <c r="F791">
        <v>790</v>
      </c>
      <c r="G791" cm="1">
        <f t="array" ref="G791">_xlfn.IFNA(INDEX($D$2:$D$4001,_xlfn.XMATCH(G$1&amp;"-"&amp;$F791,YEAR($B$2:$B$4001)&amp;"-"&amp;$A$2:$A$4001,0,-1)),9)</f>
        <v>9</v>
      </c>
      <c r="H791" cm="1">
        <f t="array" ref="H791">IF(OR(AND(G791=9,H$1&gt;YEAR($N791))),9,_xlfn.IFNA(INDEX($D$2:$D$4001,_xlfn.XMATCH(H$1&amp;"-"&amp;$F791,YEAR($B$2:$B$4001)&amp;"-"&amp;$A$2:$A$4001,0,-1)),G791))</f>
        <v>9</v>
      </c>
      <c r="I791" cm="1">
        <f t="array" ref="I791">IF(OR(AND(H791=9,I$1&gt;YEAR($N791))),9,_xlfn.IFNA(INDEX($D$2:$D$4001,_xlfn.XMATCH(I$1&amp;"-"&amp;$F791,YEAR($B$2:$B$4001)&amp;"-"&amp;$A$2:$A$4001,0,-1)),H791))</f>
        <v>0</v>
      </c>
      <c r="J791" cm="1">
        <f t="array" ref="J791">IF(OR(AND(I791=9,J$1&gt;YEAR($N791))),9,_xlfn.IFNA(INDEX($D$2:$D$4001,_xlfn.XMATCH(J$1&amp;"-"&amp;$F791,YEAR($B$2:$B$4001)&amp;"-"&amp;$A$2:$A$4001,0,-1)),I791))</f>
        <v>0</v>
      </c>
      <c r="K791" cm="1">
        <f t="array" ref="K791">IF(OR(AND(J791=9,K$1&gt;YEAR($N791))),9,_xlfn.IFNA(INDEX($D$2:$D$4001,_xlfn.XMATCH(K$1&amp;"-"&amp;$F791,YEAR($B$2:$B$4001)&amp;"-"&amp;$A$2:$A$4001,0,-1)),J791))</f>
        <v>0</v>
      </c>
      <c r="L791" cm="1">
        <f t="array" ref="L791">IF(OR(AND(K791=9,L$1&gt;YEAR($N791))),9,_xlfn.IFNA(INDEX($D$2:$D$4001,_xlfn.XMATCH(L$1&amp;"-"&amp;$F791,YEAR($B$2:$B$4001)&amp;"-"&amp;$A$2:$A$4001,0,-1)),K791))</f>
        <v>0</v>
      </c>
      <c r="M791" cm="1">
        <f t="array" ref="M791">IF(OR(AND(L791=9,M$1&gt;YEAR($N791))),9,_xlfn.IFNA(INDEX($D$2:$D$4001,_xlfn.XMATCH(M$1&amp;"-"&amp;$F791,YEAR($B$2:$B$4001)&amp;"-"&amp;$A$2:$A$4001,0,-1)),L791))</f>
        <v>0</v>
      </c>
      <c r="N791" s="1">
        <f t="shared" si="12"/>
        <v>37032</v>
      </c>
    </row>
    <row r="792" spans="1:14" x14ac:dyDescent="0.35">
      <c r="A792">
        <v>381</v>
      </c>
      <c r="B792" s="2">
        <v>37946</v>
      </c>
      <c r="C792">
        <v>2</v>
      </c>
      <c r="D792">
        <v>2</v>
      </c>
      <c r="F792">
        <v>791</v>
      </c>
      <c r="G792" cm="1">
        <f t="array" ref="G792">_xlfn.IFNA(INDEX($D$2:$D$4001,_xlfn.XMATCH(G$1&amp;"-"&amp;$F792,YEAR($B$2:$B$4001)&amp;"-"&amp;$A$2:$A$4001,0,-1)),9)</f>
        <v>3</v>
      </c>
      <c r="H792" cm="1">
        <f t="array" ref="H792">IF(OR(AND(G792=9,H$1&gt;YEAR($N792))),9,_xlfn.IFNA(INDEX($D$2:$D$4001,_xlfn.XMATCH(H$1&amp;"-"&amp;$F792,YEAR($B$2:$B$4001)&amp;"-"&amp;$A$2:$A$4001,0,-1)),G792))</f>
        <v>3</v>
      </c>
      <c r="I792" cm="1">
        <f t="array" ref="I792">IF(OR(AND(H792=9,I$1&gt;YEAR($N792))),9,_xlfn.IFNA(INDEX($D$2:$D$4001,_xlfn.XMATCH(I$1&amp;"-"&amp;$F792,YEAR($B$2:$B$4001)&amp;"-"&amp;$A$2:$A$4001,0,-1)),H792))</f>
        <v>3</v>
      </c>
      <c r="J792" cm="1">
        <f t="array" ref="J792">IF(OR(AND(I792=9,J$1&gt;YEAR($N792))),9,_xlfn.IFNA(INDEX($D$2:$D$4001,_xlfn.XMATCH(J$1&amp;"-"&amp;$F792,YEAR($B$2:$B$4001)&amp;"-"&amp;$A$2:$A$4001,0,-1)),I792))</f>
        <v>3</v>
      </c>
      <c r="K792" cm="1">
        <f t="array" ref="K792">IF(OR(AND(J792=9,K$1&gt;YEAR($N792))),9,_xlfn.IFNA(INDEX($D$2:$D$4001,_xlfn.XMATCH(K$1&amp;"-"&amp;$F792,YEAR($B$2:$B$4001)&amp;"-"&amp;$A$2:$A$4001,0,-1)),J792))</f>
        <v>3</v>
      </c>
      <c r="L792" cm="1">
        <f t="array" ref="L792">IF(OR(AND(K792=9,L$1&gt;YEAR($N792))),9,_xlfn.IFNA(INDEX($D$2:$D$4001,_xlfn.XMATCH(L$1&amp;"-"&amp;$F792,YEAR($B$2:$B$4001)&amp;"-"&amp;$A$2:$A$4001,0,-1)),K792))</f>
        <v>3</v>
      </c>
      <c r="M792" cm="1">
        <f t="array" ref="M792">IF(OR(AND(L792=9,M$1&gt;YEAR($N792))),9,_xlfn.IFNA(INDEX($D$2:$D$4001,_xlfn.XMATCH(M$1&amp;"-"&amp;$F792,YEAR($B$2:$B$4001)&amp;"-"&amp;$A$2:$A$4001,0,-1)),L792))</f>
        <v>3</v>
      </c>
      <c r="N792" s="1">
        <f t="shared" si="12"/>
        <v>36310</v>
      </c>
    </row>
    <row r="793" spans="1:14" x14ac:dyDescent="0.35">
      <c r="A793">
        <v>381</v>
      </c>
      <c r="B793" s="2">
        <v>38351</v>
      </c>
      <c r="C793">
        <v>0</v>
      </c>
      <c r="D793">
        <v>0</v>
      </c>
      <c r="F793">
        <v>792</v>
      </c>
      <c r="G793" cm="1">
        <f t="array" ref="G793">_xlfn.IFNA(INDEX($D$2:$D$4001,_xlfn.XMATCH(G$1&amp;"-"&amp;$F793,YEAR($B$2:$B$4001)&amp;"-"&amp;$A$2:$A$4001,0,-1)),9)</f>
        <v>9</v>
      </c>
      <c r="H793" cm="1">
        <f t="array" ref="H793">IF(OR(AND(G793=9,H$1&gt;YEAR($N793))),9,_xlfn.IFNA(INDEX($D$2:$D$4001,_xlfn.XMATCH(H$1&amp;"-"&amp;$F793,YEAR($B$2:$B$4001)&amp;"-"&amp;$A$2:$A$4001,0,-1)),G793))</f>
        <v>9</v>
      </c>
      <c r="I793" cm="1">
        <f t="array" ref="I793">IF(OR(AND(H793=9,I$1&gt;YEAR($N793))),9,_xlfn.IFNA(INDEX($D$2:$D$4001,_xlfn.XMATCH(I$1&amp;"-"&amp;$F793,YEAR($B$2:$B$4001)&amp;"-"&amp;$A$2:$A$4001,0,-1)),H793))</f>
        <v>9</v>
      </c>
      <c r="J793" cm="1">
        <f t="array" ref="J793">IF(OR(AND(I793=9,J$1&gt;YEAR($N793))),9,_xlfn.IFNA(INDEX($D$2:$D$4001,_xlfn.XMATCH(J$1&amp;"-"&amp;$F793,YEAR($B$2:$B$4001)&amp;"-"&amp;$A$2:$A$4001,0,-1)),I793))</f>
        <v>0</v>
      </c>
      <c r="K793" cm="1">
        <f t="array" ref="K793">IF(OR(AND(J793=9,K$1&gt;YEAR($N793))),9,_xlfn.IFNA(INDEX($D$2:$D$4001,_xlfn.XMATCH(K$1&amp;"-"&amp;$F793,YEAR($B$2:$B$4001)&amp;"-"&amp;$A$2:$A$4001,0,-1)),J793))</f>
        <v>0</v>
      </c>
      <c r="L793" cm="1">
        <f t="array" ref="L793">IF(OR(AND(K793=9,L$1&gt;YEAR($N793))),9,_xlfn.IFNA(INDEX($D$2:$D$4001,_xlfn.XMATCH(L$1&amp;"-"&amp;$F793,YEAR($B$2:$B$4001)&amp;"-"&amp;$A$2:$A$4001,0,-1)),K793))</f>
        <v>0</v>
      </c>
      <c r="M793" cm="1">
        <f t="array" ref="M793">IF(OR(AND(L793=9,M$1&gt;YEAR($N793))),9,_xlfn.IFNA(INDEX($D$2:$D$4001,_xlfn.XMATCH(M$1&amp;"-"&amp;$F793,YEAR($B$2:$B$4001)&amp;"-"&amp;$A$2:$A$4001,0,-1)),L793))</f>
        <v>0</v>
      </c>
      <c r="N793" s="1">
        <f t="shared" si="12"/>
        <v>37397</v>
      </c>
    </row>
    <row r="794" spans="1:14" x14ac:dyDescent="0.35">
      <c r="A794">
        <v>382</v>
      </c>
      <c r="B794" s="2">
        <v>36676</v>
      </c>
      <c r="C794">
        <v>3</v>
      </c>
      <c r="D794">
        <v>3</v>
      </c>
      <c r="F794">
        <v>793</v>
      </c>
      <c r="G794" cm="1">
        <f t="array" ref="G794">_xlfn.IFNA(INDEX($D$2:$D$4001,_xlfn.XMATCH(G$1&amp;"-"&amp;$F794,YEAR($B$2:$B$4001)&amp;"-"&amp;$A$2:$A$4001,0,-1)),9)</f>
        <v>2</v>
      </c>
      <c r="H794" cm="1">
        <f t="array" ref="H794">IF(OR(AND(G794=9,H$1&gt;YEAR($N794))),9,_xlfn.IFNA(INDEX($D$2:$D$4001,_xlfn.XMATCH(H$1&amp;"-"&amp;$F794,YEAR($B$2:$B$4001)&amp;"-"&amp;$A$2:$A$4001,0,-1)),G794))</f>
        <v>2</v>
      </c>
      <c r="I794" cm="1">
        <f t="array" ref="I794">IF(OR(AND(H794=9,I$1&gt;YEAR($N794))),9,_xlfn.IFNA(INDEX($D$2:$D$4001,_xlfn.XMATCH(I$1&amp;"-"&amp;$F794,YEAR($B$2:$B$4001)&amp;"-"&amp;$A$2:$A$4001,0,-1)),H794))</f>
        <v>2</v>
      </c>
      <c r="J794" cm="1">
        <f t="array" ref="J794">IF(OR(AND(I794=9,J$1&gt;YEAR($N794))),9,_xlfn.IFNA(INDEX($D$2:$D$4001,_xlfn.XMATCH(J$1&amp;"-"&amp;$F794,YEAR($B$2:$B$4001)&amp;"-"&amp;$A$2:$A$4001,0,-1)),I794))</f>
        <v>2</v>
      </c>
      <c r="K794" cm="1">
        <f t="array" ref="K794">IF(OR(AND(J794=9,K$1&gt;YEAR($N794))),9,_xlfn.IFNA(INDEX($D$2:$D$4001,_xlfn.XMATCH(K$1&amp;"-"&amp;$F794,YEAR($B$2:$B$4001)&amp;"-"&amp;$A$2:$A$4001,0,-1)),J794))</f>
        <v>2</v>
      </c>
      <c r="L794" cm="1">
        <f t="array" ref="L794">IF(OR(AND(K794=9,L$1&gt;YEAR($N794))),9,_xlfn.IFNA(INDEX($D$2:$D$4001,_xlfn.XMATCH(L$1&amp;"-"&amp;$F794,YEAR($B$2:$B$4001)&amp;"-"&amp;$A$2:$A$4001,0,-1)),K794))</f>
        <v>2</v>
      </c>
      <c r="M794" cm="1">
        <f t="array" ref="M794">IF(OR(AND(L794=9,M$1&gt;YEAR($N794))),9,_xlfn.IFNA(INDEX($D$2:$D$4001,_xlfn.XMATCH(M$1&amp;"-"&amp;$F794,YEAR($B$2:$B$4001)&amp;"-"&amp;$A$2:$A$4001,0,-1)),L794))</f>
        <v>2</v>
      </c>
      <c r="N794" s="1">
        <f t="shared" si="12"/>
        <v>36524</v>
      </c>
    </row>
    <row r="795" spans="1:14" x14ac:dyDescent="0.35">
      <c r="A795">
        <v>382</v>
      </c>
      <c r="B795" s="2">
        <v>37164</v>
      </c>
      <c r="C795">
        <v>2</v>
      </c>
      <c r="D795">
        <v>2</v>
      </c>
      <c r="F795">
        <v>794</v>
      </c>
      <c r="G795" cm="1">
        <f t="array" ref="G795">_xlfn.IFNA(INDEX($D$2:$D$4001,_xlfn.XMATCH(G$1&amp;"-"&amp;$F795,YEAR($B$2:$B$4001)&amp;"-"&amp;$A$2:$A$4001,0,-1)),9)</f>
        <v>3</v>
      </c>
      <c r="H795" cm="1">
        <f t="array" ref="H795">IF(OR(AND(G795=9,H$1&gt;YEAR($N795))),9,_xlfn.IFNA(INDEX($D$2:$D$4001,_xlfn.XMATCH(H$1&amp;"-"&amp;$F795,YEAR($B$2:$B$4001)&amp;"-"&amp;$A$2:$A$4001,0,-1)),G795))</f>
        <v>3</v>
      </c>
      <c r="I795" cm="1">
        <f t="array" ref="I795">IF(OR(AND(H795=9,I$1&gt;YEAR($N795))),9,_xlfn.IFNA(INDEX($D$2:$D$4001,_xlfn.XMATCH(I$1&amp;"-"&amp;$F795,YEAR($B$2:$B$4001)&amp;"-"&amp;$A$2:$A$4001,0,-1)),H795))</f>
        <v>3</v>
      </c>
      <c r="J795" cm="1">
        <f t="array" ref="J795">IF(OR(AND(I795=9,J$1&gt;YEAR($N795))),9,_xlfn.IFNA(INDEX($D$2:$D$4001,_xlfn.XMATCH(J$1&amp;"-"&amp;$F795,YEAR($B$2:$B$4001)&amp;"-"&amp;$A$2:$A$4001,0,-1)),I795))</f>
        <v>3</v>
      </c>
      <c r="K795" cm="1">
        <f t="array" ref="K795">IF(OR(AND(J795=9,K$1&gt;YEAR($N795))),9,_xlfn.IFNA(INDEX($D$2:$D$4001,_xlfn.XMATCH(K$1&amp;"-"&amp;$F795,YEAR($B$2:$B$4001)&amp;"-"&amp;$A$2:$A$4001,0,-1)),J795))</f>
        <v>3</v>
      </c>
      <c r="L795" cm="1">
        <f t="array" ref="L795">IF(OR(AND(K795=9,L$1&gt;YEAR($N795))),9,_xlfn.IFNA(INDEX($D$2:$D$4001,_xlfn.XMATCH(L$1&amp;"-"&amp;$F795,YEAR($B$2:$B$4001)&amp;"-"&amp;$A$2:$A$4001,0,-1)),K795))</f>
        <v>3</v>
      </c>
      <c r="M795" cm="1">
        <f t="array" ref="M795">IF(OR(AND(L795=9,M$1&gt;YEAR($N795))),9,_xlfn.IFNA(INDEX($D$2:$D$4001,_xlfn.XMATCH(M$1&amp;"-"&amp;$F795,YEAR($B$2:$B$4001)&amp;"-"&amp;$A$2:$A$4001,0,-1)),L795))</f>
        <v>3</v>
      </c>
      <c r="N795" s="1">
        <f t="shared" si="12"/>
        <v>36524</v>
      </c>
    </row>
    <row r="796" spans="1:14" x14ac:dyDescent="0.35">
      <c r="A796">
        <v>383</v>
      </c>
      <c r="B796" s="2">
        <v>36728</v>
      </c>
      <c r="C796">
        <v>0</v>
      </c>
      <c r="D796">
        <v>0</v>
      </c>
      <c r="F796">
        <v>795</v>
      </c>
      <c r="G796" cm="1">
        <f t="array" ref="G796">_xlfn.IFNA(INDEX($D$2:$D$4001,_xlfn.XMATCH(G$1&amp;"-"&amp;$F796,YEAR($B$2:$B$4001)&amp;"-"&amp;$A$2:$A$4001,0,-1)),9)</f>
        <v>9</v>
      </c>
      <c r="H796" cm="1">
        <f t="array" ref="H796">IF(OR(AND(G796=9,H$1&gt;YEAR($N796))),9,_xlfn.IFNA(INDEX($D$2:$D$4001,_xlfn.XMATCH(H$1&amp;"-"&amp;$F796,YEAR($B$2:$B$4001)&amp;"-"&amp;$A$2:$A$4001,0,-1)),G796))</f>
        <v>9</v>
      </c>
      <c r="I796" cm="1">
        <f t="array" ref="I796">IF(OR(AND(H796=9,I$1&gt;YEAR($N796))),9,_xlfn.IFNA(INDEX($D$2:$D$4001,_xlfn.XMATCH(I$1&amp;"-"&amp;$F796,YEAR($B$2:$B$4001)&amp;"-"&amp;$A$2:$A$4001,0,-1)),H796))</f>
        <v>9</v>
      </c>
      <c r="J796" cm="1">
        <f t="array" ref="J796">IF(OR(AND(I796=9,J$1&gt;YEAR($N796))),9,_xlfn.IFNA(INDEX($D$2:$D$4001,_xlfn.XMATCH(J$1&amp;"-"&amp;$F796,YEAR($B$2:$B$4001)&amp;"-"&amp;$A$2:$A$4001,0,-1)),I796))</f>
        <v>2</v>
      </c>
      <c r="K796" cm="1">
        <f t="array" ref="K796">IF(OR(AND(J796=9,K$1&gt;YEAR($N796))),9,_xlfn.IFNA(INDEX($D$2:$D$4001,_xlfn.XMATCH(K$1&amp;"-"&amp;$F796,YEAR($B$2:$B$4001)&amp;"-"&amp;$A$2:$A$4001,0,-1)),J796))</f>
        <v>2</v>
      </c>
      <c r="L796" cm="1">
        <f t="array" ref="L796">IF(OR(AND(K796=9,L$1&gt;YEAR($N796))),9,_xlfn.IFNA(INDEX($D$2:$D$4001,_xlfn.XMATCH(L$1&amp;"-"&amp;$F796,YEAR($B$2:$B$4001)&amp;"-"&amp;$A$2:$A$4001,0,-1)),K796))</f>
        <v>2</v>
      </c>
      <c r="M796" cm="1">
        <f t="array" ref="M796">IF(OR(AND(L796=9,M$1&gt;YEAR($N796))),9,_xlfn.IFNA(INDEX($D$2:$D$4001,_xlfn.XMATCH(M$1&amp;"-"&amp;$F796,YEAR($B$2:$B$4001)&amp;"-"&amp;$A$2:$A$4001,0,-1)),L796))</f>
        <v>2</v>
      </c>
      <c r="N796" s="1">
        <f t="shared" si="12"/>
        <v>37620</v>
      </c>
    </row>
    <row r="797" spans="1:14" x14ac:dyDescent="0.35">
      <c r="A797">
        <v>384</v>
      </c>
      <c r="B797" s="2">
        <v>37467</v>
      </c>
      <c r="C797">
        <v>0</v>
      </c>
      <c r="D797">
        <v>0</v>
      </c>
      <c r="F797">
        <v>796</v>
      </c>
      <c r="G797" cm="1">
        <f t="array" ref="G797">_xlfn.IFNA(INDEX($D$2:$D$4001,_xlfn.XMATCH(G$1&amp;"-"&amp;$F797,YEAR($B$2:$B$4001)&amp;"-"&amp;$A$2:$A$4001,0,-1)),9)</f>
        <v>9</v>
      </c>
      <c r="H797" cm="1">
        <f t="array" ref="H797">IF(OR(AND(G797=9,H$1&gt;YEAR($N797))),9,_xlfn.IFNA(INDEX($D$2:$D$4001,_xlfn.XMATCH(H$1&amp;"-"&amp;$F797,YEAR($B$2:$B$4001)&amp;"-"&amp;$A$2:$A$4001,0,-1)),G797))</f>
        <v>9</v>
      </c>
      <c r="I797" cm="1">
        <f t="array" ref="I797">IF(OR(AND(H797=9,I$1&gt;YEAR($N797))),9,_xlfn.IFNA(INDEX($D$2:$D$4001,_xlfn.XMATCH(I$1&amp;"-"&amp;$F797,YEAR($B$2:$B$4001)&amp;"-"&amp;$A$2:$A$4001,0,-1)),H797))</f>
        <v>9</v>
      </c>
      <c r="J797" cm="1">
        <f t="array" ref="J797">IF(OR(AND(I797=9,J$1&gt;YEAR($N797))),9,_xlfn.IFNA(INDEX($D$2:$D$4001,_xlfn.XMATCH(J$1&amp;"-"&amp;$F797,YEAR($B$2:$B$4001)&amp;"-"&amp;$A$2:$A$4001,0,-1)),I797))</f>
        <v>2</v>
      </c>
      <c r="K797" cm="1">
        <f t="array" ref="K797">IF(OR(AND(J797=9,K$1&gt;YEAR($N797))),9,_xlfn.IFNA(INDEX($D$2:$D$4001,_xlfn.XMATCH(K$1&amp;"-"&amp;$F797,YEAR($B$2:$B$4001)&amp;"-"&amp;$A$2:$A$4001,0,-1)),J797))</f>
        <v>2</v>
      </c>
      <c r="L797" cm="1">
        <f t="array" ref="L797">IF(OR(AND(K797=9,L$1&gt;YEAR($N797))),9,_xlfn.IFNA(INDEX($D$2:$D$4001,_xlfn.XMATCH(L$1&amp;"-"&amp;$F797,YEAR($B$2:$B$4001)&amp;"-"&amp;$A$2:$A$4001,0,-1)),K797))</f>
        <v>2</v>
      </c>
      <c r="M797" cm="1">
        <f t="array" ref="M797">IF(OR(AND(L797=9,M$1&gt;YEAR($N797))),9,_xlfn.IFNA(INDEX($D$2:$D$4001,_xlfn.XMATCH(M$1&amp;"-"&amp;$F797,YEAR($B$2:$B$4001)&amp;"-"&amp;$A$2:$A$4001,0,-1)),L797))</f>
        <v>2</v>
      </c>
      <c r="N797" s="1">
        <f t="shared" si="12"/>
        <v>37620</v>
      </c>
    </row>
    <row r="798" spans="1:14" x14ac:dyDescent="0.35">
      <c r="A798">
        <v>385</v>
      </c>
      <c r="B798" s="2">
        <v>38502</v>
      </c>
      <c r="C798">
        <v>5</v>
      </c>
      <c r="D798">
        <v>5</v>
      </c>
      <c r="F798">
        <v>797</v>
      </c>
      <c r="G798" cm="1">
        <f t="array" ref="G798">_xlfn.IFNA(INDEX($D$2:$D$4001,_xlfn.XMATCH(G$1&amp;"-"&amp;$F798,YEAR($B$2:$B$4001)&amp;"-"&amp;$A$2:$A$4001,0,-1)),9)</f>
        <v>7</v>
      </c>
      <c r="H798" cm="1">
        <f t="array" ref="H798">IF(OR(AND(G798=9,H$1&gt;YEAR($N798))),9,_xlfn.IFNA(INDEX($D$2:$D$4001,_xlfn.XMATCH(H$1&amp;"-"&amp;$F798,YEAR($B$2:$B$4001)&amp;"-"&amp;$A$2:$A$4001,0,-1)),G798))</f>
        <v>0</v>
      </c>
      <c r="I798" cm="1">
        <f t="array" ref="I798">IF(OR(AND(H798=9,I$1&gt;YEAR($N798))),9,_xlfn.IFNA(INDEX($D$2:$D$4001,_xlfn.XMATCH(I$1&amp;"-"&amp;$F798,YEAR($B$2:$B$4001)&amp;"-"&amp;$A$2:$A$4001,0,-1)),H798))</f>
        <v>0</v>
      </c>
      <c r="J798" cm="1">
        <f t="array" ref="J798">IF(OR(AND(I798=9,J$1&gt;YEAR($N798))),9,_xlfn.IFNA(INDEX($D$2:$D$4001,_xlfn.XMATCH(J$1&amp;"-"&amp;$F798,YEAR($B$2:$B$4001)&amp;"-"&amp;$A$2:$A$4001,0,-1)),I798))</f>
        <v>0</v>
      </c>
      <c r="K798" cm="1">
        <f t="array" ref="K798">IF(OR(AND(J798=9,K$1&gt;YEAR($N798))),9,_xlfn.IFNA(INDEX($D$2:$D$4001,_xlfn.XMATCH(K$1&amp;"-"&amp;$F798,YEAR($B$2:$B$4001)&amp;"-"&amp;$A$2:$A$4001,0,-1)),J798))</f>
        <v>0</v>
      </c>
      <c r="L798" cm="1">
        <f t="array" ref="L798">IF(OR(AND(K798=9,L$1&gt;YEAR($N798))),9,_xlfn.IFNA(INDEX($D$2:$D$4001,_xlfn.XMATCH(L$1&amp;"-"&amp;$F798,YEAR($B$2:$B$4001)&amp;"-"&amp;$A$2:$A$4001,0,-1)),K798))</f>
        <v>0</v>
      </c>
      <c r="M798" cm="1">
        <f t="array" ref="M798">IF(OR(AND(L798=9,M$1&gt;YEAR($N798))),9,_xlfn.IFNA(INDEX($D$2:$D$4001,_xlfn.XMATCH(M$1&amp;"-"&amp;$F798,YEAR($B$2:$B$4001)&amp;"-"&amp;$A$2:$A$4001,0,-1)),L798))</f>
        <v>0</v>
      </c>
      <c r="N798" s="1">
        <f t="shared" si="12"/>
        <v>36494</v>
      </c>
    </row>
    <row r="799" spans="1:14" x14ac:dyDescent="0.35">
      <c r="A799">
        <v>386</v>
      </c>
      <c r="B799" s="2">
        <v>36524</v>
      </c>
      <c r="C799">
        <v>6</v>
      </c>
      <c r="D799">
        <v>6</v>
      </c>
      <c r="F799">
        <v>798</v>
      </c>
      <c r="G799" cm="1">
        <f t="array" ref="G799">_xlfn.IFNA(INDEX($D$2:$D$4001,_xlfn.XMATCH(G$1&amp;"-"&amp;$F799,YEAR($B$2:$B$4001)&amp;"-"&amp;$A$2:$A$4001,0,-1)),9)</f>
        <v>9</v>
      </c>
      <c r="H799" cm="1">
        <f t="array" ref="H799">IF(OR(AND(G799=9,H$1&gt;YEAR($N799))),9,_xlfn.IFNA(INDEX($D$2:$D$4001,_xlfn.XMATCH(H$1&amp;"-"&amp;$F799,YEAR($B$2:$B$4001)&amp;"-"&amp;$A$2:$A$4001,0,-1)),G799))</f>
        <v>2</v>
      </c>
      <c r="I799" cm="1">
        <f t="array" ref="I799">IF(OR(AND(H799=9,I$1&gt;YEAR($N799))),9,_xlfn.IFNA(INDEX($D$2:$D$4001,_xlfn.XMATCH(I$1&amp;"-"&amp;$F799,YEAR($B$2:$B$4001)&amp;"-"&amp;$A$2:$A$4001,0,-1)),H799))</f>
        <v>2</v>
      </c>
      <c r="J799" cm="1">
        <f t="array" ref="J799">IF(OR(AND(I799=9,J$1&gt;YEAR($N799))),9,_xlfn.IFNA(INDEX($D$2:$D$4001,_xlfn.XMATCH(J$1&amp;"-"&amp;$F799,YEAR($B$2:$B$4001)&amp;"-"&amp;$A$2:$A$4001,0,-1)),I799))</f>
        <v>2</v>
      </c>
      <c r="K799" cm="1">
        <f t="array" ref="K799">IF(OR(AND(J799=9,K$1&gt;YEAR($N799))),9,_xlfn.IFNA(INDEX($D$2:$D$4001,_xlfn.XMATCH(K$1&amp;"-"&amp;$F799,YEAR($B$2:$B$4001)&amp;"-"&amp;$A$2:$A$4001,0,-1)),J799))</f>
        <v>2</v>
      </c>
      <c r="L799" cm="1">
        <f t="array" ref="L799">IF(OR(AND(K799=9,L$1&gt;YEAR($N799))),9,_xlfn.IFNA(INDEX($D$2:$D$4001,_xlfn.XMATCH(L$1&amp;"-"&amp;$F799,YEAR($B$2:$B$4001)&amp;"-"&amp;$A$2:$A$4001,0,-1)),K799))</f>
        <v>2</v>
      </c>
      <c r="M799" cm="1">
        <f t="array" ref="M799">IF(OR(AND(L799=9,M$1&gt;YEAR($N799))),9,_xlfn.IFNA(INDEX($D$2:$D$4001,_xlfn.XMATCH(M$1&amp;"-"&amp;$F799,YEAR($B$2:$B$4001)&amp;"-"&amp;$A$2:$A$4001,0,-1)),L799))</f>
        <v>2</v>
      </c>
      <c r="N799" s="1">
        <f t="shared" si="12"/>
        <v>36667</v>
      </c>
    </row>
    <row r="800" spans="1:14" x14ac:dyDescent="0.35">
      <c r="A800">
        <v>386</v>
      </c>
      <c r="B800" s="2">
        <v>37185</v>
      </c>
      <c r="C800">
        <v>6</v>
      </c>
      <c r="D800">
        <v>6</v>
      </c>
      <c r="F800">
        <v>799</v>
      </c>
      <c r="G800" cm="1">
        <f t="array" ref="G800">_xlfn.IFNA(INDEX($D$2:$D$4001,_xlfn.XMATCH(G$1&amp;"-"&amp;$F800,YEAR($B$2:$B$4001)&amp;"-"&amp;$A$2:$A$4001,0,-1)),9)</f>
        <v>3</v>
      </c>
      <c r="H800" cm="1">
        <f t="array" ref="H800">IF(OR(AND(G800=9,H$1&gt;YEAR($N800))),9,_xlfn.IFNA(INDEX($D$2:$D$4001,_xlfn.XMATCH(H$1&amp;"-"&amp;$F800,YEAR($B$2:$B$4001)&amp;"-"&amp;$A$2:$A$4001,0,-1)),G800))</f>
        <v>3</v>
      </c>
      <c r="I800" cm="1">
        <f t="array" ref="I800">IF(OR(AND(H800=9,I$1&gt;YEAR($N800))),9,_xlfn.IFNA(INDEX($D$2:$D$4001,_xlfn.XMATCH(I$1&amp;"-"&amp;$F800,YEAR($B$2:$B$4001)&amp;"-"&amp;$A$2:$A$4001,0,-1)),H800))</f>
        <v>3</v>
      </c>
      <c r="J800" cm="1">
        <f t="array" ref="J800">IF(OR(AND(I800=9,J$1&gt;YEAR($N800))),9,_xlfn.IFNA(INDEX($D$2:$D$4001,_xlfn.XMATCH(J$1&amp;"-"&amp;$F800,YEAR($B$2:$B$4001)&amp;"-"&amp;$A$2:$A$4001,0,-1)),I800))</f>
        <v>3</v>
      </c>
      <c r="K800" cm="1">
        <f t="array" ref="K800">IF(OR(AND(J800=9,K$1&gt;YEAR($N800))),9,_xlfn.IFNA(INDEX($D$2:$D$4001,_xlfn.XMATCH(K$1&amp;"-"&amp;$F800,YEAR($B$2:$B$4001)&amp;"-"&amp;$A$2:$A$4001,0,-1)),J800))</f>
        <v>3</v>
      </c>
      <c r="L800" cm="1">
        <f t="array" ref="L800">IF(OR(AND(K800=9,L$1&gt;YEAR($N800))),9,_xlfn.IFNA(INDEX($D$2:$D$4001,_xlfn.XMATCH(L$1&amp;"-"&amp;$F800,YEAR($B$2:$B$4001)&amp;"-"&amp;$A$2:$A$4001,0,-1)),K800))</f>
        <v>3</v>
      </c>
      <c r="M800" cm="1">
        <f t="array" ref="M800">IF(OR(AND(L800=9,M$1&gt;YEAR($N800))),9,_xlfn.IFNA(INDEX($D$2:$D$4001,_xlfn.XMATCH(M$1&amp;"-"&amp;$F800,YEAR($B$2:$B$4001)&amp;"-"&amp;$A$2:$A$4001,0,-1)),L800))</f>
        <v>3</v>
      </c>
      <c r="N800" s="1">
        <f t="shared" si="12"/>
        <v>36494</v>
      </c>
    </row>
    <row r="801" spans="1:14" x14ac:dyDescent="0.35">
      <c r="A801">
        <v>386</v>
      </c>
      <c r="B801" s="2">
        <v>37762</v>
      </c>
      <c r="C801">
        <v>6</v>
      </c>
      <c r="D801">
        <v>6</v>
      </c>
      <c r="F801">
        <v>800</v>
      </c>
      <c r="G801" cm="1">
        <f t="array" ref="G801">_xlfn.IFNA(INDEX($D$2:$D$4001,_xlfn.XMATCH(G$1&amp;"-"&amp;$F801,YEAR($B$2:$B$4001)&amp;"-"&amp;$A$2:$A$4001,0,-1)),9)</f>
        <v>9</v>
      </c>
      <c r="H801" cm="1">
        <f t="array" ref="H801">IF(OR(AND(G801=9,H$1&gt;YEAR($N801))),9,_xlfn.IFNA(INDEX($D$2:$D$4001,_xlfn.XMATCH(H$1&amp;"-"&amp;$F801,YEAR($B$2:$B$4001)&amp;"-"&amp;$A$2:$A$4001,0,-1)),G801))</f>
        <v>9</v>
      </c>
      <c r="I801" cm="1">
        <f t="array" ref="I801">IF(OR(AND(H801=9,I$1&gt;YEAR($N801))),9,_xlfn.IFNA(INDEX($D$2:$D$4001,_xlfn.XMATCH(I$1&amp;"-"&amp;$F801,YEAR($B$2:$B$4001)&amp;"-"&amp;$A$2:$A$4001,0,-1)),H801))</f>
        <v>9</v>
      </c>
      <c r="J801" cm="1">
        <f t="array" ref="J801">IF(OR(AND(I801=9,J$1&gt;YEAR($N801))),9,_xlfn.IFNA(INDEX($D$2:$D$4001,_xlfn.XMATCH(J$1&amp;"-"&amp;$F801,YEAR($B$2:$B$4001)&amp;"-"&amp;$A$2:$A$4001,0,-1)),I801))</f>
        <v>9</v>
      </c>
      <c r="K801" cm="1">
        <f t="array" ref="K801">IF(OR(AND(J801=9,K$1&gt;YEAR($N801))),9,_xlfn.IFNA(INDEX($D$2:$D$4001,_xlfn.XMATCH(K$1&amp;"-"&amp;$F801,YEAR($B$2:$B$4001)&amp;"-"&amp;$A$2:$A$4001,0,-1)),J801))</f>
        <v>9</v>
      </c>
      <c r="L801" cm="1">
        <f t="array" ref="L801">IF(OR(AND(K801=9,L$1&gt;YEAR($N801))),9,_xlfn.IFNA(INDEX($D$2:$D$4001,_xlfn.XMATCH(L$1&amp;"-"&amp;$F801,YEAR($B$2:$B$4001)&amp;"-"&amp;$A$2:$A$4001,0,-1)),K801))</f>
        <v>4</v>
      </c>
      <c r="M801" cm="1">
        <f t="array" ref="M801">IF(OR(AND(L801=9,M$1&gt;YEAR($N801))),9,_xlfn.IFNA(INDEX($D$2:$D$4001,_xlfn.XMATCH(M$1&amp;"-"&amp;$F801,YEAR($B$2:$B$4001)&amp;"-"&amp;$A$2:$A$4001,0,-1)),L801))</f>
        <v>4</v>
      </c>
      <c r="N801" s="1">
        <f t="shared" si="12"/>
        <v>38128</v>
      </c>
    </row>
    <row r="802" spans="1:14" x14ac:dyDescent="0.35">
      <c r="A802">
        <v>386</v>
      </c>
      <c r="B802" s="2">
        <v>38351</v>
      </c>
      <c r="C802">
        <v>6</v>
      </c>
      <c r="D802">
        <v>6</v>
      </c>
      <c r="F802">
        <v>801</v>
      </c>
      <c r="G802" cm="1">
        <f t="array" ref="G802">_xlfn.IFNA(INDEX($D$2:$D$4001,_xlfn.XMATCH(G$1&amp;"-"&amp;$F802,YEAR($B$2:$B$4001)&amp;"-"&amp;$A$2:$A$4001,0,-1)),9)</f>
        <v>9</v>
      </c>
      <c r="H802" cm="1">
        <f t="array" ref="H802">IF(OR(AND(G802=9,H$1&gt;YEAR($N802))),9,_xlfn.IFNA(INDEX($D$2:$D$4001,_xlfn.XMATCH(H$1&amp;"-"&amp;$F802,YEAR($B$2:$B$4001)&amp;"-"&amp;$A$2:$A$4001,0,-1)),G802))</f>
        <v>9</v>
      </c>
      <c r="I802" cm="1">
        <f t="array" ref="I802">IF(OR(AND(H802=9,I$1&gt;YEAR($N802))),9,_xlfn.IFNA(INDEX($D$2:$D$4001,_xlfn.XMATCH(I$1&amp;"-"&amp;$F802,YEAR($B$2:$B$4001)&amp;"-"&amp;$A$2:$A$4001,0,-1)),H802))</f>
        <v>9</v>
      </c>
      <c r="J802" cm="1">
        <f t="array" ref="J802">IF(OR(AND(I802=9,J$1&gt;YEAR($N802))),9,_xlfn.IFNA(INDEX($D$2:$D$4001,_xlfn.XMATCH(J$1&amp;"-"&amp;$F802,YEAR($B$2:$B$4001)&amp;"-"&amp;$A$2:$A$4001,0,-1)),I802))</f>
        <v>0</v>
      </c>
      <c r="K802" cm="1">
        <f t="array" ref="K802">IF(OR(AND(J802=9,K$1&gt;YEAR($N802))),9,_xlfn.IFNA(INDEX($D$2:$D$4001,_xlfn.XMATCH(K$1&amp;"-"&amp;$F802,YEAR($B$2:$B$4001)&amp;"-"&amp;$A$2:$A$4001,0,-1)),J802))</f>
        <v>0</v>
      </c>
      <c r="L802" cm="1">
        <f t="array" ref="L802">IF(OR(AND(K802=9,L$1&gt;YEAR($N802))),9,_xlfn.IFNA(INDEX($D$2:$D$4001,_xlfn.XMATCH(L$1&amp;"-"&amp;$F802,YEAR($B$2:$B$4001)&amp;"-"&amp;$A$2:$A$4001,0,-1)),K802))</f>
        <v>0</v>
      </c>
      <c r="M802" cm="1">
        <f t="array" ref="M802">IF(OR(AND(L802=9,M$1&gt;YEAR($N802))),9,_xlfn.IFNA(INDEX($D$2:$D$4001,_xlfn.XMATCH(M$1&amp;"-"&amp;$F802,YEAR($B$2:$B$4001)&amp;"-"&amp;$A$2:$A$4001,0,-1)),L802))</f>
        <v>0</v>
      </c>
      <c r="N802" s="1">
        <f t="shared" si="12"/>
        <v>37559</v>
      </c>
    </row>
    <row r="803" spans="1:14" x14ac:dyDescent="0.35">
      <c r="A803">
        <v>386</v>
      </c>
      <c r="B803" s="2">
        <v>38533</v>
      </c>
      <c r="C803">
        <v>7</v>
      </c>
      <c r="D803">
        <v>7</v>
      </c>
      <c r="F803">
        <v>802</v>
      </c>
      <c r="G803" cm="1">
        <f t="array" ref="G803">_xlfn.IFNA(INDEX($D$2:$D$4001,_xlfn.XMATCH(G$1&amp;"-"&amp;$F803,YEAR($B$2:$B$4001)&amp;"-"&amp;$A$2:$A$4001,0,-1)),9)</f>
        <v>3</v>
      </c>
      <c r="H803" cm="1">
        <f t="array" ref="H803">IF(OR(AND(G803=9,H$1&gt;YEAR($N803))),9,_xlfn.IFNA(INDEX($D$2:$D$4001,_xlfn.XMATCH(H$1&amp;"-"&amp;$F803,YEAR($B$2:$B$4001)&amp;"-"&amp;$A$2:$A$4001,0,-1)),G803))</f>
        <v>3</v>
      </c>
      <c r="I803" cm="1">
        <f t="array" ref="I803">IF(OR(AND(H803=9,I$1&gt;YEAR($N803))),9,_xlfn.IFNA(INDEX($D$2:$D$4001,_xlfn.XMATCH(I$1&amp;"-"&amp;$F803,YEAR($B$2:$B$4001)&amp;"-"&amp;$A$2:$A$4001,0,-1)),H803))</f>
        <v>3</v>
      </c>
      <c r="J803" cm="1">
        <f t="array" ref="J803">IF(OR(AND(I803=9,J$1&gt;YEAR($N803))),9,_xlfn.IFNA(INDEX($D$2:$D$4001,_xlfn.XMATCH(J$1&amp;"-"&amp;$F803,YEAR($B$2:$B$4001)&amp;"-"&amp;$A$2:$A$4001,0,-1)),I803))</f>
        <v>3</v>
      </c>
      <c r="K803" cm="1">
        <f t="array" ref="K803">IF(OR(AND(J803=9,K$1&gt;YEAR($N803))),9,_xlfn.IFNA(INDEX($D$2:$D$4001,_xlfn.XMATCH(K$1&amp;"-"&amp;$F803,YEAR($B$2:$B$4001)&amp;"-"&amp;$A$2:$A$4001,0,-1)),J803))</f>
        <v>3</v>
      </c>
      <c r="L803" cm="1">
        <f t="array" ref="L803">IF(OR(AND(K803=9,L$1&gt;YEAR($N803))),9,_xlfn.IFNA(INDEX($D$2:$D$4001,_xlfn.XMATCH(L$1&amp;"-"&amp;$F803,YEAR($B$2:$B$4001)&amp;"-"&amp;$A$2:$A$4001,0,-1)),K803))</f>
        <v>3</v>
      </c>
      <c r="M803" cm="1">
        <f t="array" ref="M803">IF(OR(AND(L803=9,M$1&gt;YEAR($N803))),9,_xlfn.IFNA(INDEX($D$2:$D$4001,_xlfn.XMATCH(M$1&amp;"-"&amp;$F803,YEAR($B$2:$B$4001)&amp;"-"&amp;$A$2:$A$4001,0,-1)),L803))</f>
        <v>3</v>
      </c>
      <c r="N803" s="1">
        <f t="shared" si="12"/>
        <v>36402</v>
      </c>
    </row>
    <row r="804" spans="1:14" x14ac:dyDescent="0.35">
      <c r="A804">
        <v>387</v>
      </c>
      <c r="B804" s="2">
        <v>36524</v>
      </c>
      <c r="C804">
        <v>3</v>
      </c>
      <c r="D804">
        <v>3</v>
      </c>
      <c r="F804">
        <v>803</v>
      </c>
      <c r="G804" cm="1">
        <f t="array" ref="G804">_xlfn.IFNA(INDEX($D$2:$D$4001,_xlfn.XMATCH(G$1&amp;"-"&amp;$F804,YEAR($B$2:$B$4001)&amp;"-"&amp;$A$2:$A$4001,0,-1)),9)</f>
        <v>0</v>
      </c>
      <c r="H804" cm="1">
        <f t="array" ref="H804">IF(OR(AND(G804=9,H$1&gt;YEAR($N804))),9,_xlfn.IFNA(INDEX($D$2:$D$4001,_xlfn.XMATCH(H$1&amp;"-"&amp;$F804,YEAR($B$2:$B$4001)&amp;"-"&amp;$A$2:$A$4001,0,-1)),G804))</f>
        <v>0</v>
      </c>
      <c r="I804" cm="1">
        <f t="array" ref="I804">IF(OR(AND(H804=9,I$1&gt;YEAR($N804))),9,_xlfn.IFNA(INDEX($D$2:$D$4001,_xlfn.XMATCH(I$1&amp;"-"&amp;$F804,YEAR($B$2:$B$4001)&amp;"-"&amp;$A$2:$A$4001,0,-1)),H804))</f>
        <v>0</v>
      </c>
      <c r="J804" cm="1">
        <f t="array" ref="J804">IF(OR(AND(I804=9,J$1&gt;YEAR($N804))),9,_xlfn.IFNA(INDEX($D$2:$D$4001,_xlfn.XMATCH(J$1&amp;"-"&amp;$F804,YEAR($B$2:$B$4001)&amp;"-"&amp;$A$2:$A$4001,0,-1)),I804))</f>
        <v>0</v>
      </c>
      <c r="K804" cm="1">
        <f t="array" ref="K804">IF(OR(AND(J804=9,K$1&gt;YEAR($N804))),9,_xlfn.IFNA(INDEX($D$2:$D$4001,_xlfn.XMATCH(K$1&amp;"-"&amp;$F804,YEAR($B$2:$B$4001)&amp;"-"&amp;$A$2:$A$4001,0,-1)),J804))</f>
        <v>0</v>
      </c>
      <c r="L804" cm="1">
        <f t="array" ref="L804">IF(OR(AND(K804=9,L$1&gt;YEAR($N804))),9,_xlfn.IFNA(INDEX($D$2:$D$4001,_xlfn.XMATCH(L$1&amp;"-"&amp;$F804,YEAR($B$2:$B$4001)&amp;"-"&amp;$A$2:$A$4001,0,-1)),K804))</f>
        <v>0</v>
      </c>
      <c r="M804" cm="1">
        <f t="array" ref="M804">IF(OR(AND(L804=9,M$1&gt;YEAR($N804))),9,_xlfn.IFNA(INDEX($D$2:$D$4001,_xlfn.XMATCH(M$1&amp;"-"&amp;$F804,YEAR($B$2:$B$4001)&amp;"-"&amp;$A$2:$A$4001,0,-1)),L804))</f>
        <v>0</v>
      </c>
      <c r="N804" s="1">
        <f t="shared" si="12"/>
        <v>36515</v>
      </c>
    </row>
    <row r="805" spans="1:14" x14ac:dyDescent="0.35">
      <c r="A805">
        <v>388</v>
      </c>
      <c r="B805" s="2">
        <v>37458</v>
      </c>
      <c r="C805">
        <v>3</v>
      </c>
      <c r="D805">
        <v>3</v>
      </c>
      <c r="F805">
        <v>804</v>
      </c>
      <c r="G805" cm="1">
        <f t="array" ref="G805">_xlfn.IFNA(INDEX($D$2:$D$4001,_xlfn.XMATCH(G$1&amp;"-"&amp;$F805,YEAR($B$2:$B$4001)&amp;"-"&amp;$A$2:$A$4001,0,-1)),9)</f>
        <v>0</v>
      </c>
      <c r="H805" cm="1">
        <f t="array" ref="H805">IF(OR(AND(G805=9,H$1&gt;YEAR($N805))),9,_xlfn.IFNA(INDEX($D$2:$D$4001,_xlfn.XMATCH(H$1&amp;"-"&amp;$F805,YEAR($B$2:$B$4001)&amp;"-"&amp;$A$2:$A$4001,0,-1)),G805))</f>
        <v>0</v>
      </c>
      <c r="I805" cm="1">
        <f t="array" ref="I805">IF(OR(AND(H805=9,I$1&gt;YEAR($N805))),9,_xlfn.IFNA(INDEX($D$2:$D$4001,_xlfn.XMATCH(I$1&amp;"-"&amp;$F805,YEAR($B$2:$B$4001)&amp;"-"&amp;$A$2:$A$4001,0,-1)),H805))</f>
        <v>0</v>
      </c>
      <c r="J805" cm="1">
        <f t="array" ref="J805">IF(OR(AND(I805=9,J$1&gt;YEAR($N805))),9,_xlfn.IFNA(INDEX($D$2:$D$4001,_xlfn.XMATCH(J$1&amp;"-"&amp;$F805,YEAR($B$2:$B$4001)&amp;"-"&amp;$A$2:$A$4001,0,-1)),I805))</f>
        <v>0</v>
      </c>
      <c r="K805" cm="1">
        <f t="array" ref="K805">IF(OR(AND(J805=9,K$1&gt;YEAR($N805))),9,_xlfn.IFNA(INDEX($D$2:$D$4001,_xlfn.XMATCH(K$1&amp;"-"&amp;$F805,YEAR($B$2:$B$4001)&amp;"-"&amp;$A$2:$A$4001,0,-1)),J805))</f>
        <v>0</v>
      </c>
      <c r="L805" cm="1">
        <f t="array" ref="L805">IF(OR(AND(K805=9,L$1&gt;YEAR($N805))),9,_xlfn.IFNA(INDEX($D$2:$D$4001,_xlfn.XMATCH(L$1&amp;"-"&amp;$F805,YEAR($B$2:$B$4001)&amp;"-"&amp;$A$2:$A$4001,0,-1)),K805))</f>
        <v>0</v>
      </c>
      <c r="M805" cm="1">
        <f t="array" ref="M805">IF(OR(AND(L805=9,M$1&gt;YEAR($N805))),9,_xlfn.IFNA(INDEX($D$2:$D$4001,_xlfn.XMATCH(M$1&amp;"-"&amp;$F805,YEAR($B$2:$B$4001)&amp;"-"&amp;$A$2:$A$4001,0,-1)),L805))</f>
        <v>0</v>
      </c>
      <c r="N805" s="1">
        <f t="shared" si="12"/>
        <v>36524</v>
      </c>
    </row>
    <row r="806" spans="1:14" x14ac:dyDescent="0.35">
      <c r="A806">
        <v>389</v>
      </c>
      <c r="B806" s="2">
        <v>36310</v>
      </c>
      <c r="C806">
        <v>3</v>
      </c>
      <c r="D806">
        <v>3</v>
      </c>
      <c r="F806">
        <v>805</v>
      </c>
      <c r="G806" cm="1">
        <f t="array" ref="G806">_xlfn.IFNA(INDEX($D$2:$D$4001,_xlfn.XMATCH(G$1&amp;"-"&amp;$F806,YEAR($B$2:$B$4001)&amp;"-"&amp;$A$2:$A$4001,0,-1)),9)</f>
        <v>9</v>
      </c>
      <c r="H806" cm="1">
        <f t="array" ref="H806">IF(OR(AND(G806=9,H$1&gt;YEAR($N806))),9,_xlfn.IFNA(INDEX($D$2:$D$4001,_xlfn.XMATCH(H$1&amp;"-"&amp;$F806,YEAR($B$2:$B$4001)&amp;"-"&amp;$A$2:$A$4001,0,-1)),G806))</f>
        <v>9</v>
      </c>
      <c r="I806" cm="1">
        <f t="array" ref="I806">IF(OR(AND(H806=9,I$1&gt;YEAR($N806))),9,_xlfn.IFNA(INDEX($D$2:$D$4001,_xlfn.XMATCH(I$1&amp;"-"&amp;$F806,YEAR($B$2:$B$4001)&amp;"-"&amp;$A$2:$A$4001,0,-1)),H806))</f>
        <v>9</v>
      </c>
      <c r="J806" cm="1">
        <f t="array" ref="J806">IF(OR(AND(I806=9,J$1&gt;YEAR($N806))),9,_xlfn.IFNA(INDEX($D$2:$D$4001,_xlfn.XMATCH(J$1&amp;"-"&amp;$F806,YEAR($B$2:$B$4001)&amp;"-"&amp;$A$2:$A$4001,0,-1)),I806))</f>
        <v>9</v>
      </c>
      <c r="K806" cm="1">
        <f t="array" ref="K806">IF(OR(AND(J806=9,K$1&gt;YEAR($N806))),9,_xlfn.IFNA(INDEX($D$2:$D$4001,_xlfn.XMATCH(K$1&amp;"-"&amp;$F806,YEAR($B$2:$B$4001)&amp;"-"&amp;$A$2:$A$4001,0,-1)),J806))</f>
        <v>3</v>
      </c>
      <c r="L806" cm="1">
        <f t="array" ref="L806">IF(OR(AND(K806=9,L$1&gt;YEAR($N806))),9,_xlfn.IFNA(INDEX($D$2:$D$4001,_xlfn.XMATCH(L$1&amp;"-"&amp;$F806,YEAR($B$2:$B$4001)&amp;"-"&amp;$A$2:$A$4001,0,-1)),K806))</f>
        <v>3</v>
      </c>
      <c r="M806" cm="1">
        <f t="array" ref="M806">IF(OR(AND(L806=9,M$1&gt;YEAR($N806))),9,_xlfn.IFNA(INDEX($D$2:$D$4001,_xlfn.XMATCH(M$1&amp;"-"&amp;$F806,YEAR($B$2:$B$4001)&amp;"-"&amp;$A$2:$A$4001,0,-1)),L806))</f>
        <v>3</v>
      </c>
      <c r="N806" s="1">
        <f t="shared" si="12"/>
        <v>37771</v>
      </c>
    </row>
    <row r="807" spans="1:14" x14ac:dyDescent="0.35">
      <c r="A807">
        <v>389</v>
      </c>
      <c r="B807" s="2">
        <v>37406</v>
      </c>
      <c r="C807">
        <v>3</v>
      </c>
      <c r="D807">
        <v>3</v>
      </c>
      <c r="F807">
        <v>806</v>
      </c>
      <c r="G807" cm="1">
        <f t="array" ref="G807">_xlfn.IFNA(INDEX($D$2:$D$4001,_xlfn.XMATCH(G$1&amp;"-"&amp;$F807,YEAR($B$2:$B$4001)&amp;"-"&amp;$A$2:$A$4001,0,-1)),9)</f>
        <v>9</v>
      </c>
      <c r="H807" cm="1">
        <f t="array" ref="H807">IF(OR(AND(G807=9,H$1&gt;YEAR($N807))),9,_xlfn.IFNA(INDEX($D$2:$D$4001,_xlfn.XMATCH(H$1&amp;"-"&amp;$F807,YEAR($B$2:$B$4001)&amp;"-"&amp;$A$2:$A$4001,0,-1)),G807))</f>
        <v>9</v>
      </c>
      <c r="I807" cm="1">
        <f t="array" ref="I807">IF(OR(AND(H807=9,I$1&gt;YEAR($N807))),9,_xlfn.IFNA(INDEX($D$2:$D$4001,_xlfn.XMATCH(I$1&amp;"-"&amp;$F807,YEAR($B$2:$B$4001)&amp;"-"&amp;$A$2:$A$4001,0,-1)),H807))</f>
        <v>2</v>
      </c>
      <c r="J807" cm="1">
        <f t="array" ref="J807">IF(OR(AND(I807=9,J$1&gt;YEAR($N807))),9,_xlfn.IFNA(INDEX($D$2:$D$4001,_xlfn.XMATCH(J$1&amp;"-"&amp;$F807,YEAR($B$2:$B$4001)&amp;"-"&amp;$A$2:$A$4001,0,-1)),I807))</f>
        <v>2</v>
      </c>
      <c r="K807" cm="1">
        <f t="array" ref="K807">IF(OR(AND(J807=9,K$1&gt;YEAR($N807))),9,_xlfn.IFNA(INDEX($D$2:$D$4001,_xlfn.XMATCH(K$1&amp;"-"&amp;$F807,YEAR($B$2:$B$4001)&amp;"-"&amp;$A$2:$A$4001,0,-1)),J807))</f>
        <v>2</v>
      </c>
      <c r="L807" cm="1">
        <f t="array" ref="L807">IF(OR(AND(K807=9,L$1&gt;YEAR($N807))),9,_xlfn.IFNA(INDEX($D$2:$D$4001,_xlfn.XMATCH(L$1&amp;"-"&amp;$F807,YEAR($B$2:$B$4001)&amp;"-"&amp;$A$2:$A$4001,0,-1)),K807))</f>
        <v>2</v>
      </c>
      <c r="M807" cm="1">
        <f t="array" ref="M807">IF(OR(AND(L807=9,M$1&gt;YEAR($N807))),9,_xlfn.IFNA(INDEX($D$2:$D$4001,_xlfn.XMATCH(M$1&amp;"-"&amp;$F807,YEAR($B$2:$B$4001)&amp;"-"&amp;$A$2:$A$4001,0,-1)),L807))</f>
        <v>2</v>
      </c>
      <c r="N807" s="1">
        <f t="shared" si="12"/>
        <v>37255</v>
      </c>
    </row>
    <row r="808" spans="1:14" x14ac:dyDescent="0.35">
      <c r="A808">
        <v>390</v>
      </c>
      <c r="B808" s="2">
        <v>36301</v>
      </c>
      <c r="C808">
        <v>2</v>
      </c>
      <c r="D808">
        <v>2</v>
      </c>
      <c r="F808">
        <v>807</v>
      </c>
      <c r="G808" cm="1">
        <f t="array" ref="G808">_xlfn.IFNA(INDEX($D$2:$D$4001,_xlfn.XMATCH(G$1&amp;"-"&amp;$F808,YEAR($B$2:$B$4001)&amp;"-"&amp;$A$2:$A$4001,0,-1)),9)</f>
        <v>9</v>
      </c>
      <c r="H808" cm="1">
        <f t="array" ref="H808">IF(OR(AND(G808=9,H$1&gt;YEAR($N808))),9,_xlfn.IFNA(INDEX($D$2:$D$4001,_xlfn.XMATCH(H$1&amp;"-"&amp;$F808,YEAR($B$2:$B$4001)&amp;"-"&amp;$A$2:$A$4001,0,-1)),G808))</f>
        <v>2</v>
      </c>
      <c r="I808" cm="1">
        <f t="array" ref="I808">IF(OR(AND(H808=9,I$1&gt;YEAR($N808))),9,_xlfn.IFNA(INDEX($D$2:$D$4001,_xlfn.XMATCH(I$1&amp;"-"&amp;$F808,YEAR($B$2:$B$4001)&amp;"-"&amp;$A$2:$A$4001,0,-1)),H808))</f>
        <v>2</v>
      </c>
      <c r="J808" cm="1">
        <f t="array" ref="J808">IF(OR(AND(I808=9,J$1&gt;YEAR($N808))),9,_xlfn.IFNA(INDEX($D$2:$D$4001,_xlfn.XMATCH(J$1&amp;"-"&amp;$F808,YEAR($B$2:$B$4001)&amp;"-"&amp;$A$2:$A$4001,0,-1)),I808))</f>
        <v>2</v>
      </c>
      <c r="K808" cm="1">
        <f t="array" ref="K808">IF(OR(AND(J808=9,K$1&gt;YEAR($N808))),9,_xlfn.IFNA(INDEX($D$2:$D$4001,_xlfn.XMATCH(K$1&amp;"-"&amp;$F808,YEAR($B$2:$B$4001)&amp;"-"&amp;$A$2:$A$4001,0,-1)),J808))</f>
        <v>2</v>
      </c>
      <c r="L808" cm="1">
        <f t="array" ref="L808">IF(OR(AND(K808=9,L$1&gt;YEAR($N808))),9,_xlfn.IFNA(INDEX($D$2:$D$4001,_xlfn.XMATCH(L$1&amp;"-"&amp;$F808,YEAR($B$2:$B$4001)&amp;"-"&amp;$A$2:$A$4001,0,-1)),K808))</f>
        <v>2</v>
      </c>
      <c r="M808" cm="1">
        <f t="array" ref="M808">IF(OR(AND(L808=9,M$1&gt;YEAR($N808))),9,_xlfn.IFNA(INDEX($D$2:$D$4001,_xlfn.XMATCH(M$1&amp;"-"&amp;$F808,YEAR($B$2:$B$4001)&amp;"-"&amp;$A$2:$A$4001,0,-1)),L808))</f>
        <v>2</v>
      </c>
      <c r="N808" s="1">
        <f t="shared" si="12"/>
        <v>36676</v>
      </c>
    </row>
    <row r="809" spans="1:14" x14ac:dyDescent="0.35">
      <c r="A809">
        <v>390</v>
      </c>
      <c r="B809" s="2">
        <v>37551</v>
      </c>
      <c r="C809">
        <v>3</v>
      </c>
      <c r="D809">
        <v>3</v>
      </c>
      <c r="F809">
        <v>808</v>
      </c>
      <c r="G809" cm="1">
        <f t="array" ref="G809">_xlfn.IFNA(INDEX($D$2:$D$4001,_xlfn.XMATCH(G$1&amp;"-"&amp;$F809,YEAR($B$2:$B$4001)&amp;"-"&amp;$A$2:$A$4001,0,-1)),9)</f>
        <v>9</v>
      </c>
      <c r="H809" cm="1">
        <f t="array" ref="H809">IF(OR(AND(G809=9,H$1&gt;YEAR($N809))),9,_xlfn.IFNA(INDEX($D$2:$D$4001,_xlfn.XMATCH(H$1&amp;"-"&amp;$F809,YEAR($B$2:$B$4001)&amp;"-"&amp;$A$2:$A$4001,0,-1)),G809))</f>
        <v>0</v>
      </c>
      <c r="I809" cm="1">
        <f t="array" ref="I809">IF(OR(AND(H809=9,I$1&gt;YEAR($N809))),9,_xlfn.IFNA(INDEX($D$2:$D$4001,_xlfn.XMATCH(I$1&amp;"-"&amp;$F809,YEAR($B$2:$B$4001)&amp;"-"&amp;$A$2:$A$4001,0,-1)),H809))</f>
        <v>0</v>
      </c>
      <c r="J809" cm="1">
        <f t="array" ref="J809">IF(OR(AND(I809=9,J$1&gt;YEAR($N809))),9,_xlfn.IFNA(INDEX($D$2:$D$4001,_xlfn.XMATCH(J$1&amp;"-"&amp;$F809,YEAR($B$2:$B$4001)&amp;"-"&amp;$A$2:$A$4001,0,-1)),I809))</f>
        <v>0</v>
      </c>
      <c r="K809" cm="1">
        <f t="array" ref="K809">IF(OR(AND(J809=9,K$1&gt;YEAR($N809))),9,_xlfn.IFNA(INDEX($D$2:$D$4001,_xlfn.XMATCH(K$1&amp;"-"&amp;$F809,YEAR($B$2:$B$4001)&amp;"-"&amp;$A$2:$A$4001,0,-1)),J809))</f>
        <v>0</v>
      </c>
      <c r="L809" cm="1">
        <f t="array" ref="L809">IF(OR(AND(K809=9,L$1&gt;YEAR($N809))),9,_xlfn.IFNA(INDEX($D$2:$D$4001,_xlfn.XMATCH(L$1&amp;"-"&amp;$F809,YEAR($B$2:$B$4001)&amp;"-"&amp;$A$2:$A$4001,0,-1)),K809))</f>
        <v>0</v>
      </c>
      <c r="M809" cm="1">
        <f t="array" ref="M809">IF(OR(AND(L809=9,M$1&gt;YEAR($N809))),9,_xlfn.IFNA(INDEX($D$2:$D$4001,_xlfn.XMATCH(M$1&amp;"-"&amp;$F809,YEAR($B$2:$B$4001)&amp;"-"&amp;$A$2:$A$4001,0,-1)),L809))</f>
        <v>0</v>
      </c>
      <c r="N809" s="1">
        <f t="shared" si="12"/>
        <v>36737</v>
      </c>
    </row>
    <row r="810" spans="1:14" x14ac:dyDescent="0.35">
      <c r="A810">
        <v>390</v>
      </c>
      <c r="B810" s="2">
        <v>37985</v>
      </c>
      <c r="C810">
        <v>2</v>
      </c>
      <c r="D810">
        <v>2</v>
      </c>
      <c r="F810">
        <v>809</v>
      </c>
      <c r="G810" cm="1">
        <f t="array" ref="G810">_xlfn.IFNA(INDEX($D$2:$D$4001,_xlfn.XMATCH(G$1&amp;"-"&amp;$F810,YEAR($B$2:$B$4001)&amp;"-"&amp;$A$2:$A$4001,0,-1)),9)</f>
        <v>9</v>
      </c>
      <c r="H810" cm="1">
        <f t="array" ref="H810">IF(OR(AND(G810=9,H$1&gt;YEAR($N810))),9,_xlfn.IFNA(INDEX($D$2:$D$4001,_xlfn.XMATCH(H$1&amp;"-"&amp;$F810,YEAR($B$2:$B$4001)&amp;"-"&amp;$A$2:$A$4001,0,-1)),G810))</f>
        <v>9</v>
      </c>
      <c r="I810" cm="1">
        <f t="array" ref="I810">IF(OR(AND(H810=9,I$1&gt;YEAR($N810))),9,_xlfn.IFNA(INDEX($D$2:$D$4001,_xlfn.XMATCH(I$1&amp;"-"&amp;$F810,YEAR($B$2:$B$4001)&amp;"-"&amp;$A$2:$A$4001,0,-1)),H810))</f>
        <v>9</v>
      </c>
      <c r="J810" cm="1">
        <f t="array" ref="J810">IF(OR(AND(I810=9,J$1&gt;YEAR($N810))),9,_xlfn.IFNA(INDEX($D$2:$D$4001,_xlfn.XMATCH(J$1&amp;"-"&amp;$F810,YEAR($B$2:$B$4001)&amp;"-"&amp;$A$2:$A$4001,0,-1)),I810))</f>
        <v>2</v>
      </c>
      <c r="K810" cm="1">
        <f t="array" ref="K810">IF(OR(AND(J810=9,K$1&gt;YEAR($N810))),9,_xlfn.IFNA(INDEX($D$2:$D$4001,_xlfn.XMATCH(K$1&amp;"-"&amp;$F810,YEAR($B$2:$B$4001)&amp;"-"&amp;$A$2:$A$4001,0,-1)),J810))</f>
        <v>2</v>
      </c>
      <c r="L810" cm="1">
        <f t="array" ref="L810">IF(OR(AND(K810=9,L$1&gt;YEAR($N810))),9,_xlfn.IFNA(INDEX($D$2:$D$4001,_xlfn.XMATCH(L$1&amp;"-"&amp;$F810,YEAR($B$2:$B$4001)&amp;"-"&amp;$A$2:$A$4001,0,-1)),K810))</f>
        <v>2</v>
      </c>
      <c r="M810" cm="1">
        <f t="array" ref="M810">IF(OR(AND(L810=9,M$1&gt;YEAR($N810))),9,_xlfn.IFNA(INDEX($D$2:$D$4001,_xlfn.XMATCH(M$1&amp;"-"&amp;$F810,YEAR($B$2:$B$4001)&amp;"-"&amp;$A$2:$A$4001,0,-1)),L810))</f>
        <v>2</v>
      </c>
      <c r="N810" s="1">
        <f t="shared" si="12"/>
        <v>37620</v>
      </c>
    </row>
    <row r="811" spans="1:14" x14ac:dyDescent="0.35">
      <c r="A811">
        <v>391</v>
      </c>
      <c r="B811" s="2">
        <v>36790</v>
      </c>
      <c r="C811">
        <v>3</v>
      </c>
      <c r="D811">
        <v>3</v>
      </c>
      <c r="F811">
        <v>810</v>
      </c>
      <c r="G811" cm="1">
        <f t="array" ref="G811">_xlfn.IFNA(INDEX($D$2:$D$4001,_xlfn.XMATCH(G$1&amp;"-"&amp;$F811,YEAR($B$2:$B$4001)&amp;"-"&amp;$A$2:$A$4001,0,-1)),9)</f>
        <v>9</v>
      </c>
      <c r="H811" cm="1">
        <f t="array" ref="H811">IF(OR(AND(G811=9,H$1&gt;YEAR($N811))),9,_xlfn.IFNA(INDEX($D$2:$D$4001,_xlfn.XMATCH(H$1&amp;"-"&amp;$F811,YEAR($B$2:$B$4001)&amp;"-"&amp;$A$2:$A$4001,0,-1)),G811))</f>
        <v>9</v>
      </c>
      <c r="I811" cm="1">
        <f t="array" ref="I811">IF(OR(AND(H811=9,I$1&gt;YEAR($N811))),9,_xlfn.IFNA(INDEX($D$2:$D$4001,_xlfn.XMATCH(I$1&amp;"-"&amp;$F811,YEAR($B$2:$B$4001)&amp;"-"&amp;$A$2:$A$4001,0,-1)),H811))</f>
        <v>9</v>
      </c>
      <c r="J811" cm="1">
        <f t="array" ref="J811">IF(OR(AND(I811=9,J$1&gt;YEAR($N811))),9,_xlfn.IFNA(INDEX($D$2:$D$4001,_xlfn.XMATCH(J$1&amp;"-"&amp;$F811,YEAR($B$2:$B$4001)&amp;"-"&amp;$A$2:$A$4001,0,-1)),I811))</f>
        <v>9</v>
      </c>
      <c r="K811" cm="1">
        <f t="array" ref="K811">IF(OR(AND(J811=9,K$1&gt;YEAR($N811))),9,_xlfn.IFNA(INDEX($D$2:$D$4001,_xlfn.XMATCH(K$1&amp;"-"&amp;$F811,YEAR($B$2:$B$4001)&amp;"-"&amp;$A$2:$A$4001,0,-1)),J811))</f>
        <v>9</v>
      </c>
      <c r="L811" cm="1">
        <f t="array" ref="L811">IF(OR(AND(K811=9,L$1&gt;YEAR($N811))),9,_xlfn.IFNA(INDEX($D$2:$D$4001,_xlfn.XMATCH(L$1&amp;"-"&amp;$F811,YEAR($B$2:$B$4001)&amp;"-"&amp;$A$2:$A$4001,0,-1)),K811))</f>
        <v>2</v>
      </c>
      <c r="M811" cm="1">
        <f t="array" ref="M811">IF(OR(AND(L811=9,M$1&gt;YEAR($N811))),9,_xlfn.IFNA(INDEX($D$2:$D$4001,_xlfn.XMATCH(M$1&amp;"-"&amp;$F811,YEAR($B$2:$B$4001)&amp;"-"&amp;$A$2:$A$4001,0,-1)),L811))</f>
        <v>2</v>
      </c>
      <c r="N811" s="1">
        <f t="shared" si="12"/>
        <v>38128</v>
      </c>
    </row>
    <row r="812" spans="1:14" x14ac:dyDescent="0.35">
      <c r="A812">
        <v>391</v>
      </c>
      <c r="B812" s="2">
        <v>37620</v>
      </c>
      <c r="C812">
        <v>2</v>
      </c>
      <c r="D812">
        <v>2</v>
      </c>
      <c r="F812">
        <v>811</v>
      </c>
      <c r="G812" cm="1">
        <f t="array" ref="G812">_xlfn.IFNA(INDEX($D$2:$D$4001,_xlfn.XMATCH(G$1&amp;"-"&amp;$F812,YEAR($B$2:$B$4001)&amp;"-"&amp;$A$2:$A$4001,0,-1)),9)</f>
        <v>9</v>
      </c>
      <c r="H812" cm="1">
        <f t="array" ref="H812">IF(OR(AND(G812=9,H$1&gt;YEAR($N812))),9,_xlfn.IFNA(INDEX($D$2:$D$4001,_xlfn.XMATCH(H$1&amp;"-"&amp;$F812,YEAR($B$2:$B$4001)&amp;"-"&amp;$A$2:$A$4001,0,-1)),G812))</f>
        <v>3</v>
      </c>
      <c r="I812" cm="1">
        <f t="array" ref="I812">IF(OR(AND(H812=9,I$1&gt;YEAR($N812))),9,_xlfn.IFNA(INDEX($D$2:$D$4001,_xlfn.XMATCH(I$1&amp;"-"&amp;$F812,YEAR($B$2:$B$4001)&amp;"-"&amp;$A$2:$A$4001,0,-1)),H812))</f>
        <v>3</v>
      </c>
      <c r="J812" cm="1">
        <f t="array" ref="J812">IF(OR(AND(I812=9,J$1&gt;YEAR($N812))),9,_xlfn.IFNA(INDEX($D$2:$D$4001,_xlfn.XMATCH(J$1&amp;"-"&amp;$F812,YEAR($B$2:$B$4001)&amp;"-"&amp;$A$2:$A$4001,0,-1)),I812))</f>
        <v>2</v>
      </c>
      <c r="K812" cm="1">
        <f t="array" ref="K812">IF(OR(AND(J812=9,K$1&gt;YEAR($N812))),9,_xlfn.IFNA(INDEX($D$2:$D$4001,_xlfn.XMATCH(K$1&amp;"-"&amp;$F812,YEAR($B$2:$B$4001)&amp;"-"&amp;$A$2:$A$4001,0,-1)),J812))</f>
        <v>0</v>
      </c>
      <c r="L812" cm="1">
        <f t="array" ref="L812">IF(OR(AND(K812=9,L$1&gt;YEAR($N812))),9,_xlfn.IFNA(INDEX($D$2:$D$4001,_xlfn.XMATCH(L$1&amp;"-"&amp;$F812,YEAR($B$2:$B$4001)&amp;"-"&amp;$A$2:$A$4001,0,-1)),K812))</f>
        <v>0</v>
      </c>
      <c r="M812" cm="1">
        <f t="array" ref="M812">IF(OR(AND(L812=9,M$1&gt;YEAR($N812))),9,_xlfn.IFNA(INDEX($D$2:$D$4001,_xlfn.XMATCH(M$1&amp;"-"&amp;$F812,YEAR($B$2:$B$4001)&amp;"-"&amp;$A$2:$A$4001,0,-1)),L812))</f>
        <v>0</v>
      </c>
      <c r="N812" s="1">
        <f t="shared" si="12"/>
        <v>36676</v>
      </c>
    </row>
    <row r="813" spans="1:14" x14ac:dyDescent="0.35">
      <c r="A813">
        <v>391</v>
      </c>
      <c r="B813" s="2">
        <v>38128</v>
      </c>
      <c r="C813">
        <v>0</v>
      </c>
      <c r="D813">
        <v>0</v>
      </c>
      <c r="F813">
        <v>812</v>
      </c>
      <c r="G813" cm="1">
        <f t="array" ref="G813">_xlfn.IFNA(INDEX($D$2:$D$4001,_xlfn.XMATCH(G$1&amp;"-"&amp;$F813,YEAR($B$2:$B$4001)&amp;"-"&amp;$A$2:$A$4001,0,-1)),9)</f>
        <v>9</v>
      </c>
      <c r="H813" cm="1">
        <f t="array" ref="H813">IF(OR(AND(G813=9,H$1&gt;YEAR($N813))),9,_xlfn.IFNA(INDEX($D$2:$D$4001,_xlfn.XMATCH(H$1&amp;"-"&amp;$F813,YEAR($B$2:$B$4001)&amp;"-"&amp;$A$2:$A$4001,0,-1)),G813))</f>
        <v>9</v>
      </c>
      <c r="I813" cm="1">
        <f t="array" ref="I813">IF(OR(AND(H813=9,I$1&gt;YEAR($N813))),9,_xlfn.IFNA(INDEX($D$2:$D$4001,_xlfn.XMATCH(I$1&amp;"-"&amp;$F813,YEAR($B$2:$B$4001)&amp;"-"&amp;$A$2:$A$4001,0,-1)),H813))</f>
        <v>9</v>
      </c>
      <c r="J813" cm="1">
        <f t="array" ref="J813">IF(OR(AND(I813=9,J$1&gt;YEAR($N813))),9,_xlfn.IFNA(INDEX($D$2:$D$4001,_xlfn.XMATCH(J$1&amp;"-"&amp;$F813,YEAR($B$2:$B$4001)&amp;"-"&amp;$A$2:$A$4001,0,-1)),I813))</f>
        <v>2</v>
      </c>
      <c r="K813" cm="1">
        <f t="array" ref="K813">IF(OR(AND(J813=9,K$1&gt;YEAR($N813))),9,_xlfn.IFNA(INDEX($D$2:$D$4001,_xlfn.XMATCH(K$1&amp;"-"&amp;$F813,YEAR($B$2:$B$4001)&amp;"-"&amp;$A$2:$A$4001,0,-1)),J813))</f>
        <v>0</v>
      </c>
      <c r="L813" cm="1">
        <f t="array" ref="L813">IF(OR(AND(K813=9,L$1&gt;YEAR($N813))),9,_xlfn.IFNA(INDEX($D$2:$D$4001,_xlfn.XMATCH(L$1&amp;"-"&amp;$F813,YEAR($B$2:$B$4001)&amp;"-"&amp;$A$2:$A$4001,0,-1)),K813))</f>
        <v>0</v>
      </c>
      <c r="M813" cm="1">
        <f t="array" ref="M813">IF(OR(AND(L813=9,M$1&gt;YEAR($N813))),9,_xlfn.IFNA(INDEX($D$2:$D$4001,_xlfn.XMATCH(M$1&amp;"-"&amp;$F813,YEAR($B$2:$B$4001)&amp;"-"&amp;$A$2:$A$4001,0,-1)),L813))</f>
        <v>0</v>
      </c>
      <c r="N813" s="1">
        <f t="shared" si="12"/>
        <v>37620</v>
      </c>
    </row>
    <row r="814" spans="1:14" x14ac:dyDescent="0.35">
      <c r="A814">
        <v>392</v>
      </c>
      <c r="B814" s="2">
        <v>36890</v>
      </c>
      <c r="C814">
        <v>3</v>
      </c>
      <c r="D814">
        <v>3</v>
      </c>
      <c r="F814">
        <v>813</v>
      </c>
      <c r="G814" cm="1">
        <f t="array" ref="G814">_xlfn.IFNA(INDEX($D$2:$D$4001,_xlfn.XMATCH(G$1&amp;"-"&amp;$F814,YEAR($B$2:$B$4001)&amp;"-"&amp;$A$2:$A$4001,0,-1)),9)</f>
        <v>9</v>
      </c>
      <c r="H814" cm="1">
        <f t="array" ref="H814">IF(OR(AND(G814=9,H$1&gt;YEAR($N814))),9,_xlfn.IFNA(INDEX($D$2:$D$4001,_xlfn.XMATCH(H$1&amp;"-"&amp;$F814,YEAR($B$2:$B$4001)&amp;"-"&amp;$A$2:$A$4001,0,-1)),G814))</f>
        <v>9</v>
      </c>
      <c r="I814" cm="1">
        <f t="array" ref="I814">IF(OR(AND(H814=9,I$1&gt;YEAR($N814))),9,_xlfn.IFNA(INDEX($D$2:$D$4001,_xlfn.XMATCH(I$1&amp;"-"&amp;$F814,YEAR($B$2:$B$4001)&amp;"-"&amp;$A$2:$A$4001,0,-1)),H814))</f>
        <v>9</v>
      </c>
      <c r="J814" cm="1">
        <f t="array" ref="J814">IF(OR(AND(I814=9,J$1&gt;YEAR($N814))),9,_xlfn.IFNA(INDEX($D$2:$D$4001,_xlfn.XMATCH(J$1&amp;"-"&amp;$F814,YEAR($B$2:$B$4001)&amp;"-"&amp;$A$2:$A$4001,0,-1)),I814))</f>
        <v>2</v>
      </c>
      <c r="K814" cm="1">
        <f t="array" ref="K814">IF(OR(AND(J814=9,K$1&gt;YEAR($N814))),9,_xlfn.IFNA(INDEX($D$2:$D$4001,_xlfn.XMATCH(K$1&amp;"-"&amp;$F814,YEAR($B$2:$B$4001)&amp;"-"&amp;$A$2:$A$4001,0,-1)),J814))</f>
        <v>2</v>
      </c>
      <c r="L814" cm="1">
        <f t="array" ref="L814">IF(OR(AND(K814=9,L$1&gt;YEAR($N814))),9,_xlfn.IFNA(INDEX($D$2:$D$4001,_xlfn.XMATCH(L$1&amp;"-"&amp;$F814,YEAR($B$2:$B$4001)&amp;"-"&amp;$A$2:$A$4001,0,-1)),K814))</f>
        <v>2</v>
      </c>
      <c r="M814" cm="1">
        <f t="array" ref="M814">IF(OR(AND(L814=9,M$1&gt;YEAR($N814))),9,_xlfn.IFNA(INDEX($D$2:$D$4001,_xlfn.XMATCH(M$1&amp;"-"&amp;$F814,YEAR($B$2:$B$4001)&amp;"-"&amp;$A$2:$A$4001,0,-1)),L814))</f>
        <v>2</v>
      </c>
      <c r="N814" s="1">
        <f t="shared" si="12"/>
        <v>37490</v>
      </c>
    </row>
    <row r="815" spans="1:14" x14ac:dyDescent="0.35">
      <c r="A815">
        <v>393</v>
      </c>
      <c r="B815" s="2">
        <v>36890</v>
      </c>
      <c r="C815">
        <v>6</v>
      </c>
      <c r="D815">
        <v>6</v>
      </c>
      <c r="F815">
        <v>814</v>
      </c>
      <c r="G815" cm="1">
        <f t="array" ref="G815">_xlfn.IFNA(INDEX($D$2:$D$4001,_xlfn.XMATCH(G$1&amp;"-"&amp;$F815,YEAR($B$2:$B$4001)&amp;"-"&amp;$A$2:$A$4001,0,-1)),9)</f>
        <v>9</v>
      </c>
      <c r="H815" cm="1">
        <f t="array" ref="H815">IF(OR(AND(G815=9,H$1&gt;YEAR($N815))),9,_xlfn.IFNA(INDEX($D$2:$D$4001,_xlfn.XMATCH(H$1&amp;"-"&amp;$F815,YEAR($B$2:$B$4001)&amp;"-"&amp;$A$2:$A$4001,0,-1)),G815))</f>
        <v>9</v>
      </c>
      <c r="I815" cm="1">
        <f t="array" ref="I815">IF(OR(AND(H815=9,I$1&gt;YEAR($N815))),9,_xlfn.IFNA(INDEX($D$2:$D$4001,_xlfn.XMATCH(I$1&amp;"-"&amp;$F815,YEAR($B$2:$B$4001)&amp;"-"&amp;$A$2:$A$4001,0,-1)),H815))</f>
        <v>9</v>
      </c>
      <c r="J815" cm="1">
        <f t="array" ref="J815">IF(OR(AND(I815=9,J$1&gt;YEAR($N815))),9,_xlfn.IFNA(INDEX($D$2:$D$4001,_xlfn.XMATCH(J$1&amp;"-"&amp;$F815,YEAR($B$2:$B$4001)&amp;"-"&amp;$A$2:$A$4001,0,-1)),I815))</f>
        <v>9</v>
      </c>
      <c r="K815" cm="1">
        <f t="array" ref="K815">IF(OR(AND(J815=9,K$1&gt;YEAR($N815))),9,_xlfn.IFNA(INDEX($D$2:$D$4001,_xlfn.XMATCH(K$1&amp;"-"&amp;$F815,YEAR($B$2:$B$4001)&amp;"-"&amp;$A$2:$A$4001,0,-1)),J815))</f>
        <v>9</v>
      </c>
      <c r="L815" cm="1">
        <f t="array" ref="L815">IF(OR(AND(K815=9,L$1&gt;YEAR($N815))),9,_xlfn.IFNA(INDEX($D$2:$D$4001,_xlfn.XMATCH(L$1&amp;"-"&amp;$F815,YEAR($B$2:$B$4001)&amp;"-"&amp;$A$2:$A$4001,0,-1)),K815))</f>
        <v>0</v>
      </c>
      <c r="M815" cm="1">
        <f t="array" ref="M815">IF(OR(AND(L815=9,M$1&gt;YEAR($N815))),9,_xlfn.IFNA(INDEX($D$2:$D$4001,_xlfn.XMATCH(M$1&amp;"-"&amp;$F815,YEAR($B$2:$B$4001)&amp;"-"&amp;$A$2:$A$4001,0,-1)),L815))</f>
        <v>0</v>
      </c>
      <c r="N815" s="1">
        <f t="shared" si="12"/>
        <v>38128</v>
      </c>
    </row>
    <row r="816" spans="1:14" x14ac:dyDescent="0.35">
      <c r="A816">
        <v>393</v>
      </c>
      <c r="B816" s="2">
        <v>37255</v>
      </c>
      <c r="C816">
        <v>5</v>
      </c>
      <c r="D816">
        <v>5</v>
      </c>
      <c r="F816">
        <v>815</v>
      </c>
      <c r="G816" cm="1">
        <f t="array" ref="G816">_xlfn.IFNA(INDEX($D$2:$D$4001,_xlfn.XMATCH(G$1&amp;"-"&amp;$F816,YEAR($B$2:$B$4001)&amp;"-"&amp;$A$2:$A$4001,0,-1)),9)</f>
        <v>3</v>
      </c>
      <c r="H816" cm="1">
        <f t="array" ref="H816">IF(OR(AND(G816=9,H$1&gt;YEAR($N816))),9,_xlfn.IFNA(INDEX($D$2:$D$4001,_xlfn.XMATCH(H$1&amp;"-"&amp;$F816,YEAR($B$2:$B$4001)&amp;"-"&amp;$A$2:$A$4001,0,-1)),G816))</f>
        <v>3</v>
      </c>
      <c r="I816" cm="1">
        <f t="array" ref="I816">IF(OR(AND(H816=9,I$1&gt;YEAR($N816))),9,_xlfn.IFNA(INDEX($D$2:$D$4001,_xlfn.XMATCH(I$1&amp;"-"&amp;$F816,YEAR($B$2:$B$4001)&amp;"-"&amp;$A$2:$A$4001,0,-1)),H816))</f>
        <v>3</v>
      </c>
      <c r="J816" cm="1">
        <f t="array" ref="J816">IF(OR(AND(I816=9,J$1&gt;YEAR($N816))),9,_xlfn.IFNA(INDEX($D$2:$D$4001,_xlfn.XMATCH(J$1&amp;"-"&amp;$F816,YEAR($B$2:$B$4001)&amp;"-"&amp;$A$2:$A$4001,0,-1)),I816))</f>
        <v>3</v>
      </c>
      <c r="K816" cm="1">
        <f t="array" ref="K816">IF(OR(AND(J816=9,K$1&gt;YEAR($N816))),9,_xlfn.IFNA(INDEX($D$2:$D$4001,_xlfn.XMATCH(K$1&amp;"-"&amp;$F816,YEAR($B$2:$B$4001)&amp;"-"&amp;$A$2:$A$4001,0,-1)),J816))</f>
        <v>2</v>
      </c>
      <c r="L816" cm="1">
        <f t="array" ref="L816">IF(OR(AND(K816=9,L$1&gt;YEAR($N816))),9,_xlfn.IFNA(INDEX($D$2:$D$4001,_xlfn.XMATCH(L$1&amp;"-"&amp;$F816,YEAR($B$2:$B$4001)&amp;"-"&amp;$A$2:$A$4001,0,-1)),K816))</f>
        <v>2</v>
      </c>
      <c r="M816" cm="1">
        <f t="array" ref="M816">IF(OR(AND(L816=9,M$1&gt;YEAR($N816))),9,_xlfn.IFNA(INDEX($D$2:$D$4001,_xlfn.XMATCH(M$1&amp;"-"&amp;$F816,YEAR($B$2:$B$4001)&amp;"-"&amp;$A$2:$A$4001,0,-1)),L816))</f>
        <v>2</v>
      </c>
      <c r="N816" s="1">
        <f t="shared" si="12"/>
        <v>36524</v>
      </c>
    </row>
    <row r="817" spans="1:14" x14ac:dyDescent="0.35">
      <c r="A817">
        <v>393</v>
      </c>
      <c r="B817" s="2">
        <v>37620</v>
      </c>
      <c r="C817">
        <v>5</v>
      </c>
      <c r="D817">
        <v>5</v>
      </c>
      <c r="F817">
        <v>816</v>
      </c>
      <c r="G817" cm="1">
        <f t="array" ref="G817">_xlfn.IFNA(INDEX($D$2:$D$4001,_xlfn.XMATCH(G$1&amp;"-"&amp;$F817,YEAR($B$2:$B$4001)&amp;"-"&amp;$A$2:$A$4001,0,-1)),9)</f>
        <v>9</v>
      </c>
      <c r="H817" cm="1">
        <f t="array" ref="H817">IF(OR(AND(G817=9,H$1&gt;YEAR($N817))),9,_xlfn.IFNA(INDEX($D$2:$D$4001,_xlfn.XMATCH(H$1&amp;"-"&amp;$F817,YEAR($B$2:$B$4001)&amp;"-"&amp;$A$2:$A$4001,0,-1)),G817))</f>
        <v>2</v>
      </c>
      <c r="I817" cm="1">
        <f t="array" ref="I817">IF(OR(AND(H817=9,I$1&gt;YEAR($N817))),9,_xlfn.IFNA(INDEX($D$2:$D$4001,_xlfn.XMATCH(I$1&amp;"-"&amp;$F817,YEAR($B$2:$B$4001)&amp;"-"&amp;$A$2:$A$4001,0,-1)),H817))</f>
        <v>2</v>
      </c>
      <c r="J817" cm="1">
        <f t="array" ref="J817">IF(OR(AND(I817=9,J$1&gt;YEAR($N817))),9,_xlfn.IFNA(INDEX($D$2:$D$4001,_xlfn.XMATCH(J$1&amp;"-"&amp;$F817,YEAR($B$2:$B$4001)&amp;"-"&amp;$A$2:$A$4001,0,-1)),I817))</f>
        <v>2</v>
      </c>
      <c r="K817" cm="1">
        <f t="array" ref="K817">IF(OR(AND(J817=9,K$1&gt;YEAR($N817))),9,_xlfn.IFNA(INDEX($D$2:$D$4001,_xlfn.XMATCH(K$1&amp;"-"&amp;$F817,YEAR($B$2:$B$4001)&amp;"-"&amp;$A$2:$A$4001,0,-1)),J817))</f>
        <v>1</v>
      </c>
      <c r="L817" cm="1">
        <f t="array" ref="L817">IF(OR(AND(K817=9,L$1&gt;YEAR($N817))),9,_xlfn.IFNA(INDEX($D$2:$D$4001,_xlfn.XMATCH(L$1&amp;"-"&amp;$F817,YEAR($B$2:$B$4001)&amp;"-"&amp;$A$2:$A$4001,0,-1)),K817))</f>
        <v>1</v>
      </c>
      <c r="M817" cm="1">
        <f t="array" ref="M817">IF(OR(AND(L817=9,M$1&gt;YEAR($N817))),9,_xlfn.IFNA(INDEX($D$2:$D$4001,_xlfn.XMATCH(M$1&amp;"-"&amp;$F817,YEAR($B$2:$B$4001)&amp;"-"&amp;$A$2:$A$4001,0,-1)),L817))</f>
        <v>1</v>
      </c>
      <c r="N817" s="1">
        <f t="shared" si="12"/>
        <v>36890</v>
      </c>
    </row>
    <row r="818" spans="1:14" x14ac:dyDescent="0.35">
      <c r="A818">
        <v>393</v>
      </c>
      <c r="B818" s="2">
        <v>38251</v>
      </c>
      <c r="C818">
        <v>5</v>
      </c>
      <c r="D818">
        <v>5</v>
      </c>
      <c r="F818">
        <v>817</v>
      </c>
      <c r="G818" cm="1">
        <f t="array" ref="G818">_xlfn.IFNA(INDEX($D$2:$D$4001,_xlfn.XMATCH(G$1&amp;"-"&amp;$F818,YEAR($B$2:$B$4001)&amp;"-"&amp;$A$2:$A$4001,0,-1)),9)</f>
        <v>9</v>
      </c>
      <c r="H818" cm="1">
        <f t="array" ref="H818">IF(OR(AND(G818=9,H$1&gt;YEAR($N818))),9,_xlfn.IFNA(INDEX($D$2:$D$4001,_xlfn.XMATCH(H$1&amp;"-"&amp;$F818,YEAR($B$2:$B$4001)&amp;"-"&amp;$A$2:$A$4001,0,-1)),G818))</f>
        <v>3</v>
      </c>
      <c r="I818" cm="1">
        <f t="array" ref="I818">IF(OR(AND(H818=9,I$1&gt;YEAR($N818))),9,_xlfn.IFNA(INDEX($D$2:$D$4001,_xlfn.XMATCH(I$1&amp;"-"&amp;$F818,YEAR($B$2:$B$4001)&amp;"-"&amp;$A$2:$A$4001,0,-1)),H818))</f>
        <v>3</v>
      </c>
      <c r="J818" cm="1">
        <f t="array" ref="J818">IF(OR(AND(I818=9,J$1&gt;YEAR($N818))),9,_xlfn.IFNA(INDEX($D$2:$D$4001,_xlfn.XMATCH(J$1&amp;"-"&amp;$F818,YEAR($B$2:$B$4001)&amp;"-"&amp;$A$2:$A$4001,0,-1)),I818))</f>
        <v>3</v>
      </c>
      <c r="K818" cm="1">
        <f t="array" ref="K818">IF(OR(AND(J818=9,K$1&gt;YEAR($N818))),9,_xlfn.IFNA(INDEX($D$2:$D$4001,_xlfn.XMATCH(K$1&amp;"-"&amp;$F818,YEAR($B$2:$B$4001)&amp;"-"&amp;$A$2:$A$4001,0,-1)),J818))</f>
        <v>3</v>
      </c>
      <c r="L818" cm="1">
        <f t="array" ref="L818">IF(OR(AND(K818=9,L$1&gt;YEAR($N818))),9,_xlfn.IFNA(INDEX($D$2:$D$4001,_xlfn.XMATCH(L$1&amp;"-"&amp;$F818,YEAR($B$2:$B$4001)&amp;"-"&amp;$A$2:$A$4001,0,-1)),K818))</f>
        <v>3</v>
      </c>
      <c r="M818" cm="1">
        <f t="array" ref="M818">IF(OR(AND(L818=9,M$1&gt;YEAR($N818))),9,_xlfn.IFNA(INDEX($D$2:$D$4001,_xlfn.XMATCH(M$1&amp;"-"&amp;$F818,YEAR($B$2:$B$4001)&amp;"-"&amp;$A$2:$A$4001,0,-1)),L818))</f>
        <v>3</v>
      </c>
      <c r="N818" s="1">
        <f t="shared" si="12"/>
        <v>36676</v>
      </c>
    </row>
    <row r="819" spans="1:14" x14ac:dyDescent="0.35">
      <c r="A819">
        <v>394</v>
      </c>
      <c r="B819" s="2">
        <v>38189</v>
      </c>
      <c r="C819">
        <v>6</v>
      </c>
      <c r="D819">
        <v>6</v>
      </c>
      <c r="F819">
        <v>818</v>
      </c>
      <c r="G819" cm="1">
        <f t="array" ref="G819">_xlfn.IFNA(INDEX($D$2:$D$4001,_xlfn.XMATCH(G$1&amp;"-"&amp;$F819,YEAR($B$2:$B$4001)&amp;"-"&amp;$A$2:$A$4001,0,-1)),9)</f>
        <v>9</v>
      </c>
      <c r="H819" cm="1">
        <f t="array" ref="H819">IF(OR(AND(G819=9,H$1&gt;YEAR($N819))),9,_xlfn.IFNA(INDEX($D$2:$D$4001,_xlfn.XMATCH(H$1&amp;"-"&amp;$F819,YEAR($B$2:$B$4001)&amp;"-"&amp;$A$2:$A$4001,0,-1)),G819))</f>
        <v>9</v>
      </c>
      <c r="I819" cm="1">
        <f t="array" ref="I819">IF(OR(AND(H819=9,I$1&gt;YEAR($N819))),9,_xlfn.IFNA(INDEX($D$2:$D$4001,_xlfn.XMATCH(I$1&amp;"-"&amp;$F819,YEAR($B$2:$B$4001)&amp;"-"&amp;$A$2:$A$4001,0,-1)),H819))</f>
        <v>2</v>
      </c>
      <c r="J819" cm="1">
        <f t="array" ref="J819">IF(OR(AND(I819=9,J$1&gt;YEAR($N819))),9,_xlfn.IFNA(INDEX($D$2:$D$4001,_xlfn.XMATCH(J$1&amp;"-"&amp;$F819,YEAR($B$2:$B$4001)&amp;"-"&amp;$A$2:$A$4001,0,-1)),I819))</f>
        <v>2</v>
      </c>
      <c r="K819" cm="1">
        <f t="array" ref="K819">IF(OR(AND(J819=9,K$1&gt;YEAR($N819))),9,_xlfn.IFNA(INDEX($D$2:$D$4001,_xlfn.XMATCH(K$1&amp;"-"&amp;$F819,YEAR($B$2:$B$4001)&amp;"-"&amp;$A$2:$A$4001,0,-1)),J819))</f>
        <v>2</v>
      </c>
      <c r="L819" cm="1">
        <f t="array" ref="L819">IF(OR(AND(K819=9,L$1&gt;YEAR($N819))),9,_xlfn.IFNA(INDEX($D$2:$D$4001,_xlfn.XMATCH(L$1&amp;"-"&amp;$F819,YEAR($B$2:$B$4001)&amp;"-"&amp;$A$2:$A$4001,0,-1)),K819))</f>
        <v>0</v>
      </c>
      <c r="M819" cm="1">
        <f t="array" ref="M819">IF(OR(AND(L819=9,M$1&gt;YEAR($N819))),9,_xlfn.IFNA(INDEX($D$2:$D$4001,_xlfn.XMATCH(M$1&amp;"-"&amp;$F819,YEAR($B$2:$B$4001)&amp;"-"&amp;$A$2:$A$4001,0,-1)),L819))</f>
        <v>0</v>
      </c>
      <c r="N819" s="1">
        <f t="shared" si="12"/>
        <v>37041</v>
      </c>
    </row>
    <row r="820" spans="1:14" x14ac:dyDescent="0.35">
      <c r="A820">
        <v>394</v>
      </c>
      <c r="B820" s="2">
        <v>38220</v>
      </c>
      <c r="C820">
        <v>5</v>
      </c>
      <c r="D820">
        <v>5</v>
      </c>
      <c r="F820">
        <v>819</v>
      </c>
      <c r="G820" cm="1">
        <f t="array" ref="G820">_xlfn.IFNA(INDEX($D$2:$D$4001,_xlfn.XMATCH(G$1&amp;"-"&amp;$F820,YEAR($B$2:$B$4001)&amp;"-"&amp;$A$2:$A$4001,0,-1)),9)</f>
        <v>9</v>
      </c>
      <c r="H820" cm="1">
        <f t="array" ref="H820">IF(OR(AND(G820=9,H$1&gt;YEAR($N820))),9,_xlfn.IFNA(INDEX($D$2:$D$4001,_xlfn.XMATCH(H$1&amp;"-"&amp;$F820,YEAR($B$2:$B$4001)&amp;"-"&amp;$A$2:$A$4001,0,-1)),G820))</f>
        <v>9</v>
      </c>
      <c r="I820" cm="1">
        <f t="array" ref="I820">IF(OR(AND(H820=9,I$1&gt;YEAR($N820))),9,_xlfn.IFNA(INDEX($D$2:$D$4001,_xlfn.XMATCH(I$1&amp;"-"&amp;$F820,YEAR($B$2:$B$4001)&amp;"-"&amp;$A$2:$A$4001,0,-1)),H820))</f>
        <v>9</v>
      </c>
      <c r="J820" cm="1">
        <f t="array" ref="J820">IF(OR(AND(I820=9,J$1&gt;YEAR($N820))),9,_xlfn.IFNA(INDEX($D$2:$D$4001,_xlfn.XMATCH(J$1&amp;"-"&amp;$F820,YEAR($B$2:$B$4001)&amp;"-"&amp;$A$2:$A$4001,0,-1)),I820))</f>
        <v>2</v>
      </c>
      <c r="K820" cm="1">
        <f t="array" ref="K820">IF(OR(AND(J820=9,K$1&gt;YEAR($N820))),9,_xlfn.IFNA(INDEX($D$2:$D$4001,_xlfn.XMATCH(K$1&amp;"-"&amp;$F820,YEAR($B$2:$B$4001)&amp;"-"&amp;$A$2:$A$4001,0,-1)),J820))</f>
        <v>2</v>
      </c>
      <c r="L820" cm="1">
        <f t="array" ref="L820">IF(OR(AND(K820=9,L$1&gt;YEAR($N820))),9,_xlfn.IFNA(INDEX($D$2:$D$4001,_xlfn.XMATCH(L$1&amp;"-"&amp;$F820,YEAR($B$2:$B$4001)&amp;"-"&amp;$A$2:$A$4001,0,-1)),K820))</f>
        <v>2</v>
      </c>
      <c r="M820" cm="1">
        <f t="array" ref="M820">IF(OR(AND(L820=9,M$1&gt;YEAR($N820))),9,_xlfn.IFNA(INDEX($D$2:$D$4001,_xlfn.XMATCH(M$1&amp;"-"&amp;$F820,YEAR($B$2:$B$4001)&amp;"-"&amp;$A$2:$A$4001,0,-1)),L820))</f>
        <v>2</v>
      </c>
      <c r="N820" s="1">
        <f t="shared" si="12"/>
        <v>37489</v>
      </c>
    </row>
    <row r="821" spans="1:14" x14ac:dyDescent="0.35">
      <c r="A821">
        <v>395</v>
      </c>
      <c r="B821" s="2">
        <v>36332</v>
      </c>
      <c r="C821">
        <v>0</v>
      </c>
      <c r="D821">
        <v>0</v>
      </c>
      <c r="F821">
        <v>820</v>
      </c>
      <c r="G821" cm="1">
        <f t="array" ref="G821">_xlfn.IFNA(INDEX($D$2:$D$4001,_xlfn.XMATCH(G$1&amp;"-"&amp;$F821,YEAR($B$2:$B$4001)&amp;"-"&amp;$A$2:$A$4001,0,-1)),9)</f>
        <v>9</v>
      </c>
      <c r="H821" cm="1">
        <f t="array" ref="H821">IF(OR(AND(G821=9,H$1&gt;YEAR($N821))),9,_xlfn.IFNA(INDEX($D$2:$D$4001,_xlfn.XMATCH(H$1&amp;"-"&amp;$F821,YEAR($B$2:$B$4001)&amp;"-"&amp;$A$2:$A$4001,0,-1)),G821))</f>
        <v>9</v>
      </c>
      <c r="I821" cm="1">
        <f t="array" ref="I821">IF(OR(AND(H821=9,I$1&gt;YEAR($N821))),9,_xlfn.IFNA(INDEX($D$2:$D$4001,_xlfn.XMATCH(I$1&amp;"-"&amp;$F821,YEAR($B$2:$B$4001)&amp;"-"&amp;$A$2:$A$4001,0,-1)),H821))</f>
        <v>9</v>
      </c>
      <c r="J821" cm="1">
        <f t="array" ref="J821">IF(OR(AND(I821=9,J$1&gt;YEAR($N821))),9,_xlfn.IFNA(INDEX($D$2:$D$4001,_xlfn.XMATCH(J$1&amp;"-"&amp;$F821,YEAR($B$2:$B$4001)&amp;"-"&amp;$A$2:$A$4001,0,-1)),I821))</f>
        <v>2</v>
      </c>
      <c r="K821" cm="1">
        <f t="array" ref="K821">IF(OR(AND(J821=9,K$1&gt;YEAR($N821))),9,_xlfn.IFNA(INDEX($D$2:$D$4001,_xlfn.XMATCH(K$1&amp;"-"&amp;$F821,YEAR($B$2:$B$4001)&amp;"-"&amp;$A$2:$A$4001,0,-1)),J821))</f>
        <v>2</v>
      </c>
      <c r="L821" cm="1">
        <f t="array" ref="L821">IF(OR(AND(K821=9,L$1&gt;YEAR($N821))),9,_xlfn.IFNA(INDEX($D$2:$D$4001,_xlfn.XMATCH(L$1&amp;"-"&amp;$F821,YEAR($B$2:$B$4001)&amp;"-"&amp;$A$2:$A$4001,0,-1)),K821))</f>
        <v>2</v>
      </c>
      <c r="M821" cm="1">
        <f t="array" ref="M821">IF(OR(AND(L821=9,M$1&gt;YEAR($N821))),9,_xlfn.IFNA(INDEX($D$2:$D$4001,_xlfn.XMATCH(M$1&amp;"-"&amp;$F821,YEAR($B$2:$B$4001)&amp;"-"&amp;$A$2:$A$4001,0,-1)),L821))</f>
        <v>2</v>
      </c>
      <c r="N821" s="1">
        <f t="shared" si="12"/>
        <v>37581</v>
      </c>
    </row>
    <row r="822" spans="1:14" x14ac:dyDescent="0.35">
      <c r="A822">
        <v>396</v>
      </c>
      <c r="B822" s="2">
        <v>36890</v>
      </c>
      <c r="C822">
        <v>4</v>
      </c>
      <c r="D822">
        <v>4</v>
      </c>
      <c r="F822">
        <v>821</v>
      </c>
      <c r="G822" cm="1">
        <f t="array" ref="G822">_xlfn.IFNA(INDEX($D$2:$D$4001,_xlfn.XMATCH(G$1&amp;"-"&amp;$F822,YEAR($B$2:$B$4001)&amp;"-"&amp;$A$2:$A$4001,0,-1)),9)</f>
        <v>6</v>
      </c>
      <c r="H822" cm="1">
        <f t="array" ref="H822">IF(OR(AND(G822=9,H$1&gt;YEAR($N822))),9,_xlfn.IFNA(INDEX($D$2:$D$4001,_xlfn.XMATCH(H$1&amp;"-"&amp;$F822,YEAR($B$2:$B$4001)&amp;"-"&amp;$A$2:$A$4001,0,-1)),G822))</f>
        <v>6</v>
      </c>
      <c r="I822" cm="1">
        <f t="array" ref="I822">IF(OR(AND(H822=9,I$1&gt;YEAR($N822))),9,_xlfn.IFNA(INDEX($D$2:$D$4001,_xlfn.XMATCH(I$1&amp;"-"&amp;$F822,YEAR($B$2:$B$4001)&amp;"-"&amp;$A$2:$A$4001,0,-1)),H822))</f>
        <v>6</v>
      </c>
      <c r="J822" cm="1">
        <f t="array" ref="J822">IF(OR(AND(I822=9,J$1&gt;YEAR($N822))),9,_xlfn.IFNA(INDEX($D$2:$D$4001,_xlfn.XMATCH(J$1&amp;"-"&amp;$F822,YEAR($B$2:$B$4001)&amp;"-"&amp;$A$2:$A$4001,0,-1)),I822))</f>
        <v>6</v>
      </c>
      <c r="K822" cm="1">
        <f t="array" ref="K822">IF(OR(AND(J822=9,K$1&gt;YEAR($N822))),9,_xlfn.IFNA(INDEX($D$2:$D$4001,_xlfn.XMATCH(K$1&amp;"-"&amp;$F822,YEAR($B$2:$B$4001)&amp;"-"&amp;$A$2:$A$4001,0,-1)),J822))</f>
        <v>6</v>
      </c>
      <c r="L822" cm="1">
        <f t="array" ref="L822">IF(OR(AND(K822=9,L$1&gt;YEAR($N822))),9,_xlfn.IFNA(INDEX($D$2:$D$4001,_xlfn.XMATCH(L$1&amp;"-"&amp;$F822,YEAR($B$2:$B$4001)&amp;"-"&amp;$A$2:$A$4001,0,-1)),K822))</f>
        <v>6</v>
      </c>
      <c r="M822" cm="1">
        <f t="array" ref="M822">IF(OR(AND(L822=9,M$1&gt;YEAR($N822))),9,_xlfn.IFNA(INDEX($D$2:$D$4001,_xlfn.XMATCH(M$1&amp;"-"&amp;$F822,YEAR($B$2:$B$4001)&amp;"-"&amp;$A$2:$A$4001,0,-1)),L822))</f>
        <v>6</v>
      </c>
      <c r="N822" s="1">
        <f t="shared" si="12"/>
        <v>36301</v>
      </c>
    </row>
    <row r="823" spans="1:14" x14ac:dyDescent="0.35">
      <c r="A823">
        <v>396</v>
      </c>
      <c r="B823" s="2">
        <v>37255</v>
      </c>
      <c r="C823">
        <v>3</v>
      </c>
      <c r="D823">
        <v>3</v>
      </c>
      <c r="F823">
        <v>822</v>
      </c>
      <c r="G823" cm="1">
        <f t="array" ref="G823">_xlfn.IFNA(INDEX($D$2:$D$4001,_xlfn.XMATCH(G$1&amp;"-"&amp;$F823,YEAR($B$2:$B$4001)&amp;"-"&amp;$A$2:$A$4001,0,-1)),9)</f>
        <v>9</v>
      </c>
      <c r="H823" cm="1">
        <f t="array" ref="H823">IF(OR(AND(G823=9,H$1&gt;YEAR($N823))),9,_xlfn.IFNA(INDEX($D$2:$D$4001,_xlfn.XMATCH(H$1&amp;"-"&amp;$F823,YEAR($B$2:$B$4001)&amp;"-"&amp;$A$2:$A$4001,0,-1)),G823))</f>
        <v>3</v>
      </c>
      <c r="I823" cm="1">
        <f t="array" ref="I823">IF(OR(AND(H823=9,I$1&gt;YEAR($N823))),9,_xlfn.IFNA(INDEX($D$2:$D$4001,_xlfn.XMATCH(I$1&amp;"-"&amp;$F823,YEAR($B$2:$B$4001)&amp;"-"&amp;$A$2:$A$4001,0,-1)),H823))</f>
        <v>3</v>
      </c>
      <c r="J823" cm="1">
        <f t="array" ref="J823">IF(OR(AND(I823=9,J$1&gt;YEAR($N823))),9,_xlfn.IFNA(INDEX($D$2:$D$4001,_xlfn.XMATCH(J$1&amp;"-"&amp;$F823,YEAR($B$2:$B$4001)&amp;"-"&amp;$A$2:$A$4001,0,-1)),I823))</f>
        <v>0</v>
      </c>
      <c r="K823" cm="1">
        <f t="array" ref="K823">IF(OR(AND(J823=9,K$1&gt;YEAR($N823))),9,_xlfn.IFNA(INDEX($D$2:$D$4001,_xlfn.XMATCH(K$1&amp;"-"&amp;$F823,YEAR($B$2:$B$4001)&amp;"-"&amp;$A$2:$A$4001,0,-1)),J823))</f>
        <v>0</v>
      </c>
      <c r="L823" cm="1">
        <f t="array" ref="L823">IF(OR(AND(K823=9,L$1&gt;YEAR($N823))),9,_xlfn.IFNA(INDEX($D$2:$D$4001,_xlfn.XMATCH(L$1&amp;"-"&amp;$F823,YEAR($B$2:$B$4001)&amp;"-"&amp;$A$2:$A$4001,0,-1)),K823))</f>
        <v>0</v>
      </c>
      <c r="M823" cm="1">
        <f t="array" ref="M823">IF(OR(AND(L823=9,M$1&gt;YEAR($N823))),9,_xlfn.IFNA(INDEX($D$2:$D$4001,_xlfn.XMATCH(M$1&amp;"-"&amp;$F823,YEAR($B$2:$B$4001)&amp;"-"&amp;$A$2:$A$4001,0,-1)),L823))</f>
        <v>0</v>
      </c>
      <c r="N823" s="1">
        <f t="shared" si="12"/>
        <v>36759</v>
      </c>
    </row>
    <row r="824" spans="1:14" x14ac:dyDescent="0.35">
      <c r="A824">
        <v>396</v>
      </c>
      <c r="B824" s="2">
        <v>38499</v>
      </c>
      <c r="C824">
        <v>3</v>
      </c>
      <c r="D824">
        <v>3</v>
      </c>
      <c r="F824">
        <v>823</v>
      </c>
      <c r="G824" cm="1">
        <f t="array" ref="G824">_xlfn.IFNA(INDEX($D$2:$D$4001,_xlfn.XMATCH(G$1&amp;"-"&amp;$F824,YEAR($B$2:$B$4001)&amp;"-"&amp;$A$2:$A$4001,0,-1)),9)</f>
        <v>0</v>
      </c>
      <c r="H824" cm="1">
        <f t="array" ref="H824">IF(OR(AND(G824=9,H$1&gt;YEAR($N824))),9,_xlfn.IFNA(INDEX($D$2:$D$4001,_xlfn.XMATCH(H$1&amp;"-"&amp;$F824,YEAR($B$2:$B$4001)&amp;"-"&amp;$A$2:$A$4001,0,-1)),G824))</f>
        <v>0</v>
      </c>
      <c r="I824" cm="1">
        <f t="array" ref="I824">IF(OR(AND(H824=9,I$1&gt;YEAR($N824))),9,_xlfn.IFNA(INDEX($D$2:$D$4001,_xlfn.XMATCH(I$1&amp;"-"&amp;$F824,YEAR($B$2:$B$4001)&amp;"-"&amp;$A$2:$A$4001,0,-1)),H824))</f>
        <v>0</v>
      </c>
      <c r="J824" cm="1">
        <f t="array" ref="J824">IF(OR(AND(I824=9,J$1&gt;YEAR($N824))),9,_xlfn.IFNA(INDEX($D$2:$D$4001,_xlfn.XMATCH(J$1&amp;"-"&amp;$F824,YEAR($B$2:$B$4001)&amp;"-"&amp;$A$2:$A$4001,0,-1)),I824))</f>
        <v>0</v>
      </c>
      <c r="K824" cm="1">
        <f t="array" ref="K824">IF(OR(AND(J824=9,K$1&gt;YEAR($N824))),9,_xlfn.IFNA(INDEX($D$2:$D$4001,_xlfn.XMATCH(K$1&amp;"-"&amp;$F824,YEAR($B$2:$B$4001)&amp;"-"&amp;$A$2:$A$4001,0,-1)),J824))</f>
        <v>0</v>
      </c>
      <c r="L824" cm="1">
        <f t="array" ref="L824">IF(OR(AND(K824=9,L$1&gt;YEAR($N824))),9,_xlfn.IFNA(INDEX($D$2:$D$4001,_xlfn.XMATCH(L$1&amp;"-"&amp;$F824,YEAR($B$2:$B$4001)&amp;"-"&amp;$A$2:$A$4001,0,-1)),K824))</f>
        <v>0</v>
      </c>
      <c r="M824" cm="1">
        <f t="array" ref="M824">IF(OR(AND(L824=9,M$1&gt;YEAR($N824))),9,_xlfn.IFNA(INDEX($D$2:$D$4001,_xlfn.XMATCH(M$1&amp;"-"&amp;$F824,YEAR($B$2:$B$4001)&amp;"-"&amp;$A$2:$A$4001,0,-1)),L824))</f>
        <v>0</v>
      </c>
      <c r="N824" s="1">
        <f t="shared" si="12"/>
        <v>36301</v>
      </c>
    </row>
    <row r="825" spans="1:14" x14ac:dyDescent="0.35">
      <c r="A825">
        <v>397</v>
      </c>
      <c r="B825" s="2">
        <v>37397</v>
      </c>
      <c r="C825">
        <v>3</v>
      </c>
      <c r="D825">
        <v>3</v>
      </c>
      <c r="F825">
        <v>824</v>
      </c>
      <c r="G825" cm="1">
        <f t="array" ref="G825">_xlfn.IFNA(INDEX($D$2:$D$4001,_xlfn.XMATCH(G$1&amp;"-"&amp;$F825,YEAR($B$2:$B$4001)&amp;"-"&amp;$A$2:$A$4001,0,-1)),9)</f>
        <v>9</v>
      </c>
      <c r="H825" cm="1">
        <f t="array" ref="H825">IF(OR(AND(G825=9,H$1&gt;YEAR($N825))),9,_xlfn.IFNA(INDEX($D$2:$D$4001,_xlfn.XMATCH(H$1&amp;"-"&amp;$F825,YEAR($B$2:$B$4001)&amp;"-"&amp;$A$2:$A$4001,0,-1)),G825))</f>
        <v>3</v>
      </c>
      <c r="I825" cm="1">
        <f t="array" ref="I825">IF(OR(AND(H825=9,I$1&gt;YEAR($N825))),9,_xlfn.IFNA(INDEX($D$2:$D$4001,_xlfn.XMATCH(I$1&amp;"-"&amp;$F825,YEAR($B$2:$B$4001)&amp;"-"&amp;$A$2:$A$4001,0,-1)),H825))</f>
        <v>3</v>
      </c>
      <c r="J825" cm="1">
        <f t="array" ref="J825">IF(OR(AND(I825=9,J$1&gt;YEAR($N825))),9,_xlfn.IFNA(INDEX($D$2:$D$4001,_xlfn.XMATCH(J$1&amp;"-"&amp;$F825,YEAR($B$2:$B$4001)&amp;"-"&amp;$A$2:$A$4001,0,-1)),I825))</f>
        <v>2</v>
      </c>
      <c r="K825" cm="1">
        <f t="array" ref="K825">IF(OR(AND(J825=9,K$1&gt;YEAR($N825))),9,_xlfn.IFNA(INDEX($D$2:$D$4001,_xlfn.XMATCH(K$1&amp;"-"&amp;$F825,YEAR($B$2:$B$4001)&amp;"-"&amp;$A$2:$A$4001,0,-1)),J825))</f>
        <v>2</v>
      </c>
      <c r="L825" cm="1">
        <f t="array" ref="L825">IF(OR(AND(K825=9,L$1&gt;YEAR($N825))),9,_xlfn.IFNA(INDEX($D$2:$D$4001,_xlfn.XMATCH(L$1&amp;"-"&amp;$F825,YEAR($B$2:$B$4001)&amp;"-"&amp;$A$2:$A$4001,0,-1)),K825))</f>
        <v>2</v>
      </c>
      <c r="M825" cm="1">
        <f t="array" ref="M825">IF(OR(AND(L825=9,M$1&gt;YEAR($N825))),9,_xlfn.IFNA(INDEX($D$2:$D$4001,_xlfn.XMATCH(M$1&amp;"-"&amp;$F825,YEAR($B$2:$B$4001)&amp;"-"&amp;$A$2:$A$4001,0,-1)),L825))</f>
        <v>2</v>
      </c>
      <c r="N825" s="1">
        <f t="shared" si="12"/>
        <v>36676</v>
      </c>
    </row>
    <row r="826" spans="1:14" x14ac:dyDescent="0.35">
      <c r="A826">
        <v>398</v>
      </c>
      <c r="B826" s="2">
        <v>37063</v>
      </c>
      <c r="C826">
        <v>2</v>
      </c>
      <c r="D826">
        <v>2</v>
      </c>
      <c r="F826">
        <v>825</v>
      </c>
      <c r="G826" cm="1">
        <f t="array" ref="G826">_xlfn.IFNA(INDEX($D$2:$D$4001,_xlfn.XMATCH(G$1&amp;"-"&amp;$F826,YEAR($B$2:$B$4001)&amp;"-"&amp;$A$2:$A$4001,0,-1)),9)</f>
        <v>9</v>
      </c>
      <c r="H826" cm="1">
        <f t="array" ref="H826">IF(OR(AND(G826=9,H$1&gt;YEAR($N826))),9,_xlfn.IFNA(INDEX($D$2:$D$4001,_xlfn.XMATCH(H$1&amp;"-"&amp;$F826,YEAR($B$2:$B$4001)&amp;"-"&amp;$A$2:$A$4001,0,-1)),G826))</f>
        <v>5</v>
      </c>
      <c r="I826" cm="1">
        <f t="array" ref="I826">IF(OR(AND(H826=9,I$1&gt;YEAR($N826))),9,_xlfn.IFNA(INDEX($D$2:$D$4001,_xlfn.XMATCH(I$1&amp;"-"&amp;$F826,YEAR($B$2:$B$4001)&amp;"-"&amp;$A$2:$A$4001,0,-1)),H826))</f>
        <v>6</v>
      </c>
      <c r="J826" cm="1">
        <f t="array" ref="J826">IF(OR(AND(I826=9,J$1&gt;YEAR($N826))),9,_xlfn.IFNA(INDEX($D$2:$D$4001,_xlfn.XMATCH(J$1&amp;"-"&amp;$F826,YEAR($B$2:$B$4001)&amp;"-"&amp;$A$2:$A$4001,0,-1)),I826))</f>
        <v>6</v>
      </c>
      <c r="K826" cm="1">
        <f t="array" ref="K826">IF(OR(AND(J826=9,K$1&gt;YEAR($N826))),9,_xlfn.IFNA(INDEX($D$2:$D$4001,_xlfn.XMATCH(K$1&amp;"-"&amp;$F826,YEAR($B$2:$B$4001)&amp;"-"&amp;$A$2:$A$4001,0,-1)),J826))</f>
        <v>6</v>
      </c>
      <c r="L826" cm="1">
        <f t="array" ref="L826">IF(OR(AND(K826=9,L$1&gt;YEAR($N826))),9,_xlfn.IFNA(INDEX($D$2:$D$4001,_xlfn.XMATCH(L$1&amp;"-"&amp;$F826,YEAR($B$2:$B$4001)&amp;"-"&amp;$A$2:$A$4001,0,-1)),K826))</f>
        <v>6</v>
      </c>
      <c r="M826" cm="1">
        <f t="array" ref="M826">IF(OR(AND(L826=9,M$1&gt;YEAR($N826))),9,_xlfn.IFNA(INDEX($D$2:$D$4001,_xlfn.XMATCH(M$1&amp;"-"&amp;$F826,YEAR($B$2:$B$4001)&amp;"-"&amp;$A$2:$A$4001,0,-1)),L826))</f>
        <v>6</v>
      </c>
      <c r="N826" s="1">
        <f t="shared" si="12"/>
        <v>36676</v>
      </c>
    </row>
    <row r="827" spans="1:14" x14ac:dyDescent="0.35">
      <c r="A827">
        <v>399</v>
      </c>
      <c r="B827" s="2">
        <v>36307</v>
      </c>
      <c r="C827">
        <v>3</v>
      </c>
      <c r="D827">
        <v>3</v>
      </c>
      <c r="F827">
        <v>826</v>
      </c>
      <c r="G827" cm="1">
        <f t="array" ref="G827">_xlfn.IFNA(INDEX($D$2:$D$4001,_xlfn.XMATCH(G$1&amp;"-"&amp;$F827,YEAR($B$2:$B$4001)&amp;"-"&amp;$A$2:$A$4001,0,-1)),9)</f>
        <v>9</v>
      </c>
      <c r="H827" cm="1">
        <f t="array" ref="H827">IF(OR(AND(G827=9,H$1&gt;YEAR($N827))),9,_xlfn.IFNA(INDEX($D$2:$D$4001,_xlfn.XMATCH(H$1&amp;"-"&amp;$F827,YEAR($B$2:$B$4001)&amp;"-"&amp;$A$2:$A$4001,0,-1)),G827))</f>
        <v>9</v>
      </c>
      <c r="I827" cm="1">
        <f t="array" ref="I827">IF(OR(AND(H827=9,I$1&gt;YEAR($N827))),9,_xlfn.IFNA(INDEX($D$2:$D$4001,_xlfn.XMATCH(I$1&amp;"-"&amp;$F827,YEAR($B$2:$B$4001)&amp;"-"&amp;$A$2:$A$4001,0,-1)),H827))</f>
        <v>5</v>
      </c>
      <c r="J827" cm="1">
        <f t="array" ref="J827">IF(OR(AND(I827=9,J$1&gt;YEAR($N827))),9,_xlfn.IFNA(INDEX($D$2:$D$4001,_xlfn.XMATCH(J$1&amp;"-"&amp;$F827,YEAR($B$2:$B$4001)&amp;"-"&amp;$A$2:$A$4001,0,-1)),I827))</f>
        <v>6</v>
      </c>
      <c r="K827" cm="1">
        <f t="array" ref="K827">IF(OR(AND(J827=9,K$1&gt;YEAR($N827))),9,_xlfn.IFNA(INDEX($D$2:$D$4001,_xlfn.XMATCH(K$1&amp;"-"&amp;$F827,YEAR($B$2:$B$4001)&amp;"-"&amp;$A$2:$A$4001,0,-1)),J827))</f>
        <v>7</v>
      </c>
      <c r="L827" cm="1">
        <f t="array" ref="L827">IF(OR(AND(K827=9,L$1&gt;YEAR($N827))),9,_xlfn.IFNA(INDEX($D$2:$D$4001,_xlfn.XMATCH(L$1&amp;"-"&amp;$F827,YEAR($B$2:$B$4001)&amp;"-"&amp;$A$2:$A$4001,0,-1)),K827))</f>
        <v>7</v>
      </c>
      <c r="M827" cm="1">
        <f t="array" ref="M827">IF(OR(AND(L827=9,M$1&gt;YEAR($N827))),9,_xlfn.IFNA(INDEX($D$2:$D$4001,_xlfn.XMATCH(M$1&amp;"-"&amp;$F827,YEAR($B$2:$B$4001)&amp;"-"&amp;$A$2:$A$4001,0,-1)),L827))</f>
        <v>7</v>
      </c>
      <c r="N827" s="1">
        <f t="shared" si="12"/>
        <v>37032</v>
      </c>
    </row>
    <row r="828" spans="1:14" x14ac:dyDescent="0.35">
      <c r="A828">
        <v>399</v>
      </c>
      <c r="B828" s="2">
        <v>38128</v>
      </c>
      <c r="C828">
        <v>0</v>
      </c>
      <c r="D828">
        <v>0</v>
      </c>
      <c r="F828">
        <v>827</v>
      </c>
      <c r="G828" cm="1">
        <f t="array" ref="G828">_xlfn.IFNA(INDEX($D$2:$D$4001,_xlfn.XMATCH(G$1&amp;"-"&amp;$F828,YEAR($B$2:$B$4001)&amp;"-"&amp;$A$2:$A$4001,0,-1)),9)</f>
        <v>9</v>
      </c>
      <c r="H828" cm="1">
        <f t="array" ref="H828">IF(OR(AND(G828=9,H$1&gt;YEAR($N828))),9,_xlfn.IFNA(INDEX($D$2:$D$4001,_xlfn.XMATCH(H$1&amp;"-"&amp;$F828,YEAR($B$2:$B$4001)&amp;"-"&amp;$A$2:$A$4001,0,-1)),G828))</f>
        <v>3</v>
      </c>
      <c r="I828" cm="1">
        <f t="array" ref="I828">IF(OR(AND(H828=9,I$1&gt;YEAR($N828))),9,_xlfn.IFNA(INDEX($D$2:$D$4001,_xlfn.XMATCH(I$1&amp;"-"&amp;$F828,YEAR($B$2:$B$4001)&amp;"-"&amp;$A$2:$A$4001,0,-1)),H828))</f>
        <v>3</v>
      </c>
      <c r="J828" cm="1">
        <f t="array" ref="J828">IF(OR(AND(I828=9,J$1&gt;YEAR($N828))),9,_xlfn.IFNA(INDEX($D$2:$D$4001,_xlfn.XMATCH(J$1&amp;"-"&amp;$F828,YEAR($B$2:$B$4001)&amp;"-"&amp;$A$2:$A$4001,0,-1)),I828))</f>
        <v>3</v>
      </c>
      <c r="K828" cm="1">
        <f t="array" ref="K828">IF(OR(AND(J828=9,K$1&gt;YEAR($N828))),9,_xlfn.IFNA(INDEX($D$2:$D$4001,_xlfn.XMATCH(K$1&amp;"-"&amp;$F828,YEAR($B$2:$B$4001)&amp;"-"&amp;$A$2:$A$4001,0,-1)),J828))</f>
        <v>3</v>
      </c>
      <c r="L828" cm="1">
        <f t="array" ref="L828">IF(OR(AND(K828=9,L$1&gt;YEAR($N828))),9,_xlfn.IFNA(INDEX($D$2:$D$4001,_xlfn.XMATCH(L$1&amp;"-"&amp;$F828,YEAR($B$2:$B$4001)&amp;"-"&amp;$A$2:$A$4001,0,-1)),K828))</f>
        <v>3</v>
      </c>
      <c r="M828" cm="1">
        <f t="array" ref="M828">IF(OR(AND(L828=9,M$1&gt;YEAR($N828))),9,_xlfn.IFNA(INDEX($D$2:$D$4001,_xlfn.XMATCH(M$1&amp;"-"&amp;$F828,YEAR($B$2:$B$4001)&amp;"-"&amp;$A$2:$A$4001,0,-1)),L828))</f>
        <v>3</v>
      </c>
      <c r="N828" s="1">
        <f t="shared" si="12"/>
        <v>36820</v>
      </c>
    </row>
    <row r="829" spans="1:14" x14ac:dyDescent="0.35">
      <c r="A829">
        <v>400</v>
      </c>
      <c r="B829" s="2">
        <v>37397</v>
      </c>
      <c r="C829">
        <v>4</v>
      </c>
      <c r="D829">
        <v>4</v>
      </c>
      <c r="F829">
        <v>828</v>
      </c>
      <c r="G829" cm="1">
        <f t="array" ref="G829">_xlfn.IFNA(INDEX($D$2:$D$4001,_xlfn.XMATCH(G$1&amp;"-"&amp;$F829,YEAR($B$2:$B$4001)&amp;"-"&amp;$A$2:$A$4001,0,-1)),9)</f>
        <v>5</v>
      </c>
      <c r="H829" cm="1">
        <f t="array" ref="H829">IF(OR(AND(G829=9,H$1&gt;YEAR($N829))),9,_xlfn.IFNA(INDEX($D$2:$D$4001,_xlfn.XMATCH(H$1&amp;"-"&amp;$F829,YEAR($B$2:$B$4001)&amp;"-"&amp;$A$2:$A$4001,0,-1)),G829))</f>
        <v>5</v>
      </c>
      <c r="I829" cm="1">
        <f t="array" ref="I829">IF(OR(AND(H829=9,I$1&gt;YEAR($N829))),9,_xlfn.IFNA(INDEX($D$2:$D$4001,_xlfn.XMATCH(I$1&amp;"-"&amp;$F829,YEAR($B$2:$B$4001)&amp;"-"&amp;$A$2:$A$4001,0,-1)),H829))</f>
        <v>4</v>
      </c>
      <c r="J829" cm="1">
        <f t="array" ref="J829">IF(OR(AND(I829=9,J$1&gt;YEAR($N829))),9,_xlfn.IFNA(INDEX($D$2:$D$4001,_xlfn.XMATCH(J$1&amp;"-"&amp;$F829,YEAR($B$2:$B$4001)&amp;"-"&amp;$A$2:$A$4001,0,-1)),I829))</f>
        <v>4</v>
      </c>
      <c r="K829" cm="1">
        <f t="array" ref="K829">IF(OR(AND(J829=9,K$1&gt;YEAR($N829))),9,_xlfn.IFNA(INDEX($D$2:$D$4001,_xlfn.XMATCH(K$1&amp;"-"&amp;$F829,YEAR($B$2:$B$4001)&amp;"-"&amp;$A$2:$A$4001,0,-1)),J829))</f>
        <v>4</v>
      </c>
      <c r="L829" cm="1">
        <f t="array" ref="L829">IF(OR(AND(K829=9,L$1&gt;YEAR($N829))),9,_xlfn.IFNA(INDEX($D$2:$D$4001,_xlfn.XMATCH(L$1&amp;"-"&amp;$F829,YEAR($B$2:$B$4001)&amp;"-"&amp;$A$2:$A$4001,0,-1)),K829))</f>
        <v>4</v>
      </c>
      <c r="M829" cm="1">
        <f t="array" ref="M829">IF(OR(AND(L829=9,M$1&gt;YEAR($N829))),9,_xlfn.IFNA(INDEX($D$2:$D$4001,_xlfn.XMATCH(M$1&amp;"-"&amp;$F829,YEAR($B$2:$B$4001)&amp;"-"&amp;$A$2:$A$4001,0,-1)),L829))</f>
        <v>4</v>
      </c>
      <c r="N829" s="1">
        <f t="shared" si="12"/>
        <v>36332</v>
      </c>
    </row>
    <row r="830" spans="1:14" x14ac:dyDescent="0.35">
      <c r="A830">
        <v>400</v>
      </c>
      <c r="B830" s="2">
        <v>37620</v>
      </c>
      <c r="C830">
        <v>0</v>
      </c>
      <c r="D830">
        <v>0</v>
      </c>
      <c r="F830">
        <v>829</v>
      </c>
      <c r="G830" cm="1">
        <f t="array" ref="G830">_xlfn.IFNA(INDEX($D$2:$D$4001,_xlfn.XMATCH(G$1&amp;"-"&amp;$F830,YEAR($B$2:$B$4001)&amp;"-"&amp;$A$2:$A$4001,0,-1)),9)</f>
        <v>9</v>
      </c>
      <c r="H830" cm="1">
        <f t="array" ref="H830">IF(OR(AND(G830=9,H$1&gt;YEAR($N830))),9,_xlfn.IFNA(INDEX($D$2:$D$4001,_xlfn.XMATCH(H$1&amp;"-"&amp;$F830,YEAR($B$2:$B$4001)&amp;"-"&amp;$A$2:$A$4001,0,-1)),G830))</f>
        <v>9</v>
      </c>
      <c r="I830" cm="1">
        <f t="array" ref="I830">IF(OR(AND(H830=9,I$1&gt;YEAR($N830))),9,_xlfn.IFNA(INDEX($D$2:$D$4001,_xlfn.XMATCH(I$1&amp;"-"&amp;$F830,YEAR($B$2:$B$4001)&amp;"-"&amp;$A$2:$A$4001,0,-1)),H830))</f>
        <v>0</v>
      </c>
      <c r="J830" cm="1">
        <f t="array" ref="J830">IF(OR(AND(I830=9,J$1&gt;YEAR($N830))),9,_xlfn.IFNA(INDEX($D$2:$D$4001,_xlfn.XMATCH(J$1&amp;"-"&amp;$F830,YEAR($B$2:$B$4001)&amp;"-"&amp;$A$2:$A$4001,0,-1)),I830))</f>
        <v>0</v>
      </c>
      <c r="K830" cm="1">
        <f t="array" ref="K830">IF(OR(AND(J830=9,K$1&gt;YEAR($N830))),9,_xlfn.IFNA(INDEX($D$2:$D$4001,_xlfn.XMATCH(K$1&amp;"-"&amp;$F830,YEAR($B$2:$B$4001)&amp;"-"&amp;$A$2:$A$4001,0,-1)),J830))</f>
        <v>0</v>
      </c>
      <c r="L830" cm="1">
        <f t="array" ref="L830">IF(OR(AND(K830=9,L$1&gt;YEAR($N830))),9,_xlfn.IFNA(INDEX($D$2:$D$4001,_xlfn.XMATCH(L$1&amp;"-"&amp;$F830,YEAR($B$2:$B$4001)&amp;"-"&amp;$A$2:$A$4001,0,-1)),K830))</f>
        <v>0</v>
      </c>
      <c r="M830" cm="1">
        <f t="array" ref="M830">IF(OR(AND(L830=9,M$1&gt;YEAR($N830))),9,_xlfn.IFNA(INDEX($D$2:$D$4001,_xlfn.XMATCH(M$1&amp;"-"&amp;$F830,YEAR($B$2:$B$4001)&amp;"-"&amp;$A$2:$A$4001,0,-1)),L830))</f>
        <v>0</v>
      </c>
      <c r="N830" s="1">
        <f t="shared" si="12"/>
        <v>37133</v>
      </c>
    </row>
    <row r="831" spans="1:14" x14ac:dyDescent="0.35">
      <c r="A831">
        <v>401</v>
      </c>
      <c r="B831" s="2">
        <v>36301</v>
      </c>
      <c r="C831">
        <v>4</v>
      </c>
      <c r="D831">
        <v>4</v>
      </c>
      <c r="F831">
        <v>830</v>
      </c>
      <c r="G831" cm="1">
        <f t="array" ref="G831">_xlfn.IFNA(INDEX($D$2:$D$4001,_xlfn.XMATCH(G$1&amp;"-"&amp;$F831,YEAR($B$2:$B$4001)&amp;"-"&amp;$A$2:$A$4001,0,-1)),9)</f>
        <v>9</v>
      </c>
      <c r="H831" cm="1">
        <f t="array" ref="H831">IF(OR(AND(G831=9,H$1&gt;YEAR($N831))),9,_xlfn.IFNA(INDEX($D$2:$D$4001,_xlfn.XMATCH(H$1&amp;"-"&amp;$F831,YEAR($B$2:$B$4001)&amp;"-"&amp;$A$2:$A$4001,0,-1)),G831))</f>
        <v>4</v>
      </c>
      <c r="I831" cm="1">
        <f t="array" ref="I831">IF(OR(AND(H831=9,I$1&gt;YEAR($N831))),9,_xlfn.IFNA(INDEX($D$2:$D$4001,_xlfn.XMATCH(I$1&amp;"-"&amp;$F831,YEAR($B$2:$B$4001)&amp;"-"&amp;$A$2:$A$4001,0,-1)),H831))</f>
        <v>4</v>
      </c>
      <c r="J831" cm="1">
        <f t="array" ref="J831">IF(OR(AND(I831=9,J$1&gt;YEAR($N831))),9,_xlfn.IFNA(INDEX($D$2:$D$4001,_xlfn.XMATCH(J$1&amp;"-"&amp;$F831,YEAR($B$2:$B$4001)&amp;"-"&amp;$A$2:$A$4001,0,-1)),I831))</f>
        <v>5</v>
      </c>
      <c r="K831" cm="1">
        <f t="array" ref="K831">IF(OR(AND(J831=9,K$1&gt;YEAR($N831))),9,_xlfn.IFNA(INDEX($D$2:$D$4001,_xlfn.XMATCH(K$1&amp;"-"&amp;$F831,YEAR($B$2:$B$4001)&amp;"-"&amp;$A$2:$A$4001,0,-1)),J831))</f>
        <v>6</v>
      </c>
      <c r="L831" cm="1">
        <f t="array" ref="L831">IF(OR(AND(K831=9,L$1&gt;YEAR($N831))),9,_xlfn.IFNA(INDEX($D$2:$D$4001,_xlfn.XMATCH(L$1&amp;"-"&amp;$F831,YEAR($B$2:$B$4001)&amp;"-"&amp;$A$2:$A$4001,0,-1)),K831))</f>
        <v>6</v>
      </c>
      <c r="M831" cm="1">
        <f t="array" ref="M831">IF(OR(AND(L831=9,M$1&gt;YEAR($N831))),9,_xlfn.IFNA(INDEX($D$2:$D$4001,_xlfn.XMATCH(M$1&amp;"-"&amp;$F831,YEAR($B$2:$B$4001)&amp;"-"&amp;$A$2:$A$4001,0,-1)),L831))</f>
        <v>6</v>
      </c>
      <c r="N831" s="1">
        <f t="shared" si="12"/>
        <v>36759</v>
      </c>
    </row>
    <row r="832" spans="1:14" x14ac:dyDescent="0.35">
      <c r="A832">
        <v>401</v>
      </c>
      <c r="B832" s="2">
        <v>38128</v>
      </c>
      <c r="C832">
        <v>3</v>
      </c>
      <c r="D832">
        <v>3</v>
      </c>
      <c r="F832">
        <v>831</v>
      </c>
      <c r="G832" cm="1">
        <f t="array" ref="G832">_xlfn.IFNA(INDEX($D$2:$D$4001,_xlfn.XMATCH(G$1&amp;"-"&amp;$F832,YEAR($B$2:$B$4001)&amp;"-"&amp;$A$2:$A$4001,0,-1)),9)</f>
        <v>9</v>
      </c>
      <c r="H832" cm="1">
        <f t="array" ref="H832">IF(OR(AND(G832=9,H$1&gt;YEAR($N832))),9,_xlfn.IFNA(INDEX($D$2:$D$4001,_xlfn.XMATCH(H$1&amp;"-"&amp;$F832,YEAR($B$2:$B$4001)&amp;"-"&amp;$A$2:$A$4001,0,-1)),G832))</f>
        <v>3</v>
      </c>
      <c r="I832" cm="1">
        <f t="array" ref="I832">IF(OR(AND(H832=9,I$1&gt;YEAR($N832))),9,_xlfn.IFNA(INDEX($D$2:$D$4001,_xlfn.XMATCH(I$1&amp;"-"&amp;$F832,YEAR($B$2:$B$4001)&amp;"-"&amp;$A$2:$A$4001,0,-1)),H832))</f>
        <v>3</v>
      </c>
      <c r="J832" cm="1">
        <f t="array" ref="J832">IF(OR(AND(I832=9,J$1&gt;YEAR($N832))),9,_xlfn.IFNA(INDEX($D$2:$D$4001,_xlfn.XMATCH(J$1&amp;"-"&amp;$F832,YEAR($B$2:$B$4001)&amp;"-"&amp;$A$2:$A$4001,0,-1)),I832))</f>
        <v>3</v>
      </c>
      <c r="K832" cm="1">
        <f t="array" ref="K832">IF(OR(AND(J832=9,K$1&gt;YEAR($N832))),9,_xlfn.IFNA(INDEX($D$2:$D$4001,_xlfn.XMATCH(K$1&amp;"-"&amp;$F832,YEAR($B$2:$B$4001)&amp;"-"&amp;$A$2:$A$4001,0,-1)),J832))</f>
        <v>3</v>
      </c>
      <c r="L832" cm="1">
        <f t="array" ref="L832">IF(OR(AND(K832=9,L$1&gt;YEAR($N832))),9,_xlfn.IFNA(INDEX($D$2:$D$4001,_xlfn.XMATCH(L$1&amp;"-"&amp;$F832,YEAR($B$2:$B$4001)&amp;"-"&amp;$A$2:$A$4001,0,-1)),K832))</f>
        <v>3</v>
      </c>
      <c r="M832" cm="1">
        <f t="array" ref="M832">IF(OR(AND(L832=9,M$1&gt;YEAR($N832))),9,_xlfn.IFNA(INDEX($D$2:$D$4001,_xlfn.XMATCH(M$1&amp;"-"&amp;$F832,YEAR($B$2:$B$4001)&amp;"-"&amp;$A$2:$A$4001,0,-1)),L832))</f>
        <v>3</v>
      </c>
      <c r="N832" s="1">
        <f t="shared" si="12"/>
        <v>36667</v>
      </c>
    </row>
    <row r="833" spans="1:14" x14ac:dyDescent="0.35">
      <c r="A833">
        <v>401</v>
      </c>
      <c r="B833" s="2">
        <v>38251</v>
      </c>
      <c r="C833">
        <v>3</v>
      </c>
      <c r="D833">
        <v>3</v>
      </c>
      <c r="F833">
        <v>832</v>
      </c>
      <c r="G833" cm="1">
        <f t="array" ref="G833">_xlfn.IFNA(INDEX($D$2:$D$4001,_xlfn.XMATCH(G$1&amp;"-"&amp;$F833,YEAR($B$2:$B$4001)&amp;"-"&amp;$A$2:$A$4001,0,-1)),9)</f>
        <v>5</v>
      </c>
      <c r="H833" cm="1">
        <f t="array" ref="H833">IF(OR(AND(G833=9,H$1&gt;YEAR($N833))),9,_xlfn.IFNA(INDEX($D$2:$D$4001,_xlfn.XMATCH(H$1&amp;"-"&amp;$F833,YEAR($B$2:$B$4001)&amp;"-"&amp;$A$2:$A$4001,0,-1)),G833))</f>
        <v>5</v>
      </c>
      <c r="I833" cm="1">
        <f t="array" ref="I833">IF(OR(AND(H833=9,I$1&gt;YEAR($N833))),9,_xlfn.IFNA(INDEX($D$2:$D$4001,_xlfn.XMATCH(I$1&amp;"-"&amp;$F833,YEAR($B$2:$B$4001)&amp;"-"&amp;$A$2:$A$4001,0,-1)),H833))</f>
        <v>5</v>
      </c>
      <c r="J833" cm="1">
        <f t="array" ref="J833">IF(OR(AND(I833=9,J$1&gt;YEAR($N833))),9,_xlfn.IFNA(INDEX($D$2:$D$4001,_xlfn.XMATCH(J$1&amp;"-"&amp;$F833,YEAR($B$2:$B$4001)&amp;"-"&amp;$A$2:$A$4001,0,-1)),I833))</f>
        <v>5</v>
      </c>
      <c r="K833" cm="1">
        <f t="array" ref="K833">IF(OR(AND(J833=9,K$1&gt;YEAR($N833))),9,_xlfn.IFNA(INDEX($D$2:$D$4001,_xlfn.XMATCH(K$1&amp;"-"&amp;$F833,YEAR($B$2:$B$4001)&amp;"-"&amp;$A$2:$A$4001,0,-1)),J833))</f>
        <v>5</v>
      </c>
      <c r="L833" cm="1">
        <f t="array" ref="L833">IF(OR(AND(K833=9,L$1&gt;YEAR($N833))),9,_xlfn.IFNA(INDEX($D$2:$D$4001,_xlfn.XMATCH(L$1&amp;"-"&amp;$F833,YEAR($B$2:$B$4001)&amp;"-"&amp;$A$2:$A$4001,0,-1)),K833))</f>
        <v>5</v>
      </c>
      <c r="M833" cm="1">
        <f t="array" ref="M833">IF(OR(AND(L833=9,M$1&gt;YEAR($N833))),9,_xlfn.IFNA(INDEX($D$2:$D$4001,_xlfn.XMATCH(M$1&amp;"-"&amp;$F833,YEAR($B$2:$B$4001)&amp;"-"&amp;$A$2:$A$4001,0,-1)),L833))</f>
        <v>5</v>
      </c>
      <c r="N833" s="1">
        <f t="shared" si="12"/>
        <v>36393</v>
      </c>
    </row>
    <row r="834" spans="1:14" x14ac:dyDescent="0.35">
      <c r="A834">
        <v>402</v>
      </c>
      <c r="B834" s="2">
        <v>36524</v>
      </c>
      <c r="C834">
        <v>0</v>
      </c>
      <c r="D834">
        <v>0</v>
      </c>
      <c r="F834">
        <v>833</v>
      </c>
      <c r="G834" cm="1">
        <f t="array" ref="G834">_xlfn.IFNA(INDEX($D$2:$D$4001,_xlfn.XMATCH(G$1&amp;"-"&amp;$F834,YEAR($B$2:$B$4001)&amp;"-"&amp;$A$2:$A$4001,0,-1)),9)</f>
        <v>9</v>
      </c>
      <c r="H834" cm="1">
        <f t="array" ref="H834">IF(OR(AND(G834=9,H$1&gt;YEAR($N834))),9,_xlfn.IFNA(INDEX($D$2:$D$4001,_xlfn.XMATCH(H$1&amp;"-"&amp;$F834,YEAR($B$2:$B$4001)&amp;"-"&amp;$A$2:$A$4001,0,-1)),G834))</f>
        <v>9</v>
      </c>
      <c r="I834" cm="1">
        <f t="array" ref="I834">IF(OR(AND(H834=9,I$1&gt;YEAR($N834))),9,_xlfn.IFNA(INDEX($D$2:$D$4001,_xlfn.XMATCH(I$1&amp;"-"&amp;$F834,YEAR($B$2:$B$4001)&amp;"-"&amp;$A$2:$A$4001,0,-1)),H834))</f>
        <v>9</v>
      </c>
      <c r="J834" cm="1">
        <f t="array" ref="J834">IF(OR(AND(I834=9,J$1&gt;YEAR($N834))),9,_xlfn.IFNA(INDEX($D$2:$D$4001,_xlfn.XMATCH(J$1&amp;"-"&amp;$F834,YEAR($B$2:$B$4001)&amp;"-"&amp;$A$2:$A$4001,0,-1)),I834))</f>
        <v>5</v>
      </c>
      <c r="K834" cm="1">
        <f t="array" ref="K834">IF(OR(AND(J834=9,K$1&gt;YEAR($N834))),9,_xlfn.IFNA(INDEX($D$2:$D$4001,_xlfn.XMATCH(K$1&amp;"-"&amp;$F834,YEAR($B$2:$B$4001)&amp;"-"&amp;$A$2:$A$4001,0,-1)),J834))</f>
        <v>0</v>
      </c>
      <c r="L834" cm="1">
        <f t="array" ref="L834">IF(OR(AND(K834=9,L$1&gt;YEAR($N834))),9,_xlfn.IFNA(INDEX($D$2:$D$4001,_xlfn.XMATCH(L$1&amp;"-"&amp;$F834,YEAR($B$2:$B$4001)&amp;"-"&amp;$A$2:$A$4001,0,-1)),K834))</f>
        <v>0</v>
      </c>
      <c r="M834" cm="1">
        <f t="array" ref="M834">IF(OR(AND(L834=9,M$1&gt;YEAR($N834))),9,_xlfn.IFNA(INDEX($D$2:$D$4001,_xlfn.XMATCH(M$1&amp;"-"&amp;$F834,YEAR($B$2:$B$4001)&amp;"-"&amp;$A$2:$A$4001,0,-1)),L834))</f>
        <v>0</v>
      </c>
      <c r="N834" s="1">
        <f t="shared" si="12"/>
        <v>37397</v>
      </c>
    </row>
    <row r="835" spans="1:14" x14ac:dyDescent="0.35">
      <c r="A835">
        <v>403</v>
      </c>
      <c r="B835" s="2">
        <v>36463</v>
      </c>
      <c r="C835">
        <v>4</v>
      </c>
      <c r="D835">
        <v>4</v>
      </c>
      <c r="F835">
        <v>834</v>
      </c>
      <c r="G835" cm="1">
        <f t="array" ref="G835">_xlfn.IFNA(INDEX($D$2:$D$4001,_xlfn.XMATCH(G$1&amp;"-"&amp;$F835,YEAR($B$2:$B$4001)&amp;"-"&amp;$A$2:$A$4001,0,-1)),9)</f>
        <v>9</v>
      </c>
      <c r="H835" cm="1">
        <f t="array" ref="H835">IF(OR(AND(G835=9,H$1&gt;YEAR($N835))),9,_xlfn.IFNA(INDEX($D$2:$D$4001,_xlfn.XMATCH(H$1&amp;"-"&amp;$F835,YEAR($B$2:$B$4001)&amp;"-"&amp;$A$2:$A$4001,0,-1)),G835))</f>
        <v>3</v>
      </c>
      <c r="I835" cm="1">
        <f t="array" ref="I835">IF(OR(AND(H835=9,I$1&gt;YEAR($N835))),9,_xlfn.IFNA(INDEX($D$2:$D$4001,_xlfn.XMATCH(I$1&amp;"-"&amp;$F835,YEAR($B$2:$B$4001)&amp;"-"&amp;$A$2:$A$4001,0,-1)),H835))</f>
        <v>3</v>
      </c>
      <c r="J835" cm="1">
        <f t="array" ref="J835">IF(OR(AND(I835=9,J$1&gt;YEAR($N835))),9,_xlfn.IFNA(INDEX($D$2:$D$4001,_xlfn.XMATCH(J$1&amp;"-"&amp;$F835,YEAR($B$2:$B$4001)&amp;"-"&amp;$A$2:$A$4001,0,-1)),I835))</f>
        <v>3</v>
      </c>
      <c r="K835" cm="1">
        <f t="array" ref="K835">IF(OR(AND(J835=9,K$1&gt;YEAR($N835))),9,_xlfn.IFNA(INDEX($D$2:$D$4001,_xlfn.XMATCH(K$1&amp;"-"&amp;$F835,YEAR($B$2:$B$4001)&amp;"-"&amp;$A$2:$A$4001,0,-1)),J835))</f>
        <v>3</v>
      </c>
      <c r="L835" cm="1">
        <f t="array" ref="L835">IF(OR(AND(K835=9,L$1&gt;YEAR($N835))),9,_xlfn.IFNA(INDEX($D$2:$D$4001,_xlfn.XMATCH(L$1&amp;"-"&amp;$F835,YEAR($B$2:$B$4001)&amp;"-"&amp;$A$2:$A$4001,0,-1)),K835))</f>
        <v>3</v>
      </c>
      <c r="M835" cm="1">
        <f t="array" ref="M835">IF(OR(AND(L835=9,M$1&gt;YEAR($N835))),9,_xlfn.IFNA(INDEX($D$2:$D$4001,_xlfn.XMATCH(M$1&amp;"-"&amp;$F835,YEAR($B$2:$B$4001)&amp;"-"&amp;$A$2:$A$4001,0,-1)),L835))</f>
        <v>3</v>
      </c>
      <c r="N835" s="1">
        <f t="shared" ref="N835:N898" si="13">_xlfn.MINIFS($B$2:$B$4001,$A$2:$A$4001,F835)</f>
        <v>36667</v>
      </c>
    </row>
    <row r="836" spans="1:14" x14ac:dyDescent="0.35">
      <c r="A836">
        <v>403</v>
      </c>
      <c r="B836" s="2">
        <v>38128</v>
      </c>
      <c r="C836">
        <v>4</v>
      </c>
      <c r="D836">
        <v>4</v>
      </c>
      <c r="F836">
        <v>835</v>
      </c>
      <c r="G836" cm="1">
        <f t="array" ref="G836">_xlfn.IFNA(INDEX($D$2:$D$4001,_xlfn.XMATCH(G$1&amp;"-"&amp;$F836,YEAR($B$2:$B$4001)&amp;"-"&amp;$A$2:$A$4001,0,-1)),9)</f>
        <v>4</v>
      </c>
      <c r="H836" cm="1">
        <f t="array" ref="H836">IF(OR(AND(G836=9,H$1&gt;YEAR($N836))),9,_xlfn.IFNA(INDEX($D$2:$D$4001,_xlfn.XMATCH(H$1&amp;"-"&amp;$F836,YEAR($B$2:$B$4001)&amp;"-"&amp;$A$2:$A$4001,0,-1)),G836))</f>
        <v>4</v>
      </c>
      <c r="I836" cm="1">
        <f t="array" ref="I836">IF(OR(AND(H836=9,I$1&gt;YEAR($N836))),9,_xlfn.IFNA(INDEX($D$2:$D$4001,_xlfn.XMATCH(I$1&amp;"-"&amp;$F836,YEAR($B$2:$B$4001)&amp;"-"&amp;$A$2:$A$4001,0,-1)),H836))</f>
        <v>4</v>
      </c>
      <c r="J836" cm="1">
        <f t="array" ref="J836">IF(OR(AND(I836=9,J$1&gt;YEAR($N836))),9,_xlfn.IFNA(INDEX($D$2:$D$4001,_xlfn.XMATCH(J$1&amp;"-"&amp;$F836,YEAR($B$2:$B$4001)&amp;"-"&amp;$A$2:$A$4001,0,-1)),I836))</f>
        <v>4</v>
      </c>
      <c r="K836" cm="1">
        <f t="array" ref="K836">IF(OR(AND(J836=9,K$1&gt;YEAR($N836))),9,_xlfn.IFNA(INDEX($D$2:$D$4001,_xlfn.XMATCH(K$1&amp;"-"&amp;$F836,YEAR($B$2:$B$4001)&amp;"-"&amp;$A$2:$A$4001,0,-1)),J836))</f>
        <v>4</v>
      </c>
      <c r="L836" cm="1">
        <f t="array" ref="L836">IF(OR(AND(K836=9,L$1&gt;YEAR($N836))),9,_xlfn.IFNA(INDEX($D$2:$D$4001,_xlfn.XMATCH(L$1&amp;"-"&amp;$F836,YEAR($B$2:$B$4001)&amp;"-"&amp;$A$2:$A$4001,0,-1)),K836))</f>
        <v>4</v>
      </c>
      <c r="M836" cm="1">
        <f t="array" ref="M836">IF(OR(AND(L836=9,M$1&gt;YEAR($N836))),9,_xlfn.IFNA(INDEX($D$2:$D$4001,_xlfn.XMATCH(M$1&amp;"-"&amp;$F836,YEAR($B$2:$B$4001)&amp;"-"&amp;$A$2:$A$4001,0,-1)),L836))</f>
        <v>4</v>
      </c>
      <c r="N836" s="1">
        <f t="shared" si="13"/>
        <v>36301</v>
      </c>
    </row>
    <row r="837" spans="1:14" x14ac:dyDescent="0.35">
      <c r="A837">
        <v>403</v>
      </c>
      <c r="B837" s="2">
        <v>38502</v>
      </c>
      <c r="C837">
        <v>3</v>
      </c>
      <c r="D837">
        <v>3</v>
      </c>
      <c r="F837">
        <v>836</v>
      </c>
      <c r="G837" cm="1">
        <f t="array" ref="G837">_xlfn.IFNA(INDEX($D$2:$D$4001,_xlfn.XMATCH(G$1&amp;"-"&amp;$F837,YEAR($B$2:$B$4001)&amp;"-"&amp;$A$2:$A$4001,0,-1)),9)</f>
        <v>9</v>
      </c>
      <c r="H837" cm="1">
        <f t="array" ref="H837">IF(OR(AND(G837=9,H$1&gt;YEAR($N837))),9,_xlfn.IFNA(INDEX($D$2:$D$4001,_xlfn.XMATCH(H$1&amp;"-"&amp;$F837,YEAR($B$2:$B$4001)&amp;"-"&amp;$A$2:$A$4001,0,-1)),G837))</f>
        <v>9</v>
      </c>
      <c r="I837" cm="1">
        <f t="array" ref="I837">IF(OR(AND(H837=9,I$1&gt;YEAR($N837))),9,_xlfn.IFNA(INDEX($D$2:$D$4001,_xlfn.XMATCH(I$1&amp;"-"&amp;$F837,YEAR($B$2:$B$4001)&amp;"-"&amp;$A$2:$A$4001,0,-1)),H837))</f>
        <v>9</v>
      </c>
      <c r="J837" cm="1">
        <f t="array" ref="J837">IF(OR(AND(I837=9,J$1&gt;YEAR($N837))),9,_xlfn.IFNA(INDEX($D$2:$D$4001,_xlfn.XMATCH(J$1&amp;"-"&amp;$F837,YEAR($B$2:$B$4001)&amp;"-"&amp;$A$2:$A$4001,0,-1)),I837))</f>
        <v>9</v>
      </c>
      <c r="K837" cm="1">
        <f t="array" ref="K837">IF(OR(AND(J837=9,K$1&gt;YEAR($N837))),9,_xlfn.IFNA(INDEX($D$2:$D$4001,_xlfn.XMATCH(K$1&amp;"-"&amp;$F837,YEAR($B$2:$B$4001)&amp;"-"&amp;$A$2:$A$4001,0,-1)),J837))</f>
        <v>9</v>
      </c>
      <c r="L837" cm="1">
        <f t="array" ref="L837">IF(OR(AND(K837=9,L$1&gt;YEAR($N837))),9,_xlfn.IFNA(INDEX($D$2:$D$4001,_xlfn.XMATCH(L$1&amp;"-"&amp;$F837,YEAR($B$2:$B$4001)&amp;"-"&amp;$A$2:$A$4001,0,-1)),K837))</f>
        <v>0</v>
      </c>
      <c r="M837" cm="1">
        <f t="array" ref="M837">IF(OR(AND(L837=9,M$1&gt;YEAR($N837))),9,_xlfn.IFNA(INDEX($D$2:$D$4001,_xlfn.XMATCH(M$1&amp;"-"&amp;$F837,YEAR($B$2:$B$4001)&amp;"-"&amp;$A$2:$A$4001,0,-1)),L837))</f>
        <v>0</v>
      </c>
      <c r="N837" s="1">
        <f t="shared" si="13"/>
        <v>38160</v>
      </c>
    </row>
    <row r="838" spans="1:14" x14ac:dyDescent="0.35">
      <c r="A838">
        <v>404</v>
      </c>
      <c r="B838" s="2">
        <v>36667</v>
      </c>
      <c r="C838">
        <v>2</v>
      </c>
      <c r="D838">
        <v>2</v>
      </c>
      <c r="F838">
        <v>837</v>
      </c>
      <c r="G838" cm="1">
        <f t="array" ref="G838">_xlfn.IFNA(INDEX($D$2:$D$4001,_xlfn.XMATCH(G$1&amp;"-"&amp;$F838,YEAR($B$2:$B$4001)&amp;"-"&amp;$A$2:$A$4001,0,-1)),9)</f>
        <v>4</v>
      </c>
      <c r="H838" cm="1">
        <f t="array" ref="H838">IF(OR(AND(G838=9,H$1&gt;YEAR($N838))),9,_xlfn.IFNA(INDEX($D$2:$D$4001,_xlfn.XMATCH(H$1&amp;"-"&amp;$F838,YEAR($B$2:$B$4001)&amp;"-"&amp;$A$2:$A$4001,0,-1)),G838))</f>
        <v>4</v>
      </c>
      <c r="I838" cm="1">
        <f t="array" ref="I838">IF(OR(AND(H838=9,I$1&gt;YEAR($N838))),9,_xlfn.IFNA(INDEX($D$2:$D$4001,_xlfn.XMATCH(I$1&amp;"-"&amp;$F838,YEAR($B$2:$B$4001)&amp;"-"&amp;$A$2:$A$4001,0,-1)),H838))</f>
        <v>4</v>
      </c>
      <c r="J838" cm="1">
        <f t="array" ref="J838">IF(OR(AND(I838=9,J$1&gt;YEAR($N838))),9,_xlfn.IFNA(INDEX($D$2:$D$4001,_xlfn.XMATCH(J$1&amp;"-"&amp;$F838,YEAR($B$2:$B$4001)&amp;"-"&amp;$A$2:$A$4001,0,-1)),I838))</f>
        <v>4</v>
      </c>
      <c r="K838" cm="1">
        <f t="array" ref="K838">IF(OR(AND(J838=9,K$1&gt;YEAR($N838))),9,_xlfn.IFNA(INDEX($D$2:$D$4001,_xlfn.XMATCH(K$1&amp;"-"&amp;$F838,YEAR($B$2:$B$4001)&amp;"-"&amp;$A$2:$A$4001,0,-1)),J838))</f>
        <v>4</v>
      </c>
      <c r="L838" cm="1">
        <f t="array" ref="L838">IF(OR(AND(K838=9,L$1&gt;YEAR($N838))),9,_xlfn.IFNA(INDEX($D$2:$D$4001,_xlfn.XMATCH(L$1&amp;"-"&amp;$F838,YEAR($B$2:$B$4001)&amp;"-"&amp;$A$2:$A$4001,0,-1)),K838))</f>
        <v>4</v>
      </c>
      <c r="M838" cm="1">
        <f t="array" ref="M838">IF(OR(AND(L838=9,M$1&gt;YEAR($N838))),9,_xlfn.IFNA(INDEX($D$2:$D$4001,_xlfn.XMATCH(M$1&amp;"-"&amp;$F838,YEAR($B$2:$B$4001)&amp;"-"&amp;$A$2:$A$4001,0,-1)),L838))</f>
        <v>4</v>
      </c>
      <c r="N838" s="1">
        <f t="shared" si="13"/>
        <v>36336</v>
      </c>
    </row>
    <row r="839" spans="1:14" x14ac:dyDescent="0.35">
      <c r="A839">
        <v>405</v>
      </c>
      <c r="B839" s="2">
        <v>36676</v>
      </c>
      <c r="C839">
        <v>2</v>
      </c>
      <c r="D839">
        <v>2</v>
      </c>
      <c r="F839">
        <v>838</v>
      </c>
      <c r="G839" cm="1">
        <f t="array" ref="G839">_xlfn.IFNA(INDEX($D$2:$D$4001,_xlfn.XMATCH(G$1&amp;"-"&amp;$F839,YEAR($B$2:$B$4001)&amp;"-"&amp;$A$2:$A$4001,0,-1)),9)</f>
        <v>6</v>
      </c>
      <c r="H839" cm="1">
        <f t="array" ref="H839">IF(OR(AND(G839=9,H$1&gt;YEAR($N839))),9,_xlfn.IFNA(INDEX($D$2:$D$4001,_xlfn.XMATCH(H$1&amp;"-"&amp;$F839,YEAR($B$2:$B$4001)&amp;"-"&amp;$A$2:$A$4001,0,-1)),G839))</f>
        <v>6</v>
      </c>
      <c r="I839" cm="1">
        <f t="array" ref="I839">IF(OR(AND(H839=9,I$1&gt;YEAR($N839))),9,_xlfn.IFNA(INDEX($D$2:$D$4001,_xlfn.XMATCH(I$1&amp;"-"&amp;$F839,YEAR($B$2:$B$4001)&amp;"-"&amp;$A$2:$A$4001,0,-1)),H839))</f>
        <v>5</v>
      </c>
      <c r="J839" cm="1">
        <f t="array" ref="J839">IF(OR(AND(I839=9,J$1&gt;YEAR($N839))),9,_xlfn.IFNA(INDEX($D$2:$D$4001,_xlfn.XMATCH(J$1&amp;"-"&amp;$F839,YEAR($B$2:$B$4001)&amp;"-"&amp;$A$2:$A$4001,0,-1)),I839))</f>
        <v>5</v>
      </c>
      <c r="K839" cm="1">
        <f t="array" ref="K839">IF(OR(AND(J839=9,K$1&gt;YEAR($N839))),9,_xlfn.IFNA(INDEX($D$2:$D$4001,_xlfn.XMATCH(K$1&amp;"-"&amp;$F839,YEAR($B$2:$B$4001)&amp;"-"&amp;$A$2:$A$4001,0,-1)),J839))</f>
        <v>5</v>
      </c>
      <c r="L839" cm="1">
        <f t="array" ref="L839">IF(OR(AND(K839=9,L$1&gt;YEAR($N839))),9,_xlfn.IFNA(INDEX($D$2:$D$4001,_xlfn.XMATCH(L$1&amp;"-"&amp;$F839,YEAR($B$2:$B$4001)&amp;"-"&amp;$A$2:$A$4001,0,-1)),K839))</f>
        <v>5</v>
      </c>
      <c r="M839" cm="1">
        <f t="array" ref="M839">IF(OR(AND(L839=9,M$1&gt;YEAR($N839))),9,_xlfn.IFNA(INDEX($D$2:$D$4001,_xlfn.XMATCH(M$1&amp;"-"&amp;$F839,YEAR($B$2:$B$4001)&amp;"-"&amp;$A$2:$A$4001,0,-1)),L839))</f>
        <v>5</v>
      </c>
      <c r="N839" s="1">
        <f t="shared" si="13"/>
        <v>36332</v>
      </c>
    </row>
    <row r="840" spans="1:14" x14ac:dyDescent="0.35">
      <c r="A840">
        <v>406</v>
      </c>
      <c r="B840" s="2">
        <v>36310</v>
      </c>
      <c r="C840">
        <v>7</v>
      </c>
      <c r="D840">
        <v>7</v>
      </c>
      <c r="F840">
        <v>839</v>
      </c>
      <c r="G840" cm="1">
        <f t="array" ref="G840">_xlfn.IFNA(INDEX($D$2:$D$4001,_xlfn.XMATCH(G$1&amp;"-"&amp;$F840,YEAR($B$2:$B$4001)&amp;"-"&amp;$A$2:$A$4001,0,-1)),9)</f>
        <v>3</v>
      </c>
      <c r="H840" cm="1">
        <f t="array" ref="H840">IF(OR(AND(G840=9,H$1&gt;YEAR($N840))),9,_xlfn.IFNA(INDEX($D$2:$D$4001,_xlfn.XMATCH(H$1&amp;"-"&amp;$F840,YEAR($B$2:$B$4001)&amp;"-"&amp;$A$2:$A$4001,0,-1)),G840))</f>
        <v>3</v>
      </c>
      <c r="I840" cm="1">
        <f t="array" ref="I840">IF(OR(AND(H840=9,I$1&gt;YEAR($N840))),9,_xlfn.IFNA(INDEX($D$2:$D$4001,_xlfn.XMATCH(I$1&amp;"-"&amp;$F840,YEAR($B$2:$B$4001)&amp;"-"&amp;$A$2:$A$4001,0,-1)),H840))</f>
        <v>3</v>
      </c>
      <c r="J840" cm="1">
        <f t="array" ref="J840">IF(OR(AND(I840=9,J$1&gt;YEAR($N840))),9,_xlfn.IFNA(INDEX($D$2:$D$4001,_xlfn.XMATCH(J$1&amp;"-"&amp;$F840,YEAR($B$2:$B$4001)&amp;"-"&amp;$A$2:$A$4001,0,-1)),I840))</f>
        <v>4</v>
      </c>
      <c r="K840" cm="1">
        <f t="array" ref="K840">IF(OR(AND(J840=9,K$1&gt;YEAR($N840))),9,_xlfn.IFNA(INDEX($D$2:$D$4001,_xlfn.XMATCH(K$1&amp;"-"&amp;$F840,YEAR($B$2:$B$4001)&amp;"-"&amp;$A$2:$A$4001,0,-1)),J840))</f>
        <v>4</v>
      </c>
      <c r="L840" cm="1">
        <f t="array" ref="L840">IF(OR(AND(K840=9,L$1&gt;YEAR($N840))),9,_xlfn.IFNA(INDEX($D$2:$D$4001,_xlfn.XMATCH(L$1&amp;"-"&amp;$F840,YEAR($B$2:$B$4001)&amp;"-"&amp;$A$2:$A$4001,0,-1)),K840))</f>
        <v>0</v>
      </c>
      <c r="M840" cm="1">
        <f t="array" ref="M840">IF(OR(AND(L840=9,M$1&gt;YEAR($N840))),9,_xlfn.IFNA(INDEX($D$2:$D$4001,_xlfn.XMATCH(M$1&amp;"-"&amp;$F840,YEAR($B$2:$B$4001)&amp;"-"&amp;$A$2:$A$4001,0,-1)),L840))</f>
        <v>0</v>
      </c>
      <c r="N840" s="1">
        <f t="shared" si="13"/>
        <v>36332</v>
      </c>
    </row>
    <row r="841" spans="1:14" x14ac:dyDescent="0.35">
      <c r="A841">
        <v>406</v>
      </c>
      <c r="B841" s="2">
        <v>36310</v>
      </c>
      <c r="C841">
        <v>8</v>
      </c>
      <c r="D841">
        <v>8</v>
      </c>
      <c r="F841">
        <v>840</v>
      </c>
      <c r="G841" cm="1">
        <f t="array" ref="G841">_xlfn.IFNA(INDEX($D$2:$D$4001,_xlfn.XMATCH(G$1&amp;"-"&amp;$F841,YEAR($B$2:$B$4001)&amp;"-"&amp;$A$2:$A$4001,0,-1)),9)</f>
        <v>4</v>
      </c>
      <c r="H841" cm="1">
        <f t="array" ref="H841">IF(OR(AND(G841=9,H$1&gt;YEAR($N841))),9,_xlfn.IFNA(INDEX($D$2:$D$4001,_xlfn.XMATCH(H$1&amp;"-"&amp;$F841,YEAR($B$2:$B$4001)&amp;"-"&amp;$A$2:$A$4001,0,-1)),G841))</f>
        <v>5</v>
      </c>
      <c r="I841" cm="1">
        <f t="array" ref="I841">IF(OR(AND(H841=9,I$1&gt;YEAR($N841))),9,_xlfn.IFNA(INDEX($D$2:$D$4001,_xlfn.XMATCH(I$1&amp;"-"&amp;$F841,YEAR($B$2:$B$4001)&amp;"-"&amp;$A$2:$A$4001,0,-1)),H841))</f>
        <v>5</v>
      </c>
      <c r="J841" cm="1">
        <f t="array" ref="J841">IF(OR(AND(I841=9,J$1&gt;YEAR($N841))),9,_xlfn.IFNA(INDEX($D$2:$D$4001,_xlfn.XMATCH(J$1&amp;"-"&amp;$F841,YEAR($B$2:$B$4001)&amp;"-"&amp;$A$2:$A$4001,0,-1)),I841))</f>
        <v>7</v>
      </c>
      <c r="K841" cm="1">
        <f t="array" ref="K841">IF(OR(AND(J841=9,K$1&gt;YEAR($N841))),9,_xlfn.IFNA(INDEX($D$2:$D$4001,_xlfn.XMATCH(K$1&amp;"-"&amp;$F841,YEAR($B$2:$B$4001)&amp;"-"&amp;$A$2:$A$4001,0,-1)),J841))</f>
        <v>7</v>
      </c>
      <c r="L841" cm="1">
        <f t="array" ref="L841">IF(OR(AND(K841=9,L$1&gt;YEAR($N841))),9,_xlfn.IFNA(INDEX($D$2:$D$4001,_xlfn.XMATCH(L$1&amp;"-"&amp;$F841,YEAR($B$2:$B$4001)&amp;"-"&amp;$A$2:$A$4001,0,-1)),K841))</f>
        <v>7</v>
      </c>
      <c r="M841" cm="1">
        <f t="array" ref="M841">IF(OR(AND(L841=9,M$1&gt;YEAR($N841))),9,_xlfn.IFNA(INDEX($D$2:$D$4001,_xlfn.XMATCH(M$1&amp;"-"&amp;$F841,YEAR($B$2:$B$4001)&amp;"-"&amp;$A$2:$A$4001,0,-1)),L841))</f>
        <v>7</v>
      </c>
      <c r="N841" s="1">
        <f t="shared" si="13"/>
        <v>36310</v>
      </c>
    </row>
    <row r="842" spans="1:14" x14ac:dyDescent="0.35">
      <c r="A842">
        <v>406</v>
      </c>
      <c r="B842" s="2">
        <v>37133</v>
      </c>
      <c r="C842">
        <v>0</v>
      </c>
      <c r="D842">
        <v>8</v>
      </c>
      <c r="F842">
        <v>841</v>
      </c>
      <c r="G842" cm="1">
        <f t="array" ref="G842">_xlfn.IFNA(INDEX($D$2:$D$4001,_xlfn.XMATCH(G$1&amp;"-"&amp;$F842,YEAR($B$2:$B$4001)&amp;"-"&amp;$A$2:$A$4001,0,-1)),9)</f>
        <v>9</v>
      </c>
      <c r="H842" cm="1">
        <f t="array" ref="H842">IF(OR(AND(G842=9,H$1&gt;YEAR($N842))),9,_xlfn.IFNA(INDEX($D$2:$D$4001,_xlfn.XMATCH(H$1&amp;"-"&amp;$F842,YEAR($B$2:$B$4001)&amp;"-"&amp;$A$2:$A$4001,0,-1)),G842))</f>
        <v>9</v>
      </c>
      <c r="I842" cm="1">
        <f t="array" ref="I842">IF(OR(AND(H842=9,I$1&gt;YEAR($N842))),9,_xlfn.IFNA(INDEX($D$2:$D$4001,_xlfn.XMATCH(I$1&amp;"-"&amp;$F842,YEAR($B$2:$B$4001)&amp;"-"&amp;$A$2:$A$4001,0,-1)),H842))</f>
        <v>5</v>
      </c>
      <c r="J842" cm="1">
        <f t="array" ref="J842">IF(OR(AND(I842=9,J$1&gt;YEAR($N842))),9,_xlfn.IFNA(INDEX($D$2:$D$4001,_xlfn.XMATCH(J$1&amp;"-"&amp;$F842,YEAR($B$2:$B$4001)&amp;"-"&amp;$A$2:$A$4001,0,-1)),I842))</f>
        <v>6</v>
      </c>
      <c r="K842" cm="1">
        <f t="array" ref="K842">IF(OR(AND(J842=9,K$1&gt;YEAR($N842))),9,_xlfn.IFNA(INDEX($D$2:$D$4001,_xlfn.XMATCH(K$1&amp;"-"&amp;$F842,YEAR($B$2:$B$4001)&amp;"-"&amp;$A$2:$A$4001,0,-1)),J842))</f>
        <v>6</v>
      </c>
      <c r="L842" cm="1">
        <f t="array" ref="L842">IF(OR(AND(K842=9,L$1&gt;YEAR($N842))),9,_xlfn.IFNA(INDEX($D$2:$D$4001,_xlfn.XMATCH(L$1&amp;"-"&amp;$F842,YEAR($B$2:$B$4001)&amp;"-"&amp;$A$2:$A$4001,0,-1)),K842))</f>
        <v>6</v>
      </c>
      <c r="M842" cm="1">
        <f t="array" ref="M842">IF(OR(AND(L842=9,M$1&gt;YEAR($N842))),9,_xlfn.IFNA(INDEX($D$2:$D$4001,_xlfn.XMATCH(M$1&amp;"-"&amp;$F842,YEAR($B$2:$B$4001)&amp;"-"&amp;$A$2:$A$4001,0,-1)),L842))</f>
        <v>5</v>
      </c>
      <c r="N842" s="1">
        <f t="shared" si="13"/>
        <v>37072</v>
      </c>
    </row>
    <row r="843" spans="1:14" x14ac:dyDescent="0.35">
      <c r="A843">
        <v>407</v>
      </c>
      <c r="B843" s="2">
        <v>37762</v>
      </c>
      <c r="C843">
        <v>0</v>
      </c>
      <c r="D843">
        <v>0</v>
      </c>
      <c r="F843">
        <v>842</v>
      </c>
      <c r="G843" cm="1">
        <f t="array" ref="G843">_xlfn.IFNA(INDEX($D$2:$D$4001,_xlfn.XMATCH(G$1&amp;"-"&amp;$F843,YEAR($B$2:$B$4001)&amp;"-"&amp;$A$2:$A$4001,0,-1)),9)</f>
        <v>9</v>
      </c>
      <c r="H843" cm="1">
        <f t="array" ref="H843">IF(OR(AND(G843=9,H$1&gt;YEAR($N843))),9,_xlfn.IFNA(INDEX($D$2:$D$4001,_xlfn.XMATCH(H$1&amp;"-"&amp;$F843,YEAR($B$2:$B$4001)&amp;"-"&amp;$A$2:$A$4001,0,-1)),G843))</f>
        <v>9</v>
      </c>
      <c r="I843" cm="1">
        <f t="array" ref="I843">IF(OR(AND(H843=9,I$1&gt;YEAR($N843))),9,_xlfn.IFNA(INDEX($D$2:$D$4001,_xlfn.XMATCH(I$1&amp;"-"&amp;$F843,YEAR($B$2:$B$4001)&amp;"-"&amp;$A$2:$A$4001,0,-1)),H843))</f>
        <v>9</v>
      </c>
      <c r="J843" cm="1">
        <f t="array" ref="J843">IF(OR(AND(I843=9,J$1&gt;YEAR($N843))),9,_xlfn.IFNA(INDEX($D$2:$D$4001,_xlfn.XMATCH(J$1&amp;"-"&amp;$F843,YEAR($B$2:$B$4001)&amp;"-"&amp;$A$2:$A$4001,0,-1)),I843))</f>
        <v>9</v>
      </c>
      <c r="K843" cm="1">
        <f t="array" ref="K843">IF(OR(AND(J843=9,K$1&gt;YEAR($N843))),9,_xlfn.IFNA(INDEX($D$2:$D$4001,_xlfn.XMATCH(K$1&amp;"-"&amp;$F843,YEAR($B$2:$B$4001)&amp;"-"&amp;$A$2:$A$4001,0,-1)),J843))</f>
        <v>9</v>
      </c>
      <c r="L843" cm="1">
        <f t="array" ref="L843">IF(OR(AND(K843=9,L$1&gt;YEAR($N843))),9,_xlfn.IFNA(INDEX($D$2:$D$4001,_xlfn.XMATCH(L$1&amp;"-"&amp;$F843,YEAR($B$2:$B$4001)&amp;"-"&amp;$A$2:$A$4001,0,-1)),K843))</f>
        <v>3</v>
      </c>
      <c r="M843" cm="1">
        <f t="array" ref="M843">IF(OR(AND(L843=9,M$1&gt;YEAR($N843))),9,_xlfn.IFNA(INDEX($D$2:$D$4001,_xlfn.XMATCH(M$1&amp;"-"&amp;$F843,YEAR($B$2:$B$4001)&amp;"-"&amp;$A$2:$A$4001,0,-1)),L843))</f>
        <v>3</v>
      </c>
      <c r="N843" s="1">
        <f t="shared" si="13"/>
        <v>38281</v>
      </c>
    </row>
    <row r="844" spans="1:14" x14ac:dyDescent="0.35">
      <c r="A844">
        <v>408</v>
      </c>
      <c r="B844" s="2">
        <v>37985</v>
      </c>
      <c r="C844">
        <v>0</v>
      </c>
      <c r="D844">
        <v>0</v>
      </c>
      <c r="F844">
        <v>843</v>
      </c>
      <c r="G844" cm="1">
        <f t="array" ref="G844">_xlfn.IFNA(INDEX($D$2:$D$4001,_xlfn.XMATCH(G$1&amp;"-"&amp;$F844,YEAR($B$2:$B$4001)&amp;"-"&amp;$A$2:$A$4001,0,-1)),9)</f>
        <v>9</v>
      </c>
      <c r="H844" cm="1">
        <f t="array" ref="H844">IF(OR(AND(G844=9,H$1&gt;YEAR($N844))),9,_xlfn.IFNA(INDEX($D$2:$D$4001,_xlfn.XMATCH(H$1&amp;"-"&amp;$F844,YEAR($B$2:$B$4001)&amp;"-"&amp;$A$2:$A$4001,0,-1)),G844))</f>
        <v>9</v>
      </c>
      <c r="I844" cm="1">
        <f t="array" ref="I844">IF(OR(AND(H844=9,I$1&gt;YEAR($N844))),9,_xlfn.IFNA(INDEX($D$2:$D$4001,_xlfn.XMATCH(I$1&amp;"-"&amp;$F844,YEAR($B$2:$B$4001)&amp;"-"&amp;$A$2:$A$4001,0,-1)),H844))</f>
        <v>9</v>
      </c>
      <c r="J844" cm="1">
        <f t="array" ref="J844">IF(OR(AND(I844=9,J$1&gt;YEAR($N844))),9,_xlfn.IFNA(INDEX($D$2:$D$4001,_xlfn.XMATCH(J$1&amp;"-"&amp;$F844,YEAR($B$2:$B$4001)&amp;"-"&amp;$A$2:$A$4001,0,-1)),I844))</f>
        <v>3</v>
      </c>
      <c r="K844" cm="1">
        <f t="array" ref="K844">IF(OR(AND(J844=9,K$1&gt;YEAR($N844))),9,_xlfn.IFNA(INDEX($D$2:$D$4001,_xlfn.XMATCH(K$1&amp;"-"&amp;$F844,YEAR($B$2:$B$4001)&amp;"-"&amp;$A$2:$A$4001,0,-1)),J844))</f>
        <v>3</v>
      </c>
      <c r="L844" cm="1">
        <f t="array" ref="L844">IF(OR(AND(K844=9,L$1&gt;YEAR($N844))),9,_xlfn.IFNA(INDEX($D$2:$D$4001,_xlfn.XMATCH(L$1&amp;"-"&amp;$F844,YEAR($B$2:$B$4001)&amp;"-"&amp;$A$2:$A$4001,0,-1)),K844))</f>
        <v>2</v>
      </c>
      <c r="M844" cm="1">
        <f t="array" ref="M844">IF(OR(AND(L844=9,M$1&gt;YEAR($N844))),9,_xlfn.IFNA(INDEX($D$2:$D$4001,_xlfn.XMATCH(M$1&amp;"-"&amp;$F844,YEAR($B$2:$B$4001)&amp;"-"&amp;$A$2:$A$4001,0,-1)),L844))</f>
        <v>2</v>
      </c>
      <c r="N844" s="1">
        <f t="shared" si="13"/>
        <v>37620</v>
      </c>
    </row>
    <row r="845" spans="1:14" x14ac:dyDescent="0.35">
      <c r="A845">
        <v>409</v>
      </c>
      <c r="B845" s="2">
        <v>37620</v>
      </c>
      <c r="C845">
        <v>3</v>
      </c>
      <c r="D845">
        <v>3</v>
      </c>
      <c r="F845">
        <v>844</v>
      </c>
      <c r="G845" cm="1">
        <f t="array" ref="G845">_xlfn.IFNA(INDEX($D$2:$D$4001,_xlfn.XMATCH(G$1&amp;"-"&amp;$F845,YEAR($B$2:$B$4001)&amp;"-"&amp;$A$2:$A$4001,0,-1)),9)</f>
        <v>9</v>
      </c>
      <c r="H845" cm="1">
        <f t="array" ref="H845">IF(OR(AND(G845=9,H$1&gt;YEAR($N845))),9,_xlfn.IFNA(INDEX($D$2:$D$4001,_xlfn.XMATCH(H$1&amp;"-"&amp;$F845,YEAR($B$2:$B$4001)&amp;"-"&amp;$A$2:$A$4001,0,-1)),G845))</f>
        <v>9</v>
      </c>
      <c r="I845" cm="1">
        <f t="array" ref="I845">IF(OR(AND(H845=9,I$1&gt;YEAR($N845))),9,_xlfn.IFNA(INDEX($D$2:$D$4001,_xlfn.XMATCH(I$1&amp;"-"&amp;$F845,YEAR($B$2:$B$4001)&amp;"-"&amp;$A$2:$A$4001,0,-1)),H845))</f>
        <v>3</v>
      </c>
      <c r="J845" cm="1">
        <f t="array" ref="J845">IF(OR(AND(I845=9,J$1&gt;YEAR($N845))),9,_xlfn.IFNA(INDEX($D$2:$D$4001,_xlfn.XMATCH(J$1&amp;"-"&amp;$F845,YEAR($B$2:$B$4001)&amp;"-"&amp;$A$2:$A$4001,0,-1)),I845))</f>
        <v>3</v>
      </c>
      <c r="K845" cm="1">
        <f t="array" ref="K845">IF(OR(AND(J845=9,K$1&gt;YEAR($N845))),9,_xlfn.IFNA(INDEX($D$2:$D$4001,_xlfn.XMATCH(K$1&amp;"-"&amp;$F845,YEAR($B$2:$B$4001)&amp;"-"&amp;$A$2:$A$4001,0,-1)),J845))</f>
        <v>4</v>
      </c>
      <c r="L845" cm="1">
        <f t="array" ref="L845">IF(OR(AND(K845=9,L$1&gt;YEAR($N845))),9,_xlfn.IFNA(INDEX($D$2:$D$4001,_xlfn.XMATCH(L$1&amp;"-"&amp;$F845,YEAR($B$2:$B$4001)&amp;"-"&amp;$A$2:$A$4001,0,-1)),K845))</f>
        <v>4</v>
      </c>
      <c r="M845" cm="1">
        <f t="array" ref="M845">IF(OR(AND(L845=9,M$1&gt;YEAR($N845))),9,_xlfn.IFNA(INDEX($D$2:$D$4001,_xlfn.XMATCH(M$1&amp;"-"&amp;$F845,YEAR($B$2:$B$4001)&amp;"-"&amp;$A$2:$A$4001,0,-1)),L845))</f>
        <v>4</v>
      </c>
      <c r="N845" s="1">
        <f t="shared" si="13"/>
        <v>37072</v>
      </c>
    </row>
    <row r="846" spans="1:14" x14ac:dyDescent="0.35">
      <c r="A846">
        <v>409</v>
      </c>
      <c r="B846" s="2">
        <v>38351</v>
      </c>
      <c r="C846">
        <v>2</v>
      </c>
      <c r="D846">
        <v>2</v>
      </c>
      <c r="F846">
        <v>845</v>
      </c>
      <c r="G846" cm="1">
        <f t="array" ref="G846">_xlfn.IFNA(INDEX($D$2:$D$4001,_xlfn.XMATCH(G$1&amp;"-"&amp;$F846,YEAR($B$2:$B$4001)&amp;"-"&amp;$A$2:$A$4001,0,-1)),9)</f>
        <v>9</v>
      </c>
      <c r="H846" cm="1">
        <f t="array" ref="H846">IF(OR(AND(G846=9,H$1&gt;YEAR($N846))),9,_xlfn.IFNA(INDEX($D$2:$D$4001,_xlfn.XMATCH(H$1&amp;"-"&amp;$F846,YEAR($B$2:$B$4001)&amp;"-"&amp;$A$2:$A$4001,0,-1)),G846))</f>
        <v>9</v>
      </c>
      <c r="I846" cm="1">
        <f t="array" ref="I846">IF(OR(AND(H846=9,I$1&gt;YEAR($N846))),9,_xlfn.IFNA(INDEX($D$2:$D$4001,_xlfn.XMATCH(I$1&amp;"-"&amp;$F846,YEAR($B$2:$B$4001)&amp;"-"&amp;$A$2:$A$4001,0,-1)),H846))</f>
        <v>9</v>
      </c>
      <c r="J846" cm="1">
        <f t="array" ref="J846">IF(OR(AND(I846=9,J$1&gt;YEAR($N846))),9,_xlfn.IFNA(INDEX($D$2:$D$4001,_xlfn.XMATCH(J$1&amp;"-"&amp;$F846,YEAR($B$2:$B$4001)&amp;"-"&amp;$A$2:$A$4001,0,-1)),I846))</f>
        <v>3</v>
      </c>
      <c r="K846" cm="1">
        <f t="array" ref="K846">IF(OR(AND(J846=9,K$1&gt;YEAR($N846))),9,_xlfn.IFNA(INDEX($D$2:$D$4001,_xlfn.XMATCH(K$1&amp;"-"&amp;$F846,YEAR($B$2:$B$4001)&amp;"-"&amp;$A$2:$A$4001,0,-1)),J846))</f>
        <v>3</v>
      </c>
      <c r="L846" cm="1">
        <f t="array" ref="L846">IF(OR(AND(K846=9,L$1&gt;YEAR($N846))),9,_xlfn.IFNA(INDEX($D$2:$D$4001,_xlfn.XMATCH(L$1&amp;"-"&amp;$F846,YEAR($B$2:$B$4001)&amp;"-"&amp;$A$2:$A$4001,0,-1)),K846))</f>
        <v>3</v>
      </c>
      <c r="M846" cm="1">
        <f t="array" ref="M846">IF(OR(AND(L846=9,M$1&gt;YEAR($N846))),9,_xlfn.IFNA(INDEX($D$2:$D$4001,_xlfn.XMATCH(M$1&amp;"-"&amp;$F846,YEAR($B$2:$B$4001)&amp;"-"&amp;$A$2:$A$4001,0,-1)),L846))</f>
        <v>3</v>
      </c>
      <c r="N846" s="1">
        <f t="shared" si="13"/>
        <v>37406</v>
      </c>
    </row>
    <row r="847" spans="1:14" x14ac:dyDescent="0.35">
      <c r="A847">
        <v>410</v>
      </c>
      <c r="B847" s="2">
        <v>36310</v>
      </c>
      <c r="C847">
        <v>0</v>
      </c>
      <c r="D847">
        <v>0</v>
      </c>
      <c r="F847">
        <v>846</v>
      </c>
      <c r="G847" cm="1">
        <f t="array" ref="G847">_xlfn.IFNA(INDEX($D$2:$D$4001,_xlfn.XMATCH(G$1&amp;"-"&amp;$F847,YEAR($B$2:$B$4001)&amp;"-"&amp;$A$2:$A$4001,0,-1)),9)</f>
        <v>9</v>
      </c>
      <c r="H847" cm="1">
        <f t="array" ref="H847">IF(OR(AND(G847=9,H$1&gt;YEAR($N847))),9,_xlfn.IFNA(INDEX($D$2:$D$4001,_xlfn.XMATCH(H$1&amp;"-"&amp;$F847,YEAR($B$2:$B$4001)&amp;"-"&amp;$A$2:$A$4001,0,-1)),G847))</f>
        <v>9</v>
      </c>
      <c r="I847" cm="1">
        <f t="array" ref="I847">IF(OR(AND(H847=9,I$1&gt;YEAR($N847))),9,_xlfn.IFNA(INDEX($D$2:$D$4001,_xlfn.XMATCH(I$1&amp;"-"&amp;$F847,YEAR($B$2:$B$4001)&amp;"-"&amp;$A$2:$A$4001,0,-1)),H847))</f>
        <v>9</v>
      </c>
      <c r="J847" cm="1">
        <f t="array" ref="J847">IF(OR(AND(I847=9,J$1&gt;YEAR($N847))),9,_xlfn.IFNA(INDEX($D$2:$D$4001,_xlfn.XMATCH(J$1&amp;"-"&amp;$F847,YEAR($B$2:$B$4001)&amp;"-"&amp;$A$2:$A$4001,0,-1)),I847))</f>
        <v>4</v>
      </c>
      <c r="K847" cm="1">
        <f t="array" ref="K847">IF(OR(AND(J847=9,K$1&gt;YEAR($N847))),9,_xlfn.IFNA(INDEX($D$2:$D$4001,_xlfn.XMATCH(K$1&amp;"-"&amp;$F847,YEAR($B$2:$B$4001)&amp;"-"&amp;$A$2:$A$4001,0,-1)),J847))</f>
        <v>4</v>
      </c>
      <c r="L847" cm="1">
        <f t="array" ref="L847">IF(OR(AND(K847=9,L$1&gt;YEAR($N847))),9,_xlfn.IFNA(INDEX($D$2:$D$4001,_xlfn.XMATCH(L$1&amp;"-"&amp;$F847,YEAR($B$2:$B$4001)&amp;"-"&amp;$A$2:$A$4001,0,-1)),K847))</f>
        <v>4</v>
      </c>
      <c r="M847" cm="1">
        <f t="array" ref="M847">IF(OR(AND(L847=9,M$1&gt;YEAR($N847))),9,_xlfn.IFNA(INDEX($D$2:$D$4001,_xlfn.XMATCH(M$1&amp;"-"&amp;$F847,YEAR($B$2:$B$4001)&amp;"-"&amp;$A$2:$A$4001,0,-1)),L847))</f>
        <v>4</v>
      </c>
      <c r="N847" s="1">
        <f t="shared" si="13"/>
        <v>37406</v>
      </c>
    </row>
    <row r="848" spans="1:14" x14ac:dyDescent="0.35">
      <c r="A848">
        <v>411</v>
      </c>
      <c r="B848" s="2">
        <v>36301</v>
      </c>
      <c r="C848">
        <v>6</v>
      </c>
      <c r="D848">
        <v>6</v>
      </c>
      <c r="F848">
        <v>847</v>
      </c>
      <c r="G848" cm="1">
        <f t="array" ref="G848">_xlfn.IFNA(INDEX($D$2:$D$4001,_xlfn.XMATCH(G$1&amp;"-"&amp;$F848,YEAR($B$2:$B$4001)&amp;"-"&amp;$A$2:$A$4001,0,-1)),9)</f>
        <v>9</v>
      </c>
      <c r="H848" cm="1">
        <f t="array" ref="H848">IF(OR(AND(G848=9,H$1&gt;YEAR($N848))),9,_xlfn.IFNA(INDEX($D$2:$D$4001,_xlfn.XMATCH(H$1&amp;"-"&amp;$F848,YEAR($B$2:$B$4001)&amp;"-"&amp;$A$2:$A$4001,0,-1)),G848))</f>
        <v>3</v>
      </c>
      <c r="I848" cm="1">
        <f t="array" ref="I848">IF(OR(AND(H848=9,I$1&gt;YEAR($N848))),9,_xlfn.IFNA(INDEX($D$2:$D$4001,_xlfn.XMATCH(I$1&amp;"-"&amp;$F848,YEAR($B$2:$B$4001)&amp;"-"&amp;$A$2:$A$4001,0,-1)),H848))</f>
        <v>3</v>
      </c>
      <c r="J848" cm="1">
        <f t="array" ref="J848">IF(OR(AND(I848=9,J$1&gt;YEAR($N848))),9,_xlfn.IFNA(INDEX($D$2:$D$4001,_xlfn.XMATCH(J$1&amp;"-"&amp;$F848,YEAR($B$2:$B$4001)&amp;"-"&amp;$A$2:$A$4001,0,-1)),I848))</f>
        <v>4</v>
      </c>
      <c r="K848" cm="1">
        <f t="array" ref="K848">IF(OR(AND(J848=9,K$1&gt;YEAR($N848))),9,_xlfn.IFNA(INDEX($D$2:$D$4001,_xlfn.XMATCH(K$1&amp;"-"&amp;$F848,YEAR($B$2:$B$4001)&amp;"-"&amp;$A$2:$A$4001,0,-1)),J848))</f>
        <v>4</v>
      </c>
      <c r="L848" cm="1">
        <f t="array" ref="L848">IF(OR(AND(K848=9,L$1&gt;YEAR($N848))),9,_xlfn.IFNA(INDEX($D$2:$D$4001,_xlfn.XMATCH(L$1&amp;"-"&amp;$F848,YEAR($B$2:$B$4001)&amp;"-"&amp;$A$2:$A$4001,0,-1)),K848))</f>
        <v>4</v>
      </c>
      <c r="M848" cm="1">
        <f t="array" ref="M848">IF(OR(AND(L848=9,M$1&gt;YEAR($N848))),9,_xlfn.IFNA(INDEX($D$2:$D$4001,_xlfn.XMATCH(M$1&amp;"-"&amp;$F848,YEAR($B$2:$B$4001)&amp;"-"&amp;$A$2:$A$4001,0,-1)),L848))</f>
        <v>0</v>
      </c>
      <c r="N848" s="1">
        <f t="shared" si="13"/>
        <v>36667</v>
      </c>
    </row>
    <row r="849" spans="1:14" x14ac:dyDescent="0.35">
      <c r="A849">
        <v>411</v>
      </c>
      <c r="B849" s="2">
        <v>36524</v>
      </c>
      <c r="C849">
        <v>6</v>
      </c>
      <c r="D849">
        <v>6</v>
      </c>
      <c r="F849">
        <v>848</v>
      </c>
      <c r="G849" cm="1">
        <f t="array" ref="G849">_xlfn.IFNA(INDEX($D$2:$D$4001,_xlfn.XMATCH(G$1&amp;"-"&amp;$F849,YEAR($B$2:$B$4001)&amp;"-"&amp;$A$2:$A$4001,0,-1)),9)</f>
        <v>9</v>
      </c>
      <c r="H849" cm="1">
        <f t="array" ref="H849">IF(OR(AND(G849=9,H$1&gt;YEAR($N849))),9,_xlfn.IFNA(INDEX($D$2:$D$4001,_xlfn.XMATCH(H$1&amp;"-"&amp;$F849,YEAR($B$2:$B$4001)&amp;"-"&amp;$A$2:$A$4001,0,-1)),G849))</f>
        <v>3</v>
      </c>
      <c r="I849" cm="1">
        <f t="array" ref="I849">IF(OR(AND(H849=9,I$1&gt;YEAR($N849))),9,_xlfn.IFNA(INDEX($D$2:$D$4001,_xlfn.XMATCH(I$1&amp;"-"&amp;$F849,YEAR($B$2:$B$4001)&amp;"-"&amp;$A$2:$A$4001,0,-1)),H849))</f>
        <v>3</v>
      </c>
      <c r="J849" cm="1">
        <f t="array" ref="J849">IF(OR(AND(I849=9,J$1&gt;YEAR($N849))),9,_xlfn.IFNA(INDEX($D$2:$D$4001,_xlfn.XMATCH(J$1&amp;"-"&amp;$F849,YEAR($B$2:$B$4001)&amp;"-"&amp;$A$2:$A$4001,0,-1)),I849))</f>
        <v>3</v>
      </c>
      <c r="K849" cm="1">
        <f t="array" ref="K849">IF(OR(AND(J849=9,K$1&gt;YEAR($N849))),9,_xlfn.IFNA(INDEX($D$2:$D$4001,_xlfn.XMATCH(K$1&amp;"-"&amp;$F849,YEAR($B$2:$B$4001)&amp;"-"&amp;$A$2:$A$4001,0,-1)),J849))</f>
        <v>3</v>
      </c>
      <c r="L849" cm="1">
        <f t="array" ref="L849">IF(OR(AND(K849=9,L$1&gt;YEAR($N849))),9,_xlfn.IFNA(INDEX($D$2:$D$4001,_xlfn.XMATCH(L$1&amp;"-"&amp;$F849,YEAR($B$2:$B$4001)&amp;"-"&amp;$A$2:$A$4001,0,-1)),K849))</f>
        <v>3</v>
      </c>
      <c r="M849" cm="1">
        <f t="array" ref="M849">IF(OR(AND(L849=9,M$1&gt;YEAR($N849))),9,_xlfn.IFNA(INDEX($D$2:$D$4001,_xlfn.XMATCH(M$1&amp;"-"&amp;$F849,YEAR($B$2:$B$4001)&amp;"-"&amp;$A$2:$A$4001,0,-1)),L849))</f>
        <v>0</v>
      </c>
      <c r="N849" s="1">
        <f t="shared" si="13"/>
        <v>36890</v>
      </c>
    </row>
    <row r="850" spans="1:14" x14ac:dyDescent="0.35">
      <c r="A850">
        <v>411</v>
      </c>
      <c r="B850" s="2">
        <v>37255</v>
      </c>
      <c r="C850">
        <v>6</v>
      </c>
      <c r="D850">
        <v>6</v>
      </c>
      <c r="F850">
        <v>849</v>
      </c>
      <c r="G850" cm="1">
        <f t="array" ref="G850">_xlfn.IFNA(INDEX($D$2:$D$4001,_xlfn.XMATCH(G$1&amp;"-"&amp;$F850,YEAR($B$2:$B$4001)&amp;"-"&amp;$A$2:$A$4001,0,-1)),9)</f>
        <v>9</v>
      </c>
      <c r="H850" cm="1">
        <f t="array" ref="H850">IF(OR(AND(G850=9,H$1&gt;YEAR($N850))),9,_xlfn.IFNA(INDEX($D$2:$D$4001,_xlfn.XMATCH(H$1&amp;"-"&amp;$F850,YEAR($B$2:$B$4001)&amp;"-"&amp;$A$2:$A$4001,0,-1)),G850))</f>
        <v>2</v>
      </c>
      <c r="I850" cm="1">
        <f t="array" ref="I850">IF(OR(AND(H850=9,I$1&gt;YEAR($N850))),9,_xlfn.IFNA(INDEX($D$2:$D$4001,_xlfn.XMATCH(I$1&amp;"-"&amp;$F850,YEAR($B$2:$B$4001)&amp;"-"&amp;$A$2:$A$4001,0,-1)),H850))</f>
        <v>2</v>
      </c>
      <c r="J850" cm="1">
        <f t="array" ref="J850">IF(OR(AND(I850=9,J$1&gt;YEAR($N850))),9,_xlfn.IFNA(INDEX($D$2:$D$4001,_xlfn.XMATCH(J$1&amp;"-"&amp;$F850,YEAR($B$2:$B$4001)&amp;"-"&amp;$A$2:$A$4001,0,-1)),I850))</f>
        <v>3</v>
      </c>
      <c r="K850" cm="1">
        <f t="array" ref="K850">IF(OR(AND(J850=9,K$1&gt;YEAR($N850))),9,_xlfn.IFNA(INDEX($D$2:$D$4001,_xlfn.XMATCH(K$1&amp;"-"&amp;$F850,YEAR($B$2:$B$4001)&amp;"-"&amp;$A$2:$A$4001,0,-1)),J850))</f>
        <v>3</v>
      </c>
      <c r="L850" cm="1">
        <f t="array" ref="L850">IF(OR(AND(K850=9,L$1&gt;YEAR($N850))),9,_xlfn.IFNA(INDEX($D$2:$D$4001,_xlfn.XMATCH(L$1&amp;"-"&amp;$F850,YEAR($B$2:$B$4001)&amp;"-"&amp;$A$2:$A$4001,0,-1)),K850))</f>
        <v>3</v>
      </c>
      <c r="M850" cm="1">
        <f t="array" ref="M850">IF(OR(AND(L850=9,M$1&gt;YEAR($N850))),9,_xlfn.IFNA(INDEX($D$2:$D$4001,_xlfn.XMATCH(M$1&amp;"-"&amp;$F850,YEAR($B$2:$B$4001)&amp;"-"&amp;$A$2:$A$4001,0,-1)),L850))</f>
        <v>3</v>
      </c>
      <c r="N850" s="1">
        <f t="shared" si="13"/>
        <v>36768</v>
      </c>
    </row>
    <row r="851" spans="1:14" x14ac:dyDescent="0.35">
      <c r="A851">
        <v>411</v>
      </c>
      <c r="B851" s="2">
        <v>37894</v>
      </c>
      <c r="C851">
        <v>0</v>
      </c>
      <c r="D851">
        <v>0</v>
      </c>
      <c r="F851">
        <v>850</v>
      </c>
      <c r="G851" cm="1">
        <f t="array" ref="G851">_xlfn.IFNA(INDEX($D$2:$D$4001,_xlfn.XMATCH(G$1&amp;"-"&amp;$F851,YEAR($B$2:$B$4001)&amp;"-"&amp;$A$2:$A$4001,0,-1)),9)</f>
        <v>9</v>
      </c>
      <c r="H851" cm="1">
        <f t="array" ref="H851">IF(OR(AND(G851=9,H$1&gt;YEAR($N851))),9,_xlfn.IFNA(INDEX($D$2:$D$4001,_xlfn.XMATCH(H$1&amp;"-"&amp;$F851,YEAR($B$2:$B$4001)&amp;"-"&amp;$A$2:$A$4001,0,-1)),G851))</f>
        <v>2</v>
      </c>
      <c r="I851" cm="1">
        <f t="array" ref="I851">IF(OR(AND(H851=9,I$1&gt;YEAR($N851))),9,_xlfn.IFNA(INDEX($D$2:$D$4001,_xlfn.XMATCH(I$1&amp;"-"&amp;$F851,YEAR($B$2:$B$4001)&amp;"-"&amp;$A$2:$A$4001,0,-1)),H851))</f>
        <v>2</v>
      </c>
      <c r="J851" cm="1">
        <f t="array" ref="J851">IF(OR(AND(I851=9,J$1&gt;YEAR($N851))),9,_xlfn.IFNA(INDEX($D$2:$D$4001,_xlfn.XMATCH(J$1&amp;"-"&amp;$F851,YEAR($B$2:$B$4001)&amp;"-"&amp;$A$2:$A$4001,0,-1)),I851))</f>
        <v>3</v>
      </c>
      <c r="K851" cm="1">
        <f t="array" ref="K851">IF(OR(AND(J851=9,K$1&gt;YEAR($N851))),9,_xlfn.IFNA(INDEX($D$2:$D$4001,_xlfn.XMATCH(K$1&amp;"-"&amp;$F851,YEAR($B$2:$B$4001)&amp;"-"&amp;$A$2:$A$4001,0,-1)),J851))</f>
        <v>3</v>
      </c>
      <c r="L851" cm="1">
        <f t="array" ref="L851">IF(OR(AND(K851=9,L$1&gt;YEAR($N851))),9,_xlfn.IFNA(INDEX($D$2:$D$4001,_xlfn.XMATCH(L$1&amp;"-"&amp;$F851,YEAR($B$2:$B$4001)&amp;"-"&amp;$A$2:$A$4001,0,-1)),K851))</f>
        <v>3</v>
      </c>
      <c r="M851" cm="1">
        <f t="array" ref="M851">IF(OR(AND(L851=9,M$1&gt;YEAR($N851))),9,_xlfn.IFNA(INDEX($D$2:$D$4001,_xlfn.XMATCH(M$1&amp;"-"&amp;$F851,YEAR($B$2:$B$4001)&amp;"-"&amp;$A$2:$A$4001,0,-1)),L851))</f>
        <v>3</v>
      </c>
      <c r="N851" s="1">
        <f t="shared" si="13"/>
        <v>36829</v>
      </c>
    </row>
    <row r="852" spans="1:14" x14ac:dyDescent="0.35">
      <c r="A852">
        <v>412</v>
      </c>
      <c r="B852" s="2">
        <v>36304</v>
      </c>
      <c r="C852">
        <v>5</v>
      </c>
      <c r="D852">
        <v>5</v>
      </c>
      <c r="F852">
        <v>851</v>
      </c>
      <c r="G852" cm="1">
        <f t="array" ref="G852">_xlfn.IFNA(INDEX($D$2:$D$4001,_xlfn.XMATCH(G$1&amp;"-"&amp;$F852,YEAR($B$2:$B$4001)&amp;"-"&amp;$A$2:$A$4001,0,-1)),9)</f>
        <v>9</v>
      </c>
      <c r="H852" cm="1">
        <f t="array" ref="H852">IF(OR(AND(G852=9,H$1&gt;YEAR($N852))),9,_xlfn.IFNA(INDEX($D$2:$D$4001,_xlfn.XMATCH(H$1&amp;"-"&amp;$F852,YEAR($B$2:$B$4001)&amp;"-"&amp;$A$2:$A$4001,0,-1)),G852))</f>
        <v>2</v>
      </c>
      <c r="I852" cm="1">
        <f t="array" ref="I852">IF(OR(AND(H852=9,I$1&gt;YEAR($N852))),9,_xlfn.IFNA(INDEX($D$2:$D$4001,_xlfn.XMATCH(I$1&amp;"-"&amp;$F852,YEAR($B$2:$B$4001)&amp;"-"&amp;$A$2:$A$4001,0,-1)),H852))</f>
        <v>2</v>
      </c>
      <c r="J852" cm="1">
        <f t="array" ref="J852">IF(OR(AND(I852=9,J$1&gt;YEAR($N852))),9,_xlfn.IFNA(INDEX($D$2:$D$4001,_xlfn.XMATCH(J$1&amp;"-"&amp;$F852,YEAR($B$2:$B$4001)&amp;"-"&amp;$A$2:$A$4001,0,-1)),I852))</f>
        <v>3</v>
      </c>
      <c r="K852" cm="1">
        <f t="array" ref="K852">IF(OR(AND(J852=9,K$1&gt;YEAR($N852))),9,_xlfn.IFNA(INDEX($D$2:$D$4001,_xlfn.XMATCH(K$1&amp;"-"&amp;$F852,YEAR($B$2:$B$4001)&amp;"-"&amp;$A$2:$A$4001,0,-1)),J852))</f>
        <v>3</v>
      </c>
      <c r="L852" cm="1">
        <f t="array" ref="L852">IF(OR(AND(K852=9,L$1&gt;YEAR($N852))),9,_xlfn.IFNA(INDEX($D$2:$D$4001,_xlfn.XMATCH(L$1&amp;"-"&amp;$F852,YEAR($B$2:$B$4001)&amp;"-"&amp;$A$2:$A$4001,0,-1)),K852))</f>
        <v>3</v>
      </c>
      <c r="M852" cm="1">
        <f t="array" ref="M852">IF(OR(AND(L852=9,M$1&gt;YEAR($N852))),9,_xlfn.IFNA(INDEX($D$2:$D$4001,_xlfn.XMATCH(M$1&amp;"-"&amp;$F852,YEAR($B$2:$B$4001)&amp;"-"&amp;$A$2:$A$4001,0,-1)),L852))</f>
        <v>3</v>
      </c>
      <c r="N852" s="1">
        <f t="shared" si="13"/>
        <v>36890</v>
      </c>
    </row>
    <row r="853" spans="1:14" x14ac:dyDescent="0.35">
      <c r="A853">
        <v>412</v>
      </c>
      <c r="B853" s="2">
        <v>36768</v>
      </c>
      <c r="C853">
        <v>4</v>
      </c>
      <c r="D853">
        <v>4</v>
      </c>
      <c r="F853">
        <v>852</v>
      </c>
      <c r="G853" cm="1">
        <f t="array" ref="G853">_xlfn.IFNA(INDEX($D$2:$D$4001,_xlfn.XMATCH(G$1&amp;"-"&amp;$F853,YEAR($B$2:$B$4001)&amp;"-"&amp;$A$2:$A$4001,0,-1)),9)</f>
        <v>9</v>
      </c>
      <c r="H853" cm="1">
        <f t="array" ref="H853">IF(OR(AND(G853=9,H$1&gt;YEAR($N853))),9,_xlfn.IFNA(INDEX($D$2:$D$4001,_xlfn.XMATCH(H$1&amp;"-"&amp;$F853,YEAR($B$2:$B$4001)&amp;"-"&amp;$A$2:$A$4001,0,-1)),G853))</f>
        <v>9</v>
      </c>
      <c r="I853" cm="1">
        <f t="array" ref="I853">IF(OR(AND(H853=9,I$1&gt;YEAR($N853))),9,_xlfn.IFNA(INDEX($D$2:$D$4001,_xlfn.XMATCH(I$1&amp;"-"&amp;$F853,YEAR($B$2:$B$4001)&amp;"-"&amp;$A$2:$A$4001,0,-1)),H853))</f>
        <v>9</v>
      </c>
      <c r="J853" cm="1">
        <f t="array" ref="J853">IF(OR(AND(I853=9,J$1&gt;YEAR($N853))),9,_xlfn.IFNA(INDEX($D$2:$D$4001,_xlfn.XMATCH(J$1&amp;"-"&amp;$F853,YEAR($B$2:$B$4001)&amp;"-"&amp;$A$2:$A$4001,0,-1)),I853))</f>
        <v>4</v>
      </c>
      <c r="K853" cm="1">
        <f t="array" ref="K853">IF(OR(AND(J853=9,K$1&gt;YEAR($N853))),9,_xlfn.IFNA(INDEX($D$2:$D$4001,_xlfn.XMATCH(K$1&amp;"-"&amp;$F853,YEAR($B$2:$B$4001)&amp;"-"&amp;$A$2:$A$4001,0,-1)),J853))</f>
        <v>4</v>
      </c>
      <c r="L853" cm="1">
        <f t="array" ref="L853">IF(OR(AND(K853=9,L$1&gt;YEAR($N853))),9,_xlfn.IFNA(INDEX($D$2:$D$4001,_xlfn.XMATCH(L$1&amp;"-"&amp;$F853,YEAR($B$2:$B$4001)&amp;"-"&amp;$A$2:$A$4001,0,-1)),K853))</f>
        <v>4</v>
      </c>
      <c r="M853" cm="1">
        <f t="array" ref="M853">IF(OR(AND(L853=9,M$1&gt;YEAR($N853))),9,_xlfn.IFNA(INDEX($D$2:$D$4001,_xlfn.XMATCH(M$1&amp;"-"&amp;$F853,YEAR($B$2:$B$4001)&amp;"-"&amp;$A$2:$A$4001,0,-1)),L853))</f>
        <v>4</v>
      </c>
      <c r="N853" s="1">
        <f t="shared" si="13"/>
        <v>37397</v>
      </c>
    </row>
    <row r="854" spans="1:14" x14ac:dyDescent="0.35">
      <c r="A854">
        <v>412</v>
      </c>
      <c r="B854" s="2">
        <v>37590</v>
      </c>
      <c r="C854">
        <v>4</v>
      </c>
      <c r="D854">
        <v>4</v>
      </c>
      <c r="F854">
        <v>853</v>
      </c>
      <c r="G854" cm="1">
        <f t="array" ref="G854">_xlfn.IFNA(INDEX($D$2:$D$4001,_xlfn.XMATCH(G$1&amp;"-"&amp;$F854,YEAR($B$2:$B$4001)&amp;"-"&amp;$A$2:$A$4001,0,-1)),9)</f>
        <v>9</v>
      </c>
      <c r="H854" cm="1">
        <f t="array" ref="H854">IF(OR(AND(G854=9,H$1&gt;YEAR($N854))),9,_xlfn.IFNA(INDEX($D$2:$D$4001,_xlfn.XMATCH(H$1&amp;"-"&amp;$F854,YEAR($B$2:$B$4001)&amp;"-"&amp;$A$2:$A$4001,0,-1)),G854))</f>
        <v>9</v>
      </c>
      <c r="I854" cm="1">
        <f t="array" ref="I854">IF(OR(AND(H854=9,I$1&gt;YEAR($N854))),9,_xlfn.IFNA(INDEX($D$2:$D$4001,_xlfn.XMATCH(I$1&amp;"-"&amp;$F854,YEAR($B$2:$B$4001)&amp;"-"&amp;$A$2:$A$4001,0,-1)),H854))</f>
        <v>3</v>
      </c>
      <c r="J854" cm="1">
        <f t="array" ref="J854">IF(OR(AND(I854=9,J$1&gt;YEAR($N854))),9,_xlfn.IFNA(INDEX($D$2:$D$4001,_xlfn.XMATCH(J$1&amp;"-"&amp;$F854,YEAR($B$2:$B$4001)&amp;"-"&amp;$A$2:$A$4001,0,-1)),I854))</f>
        <v>3</v>
      </c>
      <c r="K854" cm="1">
        <f t="array" ref="K854">IF(OR(AND(J854=9,K$1&gt;YEAR($N854))),9,_xlfn.IFNA(INDEX($D$2:$D$4001,_xlfn.XMATCH(K$1&amp;"-"&amp;$F854,YEAR($B$2:$B$4001)&amp;"-"&amp;$A$2:$A$4001,0,-1)),J854))</f>
        <v>3</v>
      </c>
      <c r="L854" cm="1">
        <f t="array" ref="L854">IF(OR(AND(K854=9,L$1&gt;YEAR($N854))),9,_xlfn.IFNA(INDEX($D$2:$D$4001,_xlfn.XMATCH(L$1&amp;"-"&amp;$F854,YEAR($B$2:$B$4001)&amp;"-"&amp;$A$2:$A$4001,0,-1)),K854))</f>
        <v>3</v>
      </c>
      <c r="M854" cm="1">
        <f t="array" ref="M854">IF(OR(AND(L854=9,M$1&gt;YEAR($N854))),9,_xlfn.IFNA(INDEX($D$2:$D$4001,_xlfn.XMATCH(M$1&amp;"-"&amp;$F854,YEAR($B$2:$B$4001)&amp;"-"&amp;$A$2:$A$4001,0,-1)),L854))</f>
        <v>3</v>
      </c>
      <c r="N854" s="1">
        <f t="shared" si="13"/>
        <v>37041</v>
      </c>
    </row>
    <row r="855" spans="1:14" x14ac:dyDescent="0.35">
      <c r="A855">
        <v>412</v>
      </c>
      <c r="B855" s="2">
        <v>37985</v>
      </c>
      <c r="C855">
        <v>0</v>
      </c>
      <c r="D855">
        <v>0</v>
      </c>
      <c r="F855">
        <v>854</v>
      </c>
      <c r="G855" cm="1">
        <f t="array" ref="G855">_xlfn.IFNA(INDEX($D$2:$D$4001,_xlfn.XMATCH(G$1&amp;"-"&amp;$F855,YEAR($B$2:$B$4001)&amp;"-"&amp;$A$2:$A$4001,0,-1)),9)</f>
        <v>9</v>
      </c>
      <c r="H855" cm="1">
        <f t="array" ref="H855">IF(OR(AND(G855=9,H$1&gt;YEAR($N855))),9,_xlfn.IFNA(INDEX($D$2:$D$4001,_xlfn.XMATCH(H$1&amp;"-"&amp;$F855,YEAR($B$2:$B$4001)&amp;"-"&amp;$A$2:$A$4001,0,-1)),G855))</f>
        <v>9</v>
      </c>
      <c r="I855" cm="1">
        <f t="array" ref="I855">IF(OR(AND(H855=9,I$1&gt;YEAR($N855))),9,_xlfn.IFNA(INDEX($D$2:$D$4001,_xlfn.XMATCH(I$1&amp;"-"&amp;$F855,YEAR($B$2:$B$4001)&amp;"-"&amp;$A$2:$A$4001,0,-1)),H855))</f>
        <v>4</v>
      </c>
      <c r="J855" cm="1">
        <f t="array" ref="J855">IF(OR(AND(I855=9,J$1&gt;YEAR($N855))),9,_xlfn.IFNA(INDEX($D$2:$D$4001,_xlfn.XMATCH(J$1&amp;"-"&amp;$F855,YEAR($B$2:$B$4001)&amp;"-"&amp;$A$2:$A$4001,0,-1)),I855))</f>
        <v>5</v>
      </c>
      <c r="K855" cm="1">
        <f t="array" ref="K855">IF(OR(AND(J855=9,K$1&gt;YEAR($N855))),9,_xlfn.IFNA(INDEX($D$2:$D$4001,_xlfn.XMATCH(K$1&amp;"-"&amp;$F855,YEAR($B$2:$B$4001)&amp;"-"&amp;$A$2:$A$4001,0,-1)),J855))</f>
        <v>5</v>
      </c>
      <c r="L855" cm="1">
        <f t="array" ref="L855">IF(OR(AND(K855=9,L$1&gt;YEAR($N855))),9,_xlfn.IFNA(INDEX($D$2:$D$4001,_xlfn.XMATCH(L$1&amp;"-"&amp;$F855,YEAR($B$2:$B$4001)&amp;"-"&amp;$A$2:$A$4001,0,-1)),K855))</f>
        <v>5</v>
      </c>
      <c r="M855" cm="1">
        <f t="array" ref="M855">IF(OR(AND(L855=9,M$1&gt;YEAR($N855))),9,_xlfn.IFNA(INDEX($D$2:$D$4001,_xlfn.XMATCH(M$1&amp;"-"&amp;$F855,YEAR($B$2:$B$4001)&amp;"-"&amp;$A$2:$A$4001,0,-1)),L855))</f>
        <v>4</v>
      </c>
      <c r="N855" s="1">
        <f t="shared" si="13"/>
        <v>37255</v>
      </c>
    </row>
    <row r="856" spans="1:14" x14ac:dyDescent="0.35">
      <c r="A856">
        <v>413</v>
      </c>
      <c r="B856" s="2">
        <v>36310</v>
      </c>
      <c r="C856">
        <v>3</v>
      </c>
      <c r="D856">
        <v>3</v>
      </c>
      <c r="F856">
        <v>855</v>
      </c>
      <c r="G856" cm="1">
        <f t="array" ref="G856">_xlfn.IFNA(INDEX($D$2:$D$4001,_xlfn.XMATCH(G$1&amp;"-"&amp;$F856,YEAR($B$2:$B$4001)&amp;"-"&amp;$A$2:$A$4001,0,-1)),9)</f>
        <v>9</v>
      </c>
      <c r="H856" cm="1">
        <f t="array" ref="H856">IF(OR(AND(G856=9,H$1&gt;YEAR($N856))),9,_xlfn.IFNA(INDEX($D$2:$D$4001,_xlfn.XMATCH(H$1&amp;"-"&amp;$F856,YEAR($B$2:$B$4001)&amp;"-"&amp;$A$2:$A$4001,0,-1)),G856))</f>
        <v>9</v>
      </c>
      <c r="I856" cm="1">
        <f t="array" ref="I856">IF(OR(AND(H856=9,I$1&gt;YEAR($N856))),9,_xlfn.IFNA(INDEX($D$2:$D$4001,_xlfn.XMATCH(I$1&amp;"-"&amp;$F856,YEAR($B$2:$B$4001)&amp;"-"&amp;$A$2:$A$4001,0,-1)),H856))</f>
        <v>7</v>
      </c>
      <c r="J856" cm="1">
        <f t="array" ref="J856">IF(OR(AND(I856=9,J$1&gt;YEAR($N856))),9,_xlfn.IFNA(INDEX($D$2:$D$4001,_xlfn.XMATCH(J$1&amp;"-"&amp;$F856,YEAR($B$2:$B$4001)&amp;"-"&amp;$A$2:$A$4001,0,-1)),I856))</f>
        <v>0</v>
      </c>
      <c r="K856" cm="1">
        <f t="array" ref="K856">IF(OR(AND(J856=9,K$1&gt;YEAR($N856))),9,_xlfn.IFNA(INDEX($D$2:$D$4001,_xlfn.XMATCH(K$1&amp;"-"&amp;$F856,YEAR($B$2:$B$4001)&amp;"-"&amp;$A$2:$A$4001,0,-1)),J856))</f>
        <v>0</v>
      </c>
      <c r="L856" cm="1">
        <f t="array" ref="L856">IF(OR(AND(K856=9,L$1&gt;YEAR($N856))),9,_xlfn.IFNA(INDEX($D$2:$D$4001,_xlfn.XMATCH(L$1&amp;"-"&amp;$F856,YEAR($B$2:$B$4001)&amp;"-"&amp;$A$2:$A$4001,0,-1)),K856))</f>
        <v>0</v>
      </c>
      <c r="M856" cm="1">
        <f t="array" ref="M856">IF(OR(AND(L856=9,M$1&gt;YEAR($N856))),9,_xlfn.IFNA(INDEX($D$2:$D$4001,_xlfn.XMATCH(M$1&amp;"-"&amp;$F856,YEAR($B$2:$B$4001)&amp;"-"&amp;$A$2:$A$4001,0,-1)),L856))</f>
        <v>0</v>
      </c>
      <c r="N856" s="1">
        <f t="shared" si="13"/>
        <v>37063</v>
      </c>
    </row>
    <row r="857" spans="1:14" x14ac:dyDescent="0.35">
      <c r="A857">
        <v>413</v>
      </c>
      <c r="B857" s="2">
        <v>36890</v>
      </c>
      <c r="C857">
        <v>2</v>
      </c>
      <c r="D857">
        <v>2</v>
      </c>
      <c r="F857">
        <v>856</v>
      </c>
      <c r="G857" cm="1">
        <f t="array" ref="G857">_xlfn.IFNA(INDEX($D$2:$D$4001,_xlfn.XMATCH(G$1&amp;"-"&amp;$F857,YEAR($B$2:$B$4001)&amp;"-"&amp;$A$2:$A$4001,0,-1)),9)</f>
        <v>9</v>
      </c>
      <c r="H857" cm="1">
        <f t="array" ref="H857">IF(OR(AND(G857=9,H$1&gt;YEAR($N857))),9,_xlfn.IFNA(INDEX($D$2:$D$4001,_xlfn.XMATCH(H$1&amp;"-"&amp;$F857,YEAR($B$2:$B$4001)&amp;"-"&amp;$A$2:$A$4001,0,-1)),G857))</f>
        <v>2</v>
      </c>
      <c r="I857" cm="1">
        <f t="array" ref="I857">IF(OR(AND(H857=9,I$1&gt;YEAR($N857))),9,_xlfn.IFNA(INDEX($D$2:$D$4001,_xlfn.XMATCH(I$1&amp;"-"&amp;$F857,YEAR($B$2:$B$4001)&amp;"-"&amp;$A$2:$A$4001,0,-1)),H857))</f>
        <v>2</v>
      </c>
      <c r="J857" cm="1">
        <f t="array" ref="J857">IF(OR(AND(I857=9,J$1&gt;YEAR($N857))),9,_xlfn.IFNA(INDEX($D$2:$D$4001,_xlfn.XMATCH(J$1&amp;"-"&amp;$F857,YEAR($B$2:$B$4001)&amp;"-"&amp;$A$2:$A$4001,0,-1)),I857))</f>
        <v>2</v>
      </c>
      <c r="K857" cm="1">
        <f t="array" ref="K857">IF(OR(AND(J857=9,K$1&gt;YEAR($N857))),9,_xlfn.IFNA(INDEX($D$2:$D$4001,_xlfn.XMATCH(K$1&amp;"-"&amp;$F857,YEAR($B$2:$B$4001)&amp;"-"&amp;$A$2:$A$4001,0,-1)),J857))</f>
        <v>2</v>
      </c>
      <c r="L857" cm="1">
        <f t="array" ref="L857">IF(OR(AND(K857=9,L$1&gt;YEAR($N857))),9,_xlfn.IFNA(INDEX($D$2:$D$4001,_xlfn.XMATCH(L$1&amp;"-"&amp;$F857,YEAR($B$2:$B$4001)&amp;"-"&amp;$A$2:$A$4001,0,-1)),K857))</f>
        <v>2</v>
      </c>
      <c r="M857" cm="1">
        <f t="array" ref="M857">IF(OR(AND(L857=9,M$1&gt;YEAR($N857))),9,_xlfn.IFNA(INDEX($D$2:$D$4001,_xlfn.XMATCH(M$1&amp;"-"&amp;$F857,YEAR($B$2:$B$4001)&amp;"-"&amp;$A$2:$A$4001,0,-1)),L857))</f>
        <v>2</v>
      </c>
      <c r="N857" s="1">
        <f t="shared" si="13"/>
        <v>36890</v>
      </c>
    </row>
    <row r="858" spans="1:14" x14ac:dyDescent="0.35">
      <c r="A858">
        <v>414</v>
      </c>
      <c r="B858" s="2">
        <v>37762</v>
      </c>
      <c r="C858">
        <v>2</v>
      </c>
      <c r="D858">
        <v>2</v>
      </c>
      <c r="F858">
        <v>857</v>
      </c>
      <c r="G858" cm="1">
        <f t="array" ref="G858">_xlfn.IFNA(INDEX($D$2:$D$4001,_xlfn.XMATCH(G$1&amp;"-"&amp;$F858,YEAR($B$2:$B$4001)&amp;"-"&amp;$A$2:$A$4001,0,-1)),9)</f>
        <v>5</v>
      </c>
      <c r="H858" cm="1">
        <f t="array" ref="H858">IF(OR(AND(G858=9,H$1&gt;YEAR($N858))),9,_xlfn.IFNA(INDEX($D$2:$D$4001,_xlfn.XMATCH(H$1&amp;"-"&amp;$F858,YEAR($B$2:$B$4001)&amp;"-"&amp;$A$2:$A$4001,0,-1)),G858))</f>
        <v>5</v>
      </c>
      <c r="I858" cm="1">
        <f t="array" ref="I858">IF(OR(AND(H858=9,I$1&gt;YEAR($N858))),9,_xlfn.IFNA(INDEX($D$2:$D$4001,_xlfn.XMATCH(I$1&amp;"-"&amp;$F858,YEAR($B$2:$B$4001)&amp;"-"&amp;$A$2:$A$4001,0,-1)),H858))</f>
        <v>5</v>
      </c>
      <c r="J858" cm="1">
        <f t="array" ref="J858">IF(OR(AND(I858=9,J$1&gt;YEAR($N858))),9,_xlfn.IFNA(INDEX($D$2:$D$4001,_xlfn.XMATCH(J$1&amp;"-"&amp;$F858,YEAR($B$2:$B$4001)&amp;"-"&amp;$A$2:$A$4001,0,-1)),I858))</f>
        <v>5</v>
      </c>
      <c r="K858" cm="1">
        <f t="array" ref="K858">IF(OR(AND(J858=9,K$1&gt;YEAR($N858))),9,_xlfn.IFNA(INDEX($D$2:$D$4001,_xlfn.XMATCH(K$1&amp;"-"&amp;$F858,YEAR($B$2:$B$4001)&amp;"-"&amp;$A$2:$A$4001,0,-1)),J858))</f>
        <v>5</v>
      </c>
      <c r="L858" cm="1">
        <f t="array" ref="L858">IF(OR(AND(K858=9,L$1&gt;YEAR($N858))),9,_xlfn.IFNA(INDEX($D$2:$D$4001,_xlfn.XMATCH(L$1&amp;"-"&amp;$F858,YEAR($B$2:$B$4001)&amp;"-"&amp;$A$2:$A$4001,0,-1)),K858))</f>
        <v>5</v>
      </c>
      <c r="M858" cm="1">
        <f t="array" ref="M858">IF(OR(AND(L858=9,M$1&gt;YEAR($N858))),9,_xlfn.IFNA(INDEX($D$2:$D$4001,_xlfn.XMATCH(M$1&amp;"-"&amp;$F858,YEAR($B$2:$B$4001)&amp;"-"&amp;$A$2:$A$4001,0,-1)),L858))</f>
        <v>5</v>
      </c>
      <c r="N858" s="1">
        <f t="shared" si="13"/>
        <v>36301</v>
      </c>
    </row>
    <row r="859" spans="1:14" x14ac:dyDescent="0.35">
      <c r="A859">
        <v>414</v>
      </c>
      <c r="B859" s="2">
        <v>38229</v>
      </c>
      <c r="C859">
        <v>2</v>
      </c>
      <c r="D859">
        <v>2</v>
      </c>
      <c r="F859">
        <v>858</v>
      </c>
      <c r="G859" cm="1">
        <f t="array" ref="G859">_xlfn.IFNA(INDEX($D$2:$D$4001,_xlfn.XMATCH(G$1&amp;"-"&amp;$F859,YEAR($B$2:$B$4001)&amp;"-"&amp;$A$2:$A$4001,0,-1)),9)</f>
        <v>9</v>
      </c>
      <c r="H859" cm="1">
        <f t="array" ref="H859">IF(OR(AND(G859=9,H$1&gt;YEAR($N859))),9,_xlfn.IFNA(INDEX($D$2:$D$4001,_xlfn.XMATCH(H$1&amp;"-"&amp;$F859,YEAR($B$2:$B$4001)&amp;"-"&amp;$A$2:$A$4001,0,-1)),G859))</f>
        <v>9</v>
      </c>
      <c r="I859" cm="1">
        <f t="array" ref="I859">IF(OR(AND(H859=9,I$1&gt;YEAR($N859))),9,_xlfn.IFNA(INDEX($D$2:$D$4001,_xlfn.XMATCH(I$1&amp;"-"&amp;$F859,YEAR($B$2:$B$4001)&amp;"-"&amp;$A$2:$A$4001,0,-1)),H859))</f>
        <v>9</v>
      </c>
      <c r="J859" cm="1">
        <f t="array" ref="J859">IF(OR(AND(I859=9,J$1&gt;YEAR($N859))),9,_xlfn.IFNA(INDEX($D$2:$D$4001,_xlfn.XMATCH(J$1&amp;"-"&amp;$F859,YEAR($B$2:$B$4001)&amp;"-"&amp;$A$2:$A$4001,0,-1)),I859))</f>
        <v>3</v>
      </c>
      <c r="K859" cm="1">
        <f t="array" ref="K859">IF(OR(AND(J859=9,K$1&gt;YEAR($N859))),9,_xlfn.IFNA(INDEX($D$2:$D$4001,_xlfn.XMATCH(K$1&amp;"-"&amp;$F859,YEAR($B$2:$B$4001)&amp;"-"&amp;$A$2:$A$4001,0,-1)),J859))</f>
        <v>3</v>
      </c>
      <c r="L859" cm="1">
        <f t="array" ref="L859">IF(OR(AND(K859=9,L$1&gt;YEAR($N859))),9,_xlfn.IFNA(INDEX($D$2:$D$4001,_xlfn.XMATCH(L$1&amp;"-"&amp;$F859,YEAR($B$2:$B$4001)&amp;"-"&amp;$A$2:$A$4001,0,-1)),K859))</f>
        <v>3</v>
      </c>
      <c r="M859" cm="1">
        <f t="array" ref="M859">IF(OR(AND(L859=9,M$1&gt;YEAR($N859))),9,_xlfn.IFNA(INDEX($D$2:$D$4001,_xlfn.XMATCH(M$1&amp;"-"&amp;$F859,YEAR($B$2:$B$4001)&amp;"-"&amp;$A$2:$A$4001,0,-1)),L859))</f>
        <v>3</v>
      </c>
      <c r="N859" s="1">
        <f t="shared" si="13"/>
        <v>37406</v>
      </c>
    </row>
    <row r="860" spans="1:14" x14ac:dyDescent="0.35">
      <c r="A860">
        <v>415</v>
      </c>
      <c r="B860" s="2">
        <v>36371</v>
      </c>
      <c r="C860">
        <v>2</v>
      </c>
      <c r="D860">
        <v>2</v>
      </c>
      <c r="F860">
        <v>859</v>
      </c>
      <c r="G860" cm="1">
        <f t="array" ref="G860">_xlfn.IFNA(INDEX($D$2:$D$4001,_xlfn.XMATCH(G$1&amp;"-"&amp;$F860,YEAR($B$2:$B$4001)&amp;"-"&amp;$A$2:$A$4001,0,-1)),9)</f>
        <v>9</v>
      </c>
      <c r="H860" cm="1">
        <f t="array" ref="H860">IF(OR(AND(G860=9,H$1&gt;YEAR($N860))),9,_xlfn.IFNA(INDEX($D$2:$D$4001,_xlfn.XMATCH(H$1&amp;"-"&amp;$F860,YEAR($B$2:$B$4001)&amp;"-"&amp;$A$2:$A$4001,0,-1)),G860))</f>
        <v>2</v>
      </c>
      <c r="I860" cm="1">
        <f t="array" ref="I860">IF(OR(AND(H860=9,I$1&gt;YEAR($N860))),9,_xlfn.IFNA(INDEX($D$2:$D$4001,_xlfn.XMATCH(I$1&amp;"-"&amp;$F860,YEAR($B$2:$B$4001)&amp;"-"&amp;$A$2:$A$4001,0,-1)),H860))</f>
        <v>2</v>
      </c>
      <c r="J860" cm="1">
        <f t="array" ref="J860">IF(OR(AND(I860=9,J$1&gt;YEAR($N860))),9,_xlfn.IFNA(INDEX($D$2:$D$4001,_xlfn.XMATCH(J$1&amp;"-"&amp;$F860,YEAR($B$2:$B$4001)&amp;"-"&amp;$A$2:$A$4001,0,-1)),I860))</f>
        <v>0</v>
      </c>
      <c r="K860" cm="1">
        <f t="array" ref="K860">IF(OR(AND(J860=9,K$1&gt;YEAR($N860))),9,_xlfn.IFNA(INDEX($D$2:$D$4001,_xlfn.XMATCH(K$1&amp;"-"&amp;$F860,YEAR($B$2:$B$4001)&amp;"-"&amp;$A$2:$A$4001,0,-1)),J860))</f>
        <v>0</v>
      </c>
      <c r="L860" cm="1">
        <f t="array" ref="L860">IF(OR(AND(K860=9,L$1&gt;YEAR($N860))),9,_xlfn.IFNA(INDEX($D$2:$D$4001,_xlfn.XMATCH(L$1&amp;"-"&amp;$F860,YEAR($B$2:$B$4001)&amp;"-"&amp;$A$2:$A$4001,0,-1)),K860))</f>
        <v>0</v>
      </c>
      <c r="M860" cm="1">
        <f t="array" ref="M860">IF(OR(AND(L860=9,M$1&gt;YEAR($N860))),9,_xlfn.IFNA(INDEX($D$2:$D$4001,_xlfn.XMATCH(M$1&amp;"-"&amp;$F860,YEAR($B$2:$B$4001)&amp;"-"&amp;$A$2:$A$4001,0,-1)),L860))</f>
        <v>0</v>
      </c>
      <c r="N860" s="1">
        <f t="shared" si="13"/>
        <v>36676</v>
      </c>
    </row>
    <row r="861" spans="1:14" x14ac:dyDescent="0.35">
      <c r="A861">
        <v>416</v>
      </c>
      <c r="B861" s="2">
        <v>37032</v>
      </c>
      <c r="C861">
        <v>3</v>
      </c>
      <c r="D861">
        <v>3</v>
      </c>
      <c r="F861">
        <v>860</v>
      </c>
      <c r="G861" cm="1">
        <f t="array" ref="G861">_xlfn.IFNA(INDEX($D$2:$D$4001,_xlfn.XMATCH(G$1&amp;"-"&amp;$F861,YEAR($B$2:$B$4001)&amp;"-"&amp;$A$2:$A$4001,0,-1)),9)</f>
        <v>9</v>
      </c>
      <c r="H861" cm="1">
        <f t="array" ref="H861">IF(OR(AND(G861=9,H$1&gt;YEAR($N861))),9,_xlfn.IFNA(INDEX($D$2:$D$4001,_xlfn.XMATCH(H$1&amp;"-"&amp;$F861,YEAR($B$2:$B$4001)&amp;"-"&amp;$A$2:$A$4001,0,-1)),G861))</f>
        <v>9</v>
      </c>
      <c r="I861" cm="1">
        <f t="array" ref="I861">IF(OR(AND(H861=9,I$1&gt;YEAR($N861))),9,_xlfn.IFNA(INDEX($D$2:$D$4001,_xlfn.XMATCH(I$1&amp;"-"&amp;$F861,YEAR($B$2:$B$4001)&amp;"-"&amp;$A$2:$A$4001,0,-1)),H861))</f>
        <v>4</v>
      </c>
      <c r="J861" cm="1">
        <f t="array" ref="J861">IF(OR(AND(I861=9,J$1&gt;YEAR($N861))),9,_xlfn.IFNA(INDEX($D$2:$D$4001,_xlfn.XMATCH(J$1&amp;"-"&amp;$F861,YEAR($B$2:$B$4001)&amp;"-"&amp;$A$2:$A$4001,0,-1)),I861))</f>
        <v>4</v>
      </c>
      <c r="K861" cm="1">
        <f t="array" ref="K861">IF(OR(AND(J861=9,K$1&gt;YEAR($N861))),9,_xlfn.IFNA(INDEX($D$2:$D$4001,_xlfn.XMATCH(K$1&amp;"-"&amp;$F861,YEAR($B$2:$B$4001)&amp;"-"&amp;$A$2:$A$4001,0,-1)),J861))</f>
        <v>4</v>
      </c>
      <c r="L861" cm="1">
        <f t="array" ref="L861">IF(OR(AND(K861=9,L$1&gt;YEAR($N861))),9,_xlfn.IFNA(INDEX($D$2:$D$4001,_xlfn.XMATCH(L$1&amp;"-"&amp;$F861,YEAR($B$2:$B$4001)&amp;"-"&amp;$A$2:$A$4001,0,-1)),K861))</f>
        <v>4</v>
      </c>
      <c r="M861" cm="1">
        <f t="array" ref="M861">IF(OR(AND(L861=9,M$1&gt;YEAR($N861))),9,_xlfn.IFNA(INDEX($D$2:$D$4001,_xlfn.XMATCH(M$1&amp;"-"&amp;$F861,YEAR($B$2:$B$4001)&amp;"-"&amp;$A$2:$A$4001,0,-1)),L861))</f>
        <v>4</v>
      </c>
      <c r="N861" s="1">
        <f t="shared" si="13"/>
        <v>37225</v>
      </c>
    </row>
    <row r="862" spans="1:14" x14ac:dyDescent="0.35">
      <c r="A862">
        <v>417</v>
      </c>
      <c r="B862" s="2">
        <v>36799</v>
      </c>
      <c r="C862">
        <v>3</v>
      </c>
      <c r="D862">
        <v>3</v>
      </c>
      <c r="F862">
        <v>861</v>
      </c>
      <c r="G862" cm="1">
        <f t="array" ref="G862">_xlfn.IFNA(INDEX($D$2:$D$4001,_xlfn.XMATCH(G$1&amp;"-"&amp;$F862,YEAR($B$2:$B$4001)&amp;"-"&amp;$A$2:$A$4001,0,-1)),9)</f>
        <v>9</v>
      </c>
      <c r="H862" cm="1">
        <f t="array" ref="H862">IF(OR(AND(G862=9,H$1&gt;YEAR($N862))),9,_xlfn.IFNA(INDEX($D$2:$D$4001,_xlfn.XMATCH(H$1&amp;"-"&amp;$F862,YEAR($B$2:$B$4001)&amp;"-"&amp;$A$2:$A$4001,0,-1)),G862))</f>
        <v>9</v>
      </c>
      <c r="I862" cm="1">
        <f t="array" ref="I862">IF(OR(AND(H862=9,I$1&gt;YEAR($N862))),9,_xlfn.IFNA(INDEX($D$2:$D$4001,_xlfn.XMATCH(I$1&amp;"-"&amp;$F862,YEAR($B$2:$B$4001)&amp;"-"&amp;$A$2:$A$4001,0,-1)),H862))</f>
        <v>9</v>
      </c>
      <c r="J862" cm="1">
        <f t="array" ref="J862">IF(OR(AND(I862=9,J$1&gt;YEAR($N862))),9,_xlfn.IFNA(INDEX($D$2:$D$4001,_xlfn.XMATCH(J$1&amp;"-"&amp;$F862,YEAR($B$2:$B$4001)&amp;"-"&amp;$A$2:$A$4001,0,-1)),I862))</f>
        <v>0</v>
      </c>
      <c r="K862" cm="1">
        <f t="array" ref="K862">IF(OR(AND(J862=9,K$1&gt;YEAR($N862))),9,_xlfn.IFNA(INDEX($D$2:$D$4001,_xlfn.XMATCH(K$1&amp;"-"&amp;$F862,YEAR($B$2:$B$4001)&amp;"-"&amp;$A$2:$A$4001,0,-1)),J862))</f>
        <v>0</v>
      </c>
      <c r="L862" cm="1">
        <f t="array" ref="L862">IF(OR(AND(K862=9,L$1&gt;YEAR($N862))),9,_xlfn.IFNA(INDEX($D$2:$D$4001,_xlfn.XMATCH(L$1&amp;"-"&amp;$F862,YEAR($B$2:$B$4001)&amp;"-"&amp;$A$2:$A$4001,0,-1)),K862))</f>
        <v>0</v>
      </c>
      <c r="M862" cm="1">
        <f t="array" ref="M862">IF(OR(AND(L862=9,M$1&gt;YEAR($N862))),9,_xlfn.IFNA(INDEX($D$2:$D$4001,_xlfn.XMATCH(M$1&amp;"-"&amp;$F862,YEAR($B$2:$B$4001)&amp;"-"&amp;$A$2:$A$4001,0,-1)),L862))</f>
        <v>0</v>
      </c>
      <c r="N862" s="1">
        <f t="shared" si="13"/>
        <v>37620</v>
      </c>
    </row>
    <row r="863" spans="1:14" x14ac:dyDescent="0.35">
      <c r="A863">
        <v>418</v>
      </c>
      <c r="B863" s="2">
        <v>37255</v>
      </c>
      <c r="C863">
        <v>2</v>
      </c>
      <c r="D863">
        <v>2</v>
      </c>
      <c r="F863">
        <v>862</v>
      </c>
      <c r="G863" cm="1">
        <f t="array" ref="G863">_xlfn.IFNA(INDEX($D$2:$D$4001,_xlfn.XMATCH(G$1&amp;"-"&amp;$F863,YEAR($B$2:$B$4001)&amp;"-"&amp;$A$2:$A$4001,0,-1)),9)</f>
        <v>3</v>
      </c>
      <c r="H863" cm="1">
        <f t="array" ref="H863">IF(OR(AND(G863=9,H$1&gt;YEAR($N863))),9,_xlfn.IFNA(INDEX($D$2:$D$4001,_xlfn.XMATCH(H$1&amp;"-"&amp;$F863,YEAR($B$2:$B$4001)&amp;"-"&amp;$A$2:$A$4001,0,-1)),G863))</f>
        <v>3</v>
      </c>
      <c r="I863" cm="1">
        <f t="array" ref="I863">IF(OR(AND(H863=9,I$1&gt;YEAR($N863))),9,_xlfn.IFNA(INDEX($D$2:$D$4001,_xlfn.XMATCH(I$1&amp;"-"&amp;$F863,YEAR($B$2:$B$4001)&amp;"-"&amp;$A$2:$A$4001,0,-1)),H863))</f>
        <v>3</v>
      </c>
      <c r="J863" cm="1">
        <f t="array" ref="J863">IF(OR(AND(I863=9,J$1&gt;YEAR($N863))),9,_xlfn.IFNA(INDEX($D$2:$D$4001,_xlfn.XMATCH(J$1&amp;"-"&amp;$F863,YEAR($B$2:$B$4001)&amp;"-"&amp;$A$2:$A$4001,0,-1)),I863))</f>
        <v>0</v>
      </c>
      <c r="K863" cm="1">
        <f t="array" ref="K863">IF(OR(AND(J863=9,K$1&gt;YEAR($N863))),9,_xlfn.IFNA(INDEX($D$2:$D$4001,_xlfn.XMATCH(K$1&amp;"-"&amp;$F863,YEAR($B$2:$B$4001)&amp;"-"&amp;$A$2:$A$4001,0,-1)),J863))</f>
        <v>0</v>
      </c>
      <c r="L863" cm="1">
        <f t="array" ref="L863">IF(OR(AND(K863=9,L$1&gt;YEAR($N863))),9,_xlfn.IFNA(INDEX($D$2:$D$4001,_xlfn.XMATCH(L$1&amp;"-"&amp;$F863,YEAR($B$2:$B$4001)&amp;"-"&amp;$A$2:$A$4001,0,-1)),K863))</f>
        <v>0</v>
      </c>
      <c r="M863" cm="1">
        <f t="array" ref="M863">IF(OR(AND(L863=9,M$1&gt;YEAR($N863))),9,_xlfn.IFNA(INDEX($D$2:$D$4001,_xlfn.XMATCH(M$1&amp;"-"&amp;$F863,YEAR($B$2:$B$4001)&amp;"-"&amp;$A$2:$A$4001,0,-1)),L863))</f>
        <v>0</v>
      </c>
      <c r="N863" s="1">
        <f t="shared" si="13"/>
        <v>36332</v>
      </c>
    </row>
    <row r="864" spans="1:14" x14ac:dyDescent="0.35">
      <c r="A864">
        <v>419</v>
      </c>
      <c r="B864" s="2">
        <v>37255</v>
      </c>
      <c r="C864">
        <v>2</v>
      </c>
      <c r="D864">
        <v>2</v>
      </c>
      <c r="F864">
        <v>863</v>
      </c>
      <c r="G864" cm="1">
        <f t="array" ref="G864">_xlfn.IFNA(INDEX($D$2:$D$4001,_xlfn.XMATCH(G$1&amp;"-"&amp;$F864,YEAR($B$2:$B$4001)&amp;"-"&amp;$A$2:$A$4001,0,-1)),9)</f>
        <v>9</v>
      </c>
      <c r="H864" cm="1">
        <f t="array" ref="H864">IF(OR(AND(G864=9,H$1&gt;YEAR($N864))),9,_xlfn.IFNA(INDEX($D$2:$D$4001,_xlfn.XMATCH(H$1&amp;"-"&amp;$F864,YEAR($B$2:$B$4001)&amp;"-"&amp;$A$2:$A$4001,0,-1)),G864))</f>
        <v>3</v>
      </c>
      <c r="I864" cm="1">
        <f t="array" ref="I864">IF(OR(AND(H864=9,I$1&gt;YEAR($N864))),9,_xlfn.IFNA(INDEX($D$2:$D$4001,_xlfn.XMATCH(I$1&amp;"-"&amp;$F864,YEAR($B$2:$B$4001)&amp;"-"&amp;$A$2:$A$4001,0,-1)),H864))</f>
        <v>3</v>
      </c>
      <c r="J864" cm="1">
        <f t="array" ref="J864">IF(OR(AND(I864=9,J$1&gt;YEAR($N864))),9,_xlfn.IFNA(INDEX($D$2:$D$4001,_xlfn.XMATCH(J$1&amp;"-"&amp;$F864,YEAR($B$2:$B$4001)&amp;"-"&amp;$A$2:$A$4001,0,-1)),I864))</f>
        <v>3</v>
      </c>
      <c r="K864" cm="1">
        <f t="array" ref="K864">IF(OR(AND(J864=9,K$1&gt;YEAR($N864))),9,_xlfn.IFNA(INDEX($D$2:$D$4001,_xlfn.XMATCH(K$1&amp;"-"&amp;$F864,YEAR($B$2:$B$4001)&amp;"-"&amp;$A$2:$A$4001,0,-1)),J864))</f>
        <v>3</v>
      </c>
      <c r="L864" cm="1">
        <f t="array" ref="L864">IF(OR(AND(K864=9,L$1&gt;YEAR($N864))),9,_xlfn.IFNA(INDEX($D$2:$D$4001,_xlfn.XMATCH(L$1&amp;"-"&amp;$F864,YEAR($B$2:$B$4001)&amp;"-"&amp;$A$2:$A$4001,0,-1)),K864))</f>
        <v>3</v>
      </c>
      <c r="M864" cm="1">
        <f t="array" ref="M864">IF(OR(AND(L864=9,M$1&gt;YEAR($N864))),9,_xlfn.IFNA(INDEX($D$2:$D$4001,_xlfn.XMATCH(M$1&amp;"-"&amp;$F864,YEAR($B$2:$B$4001)&amp;"-"&amp;$A$2:$A$4001,0,-1)),L864))</f>
        <v>3</v>
      </c>
      <c r="N864" s="1">
        <f t="shared" si="13"/>
        <v>36764</v>
      </c>
    </row>
    <row r="865" spans="1:14" x14ac:dyDescent="0.35">
      <c r="A865">
        <v>420</v>
      </c>
      <c r="B865" s="2">
        <v>36463</v>
      </c>
      <c r="C865">
        <v>0</v>
      </c>
      <c r="D865">
        <v>0</v>
      </c>
      <c r="F865">
        <v>864</v>
      </c>
      <c r="G865" cm="1">
        <f t="array" ref="G865">_xlfn.IFNA(INDEX($D$2:$D$4001,_xlfn.XMATCH(G$1&amp;"-"&amp;$F865,YEAR($B$2:$B$4001)&amp;"-"&amp;$A$2:$A$4001,0,-1)),9)</f>
        <v>9</v>
      </c>
      <c r="H865" cm="1">
        <f t="array" ref="H865">IF(OR(AND(G865=9,H$1&gt;YEAR($N865))),9,_xlfn.IFNA(INDEX($D$2:$D$4001,_xlfn.XMATCH(H$1&amp;"-"&amp;$F865,YEAR($B$2:$B$4001)&amp;"-"&amp;$A$2:$A$4001,0,-1)),G865))</f>
        <v>3</v>
      </c>
      <c r="I865" cm="1">
        <f t="array" ref="I865">IF(OR(AND(H865=9,I$1&gt;YEAR($N865))),9,_xlfn.IFNA(INDEX($D$2:$D$4001,_xlfn.XMATCH(I$1&amp;"-"&amp;$F865,YEAR($B$2:$B$4001)&amp;"-"&amp;$A$2:$A$4001,0,-1)),H865))</f>
        <v>3</v>
      </c>
      <c r="J865" cm="1">
        <f t="array" ref="J865">IF(OR(AND(I865=9,J$1&gt;YEAR($N865))),9,_xlfn.IFNA(INDEX($D$2:$D$4001,_xlfn.XMATCH(J$1&amp;"-"&amp;$F865,YEAR($B$2:$B$4001)&amp;"-"&amp;$A$2:$A$4001,0,-1)),I865))</f>
        <v>4</v>
      </c>
      <c r="K865" cm="1">
        <f t="array" ref="K865">IF(OR(AND(J865=9,K$1&gt;YEAR($N865))),9,_xlfn.IFNA(INDEX($D$2:$D$4001,_xlfn.XMATCH(K$1&amp;"-"&amp;$F865,YEAR($B$2:$B$4001)&amp;"-"&amp;$A$2:$A$4001,0,-1)),J865))</f>
        <v>4</v>
      </c>
      <c r="L865" cm="1">
        <f t="array" ref="L865">IF(OR(AND(K865=9,L$1&gt;YEAR($N865))),9,_xlfn.IFNA(INDEX($D$2:$D$4001,_xlfn.XMATCH(L$1&amp;"-"&amp;$F865,YEAR($B$2:$B$4001)&amp;"-"&amp;$A$2:$A$4001,0,-1)),K865))</f>
        <v>4</v>
      </c>
      <c r="M865" cm="1">
        <f t="array" ref="M865">IF(OR(AND(L865=9,M$1&gt;YEAR($N865))),9,_xlfn.IFNA(INDEX($D$2:$D$4001,_xlfn.XMATCH(M$1&amp;"-"&amp;$F865,YEAR($B$2:$B$4001)&amp;"-"&amp;$A$2:$A$4001,0,-1)),L865))</f>
        <v>4</v>
      </c>
      <c r="N865" s="1">
        <f t="shared" si="13"/>
        <v>36890</v>
      </c>
    </row>
    <row r="866" spans="1:14" x14ac:dyDescent="0.35">
      <c r="A866">
        <v>421</v>
      </c>
      <c r="B866" s="2">
        <v>36890</v>
      </c>
      <c r="C866">
        <v>4</v>
      </c>
      <c r="D866">
        <v>4</v>
      </c>
      <c r="F866">
        <v>865</v>
      </c>
      <c r="G866" cm="1">
        <f t="array" ref="G866">_xlfn.IFNA(INDEX($D$2:$D$4001,_xlfn.XMATCH(G$1&amp;"-"&amp;$F866,YEAR($B$2:$B$4001)&amp;"-"&amp;$A$2:$A$4001,0,-1)),9)</f>
        <v>9</v>
      </c>
      <c r="H866" cm="1">
        <f t="array" ref="H866">IF(OR(AND(G866=9,H$1&gt;YEAR($N866))),9,_xlfn.IFNA(INDEX($D$2:$D$4001,_xlfn.XMATCH(H$1&amp;"-"&amp;$F866,YEAR($B$2:$B$4001)&amp;"-"&amp;$A$2:$A$4001,0,-1)),G866))</f>
        <v>9</v>
      </c>
      <c r="I866" cm="1">
        <f t="array" ref="I866">IF(OR(AND(H866=9,I$1&gt;YEAR($N866))),9,_xlfn.IFNA(INDEX($D$2:$D$4001,_xlfn.XMATCH(I$1&amp;"-"&amp;$F866,YEAR($B$2:$B$4001)&amp;"-"&amp;$A$2:$A$4001,0,-1)),H866))</f>
        <v>9</v>
      </c>
      <c r="J866" cm="1">
        <f t="array" ref="J866">IF(OR(AND(I866=9,J$1&gt;YEAR($N866))),9,_xlfn.IFNA(INDEX($D$2:$D$4001,_xlfn.XMATCH(J$1&amp;"-"&amp;$F866,YEAR($B$2:$B$4001)&amp;"-"&amp;$A$2:$A$4001,0,-1)),I866))</f>
        <v>9</v>
      </c>
      <c r="K866" cm="1">
        <f t="array" ref="K866">IF(OR(AND(J866=9,K$1&gt;YEAR($N866))),9,_xlfn.IFNA(INDEX($D$2:$D$4001,_xlfn.XMATCH(K$1&amp;"-"&amp;$F866,YEAR($B$2:$B$4001)&amp;"-"&amp;$A$2:$A$4001,0,-1)),J866))</f>
        <v>9</v>
      </c>
      <c r="L866" cm="1">
        <f t="array" ref="L866">IF(OR(AND(K866=9,L$1&gt;YEAR($N866))),9,_xlfn.IFNA(INDEX($D$2:$D$4001,_xlfn.XMATCH(L$1&amp;"-"&amp;$F866,YEAR($B$2:$B$4001)&amp;"-"&amp;$A$2:$A$4001,0,-1)),K866))</f>
        <v>4</v>
      </c>
      <c r="M866" cm="1">
        <f t="array" ref="M866">IF(OR(AND(L866=9,M$1&gt;YEAR($N866))),9,_xlfn.IFNA(INDEX($D$2:$D$4001,_xlfn.XMATCH(M$1&amp;"-"&amp;$F866,YEAR($B$2:$B$4001)&amp;"-"&amp;$A$2:$A$4001,0,-1)),L866))</f>
        <v>4</v>
      </c>
      <c r="N866" s="1">
        <f t="shared" si="13"/>
        <v>38312</v>
      </c>
    </row>
    <row r="867" spans="1:14" x14ac:dyDescent="0.35">
      <c r="A867">
        <v>421</v>
      </c>
      <c r="B867" s="2">
        <v>37498</v>
      </c>
      <c r="C867">
        <v>5</v>
      </c>
      <c r="D867">
        <v>5</v>
      </c>
      <c r="F867">
        <v>866</v>
      </c>
      <c r="G867" cm="1">
        <f t="array" ref="G867">_xlfn.IFNA(INDEX($D$2:$D$4001,_xlfn.XMATCH(G$1&amp;"-"&amp;$F867,YEAR($B$2:$B$4001)&amp;"-"&amp;$A$2:$A$4001,0,-1)),9)</f>
        <v>9</v>
      </c>
      <c r="H867" cm="1">
        <f t="array" ref="H867">IF(OR(AND(G867=9,H$1&gt;YEAR($N867))),9,_xlfn.IFNA(INDEX($D$2:$D$4001,_xlfn.XMATCH(H$1&amp;"-"&amp;$F867,YEAR($B$2:$B$4001)&amp;"-"&amp;$A$2:$A$4001,0,-1)),G867))</f>
        <v>9</v>
      </c>
      <c r="I867" cm="1">
        <f t="array" ref="I867">IF(OR(AND(H867=9,I$1&gt;YEAR($N867))),9,_xlfn.IFNA(INDEX($D$2:$D$4001,_xlfn.XMATCH(I$1&amp;"-"&amp;$F867,YEAR($B$2:$B$4001)&amp;"-"&amp;$A$2:$A$4001,0,-1)),H867))</f>
        <v>9</v>
      </c>
      <c r="J867" cm="1">
        <f t="array" ref="J867">IF(OR(AND(I867=9,J$1&gt;YEAR($N867))),9,_xlfn.IFNA(INDEX($D$2:$D$4001,_xlfn.XMATCH(J$1&amp;"-"&amp;$F867,YEAR($B$2:$B$4001)&amp;"-"&amp;$A$2:$A$4001,0,-1)),I867))</f>
        <v>9</v>
      </c>
      <c r="K867" cm="1">
        <f t="array" ref="K867">IF(OR(AND(J867=9,K$1&gt;YEAR($N867))),9,_xlfn.IFNA(INDEX($D$2:$D$4001,_xlfn.XMATCH(K$1&amp;"-"&amp;$F867,YEAR($B$2:$B$4001)&amp;"-"&amp;$A$2:$A$4001,0,-1)),J867))</f>
        <v>3</v>
      </c>
      <c r="L867" cm="1">
        <f t="array" ref="L867">IF(OR(AND(K867=9,L$1&gt;YEAR($N867))),9,_xlfn.IFNA(INDEX($D$2:$D$4001,_xlfn.XMATCH(L$1&amp;"-"&amp;$F867,YEAR($B$2:$B$4001)&amp;"-"&amp;$A$2:$A$4001,0,-1)),K867))</f>
        <v>4</v>
      </c>
      <c r="M867" cm="1">
        <f t="array" ref="M867">IF(OR(AND(L867=9,M$1&gt;YEAR($N867))),9,_xlfn.IFNA(INDEX($D$2:$D$4001,_xlfn.XMATCH(M$1&amp;"-"&amp;$F867,YEAR($B$2:$B$4001)&amp;"-"&amp;$A$2:$A$4001,0,-1)),L867))</f>
        <v>4</v>
      </c>
      <c r="N867" s="1">
        <f t="shared" si="13"/>
        <v>37762</v>
      </c>
    </row>
    <row r="868" spans="1:14" x14ac:dyDescent="0.35">
      <c r="A868">
        <v>422</v>
      </c>
      <c r="B868" s="2">
        <v>36332</v>
      </c>
      <c r="C868">
        <v>5</v>
      </c>
      <c r="D868">
        <v>5</v>
      </c>
      <c r="F868">
        <v>867</v>
      </c>
      <c r="G868" cm="1">
        <f t="array" ref="G868">_xlfn.IFNA(INDEX($D$2:$D$4001,_xlfn.XMATCH(G$1&amp;"-"&amp;$F868,YEAR($B$2:$B$4001)&amp;"-"&amp;$A$2:$A$4001,0,-1)),9)</f>
        <v>9</v>
      </c>
      <c r="H868" cm="1">
        <f t="array" ref="H868">IF(OR(AND(G868=9,H$1&gt;YEAR($N868))),9,_xlfn.IFNA(INDEX($D$2:$D$4001,_xlfn.XMATCH(H$1&amp;"-"&amp;$F868,YEAR($B$2:$B$4001)&amp;"-"&amp;$A$2:$A$4001,0,-1)),G868))</f>
        <v>0</v>
      </c>
      <c r="I868" cm="1">
        <f t="array" ref="I868">IF(OR(AND(H868=9,I$1&gt;YEAR($N868))),9,_xlfn.IFNA(INDEX($D$2:$D$4001,_xlfn.XMATCH(I$1&amp;"-"&amp;$F868,YEAR($B$2:$B$4001)&amp;"-"&amp;$A$2:$A$4001,0,-1)),H868))</f>
        <v>0</v>
      </c>
      <c r="J868" cm="1">
        <f t="array" ref="J868">IF(OR(AND(I868=9,J$1&gt;YEAR($N868))),9,_xlfn.IFNA(INDEX($D$2:$D$4001,_xlfn.XMATCH(J$1&amp;"-"&amp;$F868,YEAR($B$2:$B$4001)&amp;"-"&amp;$A$2:$A$4001,0,-1)),I868))</f>
        <v>0</v>
      </c>
      <c r="K868" cm="1">
        <f t="array" ref="K868">IF(OR(AND(J868=9,K$1&gt;YEAR($N868))),9,_xlfn.IFNA(INDEX($D$2:$D$4001,_xlfn.XMATCH(K$1&amp;"-"&amp;$F868,YEAR($B$2:$B$4001)&amp;"-"&amp;$A$2:$A$4001,0,-1)),J868))</f>
        <v>0</v>
      </c>
      <c r="L868" cm="1">
        <f t="array" ref="L868">IF(OR(AND(K868=9,L$1&gt;YEAR($N868))),9,_xlfn.IFNA(INDEX($D$2:$D$4001,_xlfn.XMATCH(L$1&amp;"-"&amp;$F868,YEAR($B$2:$B$4001)&amp;"-"&amp;$A$2:$A$4001,0,-1)),K868))</f>
        <v>0</v>
      </c>
      <c r="M868" cm="1">
        <f t="array" ref="M868">IF(OR(AND(L868=9,M$1&gt;YEAR($N868))),9,_xlfn.IFNA(INDEX($D$2:$D$4001,_xlfn.XMATCH(M$1&amp;"-"&amp;$F868,YEAR($B$2:$B$4001)&amp;"-"&amp;$A$2:$A$4001,0,-1)),L868))</f>
        <v>0</v>
      </c>
      <c r="N868" s="1">
        <f t="shared" si="13"/>
        <v>36667</v>
      </c>
    </row>
    <row r="869" spans="1:14" x14ac:dyDescent="0.35">
      <c r="A869">
        <v>422</v>
      </c>
      <c r="B869" s="2">
        <v>36676</v>
      </c>
      <c r="C869">
        <v>4</v>
      </c>
      <c r="D869">
        <v>4</v>
      </c>
      <c r="F869">
        <v>868</v>
      </c>
      <c r="G869" cm="1">
        <f t="array" ref="G869">_xlfn.IFNA(INDEX($D$2:$D$4001,_xlfn.XMATCH(G$1&amp;"-"&amp;$F869,YEAR($B$2:$B$4001)&amp;"-"&amp;$A$2:$A$4001,0,-1)),9)</f>
        <v>9</v>
      </c>
      <c r="H869" cm="1">
        <f t="array" ref="H869">IF(OR(AND(G869=9,H$1&gt;YEAR($N869))),9,_xlfn.IFNA(INDEX($D$2:$D$4001,_xlfn.XMATCH(H$1&amp;"-"&amp;$F869,YEAR($B$2:$B$4001)&amp;"-"&amp;$A$2:$A$4001,0,-1)),G869))</f>
        <v>9</v>
      </c>
      <c r="I869" cm="1">
        <f t="array" ref="I869">IF(OR(AND(H869=9,I$1&gt;YEAR($N869))),9,_xlfn.IFNA(INDEX($D$2:$D$4001,_xlfn.XMATCH(I$1&amp;"-"&amp;$F869,YEAR($B$2:$B$4001)&amp;"-"&amp;$A$2:$A$4001,0,-1)),H869))</f>
        <v>9</v>
      </c>
      <c r="J869" cm="1">
        <f t="array" ref="J869">IF(OR(AND(I869=9,J$1&gt;YEAR($N869))),9,_xlfn.IFNA(INDEX($D$2:$D$4001,_xlfn.XMATCH(J$1&amp;"-"&amp;$F869,YEAR($B$2:$B$4001)&amp;"-"&amp;$A$2:$A$4001,0,-1)),I869))</f>
        <v>9</v>
      </c>
      <c r="K869" cm="1">
        <f t="array" ref="K869">IF(OR(AND(J869=9,K$1&gt;YEAR($N869))),9,_xlfn.IFNA(INDEX($D$2:$D$4001,_xlfn.XMATCH(K$1&amp;"-"&amp;$F869,YEAR($B$2:$B$4001)&amp;"-"&amp;$A$2:$A$4001,0,-1)),J869))</f>
        <v>9</v>
      </c>
      <c r="L869" cm="1">
        <f t="array" ref="L869">IF(OR(AND(K869=9,L$1&gt;YEAR($N869))),9,_xlfn.IFNA(INDEX($D$2:$D$4001,_xlfn.XMATCH(L$1&amp;"-"&amp;$F869,YEAR($B$2:$B$4001)&amp;"-"&amp;$A$2:$A$4001,0,-1)),K869))</f>
        <v>4</v>
      </c>
      <c r="M869" cm="1">
        <f t="array" ref="M869">IF(OR(AND(L869=9,M$1&gt;YEAR($N869))),9,_xlfn.IFNA(INDEX($D$2:$D$4001,_xlfn.XMATCH(M$1&amp;"-"&amp;$F869,YEAR($B$2:$B$4001)&amp;"-"&amp;$A$2:$A$4001,0,-1)),L869))</f>
        <v>4</v>
      </c>
      <c r="N869" s="1">
        <f t="shared" si="13"/>
        <v>38198</v>
      </c>
    </row>
    <row r="870" spans="1:14" x14ac:dyDescent="0.35">
      <c r="A870">
        <v>422</v>
      </c>
      <c r="B870" s="2">
        <v>37093</v>
      </c>
      <c r="C870">
        <v>4</v>
      </c>
      <c r="D870">
        <v>4</v>
      </c>
      <c r="F870">
        <v>869</v>
      </c>
      <c r="G870" cm="1">
        <f t="array" ref="G870">_xlfn.IFNA(INDEX($D$2:$D$4001,_xlfn.XMATCH(G$1&amp;"-"&amp;$F870,YEAR($B$2:$B$4001)&amp;"-"&amp;$A$2:$A$4001,0,-1)),9)</f>
        <v>9</v>
      </c>
      <c r="H870" cm="1">
        <f t="array" ref="H870">IF(OR(AND(G870=9,H$1&gt;YEAR($N870))),9,_xlfn.IFNA(INDEX($D$2:$D$4001,_xlfn.XMATCH(H$1&amp;"-"&amp;$F870,YEAR($B$2:$B$4001)&amp;"-"&amp;$A$2:$A$4001,0,-1)),G870))</f>
        <v>9</v>
      </c>
      <c r="I870" cm="1">
        <f t="array" ref="I870">IF(OR(AND(H870=9,I$1&gt;YEAR($N870))),9,_xlfn.IFNA(INDEX($D$2:$D$4001,_xlfn.XMATCH(I$1&amp;"-"&amp;$F870,YEAR($B$2:$B$4001)&amp;"-"&amp;$A$2:$A$4001,0,-1)),H870))</f>
        <v>9</v>
      </c>
      <c r="J870" cm="1">
        <f t="array" ref="J870">IF(OR(AND(I870=9,J$1&gt;YEAR($N870))),9,_xlfn.IFNA(INDEX($D$2:$D$4001,_xlfn.XMATCH(J$1&amp;"-"&amp;$F870,YEAR($B$2:$B$4001)&amp;"-"&amp;$A$2:$A$4001,0,-1)),I870))</f>
        <v>9</v>
      </c>
      <c r="K870" cm="1">
        <f t="array" ref="K870">IF(OR(AND(J870=9,K$1&gt;YEAR($N870))),9,_xlfn.IFNA(INDEX($D$2:$D$4001,_xlfn.XMATCH(K$1&amp;"-"&amp;$F870,YEAR($B$2:$B$4001)&amp;"-"&amp;$A$2:$A$4001,0,-1)),J870))</f>
        <v>3</v>
      </c>
      <c r="L870" cm="1">
        <f t="array" ref="L870">IF(OR(AND(K870=9,L$1&gt;YEAR($N870))),9,_xlfn.IFNA(INDEX($D$2:$D$4001,_xlfn.XMATCH(L$1&amp;"-"&amp;$F870,YEAR($B$2:$B$4001)&amp;"-"&amp;$A$2:$A$4001,0,-1)),K870))</f>
        <v>4</v>
      </c>
      <c r="M870" cm="1">
        <f t="array" ref="M870">IF(OR(AND(L870=9,M$1&gt;YEAR($N870))),9,_xlfn.IFNA(INDEX($D$2:$D$4001,_xlfn.XMATCH(M$1&amp;"-"&amp;$F870,YEAR($B$2:$B$4001)&amp;"-"&amp;$A$2:$A$4001,0,-1)),L870))</f>
        <v>4</v>
      </c>
      <c r="N870" s="1">
        <f t="shared" si="13"/>
        <v>37762</v>
      </c>
    </row>
    <row r="871" spans="1:14" x14ac:dyDescent="0.35">
      <c r="A871">
        <v>422</v>
      </c>
      <c r="B871" s="2">
        <v>37404</v>
      </c>
      <c r="C871">
        <v>4</v>
      </c>
      <c r="D871">
        <v>4</v>
      </c>
      <c r="F871">
        <v>870</v>
      </c>
      <c r="G871" cm="1">
        <f t="array" ref="G871">_xlfn.IFNA(INDEX($D$2:$D$4001,_xlfn.XMATCH(G$1&amp;"-"&amp;$F871,YEAR($B$2:$B$4001)&amp;"-"&amp;$A$2:$A$4001,0,-1)),9)</f>
        <v>9</v>
      </c>
      <c r="H871" cm="1">
        <f t="array" ref="H871">IF(OR(AND(G871=9,H$1&gt;YEAR($N871))),9,_xlfn.IFNA(INDEX($D$2:$D$4001,_xlfn.XMATCH(H$1&amp;"-"&amp;$F871,YEAR($B$2:$B$4001)&amp;"-"&amp;$A$2:$A$4001,0,-1)),G871))</f>
        <v>4</v>
      </c>
      <c r="I871" cm="1">
        <f t="array" ref="I871">IF(OR(AND(H871=9,I$1&gt;YEAR($N871))),9,_xlfn.IFNA(INDEX($D$2:$D$4001,_xlfn.XMATCH(I$1&amp;"-"&amp;$F871,YEAR($B$2:$B$4001)&amp;"-"&amp;$A$2:$A$4001,0,-1)),H871))</f>
        <v>4</v>
      </c>
      <c r="J871" cm="1">
        <f t="array" ref="J871">IF(OR(AND(I871=9,J$1&gt;YEAR($N871))),9,_xlfn.IFNA(INDEX($D$2:$D$4001,_xlfn.XMATCH(J$1&amp;"-"&amp;$F871,YEAR($B$2:$B$4001)&amp;"-"&amp;$A$2:$A$4001,0,-1)),I871))</f>
        <v>4</v>
      </c>
      <c r="K871" cm="1">
        <f t="array" ref="K871">IF(OR(AND(J871=9,K$1&gt;YEAR($N871))),9,_xlfn.IFNA(INDEX($D$2:$D$4001,_xlfn.XMATCH(K$1&amp;"-"&amp;$F871,YEAR($B$2:$B$4001)&amp;"-"&amp;$A$2:$A$4001,0,-1)),J871))</f>
        <v>4</v>
      </c>
      <c r="L871" cm="1">
        <f t="array" ref="L871">IF(OR(AND(K871=9,L$1&gt;YEAR($N871))),9,_xlfn.IFNA(INDEX($D$2:$D$4001,_xlfn.XMATCH(L$1&amp;"-"&amp;$F871,YEAR($B$2:$B$4001)&amp;"-"&amp;$A$2:$A$4001,0,-1)),K871))</f>
        <v>4</v>
      </c>
      <c r="M871" cm="1">
        <f t="array" ref="M871">IF(OR(AND(L871=9,M$1&gt;YEAR($N871))),9,_xlfn.IFNA(INDEX($D$2:$D$4001,_xlfn.XMATCH(M$1&amp;"-"&amp;$F871,YEAR($B$2:$B$4001)&amp;"-"&amp;$A$2:$A$4001,0,-1)),L871))</f>
        <v>4</v>
      </c>
      <c r="N871" s="1">
        <f t="shared" si="13"/>
        <v>36890</v>
      </c>
    </row>
    <row r="872" spans="1:14" x14ac:dyDescent="0.35">
      <c r="A872">
        <v>423</v>
      </c>
      <c r="B872" s="2">
        <v>38351</v>
      </c>
      <c r="C872">
        <v>4</v>
      </c>
      <c r="D872">
        <v>4</v>
      </c>
      <c r="F872">
        <v>871</v>
      </c>
      <c r="G872" cm="1">
        <f t="array" ref="G872">_xlfn.IFNA(INDEX($D$2:$D$4001,_xlfn.XMATCH(G$1&amp;"-"&amp;$F872,YEAR($B$2:$B$4001)&amp;"-"&amp;$A$2:$A$4001,0,-1)),9)</f>
        <v>5</v>
      </c>
      <c r="H872" cm="1">
        <f t="array" ref="H872">IF(OR(AND(G872=9,H$1&gt;YEAR($N872))),9,_xlfn.IFNA(INDEX($D$2:$D$4001,_xlfn.XMATCH(H$1&amp;"-"&amp;$F872,YEAR($B$2:$B$4001)&amp;"-"&amp;$A$2:$A$4001,0,-1)),G872))</f>
        <v>5</v>
      </c>
      <c r="I872" cm="1">
        <f t="array" ref="I872">IF(OR(AND(H872=9,I$1&gt;YEAR($N872))),9,_xlfn.IFNA(INDEX($D$2:$D$4001,_xlfn.XMATCH(I$1&amp;"-"&amp;$F872,YEAR($B$2:$B$4001)&amp;"-"&amp;$A$2:$A$4001,0,-1)),H872))</f>
        <v>5</v>
      </c>
      <c r="J872" cm="1">
        <f t="array" ref="J872">IF(OR(AND(I872=9,J$1&gt;YEAR($N872))),9,_xlfn.IFNA(INDEX($D$2:$D$4001,_xlfn.XMATCH(J$1&amp;"-"&amp;$F872,YEAR($B$2:$B$4001)&amp;"-"&amp;$A$2:$A$4001,0,-1)),I872))</f>
        <v>0</v>
      </c>
      <c r="K872" cm="1">
        <f t="array" ref="K872">IF(OR(AND(J872=9,K$1&gt;YEAR($N872))),9,_xlfn.IFNA(INDEX($D$2:$D$4001,_xlfn.XMATCH(K$1&amp;"-"&amp;$F872,YEAR($B$2:$B$4001)&amp;"-"&amp;$A$2:$A$4001,0,-1)),J872))</f>
        <v>0</v>
      </c>
      <c r="L872" cm="1">
        <f t="array" ref="L872">IF(OR(AND(K872=9,L$1&gt;YEAR($N872))),9,_xlfn.IFNA(INDEX($D$2:$D$4001,_xlfn.XMATCH(L$1&amp;"-"&amp;$F872,YEAR($B$2:$B$4001)&amp;"-"&amp;$A$2:$A$4001,0,-1)),K872))</f>
        <v>0</v>
      </c>
      <c r="M872" cm="1">
        <f t="array" ref="M872">IF(OR(AND(L872=9,M$1&gt;YEAR($N872))),9,_xlfn.IFNA(INDEX($D$2:$D$4001,_xlfn.XMATCH(M$1&amp;"-"&amp;$F872,YEAR($B$2:$B$4001)&amp;"-"&amp;$A$2:$A$4001,0,-1)),L872))</f>
        <v>0</v>
      </c>
      <c r="N872" s="1">
        <f t="shared" si="13"/>
        <v>36341</v>
      </c>
    </row>
    <row r="873" spans="1:14" x14ac:dyDescent="0.35">
      <c r="A873">
        <v>424</v>
      </c>
      <c r="B873" s="2">
        <v>36887</v>
      </c>
      <c r="C873">
        <v>2</v>
      </c>
      <c r="D873">
        <v>2</v>
      </c>
      <c r="F873">
        <v>872</v>
      </c>
      <c r="G873" cm="1">
        <f t="array" ref="G873">_xlfn.IFNA(INDEX($D$2:$D$4001,_xlfn.XMATCH(G$1&amp;"-"&amp;$F873,YEAR($B$2:$B$4001)&amp;"-"&amp;$A$2:$A$4001,0,-1)),9)</f>
        <v>9</v>
      </c>
      <c r="H873" cm="1">
        <f t="array" ref="H873">IF(OR(AND(G873=9,H$1&gt;YEAR($N873))),9,_xlfn.IFNA(INDEX($D$2:$D$4001,_xlfn.XMATCH(H$1&amp;"-"&amp;$F873,YEAR($B$2:$B$4001)&amp;"-"&amp;$A$2:$A$4001,0,-1)),G873))</f>
        <v>2</v>
      </c>
      <c r="I873" cm="1">
        <f t="array" ref="I873">IF(OR(AND(H873=9,I$1&gt;YEAR($N873))),9,_xlfn.IFNA(INDEX($D$2:$D$4001,_xlfn.XMATCH(I$1&amp;"-"&amp;$F873,YEAR($B$2:$B$4001)&amp;"-"&amp;$A$2:$A$4001,0,-1)),H873))</f>
        <v>2</v>
      </c>
      <c r="J873" cm="1">
        <f t="array" ref="J873">IF(OR(AND(I873=9,J$1&gt;YEAR($N873))),9,_xlfn.IFNA(INDEX($D$2:$D$4001,_xlfn.XMATCH(J$1&amp;"-"&amp;$F873,YEAR($B$2:$B$4001)&amp;"-"&amp;$A$2:$A$4001,0,-1)),I873))</f>
        <v>3</v>
      </c>
      <c r="K873" cm="1">
        <f t="array" ref="K873">IF(OR(AND(J873=9,K$1&gt;YEAR($N873))),9,_xlfn.IFNA(INDEX($D$2:$D$4001,_xlfn.XMATCH(K$1&amp;"-"&amp;$F873,YEAR($B$2:$B$4001)&amp;"-"&amp;$A$2:$A$4001,0,-1)),J873))</f>
        <v>3</v>
      </c>
      <c r="L873" cm="1">
        <f t="array" ref="L873">IF(OR(AND(K873=9,L$1&gt;YEAR($N873))),9,_xlfn.IFNA(INDEX($D$2:$D$4001,_xlfn.XMATCH(L$1&amp;"-"&amp;$F873,YEAR($B$2:$B$4001)&amp;"-"&amp;$A$2:$A$4001,0,-1)),K873))</f>
        <v>3</v>
      </c>
      <c r="M873" cm="1">
        <f t="array" ref="M873">IF(OR(AND(L873=9,M$1&gt;YEAR($N873))),9,_xlfn.IFNA(INDEX($D$2:$D$4001,_xlfn.XMATCH(M$1&amp;"-"&amp;$F873,YEAR($B$2:$B$4001)&amp;"-"&amp;$A$2:$A$4001,0,-1)),L873))</f>
        <v>3</v>
      </c>
      <c r="N873" s="1">
        <f t="shared" si="13"/>
        <v>36890</v>
      </c>
    </row>
    <row r="874" spans="1:14" x14ac:dyDescent="0.35">
      <c r="A874">
        <v>424</v>
      </c>
      <c r="B874" s="2">
        <v>37762</v>
      </c>
      <c r="C874">
        <v>3</v>
      </c>
      <c r="D874">
        <v>3</v>
      </c>
      <c r="F874">
        <v>873</v>
      </c>
      <c r="G874" cm="1">
        <f t="array" ref="G874">_xlfn.IFNA(INDEX($D$2:$D$4001,_xlfn.XMATCH(G$1&amp;"-"&amp;$F874,YEAR($B$2:$B$4001)&amp;"-"&amp;$A$2:$A$4001,0,-1)),9)</f>
        <v>9</v>
      </c>
      <c r="H874" cm="1">
        <f t="array" ref="H874">IF(OR(AND(G874=9,H$1&gt;YEAR($N874))),9,_xlfn.IFNA(INDEX($D$2:$D$4001,_xlfn.XMATCH(H$1&amp;"-"&amp;$F874,YEAR($B$2:$B$4001)&amp;"-"&amp;$A$2:$A$4001,0,-1)),G874))</f>
        <v>3</v>
      </c>
      <c r="I874" cm="1">
        <f t="array" ref="I874">IF(OR(AND(H874=9,I$1&gt;YEAR($N874))),9,_xlfn.IFNA(INDEX($D$2:$D$4001,_xlfn.XMATCH(I$1&amp;"-"&amp;$F874,YEAR($B$2:$B$4001)&amp;"-"&amp;$A$2:$A$4001,0,-1)),H874))</f>
        <v>3</v>
      </c>
      <c r="J874" cm="1">
        <f t="array" ref="J874">IF(OR(AND(I874=9,J$1&gt;YEAR($N874))),9,_xlfn.IFNA(INDEX($D$2:$D$4001,_xlfn.XMATCH(J$1&amp;"-"&amp;$F874,YEAR($B$2:$B$4001)&amp;"-"&amp;$A$2:$A$4001,0,-1)),I874))</f>
        <v>3</v>
      </c>
      <c r="K874" cm="1">
        <f t="array" ref="K874">IF(OR(AND(J874=9,K$1&gt;YEAR($N874))),9,_xlfn.IFNA(INDEX($D$2:$D$4001,_xlfn.XMATCH(K$1&amp;"-"&amp;$F874,YEAR($B$2:$B$4001)&amp;"-"&amp;$A$2:$A$4001,0,-1)),J874))</f>
        <v>3</v>
      </c>
      <c r="L874" cm="1">
        <f t="array" ref="L874">IF(OR(AND(K874=9,L$1&gt;YEAR($N874))),9,_xlfn.IFNA(INDEX($D$2:$D$4001,_xlfn.XMATCH(L$1&amp;"-"&amp;$F874,YEAR($B$2:$B$4001)&amp;"-"&amp;$A$2:$A$4001,0,-1)),K874))</f>
        <v>3</v>
      </c>
      <c r="M874" cm="1">
        <f t="array" ref="M874">IF(OR(AND(L874=9,M$1&gt;YEAR($N874))),9,_xlfn.IFNA(INDEX($D$2:$D$4001,_xlfn.XMATCH(M$1&amp;"-"&amp;$F874,YEAR($B$2:$B$4001)&amp;"-"&amp;$A$2:$A$4001,0,-1)),L874))</f>
        <v>3</v>
      </c>
      <c r="N874" s="1">
        <f t="shared" si="13"/>
        <v>36890</v>
      </c>
    </row>
    <row r="875" spans="1:14" x14ac:dyDescent="0.35">
      <c r="A875">
        <v>425</v>
      </c>
      <c r="B875" s="2">
        <v>36676</v>
      </c>
      <c r="C875">
        <v>2</v>
      </c>
      <c r="D875">
        <v>2</v>
      </c>
      <c r="F875">
        <v>874</v>
      </c>
      <c r="G875" cm="1">
        <f t="array" ref="G875">_xlfn.IFNA(INDEX($D$2:$D$4001,_xlfn.XMATCH(G$1&amp;"-"&amp;$F875,YEAR($B$2:$B$4001)&amp;"-"&amp;$A$2:$A$4001,0,-1)),9)</f>
        <v>9</v>
      </c>
      <c r="H875" cm="1">
        <f t="array" ref="H875">IF(OR(AND(G875=9,H$1&gt;YEAR($N875))),9,_xlfn.IFNA(INDEX($D$2:$D$4001,_xlfn.XMATCH(H$1&amp;"-"&amp;$F875,YEAR($B$2:$B$4001)&amp;"-"&amp;$A$2:$A$4001,0,-1)),G875))</f>
        <v>2</v>
      </c>
      <c r="I875" cm="1">
        <f t="array" ref="I875">IF(OR(AND(H875=9,I$1&gt;YEAR($N875))),9,_xlfn.IFNA(INDEX($D$2:$D$4001,_xlfn.XMATCH(I$1&amp;"-"&amp;$F875,YEAR($B$2:$B$4001)&amp;"-"&amp;$A$2:$A$4001,0,-1)),H875))</f>
        <v>2</v>
      </c>
      <c r="J875" cm="1">
        <f t="array" ref="J875">IF(OR(AND(I875=9,J$1&gt;YEAR($N875))),9,_xlfn.IFNA(INDEX($D$2:$D$4001,_xlfn.XMATCH(J$1&amp;"-"&amp;$F875,YEAR($B$2:$B$4001)&amp;"-"&amp;$A$2:$A$4001,0,-1)),I875))</f>
        <v>3</v>
      </c>
      <c r="K875" cm="1">
        <f t="array" ref="K875">IF(OR(AND(J875=9,K$1&gt;YEAR($N875))),9,_xlfn.IFNA(INDEX($D$2:$D$4001,_xlfn.XMATCH(K$1&amp;"-"&amp;$F875,YEAR($B$2:$B$4001)&amp;"-"&amp;$A$2:$A$4001,0,-1)),J875))</f>
        <v>0</v>
      </c>
      <c r="L875" cm="1">
        <f t="array" ref="L875">IF(OR(AND(K875=9,L$1&gt;YEAR($N875))),9,_xlfn.IFNA(INDEX($D$2:$D$4001,_xlfn.XMATCH(L$1&amp;"-"&amp;$F875,YEAR($B$2:$B$4001)&amp;"-"&amp;$A$2:$A$4001,0,-1)),K875))</f>
        <v>0</v>
      </c>
      <c r="M875" cm="1">
        <f t="array" ref="M875">IF(OR(AND(L875=9,M$1&gt;YEAR($N875))),9,_xlfn.IFNA(INDEX($D$2:$D$4001,_xlfn.XMATCH(M$1&amp;"-"&amp;$F875,YEAR($B$2:$B$4001)&amp;"-"&amp;$A$2:$A$4001,0,-1)),L875))</f>
        <v>0</v>
      </c>
      <c r="N875" s="1">
        <f t="shared" si="13"/>
        <v>36676</v>
      </c>
    </row>
    <row r="876" spans="1:14" x14ac:dyDescent="0.35">
      <c r="A876">
        <v>425</v>
      </c>
      <c r="B876" s="2">
        <v>37620</v>
      </c>
      <c r="C876">
        <v>3</v>
      </c>
      <c r="D876">
        <v>3</v>
      </c>
      <c r="F876">
        <v>875</v>
      </c>
      <c r="G876" cm="1">
        <f t="array" ref="G876">_xlfn.IFNA(INDEX($D$2:$D$4001,_xlfn.XMATCH(G$1&amp;"-"&amp;$F876,YEAR($B$2:$B$4001)&amp;"-"&amp;$A$2:$A$4001,0,-1)),9)</f>
        <v>9</v>
      </c>
      <c r="H876" cm="1">
        <f t="array" ref="H876">IF(OR(AND(G876=9,H$1&gt;YEAR($N876))),9,_xlfn.IFNA(INDEX($D$2:$D$4001,_xlfn.XMATCH(H$1&amp;"-"&amp;$F876,YEAR($B$2:$B$4001)&amp;"-"&amp;$A$2:$A$4001,0,-1)),G876))</f>
        <v>2</v>
      </c>
      <c r="I876" cm="1">
        <f t="array" ref="I876">IF(OR(AND(H876=9,I$1&gt;YEAR($N876))),9,_xlfn.IFNA(INDEX($D$2:$D$4001,_xlfn.XMATCH(I$1&amp;"-"&amp;$F876,YEAR($B$2:$B$4001)&amp;"-"&amp;$A$2:$A$4001,0,-1)),H876))</f>
        <v>2</v>
      </c>
      <c r="J876" cm="1">
        <f t="array" ref="J876">IF(OR(AND(I876=9,J$1&gt;YEAR($N876))),9,_xlfn.IFNA(INDEX($D$2:$D$4001,_xlfn.XMATCH(J$1&amp;"-"&amp;$F876,YEAR($B$2:$B$4001)&amp;"-"&amp;$A$2:$A$4001,0,-1)),I876))</f>
        <v>0</v>
      </c>
      <c r="K876" cm="1">
        <f t="array" ref="K876">IF(OR(AND(J876=9,K$1&gt;YEAR($N876))),9,_xlfn.IFNA(INDEX($D$2:$D$4001,_xlfn.XMATCH(K$1&amp;"-"&amp;$F876,YEAR($B$2:$B$4001)&amp;"-"&amp;$A$2:$A$4001,0,-1)),J876))</f>
        <v>0</v>
      </c>
      <c r="L876" cm="1">
        <f t="array" ref="L876">IF(OR(AND(K876=9,L$1&gt;YEAR($N876))),9,_xlfn.IFNA(INDEX($D$2:$D$4001,_xlfn.XMATCH(L$1&amp;"-"&amp;$F876,YEAR($B$2:$B$4001)&amp;"-"&amp;$A$2:$A$4001,0,-1)),K876))</f>
        <v>0</v>
      </c>
      <c r="M876" cm="1">
        <f t="array" ref="M876">IF(OR(AND(L876=9,M$1&gt;YEAR($N876))),9,_xlfn.IFNA(INDEX($D$2:$D$4001,_xlfn.XMATCH(M$1&amp;"-"&amp;$F876,YEAR($B$2:$B$4001)&amp;"-"&amp;$A$2:$A$4001,0,-1)),L876))</f>
        <v>0</v>
      </c>
      <c r="N876" s="1">
        <f t="shared" si="13"/>
        <v>36698</v>
      </c>
    </row>
    <row r="877" spans="1:14" x14ac:dyDescent="0.35">
      <c r="A877">
        <v>425</v>
      </c>
      <c r="B877" s="2">
        <v>37771</v>
      </c>
      <c r="C877">
        <v>3</v>
      </c>
      <c r="D877">
        <v>3</v>
      </c>
      <c r="F877">
        <v>876</v>
      </c>
      <c r="G877" cm="1">
        <f t="array" ref="G877">_xlfn.IFNA(INDEX($D$2:$D$4001,_xlfn.XMATCH(G$1&amp;"-"&amp;$F877,YEAR($B$2:$B$4001)&amp;"-"&amp;$A$2:$A$4001,0,-1)),9)</f>
        <v>9</v>
      </c>
      <c r="H877" cm="1">
        <f t="array" ref="H877">IF(OR(AND(G877=9,H$1&gt;YEAR($N877))),9,_xlfn.IFNA(INDEX($D$2:$D$4001,_xlfn.XMATCH(H$1&amp;"-"&amp;$F877,YEAR($B$2:$B$4001)&amp;"-"&amp;$A$2:$A$4001,0,-1)),G877))</f>
        <v>2</v>
      </c>
      <c r="I877" cm="1">
        <f t="array" ref="I877">IF(OR(AND(H877=9,I$1&gt;YEAR($N877))),9,_xlfn.IFNA(INDEX($D$2:$D$4001,_xlfn.XMATCH(I$1&amp;"-"&amp;$F877,YEAR($B$2:$B$4001)&amp;"-"&amp;$A$2:$A$4001,0,-1)),H877))</f>
        <v>2</v>
      </c>
      <c r="J877" cm="1">
        <f t="array" ref="J877">IF(OR(AND(I877=9,J$1&gt;YEAR($N877))),9,_xlfn.IFNA(INDEX($D$2:$D$4001,_xlfn.XMATCH(J$1&amp;"-"&amp;$F877,YEAR($B$2:$B$4001)&amp;"-"&amp;$A$2:$A$4001,0,-1)),I877))</f>
        <v>3</v>
      </c>
      <c r="K877" cm="1">
        <f t="array" ref="K877">IF(OR(AND(J877=9,K$1&gt;YEAR($N877))),9,_xlfn.IFNA(INDEX($D$2:$D$4001,_xlfn.XMATCH(K$1&amp;"-"&amp;$F877,YEAR($B$2:$B$4001)&amp;"-"&amp;$A$2:$A$4001,0,-1)),J877))</f>
        <v>0</v>
      </c>
      <c r="L877" cm="1">
        <f t="array" ref="L877">IF(OR(AND(K877=9,L$1&gt;YEAR($N877))),9,_xlfn.IFNA(INDEX($D$2:$D$4001,_xlfn.XMATCH(L$1&amp;"-"&amp;$F877,YEAR($B$2:$B$4001)&amp;"-"&amp;$A$2:$A$4001,0,-1)),K877))</f>
        <v>0</v>
      </c>
      <c r="M877" cm="1">
        <f t="array" ref="M877">IF(OR(AND(L877=9,M$1&gt;YEAR($N877))),9,_xlfn.IFNA(INDEX($D$2:$D$4001,_xlfn.XMATCH(M$1&amp;"-"&amp;$F877,YEAR($B$2:$B$4001)&amp;"-"&amp;$A$2:$A$4001,0,-1)),L877))</f>
        <v>0</v>
      </c>
      <c r="N877" s="1">
        <f t="shared" si="13"/>
        <v>36890</v>
      </c>
    </row>
    <row r="878" spans="1:14" x14ac:dyDescent="0.35">
      <c r="A878">
        <v>426</v>
      </c>
      <c r="B878" s="2">
        <v>37255</v>
      </c>
      <c r="C878">
        <v>3</v>
      </c>
      <c r="D878">
        <v>3</v>
      </c>
      <c r="F878">
        <v>877</v>
      </c>
      <c r="G878" cm="1">
        <f t="array" ref="G878">_xlfn.IFNA(INDEX($D$2:$D$4001,_xlfn.XMATCH(G$1&amp;"-"&amp;$F878,YEAR($B$2:$B$4001)&amp;"-"&amp;$A$2:$A$4001,0,-1)),9)</f>
        <v>9</v>
      </c>
      <c r="H878" cm="1">
        <f t="array" ref="H878">IF(OR(AND(G878=9,H$1&gt;YEAR($N878))),9,_xlfn.IFNA(INDEX($D$2:$D$4001,_xlfn.XMATCH(H$1&amp;"-"&amp;$F878,YEAR($B$2:$B$4001)&amp;"-"&amp;$A$2:$A$4001,0,-1)),G878))</f>
        <v>9</v>
      </c>
      <c r="I878" cm="1">
        <f t="array" ref="I878">IF(OR(AND(H878=9,I$1&gt;YEAR($N878))),9,_xlfn.IFNA(INDEX($D$2:$D$4001,_xlfn.XMATCH(I$1&amp;"-"&amp;$F878,YEAR($B$2:$B$4001)&amp;"-"&amp;$A$2:$A$4001,0,-1)),H878))</f>
        <v>9</v>
      </c>
      <c r="J878" cm="1">
        <f t="array" ref="J878">IF(OR(AND(I878=9,J$1&gt;YEAR($N878))),9,_xlfn.IFNA(INDEX($D$2:$D$4001,_xlfn.XMATCH(J$1&amp;"-"&amp;$F878,YEAR($B$2:$B$4001)&amp;"-"&amp;$A$2:$A$4001,0,-1)),I878))</f>
        <v>9</v>
      </c>
      <c r="K878" cm="1">
        <f t="array" ref="K878">IF(OR(AND(J878=9,K$1&gt;YEAR($N878))),9,_xlfn.IFNA(INDEX($D$2:$D$4001,_xlfn.XMATCH(K$1&amp;"-"&amp;$F878,YEAR($B$2:$B$4001)&amp;"-"&amp;$A$2:$A$4001,0,-1)),J878))</f>
        <v>4</v>
      </c>
      <c r="L878" cm="1">
        <f t="array" ref="L878">IF(OR(AND(K878=9,L$1&gt;YEAR($N878))),9,_xlfn.IFNA(INDEX($D$2:$D$4001,_xlfn.XMATCH(L$1&amp;"-"&amp;$F878,YEAR($B$2:$B$4001)&amp;"-"&amp;$A$2:$A$4001,0,-1)),K878))</f>
        <v>4</v>
      </c>
      <c r="M878" cm="1">
        <f t="array" ref="M878">IF(OR(AND(L878=9,M$1&gt;YEAR($N878))),9,_xlfn.IFNA(INDEX($D$2:$D$4001,_xlfn.XMATCH(M$1&amp;"-"&amp;$F878,YEAR($B$2:$B$4001)&amp;"-"&amp;$A$2:$A$4001,0,-1)),L878))</f>
        <v>4</v>
      </c>
      <c r="N878" s="1">
        <f t="shared" si="13"/>
        <v>37924</v>
      </c>
    </row>
    <row r="879" spans="1:14" x14ac:dyDescent="0.35">
      <c r="A879">
        <v>426</v>
      </c>
      <c r="B879" s="2">
        <v>37985</v>
      </c>
      <c r="C879">
        <v>3</v>
      </c>
      <c r="D879">
        <v>3</v>
      </c>
      <c r="F879">
        <v>878</v>
      </c>
      <c r="G879" cm="1">
        <f t="array" ref="G879">_xlfn.IFNA(INDEX($D$2:$D$4001,_xlfn.XMATCH(G$1&amp;"-"&amp;$F879,YEAR($B$2:$B$4001)&amp;"-"&amp;$A$2:$A$4001,0,-1)),9)</f>
        <v>9</v>
      </c>
      <c r="H879" cm="1">
        <f t="array" ref="H879">IF(OR(AND(G879=9,H$1&gt;YEAR($N879))),9,_xlfn.IFNA(INDEX($D$2:$D$4001,_xlfn.XMATCH(H$1&amp;"-"&amp;$F879,YEAR($B$2:$B$4001)&amp;"-"&amp;$A$2:$A$4001,0,-1)),G879))</f>
        <v>2</v>
      </c>
      <c r="I879" cm="1">
        <f t="array" ref="I879">IF(OR(AND(H879=9,I$1&gt;YEAR($N879))),9,_xlfn.IFNA(INDEX($D$2:$D$4001,_xlfn.XMATCH(I$1&amp;"-"&amp;$F879,YEAR($B$2:$B$4001)&amp;"-"&amp;$A$2:$A$4001,0,-1)),H879))</f>
        <v>2</v>
      </c>
      <c r="J879" cm="1">
        <f t="array" ref="J879">IF(OR(AND(I879=9,J$1&gt;YEAR($N879))),9,_xlfn.IFNA(INDEX($D$2:$D$4001,_xlfn.XMATCH(J$1&amp;"-"&amp;$F879,YEAR($B$2:$B$4001)&amp;"-"&amp;$A$2:$A$4001,0,-1)),I879))</f>
        <v>3</v>
      </c>
      <c r="K879" cm="1">
        <f t="array" ref="K879">IF(OR(AND(J879=9,K$1&gt;YEAR($N879))),9,_xlfn.IFNA(INDEX($D$2:$D$4001,_xlfn.XMATCH(K$1&amp;"-"&amp;$F879,YEAR($B$2:$B$4001)&amp;"-"&amp;$A$2:$A$4001,0,-1)),J879))</f>
        <v>0</v>
      </c>
      <c r="L879" cm="1">
        <f t="array" ref="L879">IF(OR(AND(K879=9,L$1&gt;YEAR($N879))),9,_xlfn.IFNA(INDEX($D$2:$D$4001,_xlfn.XMATCH(L$1&amp;"-"&amp;$F879,YEAR($B$2:$B$4001)&amp;"-"&amp;$A$2:$A$4001,0,-1)),K879))</f>
        <v>0</v>
      </c>
      <c r="M879" cm="1">
        <f t="array" ref="M879">IF(OR(AND(L879=9,M$1&gt;YEAR($N879))),9,_xlfn.IFNA(INDEX($D$2:$D$4001,_xlfn.XMATCH(M$1&amp;"-"&amp;$F879,YEAR($B$2:$B$4001)&amp;"-"&amp;$A$2:$A$4001,0,-1)),L879))</f>
        <v>0</v>
      </c>
      <c r="N879" s="1">
        <f t="shared" si="13"/>
        <v>36698</v>
      </c>
    </row>
    <row r="880" spans="1:14" x14ac:dyDescent="0.35">
      <c r="A880">
        <v>427</v>
      </c>
      <c r="B880" s="2">
        <v>36829</v>
      </c>
      <c r="C880">
        <v>3</v>
      </c>
      <c r="D880">
        <v>3</v>
      </c>
      <c r="F880">
        <v>879</v>
      </c>
      <c r="G880" cm="1">
        <f t="array" ref="G880">_xlfn.IFNA(INDEX($D$2:$D$4001,_xlfn.XMATCH(G$1&amp;"-"&amp;$F880,YEAR($B$2:$B$4001)&amp;"-"&amp;$A$2:$A$4001,0,-1)),9)</f>
        <v>9</v>
      </c>
      <c r="H880" cm="1">
        <f t="array" ref="H880">IF(OR(AND(G880=9,H$1&gt;YEAR($N880))),9,_xlfn.IFNA(INDEX($D$2:$D$4001,_xlfn.XMATCH(H$1&amp;"-"&amp;$F880,YEAR($B$2:$B$4001)&amp;"-"&amp;$A$2:$A$4001,0,-1)),G880))</f>
        <v>9</v>
      </c>
      <c r="I880" cm="1">
        <f t="array" ref="I880">IF(OR(AND(H880=9,I$1&gt;YEAR($N880))),9,_xlfn.IFNA(INDEX($D$2:$D$4001,_xlfn.XMATCH(I$1&amp;"-"&amp;$F880,YEAR($B$2:$B$4001)&amp;"-"&amp;$A$2:$A$4001,0,-1)),H880))</f>
        <v>3</v>
      </c>
      <c r="J880" cm="1">
        <f t="array" ref="J880">IF(OR(AND(I880=9,J$1&gt;YEAR($N880))),9,_xlfn.IFNA(INDEX($D$2:$D$4001,_xlfn.XMATCH(J$1&amp;"-"&amp;$F880,YEAR($B$2:$B$4001)&amp;"-"&amp;$A$2:$A$4001,0,-1)),I880))</f>
        <v>3</v>
      </c>
      <c r="K880" cm="1">
        <f t="array" ref="K880">IF(OR(AND(J880=9,K$1&gt;YEAR($N880))),9,_xlfn.IFNA(INDEX($D$2:$D$4001,_xlfn.XMATCH(K$1&amp;"-"&amp;$F880,YEAR($B$2:$B$4001)&amp;"-"&amp;$A$2:$A$4001,0,-1)),J880))</f>
        <v>3</v>
      </c>
      <c r="L880" cm="1">
        <f t="array" ref="L880">IF(OR(AND(K880=9,L$1&gt;YEAR($N880))),9,_xlfn.IFNA(INDEX($D$2:$D$4001,_xlfn.XMATCH(L$1&amp;"-"&amp;$F880,YEAR($B$2:$B$4001)&amp;"-"&amp;$A$2:$A$4001,0,-1)),K880))</f>
        <v>3</v>
      </c>
      <c r="M880" cm="1">
        <f t="array" ref="M880">IF(OR(AND(L880=9,M$1&gt;YEAR($N880))),9,_xlfn.IFNA(INDEX($D$2:$D$4001,_xlfn.XMATCH(M$1&amp;"-"&amp;$F880,YEAR($B$2:$B$4001)&amp;"-"&amp;$A$2:$A$4001,0,-1)),L880))</f>
        <v>3</v>
      </c>
      <c r="N880" s="1">
        <f t="shared" si="13"/>
        <v>37194</v>
      </c>
    </row>
    <row r="881" spans="1:14" x14ac:dyDescent="0.35">
      <c r="A881">
        <v>428</v>
      </c>
      <c r="B881" s="2">
        <v>37194</v>
      </c>
      <c r="C881">
        <v>3</v>
      </c>
      <c r="D881">
        <v>3</v>
      </c>
      <c r="F881">
        <v>880</v>
      </c>
      <c r="G881" cm="1">
        <f t="array" ref="G881">_xlfn.IFNA(INDEX($D$2:$D$4001,_xlfn.XMATCH(G$1&amp;"-"&amp;$F881,YEAR($B$2:$B$4001)&amp;"-"&amp;$A$2:$A$4001,0,-1)),9)</f>
        <v>9</v>
      </c>
      <c r="H881" cm="1">
        <f t="array" ref="H881">IF(OR(AND(G881=9,H$1&gt;YEAR($N881))),9,_xlfn.IFNA(INDEX($D$2:$D$4001,_xlfn.XMATCH(H$1&amp;"-"&amp;$F881,YEAR($B$2:$B$4001)&amp;"-"&amp;$A$2:$A$4001,0,-1)),G881))</f>
        <v>2</v>
      </c>
      <c r="I881" cm="1">
        <f t="array" ref="I881">IF(OR(AND(H881=9,I$1&gt;YEAR($N881))),9,_xlfn.IFNA(INDEX($D$2:$D$4001,_xlfn.XMATCH(I$1&amp;"-"&amp;$F881,YEAR($B$2:$B$4001)&amp;"-"&amp;$A$2:$A$4001,0,-1)),H881))</f>
        <v>2</v>
      </c>
      <c r="J881" cm="1">
        <f t="array" ref="J881">IF(OR(AND(I881=9,J$1&gt;YEAR($N881))),9,_xlfn.IFNA(INDEX($D$2:$D$4001,_xlfn.XMATCH(J$1&amp;"-"&amp;$F881,YEAR($B$2:$B$4001)&amp;"-"&amp;$A$2:$A$4001,0,-1)),I881))</f>
        <v>3</v>
      </c>
      <c r="K881" cm="1">
        <f t="array" ref="K881">IF(OR(AND(J881=9,K$1&gt;YEAR($N881))),9,_xlfn.IFNA(INDEX($D$2:$D$4001,_xlfn.XMATCH(K$1&amp;"-"&amp;$F881,YEAR($B$2:$B$4001)&amp;"-"&amp;$A$2:$A$4001,0,-1)),J881))</f>
        <v>0</v>
      </c>
      <c r="L881" cm="1">
        <f t="array" ref="L881">IF(OR(AND(K881=9,L$1&gt;YEAR($N881))),9,_xlfn.IFNA(INDEX($D$2:$D$4001,_xlfn.XMATCH(L$1&amp;"-"&amp;$F881,YEAR($B$2:$B$4001)&amp;"-"&amp;$A$2:$A$4001,0,-1)),K881))</f>
        <v>0</v>
      </c>
      <c r="M881" cm="1">
        <f t="array" ref="M881">IF(OR(AND(L881=9,M$1&gt;YEAR($N881))),9,_xlfn.IFNA(INDEX($D$2:$D$4001,_xlfn.XMATCH(M$1&amp;"-"&amp;$F881,YEAR($B$2:$B$4001)&amp;"-"&amp;$A$2:$A$4001,0,-1)),L881))</f>
        <v>0</v>
      </c>
      <c r="N881" s="1">
        <f t="shared" si="13"/>
        <v>36667</v>
      </c>
    </row>
    <row r="882" spans="1:14" x14ac:dyDescent="0.35">
      <c r="A882">
        <v>429</v>
      </c>
      <c r="B882" s="2">
        <v>37437</v>
      </c>
      <c r="C882">
        <v>4</v>
      </c>
      <c r="D882">
        <v>4</v>
      </c>
      <c r="F882">
        <v>881</v>
      </c>
      <c r="G882" cm="1">
        <f t="array" ref="G882">_xlfn.IFNA(INDEX($D$2:$D$4001,_xlfn.XMATCH(G$1&amp;"-"&amp;$F882,YEAR($B$2:$B$4001)&amp;"-"&amp;$A$2:$A$4001,0,-1)),9)</f>
        <v>9</v>
      </c>
      <c r="H882" cm="1">
        <f t="array" ref="H882">IF(OR(AND(G882=9,H$1&gt;YEAR($N882))),9,_xlfn.IFNA(INDEX($D$2:$D$4001,_xlfn.XMATCH(H$1&amp;"-"&amp;$F882,YEAR($B$2:$B$4001)&amp;"-"&amp;$A$2:$A$4001,0,-1)),G882))</f>
        <v>9</v>
      </c>
      <c r="I882" cm="1">
        <f t="array" ref="I882">IF(OR(AND(H882=9,I$1&gt;YEAR($N882))),9,_xlfn.IFNA(INDEX($D$2:$D$4001,_xlfn.XMATCH(I$1&amp;"-"&amp;$F882,YEAR($B$2:$B$4001)&amp;"-"&amp;$A$2:$A$4001,0,-1)),H882))</f>
        <v>9</v>
      </c>
      <c r="J882" cm="1">
        <f t="array" ref="J882">IF(OR(AND(I882=9,J$1&gt;YEAR($N882))),9,_xlfn.IFNA(INDEX($D$2:$D$4001,_xlfn.XMATCH(J$1&amp;"-"&amp;$F882,YEAR($B$2:$B$4001)&amp;"-"&amp;$A$2:$A$4001,0,-1)),I882))</f>
        <v>9</v>
      </c>
      <c r="K882" cm="1">
        <f t="array" ref="K882">IF(OR(AND(J882=9,K$1&gt;YEAR($N882))),9,_xlfn.IFNA(INDEX($D$2:$D$4001,_xlfn.XMATCH(K$1&amp;"-"&amp;$F882,YEAR($B$2:$B$4001)&amp;"-"&amp;$A$2:$A$4001,0,-1)),J882))</f>
        <v>9</v>
      </c>
      <c r="L882" cm="1">
        <f t="array" ref="L882">IF(OR(AND(K882=9,L$1&gt;YEAR($N882))),9,_xlfn.IFNA(INDEX($D$2:$D$4001,_xlfn.XMATCH(L$1&amp;"-"&amp;$F882,YEAR($B$2:$B$4001)&amp;"-"&amp;$A$2:$A$4001,0,-1)),K882))</f>
        <v>9</v>
      </c>
      <c r="M882" cm="1">
        <f t="array" ref="M882">IF(OR(AND(L882=9,M$1&gt;YEAR($N882))),9,_xlfn.IFNA(INDEX($D$2:$D$4001,_xlfn.XMATCH(M$1&amp;"-"&amp;$F882,YEAR($B$2:$B$4001)&amp;"-"&amp;$A$2:$A$4001,0,-1)),L882))</f>
        <v>2</v>
      </c>
      <c r="N882" s="1">
        <f t="shared" si="13"/>
        <v>38493</v>
      </c>
    </row>
    <row r="883" spans="1:14" x14ac:dyDescent="0.35">
      <c r="A883">
        <v>430</v>
      </c>
      <c r="B883" s="2">
        <v>36829</v>
      </c>
      <c r="C883">
        <v>2</v>
      </c>
      <c r="D883">
        <v>2</v>
      </c>
      <c r="F883">
        <v>882</v>
      </c>
      <c r="G883" cm="1">
        <f t="array" ref="G883">_xlfn.IFNA(INDEX($D$2:$D$4001,_xlfn.XMATCH(G$1&amp;"-"&amp;$F883,YEAR($B$2:$B$4001)&amp;"-"&amp;$A$2:$A$4001,0,-1)),9)</f>
        <v>9</v>
      </c>
      <c r="H883" cm="1">
        <f t="array" ref="H883">IF(OR(AND(G883=9,H$1&gt;YEAR($N883))),9,_xlfn.IFNA(INDEX($D$2:$D$4001,_xlfn.XMATCH(H$1&amp;"-"&amp;$F883,YEAR($B$2:$B$4001)&amp;"-"&amp;$A$2:$A$4001,0,-1)),G883))</f>
        <v>2</v>
      </c>
      <c r="I883" cm="1">
        <f t="array" ref="I883">IF(OR(AND(H883=9,I$1&gt;YEAR($N883))),9,_xlfn.IFNA(INDEX($D$2:$D$4001,_xlfn.XMATCH(I$1&amp;"-"&amp;$F883,YEAR($B$2:$B$4001)&amp;"-"&amp;$A$2:$A$4001,0,-1)),H883))</f>
        <v>2</v>
      </c>
      <c r="J883" cm="1">
        <f t="array" ref="J883">IF(OR(AND(I883=9,J$1&gt;YEAR($N883))),9,_xlfn.IFNA(INDEX($D$2:$D$4001,_xlfn.XMATCH(J$1&amp;"-"&amp;$F883,YEAR($B$2:$B$4001)&amp;"-"&amp;$A$2:$A$4001,0,-1)),I883))</f>
        <v>3</v>
      </c>
      <c r="K883" cm="1">
        <f t="array" ref="K883">IF(OR(AND(J883=9,K$1&gt;YEAR($N883))),9,_xlfn.IFNA(INDEX($D$2:$D$4001,_xlfn.XMATCH(K$1&amp;"-"&amp;$F883,YEAR($B$2:$B$4001)&amp;"-"&amp;$A$2:$A$4001,0,-1)),J883))</f>
        <v>0</v>
      </c>
      <c r="L883" cm="1">
        <f t="array" ref="L883">IF(OR(AND(K883=9,L$1&gt;YEAR($N883))),9,_xlfn.IFNA(INDEX($D$2:$D$4001,_xlfn.XMATCH(L$1&amp;"-"&amp;$F883,YEAR($B$2:$B$4001)&amp;"-"&amp;$A$2:$A$4001,0,-1)),K883))</f>
        <v>0</v>
      </c>
      <c r="M883" cm="1">
        <f t="array" ref="M883">IF(OR(AND(L883=9,M$1&gt;YEAR($N883))),9,_xlfn.IFNA(INDEX($D$2:$D$4001,_xlfn.XMATCH(M$1&amp;"-"&amp;$F883,YEAR($B$2:$B$4001)&amp;"-"&amp;$A$2:$A$4001,0,-1)),L883))</f>
        <v>0</v>
      </c>
      <c r="N883" s="1">
        <f t="shared" si="13"/>
        <v>36667</v>
      </c>
    </row>
    <row r="884" spans="1:14" x14ac:dyDescent="0.35">
      <c r="A884">
        <v>430</v>
      </c>
      <c r="B884" s="2">
        <v>37428</v>
      </c>
      <c r="C884">
        <v>3</v>
      </c>
      <c r="D884">
        <v>3</v>
      </c>
      <c r="F884">
        <v>883</v>
      </c>
      <c r="G884" cm="1">
        <f t="array" ref="G884">_xlfn.IFNA(INDEX($D$2:$D$4001,_xlfn.XMATCH(G$1&amp;"-"&amp;$F884,YEAR($B$2:$B$4001)&amp;"-"&amp;$A$2:$A$4001,0,-1)),9)</f>
        <v>9</v>
      </c>
      <c r="H884" cm="1">
        <f t="array" ref="H884">IF(OR(AND(G884=9,H$1&gt;YEAR($N884))),9,_xlfn.IFNA(INDEX($D$2:$D$4001,_xlfn.XMATCH(H$1&amp;"-"&amp;$F884,YEAR($B$2:$B$4001)&amp;"-"&amp;$A$2:$A$4001,0,-1)),G884))</f>
        <v>2</v>
      </c>
      <c r="I884" cm="1">
        <f t="array" ref="I884">IF(OR(AND(H884=9,I$1&gt;YEAR($N884))),9,_xlfn.IFNA(INDEX($D$2:$D$4001,_xlfn.XMATCH(I$1&amp;"-"&amp;$F884,YEAR($B$2:$B$4001)&amp;"-"&amp;$A$2:$A$4001,0,-1)),H884))</f>
        <v>2</v>
      </c>
      <c r="J884" cm="1">
        <f t="array" ref="J884">IF(OR(AND(I884=9,J$1&gt;YEAR($N884))),9,_xlfn.IFNA(INDEX($D$2:$D$4001,_xlfn.XMATCH(J$1&amp;"-"&amp;$F884,YEAR($B$2:$B$4001)&amp;"-"&amp;$A$2:$A$4001,0,-1)),I884))</f>
        <v>3</v>
      </c>
      <c r="K884" cm="1">
        <f t="array" ref="K884">IF(OR(AND(J884=9,K$1&gt;YEAR($N884))),9,_xlfn.IFNA(INDEX($D$2:$D$4001,_xlfn.XMATCH(K$1&amp;"-"&amp;$F884,YEAR($B$2:$B$4001)&amp;"-"&amp;$A$2:$A$4001,0,-1)),J884))</f>
        <v>0</v>
      </c>
      <c r="L884" cm="1">
        <f t="array" ref="L884">IF(OR(AND(K884=9,L$1&gt;YEAR($N884))),9,_xlfn.IFNA(INDEX($D$2:$D$4001,_xlfn.XMATCH(L$1&amp;"-"&amp;$F884,YEAR($B$2:$B$4001)&amp;"-"&amp;$A$2:$A$4001,0,-1)),K884))</f>
        <v>0</v>
      </c>
      <c r="M884" cm="1">
        <f t="array" ref="M884">IF(OR(AND(L884=9,M$1&gt;YEAR($N884))),9,_xlfn.IFNA(INDEX($D$2:$D$4001,_xlfn.XMATCH(M$1&amp;"-"&amp;$F884,YEAR($B$2:$B$4001)&amp;"-"&amp;$A$2:$A$4001,0,-1)),L884))</f>
        <v>0</v>
      </c>
      <c r="N884" s="1">
        <f t="shared" si="13"/>
        <v>36829</v>
      </c>
    </row>
    <row r="885" spans="1:14" x14ac:dyDescent="0.35">
      <c r="A885">
        <v>430</v>
      </c>
      <c r="B885" s="2">
        <v>37762</v>
      </c>
      <c r="C885">
        <v>3</v>
      </c>
      <c r="D885">
        <v>3</v>
      </c>
      <c r="F885">
        <v>884</v>
      </c>
      <c r="G885" cm="1">
        <f t="array" ref="G885">_xlfn.IFNA(INDEX($D$2:$D$4001,_xlfn.XMATCH(G$1&amp;"-"&amp;$F885,YEAR($B$2:$B$4001)&amp;"-"&amp;$A$2:$A$4001,0,-1)),9)</f>
        <v>9</v>
      </c>
      <c r="H885" cm="1">
        <f t="array" ref="H885">IF(OR(AND(G885=9,H$1&gt;YEAR($N885))),9,_xlfn.IFNA(INDEX($D$2:$D$4001,_xlfn.XMATCH(H$1&amp;"-"&amp;$F885,YEAR($B$2:$B$4001)&amp;"-"&amp;$A$2:$A$4001,0,-1)),G885))</f>
        <v>9</v>
      </c>
      <c r="I885" cm="1">
        <f t="array" ref="I885">IF(OR(AND(H885=9,I$1&gt;YEAR($N885))),9,_xlfn.IFNA(INDEX($D$2:$D$4001,_xlfn.XMATCH(I$1&amp;"-"&amp;$F885,YEAR($B$2:$B$4001)&amp;"-"&amp;$A$2:$A$4001,0,-1)),H885))</f>
        <v>9</v>
      </c>
      <c r="J885" cm="1">
        <f t="array" ref="J885">IF(OR(AND(I885=9,J$1&gt;YEAR($N885))),9,_xlfn.IFNA(INDEX($D$2:$D$4001,_xlfn.XMATCH(J$1&amp;"-"&amp;$F885,YEAR($B$2:$B$4001)&amp;"-"&amp;$A$2:$A$4001,0,-1)),I885))</f>
        <v>9</v>
      </c>
      <c r="K885" cm="1">
        <f t="array" ref="K885">IF(OR(AND(J885=9,K$1&gt;YEAR($N885))),9,_xlfn.IFNA(INDEX($D$2:$D$4001,_xlfn.XMATCH(K$1&amp;"-"&amp;$F885,YEAR($B$2:$B$4001)&amp;"-"&amp;$A$2:$A$4001,0,-1)),J885))</f>
        <v>9</v>
      </c>
      <c r="L885" cm="1">
        <f t="array" ref="L885">IF(OR(AND(K885=9,L$1&gt;YEAR($N885))),9,_xlfn.IFNA(INDEX($D$2:$D$4001,_xlfn.XMATCH(L$1&amp;"-"&amp;$F885,YEAR($B$2:$B$4001)&amp;"-"&amp;$A$2:$A$4001,0,-1)),K885))</f>
        <v>0</v>
      </c>
      <c r="M885" cm="1">
        <f t="array" ref="M885">IF(OR(AND(L885=9,M$1&gt;YEAR($N885))),9,_xlfn.IFNA(INDEX($D$2:$D$4001,_xlfn.XMATCH(M$1&amp;"-"&amp;$F885,YEAR($B$2:$B$4001)&amp;"-"&amp;$A$2:$A$4001,0,-1)),L885))</f>
        <v>0</v>
      </c>
      <c r="N885" s="1">
        <f t="shared" si="13"/>
        <v>38128</v>
      </c>
    </row>
    <row r="886" spans="1:14" x14ac:dyDescent="0.35">
      <c r="A886">
        <v>431</v>
      </c>
      <c r="B886" s="2">
        <v>36860</v>
      </c>
      <c r="C886">
        <v>2</v>
      </c>
      <c r="D886">
        <v>2</v>
      </c>
      <c r="F886">
        <v>885</v>
      </c>
      <c r="G886" cm="1">
        <f t="array" ref="G886">_xlfn.IFNA(INDEX($D$2:$D$4001,_xlfn.XMATCH(G$1&amp;"-"&amp;$F886,YEAR($B$2:$B$4001)&amp;"-"&amp;$A$2:$A$4001,0,-1)),9)</f>
        <v>3</v>
      </c>
      <c r="H886" cm="1">
        <f t="array" ref="H886">IF(OR(AND(G886=9,H$1&gt;YEAR($N886))),9,_xlfn.IFNA(INDEX($D$2:$D$4001,_xlfn.XMATCH(H$1&amp;"-"&amp;$F886,YEAR($B$2:$B$4001)&amp;"-"&amp;$A$2:$A$4001,0,-1)),G886))</f>
        <v>3</v>
      </c>
      <c r="I886" cm="1">
        <f t="array" ref="I886">IF(OR(AND(H886=9,I$1&gt;YEAR($N886))),9,_xlfn.IFNA(INDEX($D$2:$D$4001,_xlfn.XMATCH(I$1&amp;"-"&amp;$F886,YEAR($B$2:$B$4001)&amp;"-"&amp;$A$2:$A$4001,0,-1)),H886))</f>
        <v>3</v>
      </c>
      <c r="J886" cm="1">
        <f t="array" ref="J886">IF(OR(AND(I886=9,J$1&gt;YEAR($N886))),9,_xlfn.IFNA(INDEX($D$2:$D$4001,_xlfn.XMATCH(J$1&amp;"-"&amp;$F886,YEAR($B$2:$B$4001)&amp;"-"&amp;$A$2:$A$4001,0,-1)),I886))</f>
        <v>3</v>
      </c>
      <c r="K886" cm="1">
        <f t="array" ref="K886">IF(OR(AND(J886=9,K$1&gt;YEAR($N886))),9,_xlfn.IFNA(INDEX($D$2:$D$4001,_xlfn.XMATCH(K$1&amp;"-"&amp;$F886,YEAR($B$2:$B$4001)&amp;"-"&amp;$A$2:$A$4001,0,-1)),J886))</f>
        <v>3</v>
      </c>
      <c r="L886" cm="1">
        <f t="array" ref="L886">IF(OR(AND(K886=9,L$1&gt;YEAR($N886))),9,_xlfn.IFNA(INDEX($D$2:$D$4001,_xlfn.XMATCH(L$1&amp;"-"&amp;$F886,YEAR($B$2:$B$4001)&amp;"-"&amp;$A$2:$A$4001,0,-1)),K886))</f>
        <v>3</v>
      </c>
      <c r="M886" cm="1">
        <f t="array" ref="M886">IF(OR(AND(L886=9,M$1&gt;YEAR($N886))),9,_xlfn.IFNA(INDEX($D$2:$D$4001,_xlfn.XMATCH(M$1&amp;"-"&amp;$F886,YEAR($B$2:$B$4001)&amp;"-"&amp;$A$2:$A$4001,0,-1)),L886))</f>
        <v>3</v>
      </c>
      <c r="N886" s="1">
        <f t="shared" si="13"/>
        <v>36524</v>
      </c>
    </row>
    <row r="887" spans="1:14" x14ac:dyDescent="0.35">
      <c r="A887">
        <v>431</v>
      </c>
      <c r="B887" s="2">
        <v>37406</v>
      </c>
      <c r="C887">
        <v>3</v>
      </c>
      <c r="D887">
        <v>3</v>
      </c>
      <c r="F887">
        <v>886</v>
      </c>
      <c r="G887" cm="1">
        <f t="array" ref="G887">_xlfn.IFNA(INDEX($D$2:$D$4001,_xlfn.XMATCH(G$1&amp;"-"&amp;$F887,YEAR($B$2:$B$4001)&amp;"-"&amp;$A$2:$A$4001,0,-1)),9)</f>
        <v>9</v>
      </c>
      <c r="H887" cm="1">
        <f t="array" ref="H887">IF(OR(AND(G887=9,H$1&gt;YEAR($N887))),9,_xlfn.IFNA(INDEX($D$2:$D$4001,_xlfn.XMATCH(H$1&amp;"-"&amp;$F887,YEAR($B$2:$B$4001)&amp;"-"&amp;$A$2:$A$4001,0,-1)),G887))</f>
        <v>9</v>
      </c>
      <c r="I887" cm="1">
        <f t="array" ref="I887">IF(OR(AND(H887=9,I$1&gt;YEAR($N887))),9,_xlfn.IFNA(INDEX($D$2:$D$4001,_xlfn.XMATCH(I$1&amp;"-"&amp;$F887,YEAR($B$2:$B$4001)&amp;"-"&amp;$A$2:$A$4001,0,-1)),H887))</f>
        <v>9</v>
      </c>
      <c r="J887" cm="1">
        <f t="array" ref="J887">IF(OR(AND(I887=9,J$1&gt;YEAR($N887))),9,_xlfn.IFNA(INDEX($D$2:$D$4001,_xlfn.XMATCH(J$1&amp;"-"&amp;$F887,YEAR($B$2:$B$4001)&amp;"-"&amp;$A$2:$A$4001,0,-1)),I887))</f>
        <v>9</v>
      </c>
      <c r="K887" cm="1">
        <f t="array" ref="K887">IF(OR(AND(J887=9,K$1&gt;YEAR($N887))),9,_xlfn.IFNA(INDEX($D$2:$D$4001,_xlfn.XMATCH(K$1&amp;"-"&amp;$F887,YEAR($B$2:$B$4001)&amp;"-"&amp;$A$2:$A$4001,0,-1)),J887))</f>
        <v>0</v>
      </c>
      <c r="L887" cm="1">
        <f t="array" ref="L887">IF(OR(AND(K887=9,L$1&gt;YEAR($N887))),9,_xlfn.IFNA(INDEX($D$2:$D$4001,_xlfn.XMATCH(L$1&amp;"-"&amp;$F887,YEAR($B$2:$B$4001)&amp;"-"&amp;$A$2:$A$4001,0,-1)),K887))</f>
        <v>0</v>
      </c>
      <c r="M887" cm="1">
        <f t="array" ref="M887">IF(OR(AND(L887=9,M$1&gt;YEAR($N887))),9,_xlfn.IFNA(INDEX($D$2:$D$4001,_xlfn.XMATCH(M$1&amp;"-"&amp;$F887,YEAR($B$2:$B$4001)&amp;"-"&amp;$A$2:$A$4001,0,-1)),L887))</f>
        <v>0</v>
      </c>
      <c r="N887" s="1">
        <f t="shared" si="13"/>
        <v>37762</v>
      </c>
    </row>
    <row r="888" spans="1:14" x14ac:dyDescent="0.35">
      <c r="A888">
        <v>431</v>
      </c>
      <c r="B888" s="2">
        <v>37832</v>
      </c>
      <c r="C888">
        <v>3</v>
      </c>
      <c r="D888">
        <v>3</v>
      </c>
      <c r="F888">
        <v>887</v>
      </c>
      <c r="G888" cm="1">
        <f t="array" ref="G888">_xlfn.IFNA(INDEX($D$2:$D$4001,_xlfn.XMATCH(G$1&amp;"-"&amp;$F888,YEAR($B$2:$B$4001)&amp;"-"&amp;$A$2:$A$4001,0,-1)),9)</f>
        <v>5</v>
      </c>
      <c r="H888" cm="1">
        <f t="array" ref="H888">IF(OR(AND(G888=9,H$1&gt;YEAR($N888))),9,_xlfn.IFNA(INDEX($D$2:$D$4001,_xlfn.XMATCH(H$1&amp;"-"&amp;$F888,YEAR($B$2:$B$4001)&amp;"-"&amp;$A$2:$A$4001,0,-1)),G888))</f>
        <v>5</v>
      </c>
      <c r="I888" cm="1">
        <f t="array" ref="I888">IF(OR(AND(H888=9,I$1&gt;YEAR($N888))),9,_xlfn.IFNA(INDEX($D$2:$D$4001,_xlfn.XMATCH(I$1&amp;"-"&amp;$F888,YEAR($B$2:$B$4001)&amp;"-"&amp;$A$2:$A$4001,0,-1)),H888))</f>
        <v>5</v>
      </c>
      <c r="J888" cm="1">
        <f t="array" ref="J888">IF(OR(AND(I888=9,J$1&gt;YEAR($N888))),9,_xlfn.IFNA(INDEX($D$2:$D$4001,_xlfn.XMATCH(J$1&amp;"-"&amp;$F888,YEAR($B$2:$B$4001)&amp;"-"&amp;$A$2:$A$4001,0,-1)),I888))</f>
        <v>5</v>
      </c>
      <c r="K888" cm="1">
        <f t="array" ref="K888">IF(OR(AND(J888=9,K$1&gt;YEAR($N888))),9,_xlfn.IFNA(INDEX($D$2:$D$4001,_xlfn.XMATCH(K$1&amp;"-"&amp;$F888,YEAR($B$2:$B$4001)&amp;"-"&amp;$A$2:$A$4001,0,-1)),J888))</f>
        <v>5</v>
      </c>
      <c r="L888" cm="1">
        <f t="array" ref="L888">IF(OR(AND(K888=9,L$1&gt;YEAR($N888))),9,_xlfn.IFNA(INDEX($D$2:$D$4001,_xlfn.XMATCH(L$1&amp;"-"&amp;$F888,YEAR($B$2:$B$4001)&amp;"-"&amp;$A$2:$A$4001,0,-1)),K888))</f>
        <v>6</v>
      </c>
      <c r="M888" cm="1">
        <f t="array" ref="M888">IF(OR(AND(L888=9,M$1&gt;YEAR($N888))),9,_xlfn.IFNA(INDEX($D$2:$D$4001,_xlfn.XMATCH(M$1&amp;"-"&amp;$F888,YEAR($B$2:$B$4001)&amp;"-"&amp;$A$2:$A$4001,0,-1)),L888))</f>
        <v>6</v>
      </c>
      <c r="N888" s="1">
        <f t="shared" si="13"/>
        <v>36524</v>
      </c>
    </row>
    <row r="889" spans="1:14" x14ac:dyDescent="0.35">
      <c r="A889">
        <v>432</v>
      </c>
      <c r="B889" s="2">
        <v>37164</v>
      </c>
      <c r="C889">
        <v>3</v>
      </c>
      <c r="D889">
        <v>3</v>
      </c>
      <c r="F889">
        <v>888</v>
      </c>
      <c r="G889" cm="1">
        <f t="array" ref="G889">_xlfn.IFNA(INDEX($D$2:$D$4001,_xlfn.XMATCH(G$1&amp;"-"&amp;$F889,YEAR($B$2:$B$4001)&amp;"-"&amp;$A$2:$A$4001,0,-1)),9)</f>
        <v>9</v>
      </c>
      <c r="H889" cm="1">
        <f t="array" ref="H889">IF(OR(AND(G889=9,H$1&gt;YEAR($N889))),9,_xlfn.IFNA(INDEX($D$2:$D$4001,_xlfn.XMATCH(H$1&amp;"-"&amp;$F889,YEAR($B$2:$B$4001)&amp;"-"&amp;$A$2:$A$4001,0,-1)),G889))</f>
        <v>9</v>
      </c>
      <c r="I889" cm="1">
        <f t="array" ref="I889">IF(OR(AND(H889=9,I$1&gt;YEAR($N889))),9,_xlfn.IFNA(INDEX($D$2:$D$4001,_xlfn.XMATCH(I$1&amp;"-"&amp;$F889,YEAR($B$2:$B$4001)&amp;"-"&amp;$A$2:$A$4001,0,-1)),H889))</f>
        <v>9</v>
      </c>
      <c r="J889" cm="1">
        <f t="array" ref="J889">IF(OR(AND(I889=9,J$1&gt;YEAR($N889))),9,_xlfn.IFNA(INDEX($D$2:$D$4001,_xlfn.XMATCH(J$1&amp;"-"&amp;$F889,YEAR($B$2:$B$4001)&amp;"-"&amp;$A$2:$A$4001,0,-1)),I889))</f>
        <v>3</v>
      </c>
      <c r="K889" cm="1">
        <f t="array" ref="K889">IF(OR(AND(J889=9,K$1&gt;YEAR($N889))),9,_xlfn.IFNA(INDEX($D$2:$D$4001,_xlfn.XMATCH(K$1&amp;"-"&amp;$F889,YEAR($B$2:$B$4001)&amp;"-"&amp;$A$2:$A$4001,0,-1)),J889))</f>
        <v>2</v>
      </c>
      <c r="L889" cm="1">
        <f t="array" ref="L889">IF(OR(AND(K889=9,L$1&gt;YEAR($N889))),9,_xlfn.IFNA(INDEX($D$2:$D$4001,_xlfn.XMATCH(L$1&amp;"-"&amp;$F889,YEAR($B$2:$B$4001)&amp;"-"&amp;$A$2:$A$4001,0,-1)),K889))</f>
        <v>2</v>
      </c>
      <c r="M889" cm="1">
        <f t="array" ref="M889">IF(OR(AND(L889=9,M$1&gt;YEAR($N889))),9,_xlfn.IFNA(INDEX($D$2:$D$4001,_xlfn.XMATCH(M$1&amp;"-"&amp;$F889,YEAR($B$2:$B$4001)&amp;"-"&amp;$A$2:$A$4001,0,-1)),L889))</f>
        <v>2</v>
      </c>
      <c r="N889" s="1">
        <f t="shared" si="13"/>
        <v>37397</v>
      </c>
    </row>
    <row r="890" spans="1:14" x14ac:dyDescent="0.35">
      <c r="A890">
        <v>433</v>
      </c>
      <c r="B890" s="2">
        <v>36460</v>
      </c>
      <c r="C890">
        <v>5</v>
      </c>
      <c r="D890">
        <v>5</v>
      </c>
      <c r="F890">
        <v>889</v>
      </c>
      <c r="G890" cm="1">
        <f t="array" ref="G890">_xlfn.IFNA(INDEX($D$2:$D$4001,_xlfn.XMATCH(G$1&amp;"-"&amp;$F890,YEAR($B$2:$B$4001)&amp;"-"&amp;$A$2:$A$4001,0,-1)),9)</f>
        <v>5</v>
      </c>
      <c r="H890" cm="1">
        <f t="array" ref="H890">IF(OR(AND(G890=9,H$1&gt;YEAR($N890))),9,_xlfn.IFNA(INDEX($D$2:$D$4001,_xlfn.XMATCH(H$1&amp;"-"&amp;$F890,YEAR($B$2:$B$4001)&amp;"-"&amp;$A$2:$A$4001,0,-1)),G890))</f>
        <v>5</v>
      </c>
      <c r="I890" cm="1">
        <f t="array" ref="I890">IF(OR(AND(H890=9,I$1&gt;YEAR($N890))),9,_xlfn.IFNA(INDEX($D$2:$D$4001,_xlfn.XMATCH(I$1&amp;"-"&amp;$F890,YEAR($B$2:$B$4001)&amp;"-"&amp;$A$2:$A$4001,0,-1)),H890))</f>
        <v>6</v>
      </c>
      <c r="J890" cm="1">
        <f t="array" ref="J890">IF(OR(AND(I890=9,J$1&gt;YEAR($N890))),9,_xlfn.IFNA(INDEX($D$2:$D$4001,_xlfn.XMATCH(J$1&amp;"-"&amp;$F890,YEAR($B$2:$B$4001)&amp;"-"&amp;$A$2:$A$4001,0,-1)),I890))</f>
        <v>6</v>
      </c>
      <c r="K890" cm="1">
        <f t="array" ref="K890">IF(OR(AND(J890=9,K$1&gt;YEAR($N890))),9,_xlfn.IFNA(INDEX($D$2:$D$4001,_xlfn.XMATCH(K$1&amp;"-"&amp;$F890,YEAR($B$2:$B$4001)&amp;"-"&amp;$A$2:$A$4001,0,-1)),J890))</f>
        <v>6</v>
      </c>
      <c r="L890" cm="1">
        <f t="array" ref="L890">IF(OR(AND(K890=9,L$1&gt;YEAR($N890))),9,_xlfn.IFNA(INDEX($D$2:$D$4001,_xlfn.XMATCH(L$1&amp;"-"&amp;$F890,YEAR($B$2:$B$4001)&amp;"-"&amp;$A$2:$A$4001,0,-1)),K890))</f>
        <v>6</v>
      </c>
      <c r="M890" cm="1">
        <f t="array" ref="M890">IF(OR(AND(L890=9,M$1&gt;YEAR($N890))),9,_xlfn.IFNA(INDEX($D$2:$D$4001,_xlfn.XMATCH(M$1&amp;"-"&amp;$F890,YEAR($B$2:$B$4001)&amp;"-"&amp;$A$2:$A$4001,0,-1)),L890))</f>
        <v>6</v>
      </c>
      <c r="N890" s="1">
        <f t="shared" si="13"/>
        <v>36515</v>
      </c>
    </row>
    <row r="891" spans="1:14" x14ac:dyDescent="0.35">
      <c r="A891">
        <v>433</v>
      </c>
      <c r="B891" s="2">
        <v>36890</v>
      </c>
      <c r="C891">
        <v>6</v>
      </c>
      <c r="D891">
        <v>6</v>
      </c>
      <c r="F891">
        <v>890</v>
      </c>
      <c r="G891" cm="1">
        <f t="array" ref="G891">_xlfn.IFNA(INDEX($D$2:$D$4001,_xlfn.XMATCH(G$1&amp;"-"&amp;$F891,YEAR($B$2:$B$4001)&amp;"-"&amp;$A$2:$A$4001,0,-1)),9)</f>
        <v>9</v>
      </c>
      <c r="H891" cm="1">
        <f t="array" ref="H891">IF(OR(AND(G891=9,H$1&gt;YEAR($N891))),9,_xlfn.IFNA(INDEX($D$2:$D$4001,_xlfn.XMATCH(H$1&amp;"-"&amp;$F891,YEAR($B$2:$B$4001)&amp;"-"&amp;$A$2:$A$4001,0,-1)),G891))</f>
        <v>9</v>
      </c>
      <c r="I891" cm="1">
        <f t="array" ref="I891">IF(OR(AND(H891=9,I$1&gt;YEAR($N891))),9,_xlfn.IFNA(INDEX($D$2:$D$4001,_xlfn.XMATCH(I$1&amp;"-"&amp;$F891,YEAR($B$2:$B$4001)&amp;"-"&amp;$A$2:$A$4001,0,-1)),H891))</f>
        <v>9</v>
      </c>
      <c r="J891" cm="1">
        <f t="array" ref="J891">IF(OR(AND(I891=9,J$1&gt;YEAR($N891))),9,_xlfn.IFNA(INDEX($D$2:$D$4001,_xlfn.XMATCH(J$1&amp;"-"&amp;$F891,YEAR($B$2:$B$4001)&amp;"-"&amp;$A$2:$A$4001,0,-1)),I891))</f>
        <v>0</v>
      </c>
      <c r="K891" cm="1">
        <f t="array" ref="K891">IF(OR(AND(J891=9,K$1&gt;YEAR($N891))),9,_xlfn.IFNA(INDEX($D$2:$D$4001,_xlfn.XMATCH(K$1&amp;"-"&amp;$F891,YEAR($B$2:$B$4001)&amp;"-"&amp;$A$2:$A$4001,0,-1)),J891))</f>
        <v>0</v>
      </c>
      <c r="L891" cm="1">
        <f t="array" ref="L891">IF(OR(AND(K891=9,L$1&gt;YEAR($N891))),9,_xlfn.IFNA(INDEX($D$2:$D$4001,_xlfn.XMATCH(L$1&amp;"-"&amp;$F891,YEAR($B$2:$B$4001)&amp;"-"&amp;$A$2:$A$4001,0,-1)),K891))</f>
        <v>0</v>
      </c>
      <c r="M891" cm="1">
        <f t="array" ref="M891">IF(OR(AND(L891=9,M$1&gt;YEAR($N891))),9,_xlfn.IFNA(INDEX($D$2:$D$4001,_xlfn.XMATCH(M$1&amp;"-"&amp;$F891,YEAR($B$2:$B$4001)&amp;"-"&amp;$A$2:$A$4001,0,-1)),L891))</f>
        <v>0</v>
      </c>
      <c r="N891" s="1">
        <f t="shared" si="13"/>
        <v>37398</v>
      </c>
    </row>
    <row r="892" spans="1:14" x14ac:dyDescent="0.35">
      <c r="A892">
        <v>433</v>
      </c>
      <c r="B892" s="2">
        <v>37255</v>
      </c>
      <c r="C892">
        <v>5</v>
      </c>
      <c r="D892">
        <v>5</v>
      </c>
      <c r="F892">
        <v>891</v>
      </c>
      <c r="G892" cm="1">
        <f t="array" ref="G892">_xlfn.IFNA(INDEX($D$2:$D$4001,_xlfn.XMATCH(G$1&amp;"-"&amp;$F892,YEAR($B$2:$B$4001)&amp;"-"&amp;$A$2:$A$4001,0,-1)),9)</f>
        <v>9</v>
      </c>
      <c r="H892" cm="1">
        <f t="array" ref="H892">IF(OR(AND(G892=9,H$1&gt;YEAR($N892))),9,_xlfn.IFNA(INDEX($D$2:$D$4001,_xlfn.XMATCH(H$1&amp;"-"&amp;$F892,YEAR($B$2:$B$4001)&amp;"-"&amp;$A$2:$A$4001,0,-1)),G892))</f>
        <v>4</v>
      </c>
      <c r="I892" cm="1">
        <f t="array" ref="I892">IF(OR(AND(H892=9,I$1&gt;YEAR($N892))),9,_xlfn.IFNA(INDEX($D$2:$D$4001,_xlfn.XMATCH(I$1&amp;"-"&amp;$F892,YEAR($B$2:$B$4001)&amp;"-"&amp;$A$2:$A$4001,0,-1)),H892))</f>
        <v>4</v>
      </c>
      <c r="J892" cm="1">
        <f t="array" ref="J892">IF(OR(AND(I892=9,J$1&gt;YEAR($N892))),9,_xlfn.IFNA(INDEX($D$2:$D$4001,_xlfn.XMATCH(J$1&amp;"-"&amp;$F892,YEAR($B$2:$B$4001)&amp;"-"&amp;$A$2:$A$4001,0,-1)),I892))</f>
        <v>5</v>
      </c>
      <c r="K892" cm="1">
        <f t="array" ref="K892">IF(OR(AND(J892=9,K$1&gt;YEAR($N892))),9,_xlfn.IFNA(INDEX($D$2:$D$4001,_xlfn.XMATCH(K$1&amp;"-"&amp;$F892,YEAR($B$2:$B$4001)&amp;"-"&amp;$A$2:$A$4001,0,-1)),J892))</f>
        <v>5</v>
      </c>
      <c r="L892" cm="1">
        <f t="array" ref="L892">IF(OR(AND(K892=9,L$1&gt;YEAR($N892))),9,_xlfn.IFNA(INDEX($D$2:$D$4001,_xlfn.XMATCH(L$1&amp;"-"&amp;$F892,YEAR($B$2:$B$4001)&amp;"-"&amp;$A$2:$A$4001,0,-1)),K892))</f>
        <v>5</v>
      </c>
      <c r="M892" cm="1">
        <f t="array" ref="M892">IF(OR(AND(L892=9,M$1&gt;YEAR($N892))),9,_xlfn.IFNA(INDEX($D$2:$D$4001,_xlfn.XMATCH(M$1&amp;"-"&amp;$F892,YEAR($B$2:$B$4001)&amp;"-"&amp;$A$2:$A$4001,0,-1)),L892))</f>
        <v>5</v>
      </c>
      <c r="N892" s="1">
        <f t="shared" si="13"/>
        <v>36890</v>
      </c>
    </row>
    <row r="893" spans="1:14" x14ac:dyDescent="0.35">
      <c r="A893">
        <v>433</v>
      </c>
      <c r="B893" s="2">
        <v>37462</v>
      </c>
      <c r="C893">
        <v>5</v>
      </c>
      <c r="D893">
        <v>5</v>
      </c>
      <c r="F893">
        <v>892</v>
      </c>
      <c r="G893" cm="1">
        <f t="array" ref="G893">_xlfn.IFNA(INDEX($D$2:$D$4001,_xlfn.XMATCH(G$1&amp;"-"&amp;$F893,YEAR($B$2:$B$4001)&amp;"-"&amp;$A$2:$A$4001,0,-1)),9)</f>
        <v>9</v>
      </c>
      <c r="H893" cm="1">
        <f t="array" ref="H893">IF(OR(AND(G893=9,H$1&gt;YEAR($N893))),9,_xlfn.IFNA(INDEX($D$2:$D$4001,_xlfn.XMATCH(H$1&amp;"-"&amp;$F893,YEAR($B$2:$B$4001)&amp;"-"&amp;$A$2:$A$4001,0,-1)),G893))</f>
        <v>9</v>
      </c>
      <c r="I893" cm="1">
        <f t="array" ref="I893">IF(OR(AND(H893=9,I$1&gt;YEAR($N893))),9,_xlfn.IFNA(INDEX($D$2:$D$4001,_xlfn.XMATCH(I$1&amp;"-"&amp;$F893,YEAR($B$2:$B$4001)&amp;"-"&amp;$A$2:$A$4001,0,-1)),H893))</f>
        <v>9</v>
      </c>
      <c r="J893" cm="1">
        <f t="array" ref="J893">IF(OR(AND(I893=9,J$1&gt;YEAR($N893))),9,_xlfn.IFNA(INDEX($D$2:$D$4001,_xlfn.XMATCH(J$1&amp;"-"&amp;$F893,YEAR($B$2:$B$4001)&amp;"-"&amp;$A$2:$A$4001,0,-1)),I893))</f>
        <v>9</v>
      </c>
      <c r="K893" cm="1">
        <f t="array" ref="K893">IF(OR(AND(J893=9,K$1&gt;YEAR($N893))),9,_xlfn.IFNA(INDEX($D$2:$D$4001,_xlfn.XMATCH(K$1&amp;"-"&amp;$F893,YEAR($B$2:$B$4001)&amp;"-"&amp;$A$2:$A$4001,0,-1)),J893))</f>
        <v>0</v>
      </c>
      <c r="L893" cm="1">
        <f t="array" ref="L893">IF(OR(AND(K893=9,L$1&gt;YEAR($N893))),9,_xlfn.IFNA(INDEX($D$2:$D$4001,_xlfn.XMATCH(L$1&amp;"-"&amp;$F893,YEAR($B$2:$B$4001)&amp;"-"&amp;$A$2:$A$4001,0,-1)),K893))</f>
        <v>0</v>
      </c>
      <c r="M893" cm="1">
        <f t="array" ref="M893">IF(OR(AND(L893=9,M$1&gt;YEAR($N893))),9,_xlfn.IFNA(INDEX($D$2:$D$4001,_xlfn.XMATCH(M$1&amp;"-"&amp;$F893,YEAR($B$2:$B$4001)&amp;"-"&amp;$A$2:$A$4001,0,-1)),L893))</f>
        <v>0</v>
      </c>
      <c r="N893" s="1">
        <f t="shared" si="13"/>
        <v>37854</v>
      </c>
    </row>
    <row r="894" spans="1:14" x14ac:dyDescent="0.35">
      <c r="A894">
        <v>433</v>
      </c>
      <c r="B894" s="2">
        <v>37762</v>
      </c>
      <c r="C894">
        <v>0</v>
      </c>
      <c r="D894">
        <v>0</v>
      </c>
      <c r="F894">
        <v>893</v>
      </c>
      <c r="G894" cm="1">
        <f t="array" ref="G894">_xlfn.IFNA(INDEX($D$2:$D$4001,_xlfn.XMATCH(G$1&amp;"-"&amp;$F894,YEAR($B$2:$B$4001)&amp;"-"&amp;$A$2:$A$4001,0,-1)),9)</f>
        <v>4</v>
      </c>
      <c r="H894" cm="1">
        <f t="array" ref="H894">IF(OR(AND(G894=9,H$1&gt;YEAR($N894))),9,_xlfn.IFNA(INDEX($D$2:$D$4001,_xlfn.XMATCH(H$1&amp;"-"&amp;$F894,YEAR($B$2:$B$4001)&amp;"-"&amp;$A$2:$A$4001,0,-1)),G894))</f>
        <v>4</v>
      </c>
      <c r="I894" cm="1">
        <f t="array" ref="I894">IF(OR(AND(H894=9,I$1&gt;YEAR($N894))),9,_xlfn.IFNA(INDEX($D$2:$D$4001,_xlfn.XMATCH(I$1&amp;"-"&amp;$F894,YEAR($B$2:$B$4001)&amp;"-"&amp;$A$2:$A$4001,0,-1)),H894))</f>
        <v>4</v>
      </c>
      <c r="J894" cm="1">
        <f t="array" ref="J894">IF(OR(AND(I894=9,J$1&gt;YEAR($N894))),9,_xlfn.IFNA(INDEX($D$2:$D$4001,_xlfn.XMATCH(J$1&amp;"-"&amp;$F894,YEAR($B$2:$B$4001)&amp;"-"&amp;$A$2:$A$4001,0,-1)),I894))</f>
        <v>5</v>
      </c>
      <c r="K894" cm="1">
        <f t="array" ref="K894">IF(OR(AND(J894=9,K$1&gt;YEAR($N894))),9,_xlfn.IFNA(INDEX($D$2:$D$4001,_xlfn.XMATCH(K$1&amp;"-"&amp;$F894,YEAR($B$2:$B$4001)&amp;"-"&amp;$A$2:$A$4001,0,-1)),J894))</f>
        <v>5</v>
      </c>
      <c r="L894" cm="1">
        <f t="array" ref="L894">IF(OR(AND(K894=9,L$1&gt;YEAR($N894))),9,_xlfn.IFNA(INDEX($D$2:$D$4001,_xlfn.XMATCH(L$1&amp;"-"&amp;$F894,YEAR($B$2:$B$4001)&amp;"-"&amp;$A$2:$A$4001,0,-1)),K894))</f>
        <v>5</v>
      </c>
      <c r="M894" cm="1">
        <f t="array" ref="M894">IF(OR(AND(L894=9,M$1&gt;YEAR($N894))),9,_xlfn.IFNA(INDEX($D$2:$D$4001,_xlfn.XMATCH(M$1&amp;"-"&amp;$F894,YEAR($B$2:$B$4001)&amp;"-"&amp;$A$2:$A$4001,0,-1)),L894))</f>
        <v>5</v>
      </c>
      <c r="N894" s="1">
        <f t="shared" si="13"/>
        <v>36310</v>
      </c>
    </row>
    <row r="895" spans="1:14" x14ac:dyDescent="0.35">
      <c r="A895">
        <v>434</v>
      </c>
      <c r="B895" s="2">
        <v>37985</v>
      </c>
      <c r="C895">
        <v>3</v>
      </c>
      <c r="D895">
        <v>3</v>
      </c>
      <c r="F895">
        <v>894</v>
      </c>
      <c r="G895" cm="1">
        <f t="array" ref="G895">_xlfn.IFNA(INDEX($D$2:$D$4001,_xlfn.XMATCH(G$1&amp;"-"&amp;$F895,YEAR($B$2:$B$4001)&amp;"-"&amp;$A$2:$A$4001,0,-1)),9)</f>
        <v>4</v>
      </c>
      <c r="H895" cm="1">
        <f t="array" ref="H895">IF(OR(AND(G895=9,H$1&gt;YEAR($N895))),9,_xlfn.IFNA(INDEX($D$2:$D$4001,_xlfn.XMATCH(H$1&amp;"-"&amp;$F895,YEAR($B$2:$B$4001)&amp;"-"&amp;$A$2:$A$4001,0,-1)),G895))</f>
        <v>0</v>
      </c>
      <c r="I895" cm="1">
        <f t="array" ref="I895">IF(OR(AND(H895=9,I$1&gt;YEAR($N895))),9,_xlfn.IFNA(INDEX($D$2:$D$4001,_xlfn.XMATCH(I$1&amp;"-"&amp;$F895,YEAR($B$2:$B$4001)&amp;"-"&amp;$A$2:$A$4001,0,-1)),H895))</f>
        <v>0</v>
      </c>
      <c r="J895" cm="1">
        <f t="array" ref="J895">IF(OR(AND(I895=9,J$1&gt;YEAR($N895))),9,_xlfn.IFNA(INDEX($D$2:$D$4001,_xlfn.XMATCH(J$1&amp;"-"&amp;$F895,YEAR($B$2:$B$4001)&amp;"-"&amp;$A$2:$A$4001,0,-1)),I895))</f>
        <v>6</v>
      </c>
      <c r="K895" cm="1">
        <f t="array" ref="K895">IF(OR(AND(J895=9,K$1&gt;YEAR($N895))),9,_xlfn.IFNA(INDEX($D$2:$D$4001,_xlfn.XMATCH(K$1&amp;"-"&amp;$F895,YEAR($B$2:$B$4001)&amp;"-"&amp;$A$2:$A$4001,0,-1)),J895))</f>
        <v>6</v>
      </c>
      <c r="L895" cm="1">
        <f t="array" ref="L895">IF(OR(AND(K895=9,L$1&gt;YEAR($N895))),9,_xlfn.IFNA(INDEX($D$2:$D$4001,_xlfn.XMATCH(L$1&amp;"-"&amp;$F895,YEAR($B$2:$B$4001)&amp;"-"&amp;$A$2:$A$4001,0,-1)),K895))</f>
        <v>6</v>
      </c>
      <c r="M895" cm="1">
        <f t="array" ref="M895">IF(OR(AND(L895=9,M$1&gt;YEAR($N895))),9,_xlfn.IFNA(INDEX($D$2:$D$4001,_xlfn.XMATCH(M$1&amp;"-"&amp;$F895,YEAR($B$2:$B$4001)&amp;"-"&amp;$A$2:$A$4001,0,-1)),L895))</f>
        <v>0</v>
      </c>
      <c r="N895" s="1">
        <f t="shared" si="13"/>
        <v>36524</v>
      </c>
    </row>
    <row r="896" spans="1:14" x14ac:dyDescent="0.35">
      <c r="A896">
        <v>435</v>
      </c>
      <c r="B896" s="2">
        <v>37032</v>
      </c>
      <c r="C896">
        <v>2</v>
      </c>
      <c r="D896">
        <v>2</v>
      </c>
      <c r="F896">
        <v>895</v>
      </c>
      <c r="G896" cm="1">
        <f t="array" ref="G896">_xlfn.IFNA(INDEX($D$2:$D$4001,_xlfn.XMATCH(G$1&amp;"-"&amp;$F896,YEAR($B$2:$B$4001)&amp;"-"&amp;$A$2:$A$4001,0,-1)),9)</f>
        <v>9</v>
      </c>
      <c r="H896" cm="1">
        <f t="array" ref="H896">IF(OR(AND(G896=9,H$1&gt;YEAR($N896))),9,_xlfn.IFNA(INDEX($D$2:$D$4001,_xlfn.XMATCH(H$1&amp;"-"&amp;$F896,YEAR($B$2:$B$4001)&amp;"-"&amp;$A$2:$A$4001,0,-1)),G896))</f>
        <v>9</v>
      </c>
      <c r="I896" cm="1">
        <f t="array" ref="I896">IF(OR(AND(H896=9,I$1&gt;YEAR($N896))),9,_xlfn.IFNA(INDEX($D$2:$D$4001,_xlfn.XMATCH(I$1&amp;"-"&amp;$F896,YEAR($B$2:$B$4001)&amp;"-"&amp;$A$2:$A$4001,0,-1)),H896))</f>
        <v>4</v>
      </c>
      <c r="J896" cm="1">
        <f t="array" ref="J896">IF(OR(AND(I896=9,J$1&gt;YEAR($N896))),9,_xlfn.IFNA(INDEX($D$2:$D$4001,_xlfn.XMATCH(J$1&amp;"-"&amp;$F896,YEAR($B$2:$B$4001)&amp;"-"&amp;$A$2:$A$4001,0,-1)),I896))</f>
        <v>4</v>
      </c>
      <c r="K896" cm="1">
        <f t="array" ref="K896">IF(OR(AND(J896=9,K$1&gt;YEAR($N896))),9,_xlfn.IFNA(INDEX($D$2:$D$4001,_xlfn.XMATCH(K$1&amp;"-"&amp;$F896,YEAR($B$2:$B$4001)&amp;"-"&amp;$A$2:$A$4001,0,-1)),J896))</f>
        <v>4</v>
      </c>
      <c r="L896" cm="1">
        <f t="array" ref="L896">IF(OR(AND(K896=9,L$1&gt;YEAR($N896))),9,_xlfn.IFNA(INDEX($D$2:$D$4001,_xlfn.XMATCH(L$1&amp;"-"&amp;$F896,YEAR($B$2:$B$4001)&amp;"-"&amp;$A$2:$A$4001,0,-1)),K896))</f>
        <v>4</v>
      </c>
      <c r="M896" cm="1">
        <f t="array" ref="M896">IF(OR(AND(L896=9,M$1&gt;YEAR($N896))),9,_xlfn.IFNA(INDEX($D$2:$D$4001,_xlfn.XMATCH(M$1&amp;"-"&amp;$F896,YEAR($B$2:$B$4001)&amp;"-"&amp;$A$2:$A$4001,0,-1)),L896))</f>
        <v>4</v>
      </c>
      <c r="N896" s="1">
        <f t="shared" si="13"/>
        <v>37255</v>
      </c>
    </row>
    <row r="897" spans="1:14" x14ac:dyDescent="0.35">
      <c r="A897">
        <v>435</v>
      </c>
      <c r="B897" s="2">
        <v>37255</v>
      </c>
      <c r="C897">
        <v>3</v>
      </c>
      <c r="D897">
        <v>3</v>
      </c>
      <c r="F897">
        <v>896</v>
      </c>
      <c r="G897" cm="1">
        <f t="array" ref="G897">_xlfn.IFNA(INDEX($D$2:$D$4001,_xlfn.XMATCH(G$1&amp;"-"&amp;$F897,YEAR($B$2:$B$4001)&amp;"-"&amp;$A$2:$A$4001,0,-1)),9)</f>
        <v>9</v>
      </c>
      <c r="H897" cm="1">
        <f t="array" ref="H897">IF(OR(AND(G897=9,H$1&gt;YEAR($N897))),9,_xlfn.IFNA(INDEX($D$2:$D$4001,_xlfn.XMATCH(H$1&amp;"-"&amp;$F897,YEAR($B$2:$B$4001)&amp;"-"&amp;$A$2:$A$4001,0,-1)),G897))</f>
        <v>9</v>
      </c>
      <c r="I897" cm="1">
        <f t="array" ref="I897">IF(OR(AND(H897=9,I$1&gt;YEAR($N897))),9,_xlfn.IFNA(INDEX($D$2:$D$4001,_xlfn.XMATCH(I$1&amp;"-"&amp;$F897,YEAR($B$2:$B$4001)&amp;"-"&amp;$A$2:$A$4001,0,-1)),H897))</f>
        <v>9</v>
      </c>
      <c r="J897" cm="1">
        <f t="array" ref="J897">IF(OR(AND(I897=9,J$1&gt;YEAR($N897))),9,_xlfn.IFNA(INDEX($D$2:$D$4001,_xlfn.XMATCH(J$1&amp;"-"&amp;$F897,YEAR($B$2:$B$4001)&amp;"-"&amp;$A$2:$A$4001,0,-1)),I897))</f>
        <v>0</v>
      </c>
      <c r="K897" cm="1">
        <f t="array" ref="K897">IF(OR(AND(J897=9,K$1&gt;YEAR($N897))),9,_xlfn.IFNA(INDEX($D$2:$D$4001,_xlfn.XMATCH(K$1&amp;"-"&amp;$F897,YEAR($B$2:$B$4001)&amp;"-"&amp;$A$2:$A$4001,0,-1)),J897))</f>
        <v>0</v>
      </c>
      <c r="L897" cm="1">
        <f t="array" ref="L897">IF(OR(AND(K897=9,L$1&gt;YEAR($N897))),9,_xlfn.IFNA(INDEX($D$2:$D$4001,_xlfn.XMATCH(L$1&amp;"-"&amp;$F897,YEAR($B$2:$B$4001)&amp;"-"&amp;$A$2:$A$4001,0,-1)),K897))</f>
        <v>0</v>
      </c>
      <c r="M897" cm="1">
        <f t="array" ref="M897">IF(OR(AND(L897=9,M$1&gt;YEAR($N897))),9,_xlfn.IFNA(INDEX($D$2:$D$4001,_xlfn.XMATCH(M$1&amp;"-"&amp;$F897,YEAR($B$2:$B$4001)&amp;"-"&amp;$A$2:$A$4001,0,-1)),L897))</f>
        <v>0</v>
      </c>
      <c r="N897" s="1">
        <f t="shared" si="13"/>
        <v>37620</v>
      </c>
    </row>
    <row r="898" spans="1:14" x14ac:dyDescent="0.35">
      <c r="A898">
        <v>435</v>
      </c>
      <c r="B898" s="2">
        <v>37397</v>
      </c>
      <c r="C898">
        <v>4</v>
      </c>
      <c r="D898">
        <v>4</v>
      </c>
      <c r="F898">
        <v>897</v>
      </c>
      <c r="G898" cm="1">
        <f t="array" ref="G898">_xlfn.IFNA(INDEX($D$2:$D$4001,_xlfn.XMATCH(G$1&amp;"-"&amp;$F898,YEAR($B$2:$B$4001)&amp;"-"&amp;$A$2:$A$4001,0,-1)),9)</f>
        <v>6</v>
      </c>
      <c r="H898" cm="1">
        <f t="array" ref="H898">IF(OR(AND(G898=9,H$1&gt;YEAR($N898))),9,_xlfn.IFNA(INDEX($D$2:$D$4001,_xlfn.XMATCH(H$1&amp;"-"&amp;$F898,YEAR($B$2:$B$4001)&amp;"-"&amp;$A$2:$A$4001,0,-1)),G898))</f>
        <v>2</v>
      </c>
      <c r="I898" cm="1">
        <f t="array" ref="I898">IF(OR(AND(H898=9,I$1&gt;YEAR($N898))),9,_xlfn.IFNA(INDEX($D$2:$D$4001,_xlfn.XMATCH(I$1&amp;"-"&amp;$F898,YEAR($B$2:$B$4001)&amp;"-"&amp;$A$2:$A$4001,0,-1)),H898))</f>
        <v>2</v>
      </c>
      <c r="J898" cm="1">
        <f t="array" ref="J898">IF(OR(AND(I898=9,J$1&gt;YEAR($N898))),9,_xlfn.IFNA(INDEX($D$2:$D$4001,_xlfn.XMATCH(J$1&amp;"-"&amp;$F898,YEAR($B$2:$B$4001)&amp;"-"&amp;$A$2:$A$4001,0,-1)),I898))</f>
        <v>2</v>
      </c>
      <c r="K898" cm="1">
        <f t="array" ref="K898">IF(OR(AND(J898=9,K$1&gt;YEAR($N898))),9,_xlfn.IFNA(INDEX($D$2:$D$4001,_xlfn.XMATCH(K$1&amp;"-"&amp;$F898,YEAR($B$2:$B$4001)&amp;"-"&amp;$A$2:$A$4001,0,-1)),J898))</f>
        <v>2</v>
      </c>
      <c r="L898" cm="1">
        <f t="array" ref="L898">IF(OR(AND(K898=9,L$1&gt;YEAR($N898))),9,_xlfn.IFNA(INDEX($D$2:$D$4001,_xlfn.XMATCH(L$1&amp;"-"&amp;$F898,YEAR($B$2:$B$4001)&amp;"-"&amp;$A$2:$A$4001,0,-1)),K898))</f>
        <v>2</v>
      </c>
      <c r="M898" cm="1">
        <f t="array" ref="M898">IF(OR(AND(L898=9,M$1&gt;YEAR($N898))),9,_xlfn.IFNA(INDEX($D$2:$D$4001,_xlfn.XMATCH(M$1&amp;"-"&amp;$F898,YEAR($B$2:$B$4001)&amp;"-"&amp;$A$2:$A$4001,0,-1)),L898))</f>
        <v>2</v>
      </c>
      <c r="N898" s="1">
        <f t="shared" si="13"/>
        <v>36301</v>
      </c>
    </row>
    <row r="899" spans="1:14" x14ac:dyDescent="0.35">
      <c r="A899">
        <v>435</v>
      </c>
      <c r="B899" s="2">
        <v>37398</v>
      </c>
      <c r="C899">
        <v>5</v>
      </c>
      <c r="D899">
        <v>5</v>
      </c>
      <c r="F899">
        <v>898</v>
      </c>
      <c r="G899" cm="1">
        <f t="array" ref="G899">_xlfn.IFNA(INDEX($D$2:$D$4001,_xlfn.XMATCH(G$1&amp;"-"&amp;$F899,YEAR($B$2:$B$4001)&amp;"-"&amp;$A$2:$A$4001,0,-1)),9)</f>
        <v>9</v>
      </c>
      <c r="H899" cm="1">
        <f t="array" ref="H899">IF(OR(AND(G899=9,H$1&gt;YEAR($N899))),9,_xlfn.IFNA(INDEX($D$2:$D$4001,_xlfn.XMATCH(H$1&amp;"-"&amp;$F899,YEAR($B$2:$B$4001)&amp;"-"&amp;$A$2:$A$4001,0,-1)),G899))</f>
        <v>9</v>
      </c>
      <c r="I899" cm="1">
        <f t="array" ref="I899">IF(OR(AND(H899=9,I$1&gt;YEAR($N899))),9,_xlfn.IFNA(INDEX($D$2:$D$4001,_xlfn.XMATCH(I$1&amp;"-"&amp;$F899,YEAR($B$2:$B$4001)&amp;"-"&amp;$A$2:$A$4001,0,-1)),H899))</f>
        <v>9</v>
      </c>
      <c r="J899" cm="1">
        <f t="array" ref="J899">IF(OR(AND(I899=9,J$1&gt;YEAR($N899))),9,_xlfn.IFNA(INDEX($D$2:$D$4001,_xlfn.XMATCH(J$1&amp;"-"&amp;$F899,YEAR($B$2:$B$4001)&amp;"-"&amp;$A$2:$A$4001,0,-1)),I899))</f>
        <v>3</v>
      </c>
      <c r="K899" cm="1">
        <f t="array" ref="K899">IF(OR(AND(J899=9,K$1&gt;YEAR($N899))),9,_xlfn.IFNA(INDEX($D$2:$D$4001,_xlfn.XMATCH(K$1&amp;"-"&amp;$F899,YEAR($B$2:$B$4001)&amp;"-"&amp;$A$2:$A$4001,0,-1)),J899))</f>
        <v>3</v>
      </c>
      <c r="L899" cm="1">
        <f t="array" ref="L899">IF(OR(AND(K899=9,L$1&gt;YEAR($N899))),9,_xlfn.IFNA(INDEX($D$2:$D$4001,_xlfn.XMATCH(L$1&amp;"-"&amp;$F899,YEAR($B$2:$B$4001)&amp;"-"&amp;$A$2:$A$4001,0,-1)),K899))</f>
        <v>3</v>
      </c>
      <c r="M899" cm="1">
        <f t="array" ref="M899">IF(OR(AND(L899=9,M$1&gt;YEAR($N899))),9,_xlfn.IFNA(INDEX($D$2:$D$4001,_xlfn.XMATCH(M$1&amp;"-"&amp;$F899,YEAR($B$2:$B$4001)&amp;"-"&amp;$A$2:$A$4001,0,-1)),L899))</f>
        <v>3</v>
      </c>
      <c r="N899" s="1">
        <f t="shared" ref="N899:N962" si="14">_xlfn.MINIFS($B$2:$B$4001,$A$2:$A$4001,F899)</f>
        <v>37620</v>
      </c>
    </row>
    <row r="900" spans="1:14" x14ac:dyDescent="0.35">
      <c r="A900">
        <v>435</v>
      </c>
      <c r="B900" s="2">
        <v>37467</v>
      </c>
      <c r="C900">
        <v>3</v>
      </c>
      <c r="D900">
        <v>3</v>
      </c>
      <c r="F900">
        <v>899</v>
      </c>
      <c r="G900" cm="1">
        <f t="array" ref="G900">_xlfn.IFNA(INDEX($D$2:$D$4001,_xlfn.XMATCH(G$1&amp;"-"&amp;$F900,YEAR($B$2:$B$4001)&amp;"-"&amp;$A$2:$A$4001,0,-1)),9)</f>
        <v>9</v>
      </c>
      <c r="H900" cm="1">
        <f t="array" ref="H900">IF(OR(AND(G900=9,H$1&gt;YEAR($N900))),9,_xlfn.IFNA(INDEX($D$2:$D$4001,_xlfn.XMATCH(H$1&amp;"-"&amp;$F900,YEAR($B$2:$B$4001)&amp;"-"&amp;$A$2:$A$4001,0,-1)),G900))</f>
        <v>9</v>
      </c>
      <c r="I900" cm="1">
        <f t="array" ref="I900">IF(OR(AND(H900=9,I$1&gt;YEAR($N900))),9,_xlfn.IFNA(INDEX($D$2:$D$4001,_xlfn.XMATCH(I$1&amp;"-"&amp;$F900,YEAR($B$2:$B$4001)&amp;"-"&amp;$A$2:$A$4001,0,-1)),H900))</f>
        <v>9</v>
      </c>
      <c r="J900" cm="1">
        <f t="array" ref="J900">IF(OR(AND(I900=9,J$1&gt;YEAR($N900))),9,_xlfn.IFNA(INDEX($D$2:$D$4001,_xlfn.XMATCH(J$1&amp;"-"&amp;$F900,YEAR($B$2:$B$4001)&amp;"-"&amp;$A$2:$A$4001,0,-1)),I900))</f>
        <v>9</v>
      </c>
      <c r="K900" cm="1">
        <f t="array" ref="K900">IF(OR(AND(J900=9,K$1&gt;YEAR($N900))),9,_xlfn.IFNA(INDEX($D$2:$D$4001,_xlfn.XMATCH(K$1&amp;"-"&amp;$F900,YEAR($B$2:$B$4001)&amp;"-"&amp;$A$2:$A$4001,0,-1)),J900))</f>
        <v>6</v>
      </c>
      <c r="L900" cm="1">
        <f t="array" ref="L900">IF(OR(AND(K900=9,L$1&gt;YEAR($N900))),9,_xlfn.IFNA(INDEX($D$2:$D$4001,_xlfn.XMATCH(L$1&amp;"-"&amp;$F900,YEAR($B$2:$B$4001)&amp;"-"&amp;$A$2:$A$4001,0,-1)),K900))</f>
        <v>6</v>
      </c>
      <c r="M900" cm="1">
        <f t="array" ref="M900">IF(OR(AND(L900=9,M$1&gt;YEAR($N900))),9,_xlfn.IFNA(INDEX($D$2:$D$4001,_xlfn.XMATCH(M$1&amp;"-"&amp;$F900,YEAR($B$2:$B$4001)&amp;"-"&amp;$A$2:$A$4001,0,-1)),L900))</f>
        <v>6</v>
      </c>
      <c r="N900" s="1">
        <f t="shared" si="14"/>
        <v>37771</v>
      </c>
    </row>
    <row r="901" spans="1:14" x14ac:dyDescent="0.35">
      <c r="A901">
        <v>435</v>
      </c>
      <c r="B901" s="2">
        <v>37620</v>
      </c>
      <c r="C901">
        <v>4</v>
      </c>
      <c r="D901">
        <v>4</v>
      </c>
      <c r="F901">
        <v>900</v>
      </c>
      <c r="G901" cm="1">
        <f t="array" ref="G901">_xlfn.IFNA(INDEX($D$2:$D$4001,_xlfn.XMATCH(G$1&amp;"-"&amp;$F901,YEAR($B$2:$B$4001)&amp;"-"&amp;$A$2:$A$4001,0,-1)),9)</f>
        <v>2</v>
      </c>
      <c r="H901" cm="1">
        <f t="array" ref="H901">IF(OR(AND(G901=9,H$1&gt;YEAR($N901))),9,_xlfn.IFNA(INDEX($D$2:$D$4001,_xlfn.XMATCH(H$1&amp;"-"&amp;$F901,YEAR($B$2:$B$4001)&amp;"-"&amp;$A$2:$A$4001,0,-1)),G901))</f>
        <v>2</v>
      </c>
      <c r="I901" cm="1">
        <f t="array" ref="I901">IF(OR(AND(H901=9,I$1&gt;YEAR($N901))),9,_xlfn.IFNA(INDEX($D$2:$D$4001,_xlfn.XMATCH(I$1&amp;"-"&amp;$F901,YEAR($B$2:$B$4001)&amp;"-"&amp;$A$2:$A$4001,0,-1)),H901))</f>
        <v>2</v>
      </c>
      <c r="J901" cm="1">
        <f t="array" ref="J901">IF(OR(AND(I901=9,J$1&gt;YEAR($N901))),9,_xlfn.IFNA(INDEX($D$2:$D$4001,_xlfn.XMATCH(J$1&amp;"-"&amp;$F901,YEAR($B$2:$B$4001)&amp;"-"&amp;$A$2:$A$4001,0,-1)),I901))</f>
        <v>2</v>
      </c>
      <c r="K901" cm="1">
        <f t="array" ref="K901">IF(OR(AND(J901=9,K$1&gt;YEAR($N901))),9,_xlfn.IFNA(INDEX($D$2:$D$4001,_xlfn.XMATCH(K$1&amp;"-"&amp;$F901,YEAR($B$2:$B$4001)&amp;"-"&amp;$A$2:$A$4001,0,-1)),J901))</f>
        <v>2</v>
      </c>
      <c r="L901" cm="1">
        <f t="array" ref="L901">IF(OR(AND(K901=9,L$1&gt;YEAR($N901))),9,_xlfn.IFNA(INDEX($D$2:$D$4001,_xlfn.XMATCH(L$1&amp;"-"&amp;$F901,YEAR($B$2:$B$4001)&amp;"-"&amp;$A$2:$A$4001,0,-1)),K901))</f>
        <v>2</v>
      </c>
      <c r="M901" cm="1">
        <f t="array" ref="M901">IF(OR(AND(L901=9,M$1&gt;YEAR($N901))),9,_xlfn.IFNA(INDEX($D$2:$D$4001,_xlfn.XMATCH(M$1&amp;"-"&amp;$F901,YEAR($B$2:$B$4001)&amp;"-"&amp;$A$2:$A$4001,0,-1)),L901))</f>
        <v>2</v>
      </c>
      <c r="N901" s="1">
        <f t="shared" si="14"/>
        <v>36524</v>
      </c>
    </row>
    <row r="902" spans="1:14" x14ac:dyDescent="0.35">
      <c r="A902">
        <v>435</v>
      </c>
      <c r="B902" s="2">
        <v>37620</v>
      </c>
      <c r="C902">
        <v>6</v>
      </c>
      <c r="D902">
        <v>6</v>
      </c>
      <c r="F902">
        <v>901</v>
      </c>
      <c r="G902" cm="1">
        <f t="array" ref="G902">_xlfn.IFNA(INDEX($D$2:$D$4001,_xlfn.XMATCH(G$1&amp;"-"&amp;$F902,YEAR($B$2:$B$4001)&amp;"-"&amp;$A$2:$A$4001,0,-1)),9)</f>
        <v>4</v>
      </c>
      <c r="H902" cm="1">
        <f t="array" ref="H902">IF(OR(AND(G902=9,H$1&gt;YEAR($N902))),9,_xlfn.IFNA(INDEX($D$2:$D$4001,_xlfn.XMATCH(H$1&amp;"-"&amp;$F902,YEAR($B$2:$B$4001)&amp;"-"&amp;$A$2:$A$4001,0,-1)),G902))</f>
        <v>4</v>
      </c>
      <c r="I902" cm="1">
        <f t="array" ref="I902">IF(OR(AND(H902=9,I$1&gt;YEAR($N902))),9,_xlfn.IFNA(INDEX($D$2:$D$4001,_xlfn.XMATCH(I$1&amp;"-"&amp;$F902,YEAR($B$2:$B$4001)&amp;"-"&amp;$A$2:$A$4001,0,-1)),H902))</f>
        <v>4</v>
      </c>
      <c r="J902" cm="1">
        <f t="array" ref="J902">IF(OR(AND(I902=9,J$1&gt;YEAR($N902))),9,_xlfn.IFNA(INDEX($D$2:$D$4001,_xlfn.XMATCH(J$1&amp;"-"&amp;$F902,YEAR($B$2:$B$4001)&amp;"-"&amp;$A$2:$A$4001,0,-1)),I902))</f>
        <v>4</v>
      </c>
      <c r="K902" cm="1">
        <f t="array" ref="K902">IF(OR(AND(J902=9,K$1&gt;YEAR($N902))),9,_xlfn.IFNA(INDEX($D$2:$D$4001,_xlfn.XMATCH(K$1&amp;"-"&amp;$F902,YEAR($B$2:$B$4001)&amp;"-"&amp;$A$2:$A$4001,0,-1)),J902))</f>
        <v>0</v>
      </c>
      <c r="L902" cm="1">
        <f t="array" ref="L902">IF(OR(AND(K902=9,L$1&gt;YEAR($N902))),9,_xlfn.IFNA(INDEX($D$2:$D$4001,_xlfn.XMATCH(L$1&amp;"-"&amp;$F902,YEAR($B$2:$B$4001)&amp;"-"&amp;$A$2:$A$4001,0,-1)),K902))</f>
        <v>0</v>
      </c>
      <c r="M902" cm="1">
        <f t="array" ref="M902">IF(OR(AND(L902=9,M$1&gt;YEAR($N902))),9,_xlfn.IFNA(INDEX($D$2:$D$4001,_xlfn.XMATCH(M$1&amp;"-"&amp;$F902,YEAR($B$2:$B$4001)&amp;"-"&amp;$A$2:$A$4001,0,-1)),L902))</f>
        <v>0</v>
      </c>
      <c r="N902" s="1">
        <f t="shared" si="14"/>
        <v>36310</v>
      </c>
    </row>
    <row r="903" spans="1:14" x14ac:dyDescent="0.35">
      <c r="A903">
        <v>435</v>
      </c>
      <c r="B903" s="2">
        <v>38351</v>
      </c>
      <c r="C903">
        <v>5</v>
      </c>
      <c r="D903">
        <v>5</v>
      </c>
      <c r="F903">
        <v>902</v>
      </c>
      <c r="G903" cm="1">
        <f t="array" ref="G903">_xlfn.IFNA(INDEX($D$2:$D$4001,_xlfn.XMATCH(G$1&amp;"-"&amp;$F903,YEAR($B$2:$B$4001)&amp;"-"&amp;$A$2:$A$4001,0,-1)),9)</f>
        <v>9</v>
      </c>
      <c r="H903" cm="1">
        <f t="array" ref="H903">IF(OR(AND(G903=9,H$1&gt;YEAR($N903))),9,_xlfn.IFNA(INDEX($D$2:$D$4001,_xlfn.XMATCH(H$1&amp;"-"&amp;$F903,YEAR($B$2:$B$4001)&amp;"-"&amp;$A$2:$A$4001,0,-1)),G903))</f>
        <v>9</v>
      </c>
      <c r="I903" cm="1">
        <f t="array" ref="I903">IF(OR(AND(H903=9,I$1&gt;YEAR($N903))),9,_xlfn.IFNA(INDEX($D$2:$D$4001,_xlfn.XMATCH(I$1&amp;"-"&amp;$F903,YEAR($B$2:$B$4001)&amp;"-"&amp;$A$2:$A$4001,0,-1)),H903))</f>
        <v>2</v>
      </c>
      <c r="J903" cm="1">
        <f t="array" ref="J903">IF(OR(AND(I903=9,J$1&gt;YEAR($N903))),9,_xlfn.IFNA(INDEX($D$2:$D$4001,_xlfn.XMATCH(J$1&amp;"-"&amp;$F903,YEAR($B$2:$B$4001)&amp;"-"&amp;$A$2:$A$4001,0,-1)),I903))</f>
        <v>2</v>
      </c>
      <c r="K903" cm="1">
        <f t="array" ref="K903">IF(OR(AND(J903=9,K$1&gt;YEAR($N903))),9,_xlfn.IFNA(INDEX($D$2:$D$4001,_xlfn.XMATCH(K$1&amp;"-"&amp;$F903,YEAR($B$2:$B$4001)&amp;"-"&amp;$A$2:$A$4001,0,-1)),J903))</f>
        <v>2</v>
      </c>
      <c r="L903" cm="1">
        <f t="array" ref="L903">IF(OR(AND(K903=9,L$1&gt;YEAR($N903))),9,_xlfn.IFNA(INDEX($D$2:$D$4001,_xlfn.XMATCH(L$1&amp;"-"&amp;$F903,YEAR($B$2:$B$4001)&amp;"-"&amp;$A$2:$A$4001,0,-1)),K903))</f>
        <v>2</v>
      </c>
      <c r="M903" cm="1">
        <f t="array" ref="M903">IF(OR(AND(L903=9,M$1&gt;YEAR($N903))),9,_xlfn.IFNA(INDEX($D$2:$D$4001,_xlfn.XMATCH(M$1&amp;"-"&amp;$F903,YEAR($B$2:$B$4001)&amp;"-"&amp;$A$2:$A$4001,0,-1)),L903))</f>
        <v>2</v>
      </c>
      <c r="N903" s="1">
        <f t="shared" si="14"/>
        <v>37093</v>
      </c>
    </row>
    <row r="904" spans="1:14" x14ac:dyDescent="0.35">
      <c r="A904">
        <v>436</v>
      </c>
      <c r="B904" s="2">
        <v>37255</v>
      </c>
      <c r="C904">
        <v>4</v>
      </c>
      <c r="D904">
        <v>4</v>
      </c>
      <c r="F904">
        <v>903</v>
      </c>
      <c r="G904" cm="1">
        <f t="array" ref="G904">_xlfn.IFNA(INDEX($D$2:$D$4001,_xlfn.XMATCH(G$1&amp;"-"&amp;$F904,YEAR($B$2:$B$4001)&amp;"-"&amp;$A$2:$A$4001,0,-1)),9)</f>
        <v>9</v>
      </c>
      <c r="H904" cm="1">
        <f t="array" ref="H904">IF(OR(AND(G904=9,H$1&gt;YEAR($N904))),9,_xlfn.IFNA(INDEX($D$2:$D$4001,_xlfn.XMATCH(H$1&amp;"-"&amp;$F904,YEAR($B$2:$B$4001)&amp;"-"&amp;$A$2:$A$4001,0,-1)),G904))</f>
        <v>3</v>
      </c>
      <c r="I904" cm="1">
        <f t="array" ref="I904">IF(OR(AND(H904=9,I$1&gt;YEAR($N904))),9,_xlfn.IFNA(INDEX($D$2:$D$4001,_xlfn.XMATCH(I$1&amp;"-"&amp;$F904,YEAR($B$2:$B$4001)&amp;"-"&amp;$A$2:$A$4001,0,-1)),H904))</f>
        <v>3</v>
      </c>
      <c r="J904" cm="1">
        <f t="array" ref="J904">IF(OR(AND(I904=9,J$1&gt;YEAR($N904))),9,_xlfn.IFNA(INDEX($D$2:$D$4001,_xlfn.XMATCH(J$1&amp;"-"&amp;$F904,YEAR($B$2:$B$4001)&amp;"-"&amp;$A$2:$A$4001,0,-1)),I904))</f>
        <v>3</v>
      </c>
      <c r="K904" cm="1">
        <f t="array" ref="K904">IF(OR(AND(J904=9,K$1&gt;YEAR($N904))),9,_xlfn.IFNA(INDEX($D$2:$D$4001,_xlfn.XMATCH(K$1&amp;"-"&amp;$F904,YEAR($B$2:$B$4001)&amp;"-"&amp;$A$2:$A$4001,0,-1)),J904))</f>
        <v>3</v>
      </c>
      <c r="L904" cm="1">
        <f t="array" ref="L904">IF(OR(AND(K904=9,L$1&gt;YEAR($N904))),9,_xlfn.IFNA(INDEX($D$2:$D$4001,_xlfn.XMATCH(L$1&amp;"-"&amp;$F904,YEAR($B$2:$B$4001)&amp;"-"&amp;$A$2:$A$4001,0,-1)),K904))</f>
        <v>3</v>
      </c>
      <c r="M904" cm="1">
        <f t="array" ref="M904">IF(OR(AND(L904=9,M$1&gt;YEAR($N904))),9,_xlfn.IFNA(INDEX($D$2:$D$4001,_xlfn.XMATCH(M$1&amp;"-"&amp;$F904,YEAR($B$2:$B$4001)&amp;"-"&amp;$A$2:$A$4001,0,-1)),L904))</f>
        <v>3</v>
      </c>
      <c r="N904" s="1">
        <f t="shared" si="14"/>
        <v>36890</v>
      </c>
    </row>
    <row r="905" spans="1:14" x14ac:dyDescent="0.35">
      <c r="A905">
        <v>437</v>
      </c>
      <c r="B905" s="2">
        <v>37255</v>
      </c>
      <c r="C905">
        <v>6</v>
      </c>
      <c r="D905">
        <v>6</v>
      </c>
      <c r="F905">
        <v>904</v>
      </c>
      <c r="G905" cm="1">
        <f t="array" ref="G905">_xlfn.IFNA(INDEX($D$2:$D$4001,_xlfn.XMATCH(G$1&amp;"-"&amp;$F905,YEAR($B$2:$B$4001)&amp;"-"&amp;$A$2:$A$4001,0,-1)),9)</f>
        <v>9</v>
      </c>
      <c r="H905" cm="1">
        <f t="array" ref="H905">IF(OR(AND(G905=9,H$1&gt;YEAR($N905))),9,_xlfn.IFNA(INDEX($D$2:$D$4001,_xlfn.XMATCH(H$1&amp;"-"&amp;$F905,YEAR($B$2:$B$4001)&amp;"-"&amp;$A$2:$A$4001,0,-1)),G905))</f>
        <v>3</v>
      </c>
      <c r="I905" cm="1">
        <f t="array" ref="I905">IF(OR(AND(H905=9,I$1&gt;YEAR($N905))),9,_xlfn.IFNA(INDEX($D$2:$D$4001,_xlfn.XMATCH(I$1&amp;"-"&amp;$F905,YEAR($B$2:$B$4001)&amp;"-"&amp;$A$2:$A$4001,0,-1)),H905))</f>
        <v>3</v>
      </c>
      <c r="J905" cm="1">
        <f t="array" ref="J905">IF(OR(AND(I905=9,J$1&gt;YEAR($N905))),9,_xlfn.IFNA(INDEX($D$2:$D$4001,_xlfn.XMATCH(J$1&amp;"-"&amp;$F905,YEAR($B$2:$B$4001)&amp;"-"&amp;$A$2:$A$4001,0,-1)),I905))</f>
        <v>0</v>
      </c>
      <c r="K905" cm="1">
        <f t="array" ref="K905">IF(OR(AND(J905=9,K$1&gt;YEAR($N905))),9,_xlfn.IFNA(INDEX($D$2:$D$4001,_xlfn.XMATCH(K$1&amp;"-"&amp;$F905,YEAR($B$2:$B$4001)&amp;"-"&amp;$A$2:$A$4001,0,-1)),J905))</f>
        <v>0</v>
      </c>
      <c r="L905" cm="1">
        <f t="array" ref="L905">IF(OR(AND(K905=9,L$1&gt;YEAR($N905))),9,_xlfn.IFNA(INDEX($D$2:$D$4001,_xlfn.XMATCH(L$1&amp;"-"&amp;$F905,YEAR($B$2:$B$4001)&amp;"-"&amp;$A$2:$A$4001,0,-1)),K905))</f>
        <v>0</v>
      </c>
      <c r="M905" cm="1">
        <f t="array" ref="M905">IF(OR(AND(L905=9,M$1&gt;YEAR($N905))),9,_xlfn.IFNA(INDEX($D$2:$D$4001,_xlfn.XMATCH(M$1&amp;"-"&amp;$F905,YEAR($B$2:$B$4001)&amp;"-"&amp;$A$2:$A$4001,0,-1)),L905))</f>
        <v>0</v>
      </c>
      <c r="N905" s="1">
        <f t="shared" si="14"/>
        <v>36676</v>
      </c>
    </row>
    <row r="906" spans="1:14" x14ac:dyDescent="0.35">
      <c r="A906">
        <v>437</v>
      </c>
      <c r="B906" s="2">
        <v>37985</v>
      </c>
      <c r="C906">
        <v>0</v>
      </c>
      <c r="D906">
        <v>0</v>
      </c>
      <c r="F906">
        <v>905</v>
      </c>
      <c r="G906" cm="1">
        <f t="array" ref="G906">_xlfn.IFNA(INDEX($D$2:$D$4001,_xlfn.XMATCH(G$1&amp;"-"&amp;$F906,YEAR($B$2:$B$4001)&amp;"-"&amp;$A$2:$A$4001,0,-1)),9)</f>
        <v>0</v>
      </c>
      <c r="H906" cm="1">
        <f t="array" ref="H906">IF(OR(AND(G906=9,H$1&gt;YEAR($N906))),9,_xlfn.IFNA(INDEX($D$2:$D$4001,_xlfn.XMATCH(H$1&amp;"-"&amp;$F906,YEAR($B$2:$B$4001)&amp;"-"&amp;$A$2:$A$4001,0,-1)),G906))</f>
        <v>0</v>
      </c>
      <c r="I906" cm="1">
        <f t="array" ref="I906">IF(OR(AND(H906=9,I$1&gt;YEAR($N906))),9,_xlfn.IFNA(INDEX($D$2:$D$4001,_xlfn.XMATCH(I$1&amp;"-"&amp;$F906,YEAR($B$2:$B$4001)&amp;"-"&amp;$A$2:$A$4001,0,-1)),H906))</f>
        <v>0</v>
      </c>
      <c r="J906" cm="1">
        <f t="array" ref="J906">IF(OR(AND(I906=9,J$1&gt;YEAR($N906))),9,_xlfn.IFNA(INDEX($D$2:$D$4001,_xlfn.XMATCH(J$1&amp;"-"&amp;$F906,YEAR($B$2:$B$4001)&amp;"-"&amp;$A$2:$A$4001,0,-1)),I906))</f>
        <v>0</v>
      </c>
      <c r="K906" cm="1">
        <f t="array" ref="K906">IF(OR(AND(J906=9,K$1&gt;YEAR($N906))),9,_xlfn.IFNA(INDEX($D$2:$D$4001,_xlfn.XMATCH(K$1&amp;"-"&amp;$F906,YEAR($B$2:$B$4001)&amp;"-"&amp;$A$2:$A$4001,0,-1)),J906))</f>
        <v>0</v>
      </c>
      <c r="L906" cm="1">
        <f t="array" ref="L906">IF(OR(AND(K906=9,L$1&gt;YEAR($N906))),9,_xlfn.IFNA(INDEX($D$2:$D$4001,_xlfn.XMATCH(L$1&amp;"-"&amp;$F906,YEAR($B$2:$B$4001)&amp;"-"&amp;$A$2:$A$4001,0,-1)),K906))</f>
        <v>0</v>
      </c>
      <c r="M906" cm="1">
        <f t="array" ref="M906">IF(OR(AND(L906=9,M$1&gt;YEAR($N906))),9,_xlfn.IFNA(INDEX($D$2:$D$4001,_xlfn.XMATCH(M$1&amp;"-"&amp;$F906,YEAR($B$2:$B$4001)&amp;"-"&amp;$A$2:$A$4001,0,-1)),L906))</f>
        <v>0</v>
      </c>
      <c r="N906" s="1">
        <f t="shared" si="14"/>
        <v>36433</v>
      </c>
    </row>
    <row r="907" spans="1:14" x14ac:dyDescent="0.35">
      <c r="A907">
        <v>438</v>
      </c>
      <c r="B907" s="2">
        <v>36310</v>
      </c>
      <c r="C907">
        <v>3</v>
      </c>
      <c r="D907">
        <v>3</v>
      </c>
      <c r="F907">
        <v>906</v>
      </c>
      <c r="G907" cm="1">
        <f t="array" ref="G907">_xlfn.IFNA(INDEX($D$2:$D$4001,_xlfn.XMATCH(G$1&amp;"-"&amp;$F907,YEAR($B$2:$B$4001)&amp;"-"&amp;$A$2:$A$4001,0,-1)),9)</f>
        <v>9</v>
      </c>
      <c r="H907" cm="1">
        <f t="array" ref="H907">IF(OR(AND(G907=9,H$1&gt;YEAR($N907))),9,_xlfn.IFNA(INDEX($D$2:$D$4001,_xlfn.XMATCH(H$1&amp;"-"&amp;$F907,YEAR($B$2:$B$4001)&amp;"-"&amp;$A$2:$A$4001,0,-1)),G907))</f>
        <v>5</v>
      </c>
      <c r="I907" cm="1">
        <f t="array" ref="I907">IF(OR(AND(H907=9,I$1&gt;YEAR($N907))),9,_xlfn.IFNA(INDEX($D$2:$D$4001,_xlfn.XMATCH(I$1&amp;"-"&amp;$F907,YEAR($B$2:$B$4001)&amp;"-"&amp;$A$2:$A$4001,0,-1)),H907))</f>
        <v>6</v>
      </c>
      <c r="J907" cm="1">
        <f t="array" ref="J907">IF(OR(AND(I907=9,J$1&gt;YEAR($N907))),9,_xlfn.IFNA(INDEX($D$2:$D$4001,_xlfn.XMATCH(J$1&amp;"-"&amp;$F907,YEAR($B$2:$B$4001)&amp;"-"&amp;$A$2:$A$4001,0,-1)),I907))</f>
        <v>6</v>
      </c>
      <c r="K907" cm="1">
        <f t="array" ref="K907">IF(OR(AND(J907=9,K$1&gt;YEAR($N907))),9,_xlfn.IFNA(INDEX($D$2:$D$4001,_xlfn.XMATCH(K$1&amp;"-"&amp;$F907,YEAR($B$2:$B$4001)&amp;"-"&amp;$A$2:$A$4001,0,-1)),J907))</f>
        <v>6</v>
      </c>
      <c r="L907" cm="1">
        <f t="array" ref="L907">IF(OR(AND(K907=9,L$1&gt;YEAR($N907))),9,_xlfn.IFNA(INDEX($D$2:$D$4001,_xlfn.XMATCH(L$1&amp;"-"&amp;$F907,YEAR($B$2:$B$4001)&amp;"-"&amp;$A$2:$A$4001,0,-1)),K907))</f>
        <v>7</v>
      </c>
      <c r="M907" cm="1">
        <f t="array" ref="M907">IF(OR(AND(L907=9,M$1&gt;YEAR($N907))),9,_xlfn.IFNA(INDEX($D$2:$D$4001,_xlfn.XMATCH(M$1&amp;"-"&amp;$F907,YEAR($B$2:$B$4001)&amp;"-"&amp;$A$2:$A$4001,0,-1)),L907))</f>
        <v>7</v>
      </c>
      <c r="N907" s="1">
        <f t="shared" si="14"/>
        <v>36890</v>
      </c>
    </row>
    <row r="908" spans="1:14" x14ac:dyDescent="0.35">
      <c r="A908">
        <v>439</v>
      </c>
      <c r="B908" s="2">
        <v>36310</v>
      </c>
      <c r="C908">
        <v>4</v>
      </c>
      <c r="D908">
        <v>4</v>
      </c>
      <c r="F908">
        <v>907</v>
      </c>
      <c r="G908" cm="1">
        <f t="array" ref="G908">_xlfn.IFNA(INDEX($D$2:$D$4001,_xlfn.XMATCH(G$1&amp;"-"&amp;$F908,YEAR($B$2:$B$4001)&amp;"-"&amp;$A$2:$A$4001,0,-1)),9)</f>
        <v>9</v>
      </c>
      <c r="H908" cm="1">
        <f t="array" ref="H908">IF(OR(AND(G908=9,H$1&gt;YEAR($N908))),9,_xlfn.IFNA(INDEX($D$2:$D$4001,_xlfn.XMATCH(H$1&amp;"-"&amp;$F908,YEAR($B$2:$B$4001)&amp;"-"&amp;$A$2:$A$4001,0,-1)),G908))</f>
        <v>3</v>
      </c>
      <c r="I908" cm="1">
        <f t="array" ref="I908">IF(OR(AND(H908=9,I$1&gt;YEAR($N908))),9,_xlfn.IFNA(INDEX($D$2:$D$4001,_xlfn.XMATCH(I$1&amp;"-"&amp;$F908,YEAR($B$2:$B$4001)&amp;"-"&amp;$A$2:$A$4001,0,-1)),H908))</f>
        <v>3</v>
      </c>
      <c r="J908" cm="1">
        <f t="array" ref="J908">IF(OR(AND(I908=9,J$1&gt;YEAR($N908))),9,_xlfn.IFNA(INDEX($D$2:$D$4001,_xlfn.XMATCH(J$1&amp;"-"&amp;$F908,YEAR($B$2:$B$4001)&amp;"-"&amp;$A$2:$A$4001,0,-1)),I908))</f>
        <v>3</v>
      </c>
      <c r="K908" cm="1">
        <f t="array" ref="K908">IF(OR(AND(J908=9,K$1&gt;YEAR($N908))),9,_xlfn.IFNA(INDEX($D$2:$D$4001,_xlfn.XMATCH(K$1&amp;"-"&amp;$F908,YEAR($B$2:$B$4001)&amp;"-"&amp;$A$2:$A$4001,0,-1)),J908))</f>
        <v>3</v>
      </c>
      <c r="L908" cm="1">
        <f t="array" ref="L908">IF(OR(AND(K908=9,L$1&gt;YEAR($N908))),9,_xlfn.IFNA(INDEX($D$2:$D$4001,_xlfn.XMATCH(L$1&amp;"-"&amp;$F908,YEAR($B$2:$B$4001)&amp;"-"&amp;$A$2:$A$4001,0,-1)),K908))</f>
        <v>3</v>
      </c>
      <c r="M908" cm="1">
        <f t="array" ref="M908">IF(OR(AND(L908=9,M$1&gt;YEAR($N908))),9,_xlfn.IFNA(INDEX($D$2:$D$4001,_xlfn.XMATCH(M$1&amp;"-"&amp;$F908,YEAR($B$2:$B$4001)&amp;"-"&amp;$A$2:$A$4001,0,-1)),L908))</f>
        <v>3</v>
      </c>
      <c r="N908" s="1">
        <f t="shared" si="14"/>
        <v>36676</v>
      </c>
    </row>
    <row r="909" spans="1:14" x14ac:dyDescent="0.35">
      <c r="A909">
        <v>439</v>
      </c>
      <c r="B909" s="2">
        <v>37620</v>
      </c>
      <c r="C909">
        <v>5</v>
      </c>
      <c r="D909">
        <v>5</v>
      </c>
      <c r="F909">
        <v>908</v>
      </c>
      <c r="G909" cm="1">
        <f t="array" ref="G909">_xlfn.IFNA(INDEX($D$2:$D$4001,_xlfn.XMATCH(G$1&amp;"-"&amp;$F909,YEAR($B$2:$B$4001)&amp;"-"&amp;$A$2:$A$4001,0,-1)),9)</f>
        <v>3</v>
      </c>
      <c r="H909" cm="1">
        <f t="array" ref="H909">IF(OR(AND(G909=9,H$1&gt;YEAR($N909))),9,_xlfn.IFNA(INDEX($D$2:$D$4001,_xlfn.XMATCH(H$1&amp;"-"&amp;$F909,YEAR($B$2:$B$4001)&amp;"-"&amp;$A$2:$A$4001,0,-1)),G909))</f>
        <v>3</v>
      </c>
      <c r="I909" cm="1">
        <f t="array" ref="I909">IF(OR(AND(H909=9,I$1&gt;YEAR($N909))),9,_xlfn.IFNA(INDEX($D$2:$D$4001,_xlfn.XMATCH(I$1&amp;"-"&amp;$F909,YEAR($B$2:$B$4001)&amp;"-"&amp;$A$2:$A$4001,0,-1)),H909))</f>
        <v>3</v>
      </c>
      <c r="J909" cm="1">
        <f t="array" ref="J909">IF(OR(AND(I909=9,J$1&gt;YEAR($N909))),9,_xlfn.IFNA(INDEX($D$2:$D$4001,_xlfn.XMATCH(J$1&amp;"-"&amp;$F909,YEAR($B$2:$B$4001)&amp;"-"&amp;$A$2:$A$4001,0,-1)),I909))</f>
        <v>3</v>
      </c>
      <c r="K909" cm="1">
        <f t="array" ref="K909">IF(OR(AND(J909=9,K$1&gt;YEAR($N909))),9,_xlfn.IFNA(INDEX($D$2:$D$4001,_xlfn.XMATCH(K$1&amp;"-"&amp;$F909,YEAR($B$2:$B$4001)&amp;"-"&amp;$A$2:$A$4001,0,-1)),J909))</f>
        <v>3</v>
      </c>
      <c r="L909" cm="1">
        <f t="array" ref="L909">IF(OR(AND(K909=9,L$1&gt;YEAR($N909))),9,_xlfn.IFNA(INDEX($D$2:$D$4001,_xlfn.XMATCH(L$1&amp;"-"&amp;$F909,YEAR($B$2:$B$4001)&amp;"-"&amp;$A$2:$A$4001,0,-1)),K909))</f>
        <v>3</v>
      </c>
      <c r="M909" cm="1">
        <f t="array" ref="M909">IF(OR(AND(L909=9,M$1&gt;YEAR($N909))),9,_xlfn.IFNA(INDEX($D$2:$D$4001,_xlfn.XMATCH(M$1&amp;"-"&amp;$F909,YEAR($B$2:$B$4001)&amp;"-"&amp;$A$2:$A$4001,0,-1)),L909))</f>
        <v>3</v>
      </c>
      <c r="N909" s="1">
        <f t="shared" si="14"/>
        <v>36332</v>
      </c>
    </row>
    <row r="910" spans="1:14" x14ac:dyDescent="0.35">
      <c r="A910">
        <v>439</v>
      </c>
      <c r="B910" s="2">
        <v>37863</v>
      </c>
      <c r="C910">
        <v>5</v>
      </c>
      <c r="D910">
        <v>5</v>
      </c>
      <c r="F910">
        <v>909</v>
      </c>
      <c r="G910" cm="1">
        <f t="array" ref="G910">_xlfn.IFNA(INDEX($D$2:$D$4001,_xlfn.XMATCH(G$1&amp;"-"&amp;$F910,YEAR($B$2:$B$4001)&amp;"-"&amp;$A$2:$A$4001,0,-1)),9)</f>
        <v>9</v>
      </c>
      <c r="H910" cm="1">
        <f t="array" ref="H910">IF(OR(AND(G910=9,H$1&gt;YEAR($N910))),9,_xlfn.IFNA(INDEX($D$2:$D$4001,_xlfn.XMATCH(H$1&amp;"-"&amp;$F910,YEAR($B$2:$B$4001)&amp;"-"&amp;$A$2:$A$4001,0,-1)),G910))</f>
        <v>5</v>
      </c>
      <c r="I910" cm="1">
        <f t="array" ref="I910">IF(OR(AND(H910=9,I$1&gt;YEAR($N910))),9,_xlfn.IFNA(INDEX($D$2:$D$4001,_xlfn.XMATCH(I$1&amp;"-"&amp;$F910,YEAR($B$2:$B$4001)&amp;"-"&amp;$A$2:$A$4001,0,-1)),H910))</f>
        <v>5</v>
      </c>
      <c r="J910" cm="1">
        <f t="array" ref="J910">IF(OR(AND(I910=9,J$1&gt;YEAR($N910))),9,_xlfn.IFNA(INDEX($D$2:$D$4001,_xlfn.XMATCH(J$1&amp;"-"&amp;$F910,YEAR($B$2:$B$4001)&amp;"-"&amp;$A$2:$A$4001,0,-1)),I910))</f>
        <v>0</v>
      </c>
      <c r="K910" cm="1">
        <f t="array" ref="K910">IF(OR(AND(J910=9,K$1&gt;YEAR($N910))),9,_xlfn.IFNA(INDEX($D$2:$D$4001,_xlfn.XMATCH(K$1&amp;"-"&amp;$F910,YEAR($B$2:$B$4001)&amp;"-"&amp;$A$2:$A$4001,0,-1)),J910))</f>
        <v>0</v>
      </c>
      <c r="L910" cm="1">
        <f t="array" ref="L910">IF(OR(AND(K910=9,L$1&gt;YEAR($N910))),9,_xlfn.IFNA(INDEX($D$2:$D$4001,_xlfn.XMATCH(L$1&amp;"-"&amp;$F910,YEAR($B$2:$B$4001)&amp;"-"&amp;$A$2:$A$4001,0,-1)),K910))</f>
        <v>0</v>
      </c>
      <c r="M910" cm="1">
        <f t="array" ref="M910">IF(OR(AND(L910=9,M$1&gt;YEAR($N910))),9,_xlfn.IFNA(INDEX($D$2:$D$4001,_xlfn.XMATCH(M$1&amp;"-"&amp;$F910,YEAR($B$2:$B$4001)&amp;"-"&amp;$A$2:$A$4001,0,-1)),L910))</f>
        <v>0</v>
      </c>
      <c r="N910" s="1">
        <f t="shared" si="14"/>
        <v>36667</v>
      </c>
    </row>
    <row r="911" spans="1:14" x14ac:dyDescent="0.35">
      <c r="A911">
        <v>439</v>
      </c>
      <c r="B911" s="2">
        <v>38128</v>
      </c>
      <c r="C911">
        <v>6</v>
      </c>
      <c r="D911">
        <v>6</v>
      </c>
      <c r="F911">
        <v>910</v>
      </c>
      <c r="G911" cm="1">
        <f t="array" ref="G911">_xlfn.IFNA(INDEX($D$2:$D$4001,_xlfn.XMATCH(G$1&amp;"-"&amp;$F911,YEAR($B$2:$B$4001)&amp;"-"&amp;$A$2:$A$4001,0,-1)),9)</f>
        <v>9</v>
      </c>
      <c r="H911" cm="1">
        <f t="array" ref="H911">IF(OR(AND(G911=9,H$1&gt;YEAR($N911))),9,_xlfn.IFNA(INDEX($D$2:$D$4001,_xlfn.XMATCH(H$1&amp;"-"&amp;$F911,YEAR($B$2:$B$4001)&amp;"-"&amp;$A$2:$A$4001,0,-1)),G911))</f>
        <v>9</v>
      </c>
      <c r="I911" cm="1">
        <f t="array" ref="I911">IF(OR(AND(H911=9,I$1&gt;YEAR($N911))),9,_xlfn.IFNA(INDEX($D$2:$D$4001,_xlfn.XMATCH(I$1&amp;"-"&amp;$F911,YEAR($B$2:$B$4001)&amp;"-"&amp;$A$2:$A$4001,0,-1)),H911))</f>
        <v>9</v>
      </c>
      <c r="J911" cm="1">
        <f t="array" ref="J911">IF(OR(AND(I911=9,J$1&gt;YEAR($N911))),9,_xlfn.IFNA(INDEX($D$2:$D$4001,_xlfn.XMATCH(J$1&amp;"-"&amp;$F911,YEAR($B$2:$B$4001)&amp;"-"&amp;$A$2:$A$4001,0,-1)),I911))</f>
        <v>0</v>
      </c>
      <c r="K911" cm="1">
        <f t="array" ref="K911">IF(OR(AND(J911=9,K$1&gt;YEAR($N911))),9,_xlfn.IFNA(INDEX($D$2:$D$4001,_xlfn.XMATCH(K$1&amp;"-"&amp;$F911,YEAR($B$2:$B$4001)&amp;"-"&amp;$A$2:$A$4001,0,-1)),J911))</f>
        <v>0</v>
      </c>
      <c r="L911" cm="1">
        <f t="array" ref="L911">IF(OR(AND(K911=9,L$1&gt;YEAR($N911))),9,_xlfn.IFNA(INDEX($D$2:$D$4001,_xlfn.XMATCH(L$1&amp;"-"&amp;$F911,YEAR($B$2:$B$4001)&amp;"-"&amp;$A$2:$A$4001,0,-1)),K911))</f>
        <v>0</v>
      </c>
      <c r="M911" cm="1">
        <f t="array" ref="M911">IF(OR(AND(L911=9,M$1&gt;YEAR($N911))),9,_xlfn.IFNA(INDEX($D$2:$D$4001,_xlfn.XMATCH(M$1&amp;"-"&amp;$F911,YEAR($B$2:$B$4001)&amp;"-"&amp;$A$2:$A$4001,0,-1)),L911))</f>
        <v>0</v>
      </c>
      <c r="N911" s="1">
        <f t="shared" si="14"/>
        <v>37406</v>
      </c>
    </row>
    <row r="912" spans="1:14" x14ac:dyDescent="0.35">
      <c r="A912">
        <v>439</v>
      </c>
      <c r="B912" s="2">
        <v>38137</v>
      </c>
      <c r="C912">
        <v>0</v>
      </c>
      <c r="D912">
        <v>0</v>
      </c>
      <c r="F912">
        <v>911</v>
      </c>
      <c r="G912" cm="1">
        <f t="array" ref="G912">_xlfn.IFNA(INDEX($D$2:$D$4001,_xlfn.XMATCH(G$1&amp;"-"&amp;$F912,YEAR($B$2:$B$4001)&amp;"-"&amp;$A$2:$A$4001,0,-1)),9)</f>
        <v>3</v>
      </c>
      <c r="H912" cm="1">
        <f t="array" ref="H912">IF(OR(AND(G912=9,H$1&gt;YEAR($N912))),9,_xlfn.IFNA(INDEX($D$2:$D$4001,_xlfn.XMATCH(H$1&amp;"-"&amp;$F912,YEAR($B$2:$B$4001)&amp;"-"&amp;$A$2:$A$4001,0,-1)),G912))</f>
        <v>3</v>
      </c>
      <c r="I912" cm="1">
        <f t="array" ref="I912">IF(OR(AND(H912=9,I$1&gt;YEAR($N912))),9,_xlfn.IFNA(INDEX($D$2:$D$4001,_xlfn.XMATCH(I$1&amp;"-"&amp;$F912,YEAR($B$2:$B$4001)&amp;"-"&amp;$A$2:$A$4001,0,-1)),H912))</f>
        <v>3</v>
      </c>
      <c r="J912" cm="1">
        <f t="array" ref="J912">IF(OR(AND(I912=9,J$1&gt;YEAR($N912))),9,_xlfn.IFNA(INDEX($D$2:$D$4001,_xlfn.XMATCH(J$1&amp;"-"&amp;$F912,YEAR($B$2:$B$4001)&amp;"-"&amp;$A$2:$A$4001,0,-1)),I912))</f>
        <v>3</v>
      </c>
      <c r="K912" cm="1">
        <f t="array" ref="K912">IF(OR(AND(J912=9,K$1&gt;YEAR($N912))),9,_xlfn.IFNA(INDEX($D$2:$D$4001,_xlfn.XMATCH(K$1&amp;"-"&amp;$F912,YEAR($B$2:$B$4001)&amp;"-"&amp;$A$2:$A$4001,0,-1)),J912))</f>
        <v>3</v>
      </c>
      <c r="L912" cm="1">
        <f t="array" ref="L912">IF(OR(AND(K912=9,L$1&gt;YEAR($N912))),9,_xlfn.IFNA(INDEX($D$2:$D$4001,_xlfn.XMATCH(L$1&amp;"-"&amp;$F912,YEAR($B$2:$B$4001)&amp;"-"&amp;$A$2:$A$4001,0,-1)),K912))</f>
        <v>3</v>
      </c>
      <c r="M912" cm="1">
        <f t="array" ref="M912">IF(OR(AND(L912=9,M$1&gt;YEAR($N912))),9,_xlfn.IFNA(INDEX($D$2:$D$4001,_xlfn.XMATCH(M$1&amp;"-"&amp;$F912,YEAR($B$2:$B$4001)&amp;"-"&amp;$A$2:$A$4001,0,-1)),L912))</f>
        <v>3</v>
      </c>
      <c r="N912" s="1">
        <f t="shared" si="14"/>
        <v>36310</v>
      </c>
    </row>
    <row r="913" spans="1:14" x14ac:dyDescent="0.35">
      <c r="A913">
        <v>440</v>
      </c>
      <c r="B913" s="2">
        <v>36676</v>
      </c>
      <c r="C913">
        <v>0</v>
      </c>
      <c r="D913">
        <v>0</v>
      </c>
      <c r="F913">
        <v>912</v>
      </c>
      <c r="G913" cm="1">
        <f t="array" ref="G913">_xlfn.IFNA(INDEX($D$2:$D$4001,_xlfn.XMATCH(G$1&amp;"-"&amp;$F913,YEAR($B$2:$B$4001)&amp;"-"&amp;$A$2:$A$4001,0,-1)),9)</f>
        <v>9</v>
      </c>
      <c r="H913" cm="1">
        <f t="array" ref="H913">IF(OR(AND(G913=9,H$1&gt;YEAR($N913))),9,_xlfn.IFNA(INDEX($D$2:$D$4001,_xlfn.XMATCH(H$1&amp;"-"&amp;$F913,YEAR($B$2:$B$4001)&amp;"-"&amp;$A$2:$A$4001,0,-1)),G913))</f>
        <v>9</v>
      </c>
      <c r="I913" cm="1">
        <f t="array" ref="I913">IF(OR(AND(H913=9,I$1&gt;YEAR($N913))),9,_xlfn.IFNA(INDEX($D$2:$D$4001,_xlfn.XMATCH(I$1&amp;"-"&amp;$F913,YEAR($B$2:$B$4001)&amp;"-"&amp;$A$2:$A$4001,0,-1)),H913))</f>
        <v>4</v>
      </c>
      <c r="J913" cm="1">
        <f t="array" ref="J913">IF(OR(AND(I913=9,J$1&gt;YEAR($N913))),9,_xlfn.IFNA(INDEX($D$2:$D$4001,_xlfn.XMATCH(J$1&amp;"-"&amp;$F913,YEAR($B$2:$B$4001)&amp;"-"&amp;$A$2:$A$4001,0,-1)),I913))</f>
        <v>4</v>
      </c>
      <c r="K913" cm="1">
        <f t="array" ref="K913">IF(OR(AND(J913=9,K$1&gt;YEAR($N913))),9,_xlfn.IFNA(INDEX($D$2:$D$4001,_xlfn.XMATCH(K$1&amp;"-"&amp;$F913,YEAR($B$2:$B$4001)&amp;"-"&amp;$A$2:$A$4001,0,-1)),J913))</f>
        <v>4</v>
      </c>
      <c r="L913" cm="1">
        <f t="array" ref="L913">IF(OR(AND(K913=9,L$1&gt;YEAR($N913))),9,_xlfn.IFNA(INDEX($D$2:$D$4001,_xlfn.XMATCH(L$1&amp;"-"&amp;$F913,YEAR($B$2:$B$4001)&amp;"-"&amp;$A$2:$A$4001,0,-1)),K913))</f>
        <v>4</v>
      </c>
      <c r="M913" cm="1">
        <f t="array" ref="M913">IF(OR(AND(L913=9,M$1&gt;YEAR($N913))),9,_xlfn.IFNA(INDEX($D$2:$D$4001,_xlfn.XMATCH(M$1&amp;"-"&amp;$F913,YEAR($B$2:$B$4001)&amp;"-"&amp;$A$2:$A$4001,0,-1)),L913))</f>
        <v>4</v>
      </c>
      <c r="N913" s="1">
        <f t="shared" si="14"/>
        <v>37133</v>
      </c>
    </row>
    <row r="914" spans="1:14" x14ac:dyDescent="0.35">
      <c r="A914">
        <v>441</v>
      </c>
      <c r="B914" s="2">
        <v>37620</v>
      </c>
      <c r="C914">
        <v>3</v>
      </c>
      <c r="D914">
        <v>3</v>
      </c>
      <c r="F914">
        <v>913</v>
      </c>
      <c r="G914" cm="1">
        <f t="array" ref="G914">_xlfn.IFNA(INDEX($D$2:$D$4001,_xlfn.XMATCH(G$1&amp;"-"&amp;$F914,YEAR($B$2:$B$4001)&amp;"-"&amp;$A$2:$A$4001,0,-1)),9)</f>
        <v>4</v>
      </c>
      <c r="H914" cm="1">
        <f t="array" ref="H914">IF(OR(AND(G914=9,H$1&gt;YEAR($N914))),9,_xlfn.IFNA(INDEX($D$2:$D$4001,_xlfn.XMATCH(H$1&amp;"-"&amp;$F914,YEAR($B$2:$B$4001)&amp;"-"&amp;$A$2:$A$4001,0,-1)),G914))</f>
        <v>5</v>
      </c>
      <c r="I914" cm="1">
        <f t="array" ref="I914">IF(OR(AND(H914=9,I$1&gt;YEAR($N914))),9,_xlfn.IFNA(INDEX($D$2:$D$4001,_xlfn.XMATCH(I$1&amp;"-"&amp;$F914,YEAR($B$2:$B$4001)&amp;"-"&amp;$A$2:$A$4001,0,-1)),H914))</f>
        <v>5</v>
      </c>
      <c r="J914" cm="1">
        <f t="array" ref="J914">IF(OR(AND(I914=9,J$1&gt;YEAR($N914))),9,_xlfn.IFNA(INDEX($D$2:$D$4001,_xlfn.XMATCH(J$1&amp;"-"&amp;$F914,YEAR($B$2:$B$4001)&amp;"-"&amp;$A$2:$A$4001,0,-1)),I914))</f>
        <v>0</v>
      </c>
      <c r="K914" cm="1">
        <f t="array" ref="K914">IF(OR(AND(J914=9,K$1&gt;YEAR($N914))),9,_xlfn.IFNA(INDEX($D$2:$D$4001,_xlfn.XMATCH(K$1&amp;"-"&amp;$F914,YEAR($B$2:$B$4001)&amp;"-"&amp;$A$2:$A$4001,0,-1)),J914))</f>
        <v>0</v>
      </c>
      <c r="L914" cm="1">
        <f t="array" ref="L914">IF(OR(AND(K914=9,L$1&gt;YEAR($N914))),9,_xlfn.IFNA(INDEX($D$2:$D$4001,_xlfn.XMATCH(L$1&amp;"-"&amp;$F914,YEAR($B$2:$B$4001)&amp;"-"&amp;$A$2:$A$4001,0,-1)),K914))</f>
        <v>0</v>
      </c>
      <c r="M914" cm="1">
        <f t="array" ref="M914">IF(OR(AND(L914=9,M$1&gt;YEAR($N914))),9,_xlfn.IFNA(INDEX($D$2:$D$4001,_xlfn.XMATCH(M$1&amp;"-"&amp;$F914,YEAR($B$2:$B$4001)&amp;"-"&amp;$A$2:$A$4001,0,-1)),L914))</f>
        <v>0</v>
      </c>
      <c r="N914" s="1">
        <f t="shared" si="14"/>
        <v>36371</v>
      </c>
    </row>
    <row r="915" spans="1:14" x14ac:dyDescent="0.35">
      <c r="A915">
        <v>441</v>
      </c>
      <c r="B915" s="2">
        <v>38686</v>
      </c>
      <c r="C915">
        <v>0</v>
      </c>
      <c r="D915">
        <v>0</v>
      </c>
      <c r="F915">
        <v>914</v>
      </c>
      <c r="G915" cm="1">
        <f t="array" ref="G915">_xlfn.IFNA(INDEX($D$2:$D$4001,_xlfn.XMATCH(G$1&amp;"-"&amp;$F915,YEAR($B$2:$B$4001)&amp;"-"&amp;$A$2:$A$4001,0,-1)),9)</f>
        <v>9</v>
      </c>
      <c r="H915" cm="1">
        <f t="array" ref="H915">IF(OR(AND(G915=9,H$1&gt;YEAR($N915))),9,_xlfn.IFNA(INDEX($D$2:$D$4001,_xlfn.XMATCH(H$1&amp;"-"&amp;$F915,YEAR($B$2:$B$4001)&amp;"-"&amp;$A$2:$A$4001,0,-1)),G915))</f>
        <v>9</v>
      </c>
      <c r="I915" cm="1">
        <f t="array" ref="I915">IF(OR(AND(H915=9,I$1&gt;YEAR($N915))),9,_xlfn.IFNA(INDEX($D$2:$D$4001,_xlfn.XMATCH(I$1&amp;"-"&amp;$F915,YEAR($B$2:$B$4001)&amp;"-"&amp;$A$2:$A$4001,0,-1)),H915))</f>
        <v>9</v>
      </c>
      <c r="J915" cm="1">
        <f t="array" ref="J915">IF(OR(AND(I915=9,J$1&gt;YEAR($N915))),9,_xlfn.IFNA(INDEX($D$2:$D$4001,_xlfn.XMATCH(J$1&amp;"-"&amp;$F915,YEAR($B$2:$B$4001)&amp;"-"&amp;$A$2:$A$4001,0,-1)),I915))</f>
        <v>9</v>
      </c>
      <c r="K915" cm="1">
        <f t="array" ref="K915">IF(OR(AND(J915=9,K$1&gt;YEAR($N915))),9,_xlfn.IFNA(INDEX($D$2:$D$4001,_xlfn.XMATCH(K$1&amp;"-"&amp;$F915,YEAR($B$2:$B$4001)&amp;"-"&amp;$A$2:$A$4001,0,-1)),J915))</f>
        <v>9</v>
      </c>
      <c r="L915" cm="1">
        <f t="array" ref="L915">IF(OR(AND(K915=9,L$1&gt;YEAR($N915))),9,_xlfn.IFNA(INDEX($D$2:$D$4001,_xlfn.XMATCH(L$1&amp;"-"&amp;$F915,YEAR($B$2:$B$4001)&amp;"-"&amp;$A$2:$A$4001,0,-1)),K915))</f>
        <v>5</v>
      </c>
      <c r="M915" cm="1">
        <f t="array" ref="M915">IF(OR(AND(L915=9,M$1&gt;YEAR($N915))),9,_xlfn.IFNA(INDEX($D$2:$D$4001,_xlfn.XMATCH(M$1&amp;"-"&amp;$F915,YEAR($B$2:$B$4001)&amp;"-"&amp;$A$2:$A$4001,0,-1)),L915))</f>
        <v>5</v>
      </c>
      <c r="N915" s="1">
        <f t="shared" si="14"/>
        <v>38351</v>
      </c>
    </row>
    <row r="916" spans="1:14" x14ac:dyDescent="0.35">
      <c r="A916">
        <v>442</v>
      </c>
      <c r="B916" s="2">
        <v>37550</v>
      </c>
      <c r="C916">
        <v>3</v>
      </c>
      <c r="D916">
        <v>3</v>
      </c>
      <c r="F916">
        <v>915</v>
      </c>
      <c r="G916" cm="1">
        <f t="array" ref="G916">_xlfn.IFNA(INDEX($D$2:$D$4001,_xlfn.XMATCH(G$1&amp;"-"&amp;$F916,YEAR($B$2:$B$4001)&amp;"-"&amp;$A$2:$A$4001,0,-1)),9)</f>
        <v>8</v>
      </c>
      <c r="H916" cm="1">
        <f t="array" ref="H916">IF(OR(AND(G916=9,H$1&gt;YEAR($N916))),9,_xlfn.IFNA(INDEX($D$2:$D$4001,_xlfn.XMATCH(H$1&amp;"-"&amp;$F916,YEAR($B$2:$B$4001)&amp;"-"&amp;$A$2:$A$4001,0,-1)),G916))</f>
        <v>8</v>
      </c>
      <c r="I916" cm="1">
        <f t="array" ref="I916">IF(OR(AND(H916=9,I$1&gt;YEAR($N916))),9,_xlfn.IFNA(INDEX($D$2:$D$4001,_xlfn.XMATCH(I$1&amp;"-"&amp;$F916,YEAR($B$2:$B$4001)&amp;"-"&amp;$A$2:$A$4001,0,-1)),H916))</f>
        <v>8</v>
      </c>
      <c r="J916" cm="1">
        <f t="array" ref="J916">IF(OR(AND(I916=9,J$1&gt;YEAR($N916))),9,_xlfn.IFNA(INDEX($D$2:$D$4001,_xlfn.XMATCH(J$1&amp;"-"&amp;$F916,YEAR($B$2:$B$4001)&amp;"-"&amp;$A$2:$A$4001,0,-1)),I916))</f>
        <v>8</v>
      </c>
      <c r="K916" cm="1">
        <f t="array" ref="K916">IF(OR(AND(J916=9,K$1&gt;YEAR($N916))),9,_xlfn.IFNA(INDEX($D$2:$D$4001,_xlfn.XMATCH(K$1&amp;"-"&amp;$F916,YEAR($B$2:$B$4001)&amp;"-"&amp;$A$2:$A$4001,0,-1)),J916))</f>
        <v>8</v>
      </c>
      <c r="L916" cm="1">
        <f t="array" ref="L916">IF(OR(AND(K916=9,L$1&gt;YEAR($N916))),9,_xlfn.IFNA(INDEX($D$2:$D$4001,_xlfn.XMATCH(L$1&amp;"-"&amp;$F916,YEAR($B$2:$B$4001)&amp;"-"&amp;$A$2:$A$4001,0,-1)),K916))</f>
        <v>8</v>
      </c>
      <c r="M916" cm="1">
        <f t="array" ref="M916">IF(OR(AND(L916=9,M$1&gt;YEAR($N916))),9,_xlfn.IFNA(INDEX($D$2:$D$4001,_xlfn.XMATCH(M$1&amp;"-"&amp;$F916,YEAR($B$2:$B$4001)&amp;"-"&amp;$A$2:$A$4001,0,-1)),L916))</f>
        <v>8</v>
      </c>
      <c r="N916" s="1">
        <f t="shared" si="14"/>
        <v>36310</v>
      </c>
    </row>
    <row r="917" spans="1:14" x14ac:dyDescent="0.35">
      <c r="A917">
        <v>443</v>
      </c>
      <c r="B917" s="2">
        <v>36302</v>
      </c>
      <c r="C917">
        <v>3</v>
      </c>
      <c r="D917">
        <v>3</v>
      </c>
      <c r="F917">
        <v>916</v>
      </c>
      <c r="G917" cm="1">
        <f t="array" ref="G917">_xlfn.IFNA(INDEX($D$2:$D$4001,_xlfn.XMATCH(G$1&amp;"-"&amp;$F917,YEAR($B$2:$B$4001)&amp;"-"&amp;$A$2:$A$4001,0,-1)),9)</f>
        <v>9</v>
      </c>
      <c r="H917" cm="1">
        <f t="array" ref="H917">IF(OR(AND(G917=9,H$1&gt;YEAR($N917))),9,_xlfn.IFNA(INDEX($D$2:$D$4001,_xlfn.XMATCH(H$1&amp;"-"&amp;$F917,YEAR($B$2:$B$4001)&amp;"-"&amp;$A$2:$A$4001,0,-1)),G917))</f>
        <v>9</v>
      </c>
      <c r="I917" cm="1">
        <f t="array" ref="I917">IF(OR(AND(H917=9,I$1&gt;YEAR($N917))),9,_xlfn.IFNA(INDEX($D$2:$D$4001,_xlfn.XMATCH(I$1&amp;"-"&amp;$F917,YEAR($B$2:$B$4001)&amp;"-"&amp;$A$2:$A$4001,0,-1)),H917))</f>
        <v>4</v>
      </c>
      <c r="J917" cm="1">
        <f t="array" ref="J917">IF(OR(AND(I917=9,J$1&gt;YEAR($N917))),9,_xlfn.IFNA(INDEX($D$2:$D$4001,_xlfn.XMATCH(J$1&amp;"-"&amp;$F917,YEAR($B$2:$B$4001)&amp;"-"&amp;$A$2:$A$4001,0,-1)),I917))</f>
        <v>5</v>
      </c>
      <c r="K917" cm="1">
        <f t="array" ref="K917">IF(OR(AND(J917=9,K$1&gt;YEAR($N917))),9,_xlfn.IFNA(INDEX($D$2:$D$4001,_xlfn.XMATCH(K$1&amp;"-"&amp;$F917,YEAR($B$2:$B$4001)&amp;"-"&amp;$A$2:$A$4001,0,-1)),J917))</f>
        <v>5</v>
      </c>
      <c r="L917" cm="1">
        <f t="array" ref="L917">IF(OR(AND(K917=9,L$1&gt;YEAR($N917))),9,_xlfn.IFNA(INDEX($D$2:$D$4001,_xlfn.XMATCH(L$1&amp;"-"&amp;$F917,YEAR($B$2:$B$4001)&amp;"-"&amp;$A$2:$A$4001,0,-1)),K917))</f>
        <v>0</v>
      </c>
      <c r="M917" cm="1">
        <f t="array" ref="M917">IF(OR(AND(L917=9,M$1&gt;YEAR($N917))),9,_xlfn.IFNA(INDEX($D$2:$D$4001,_xlfn.XMATCH(M$1&amp;"-"&amp;$F917,YEAR($B$2:$B$4001)&amp;"-"&amp;$A$2:$A$4001,0,-1)),L917))</f>
        <v>0</v>
      </c>
      <c r="N917" s="1">
        <f t="shared" si="14"/>
        <v>37194</v>
      </c>
    </row>
    <row r="918" spans="1:14" x14ac:dyDescent="0.35">
      <c r="A918">
        <v>443</v>
      </c>
      <c r="B918" s="2">
        <v>36667</v>
      </c>
      <c r="C918">
        <v>3</v>
      </c>
      <c r="D918">
        <v>3</v>
      </c>
      <c r="F918">
        <v>917</v>
      </c>
      <c r="G918" cm="1">
        <f t="array" ref="G918">_xlfn.IFNA(INDEX($D$2:$D$4001,_xlfn.XMATCH(G$1&amp;"-"&amp;$F918,YEAR($B$2:$B$4001)&amp;"-"&amp;$A$2:$A$4001,0,-1)),9)</f>
        <v>9</v>
      </c>
      <c r="H918" cm="1">
        <f t="array" ref="H918">IF(OR(AND(G918=9,H$1&gt;YEAR($N918))),9,_xlfn.IFNA(INDEX($D$2:$D$4001,_xlfn.XMATCH(H$1&amp;"-"&amp;$F918,YEAR($B$2:$B$4001)&amp;"-"&amp;$A$2:$A$4001,0,-1)),G918))</f>
        <v>6</v>
      </c>
      <c r="I918" cm="1">
        <f t="array" ref="I918">IF(OR(AND(H918=9,I$1&gt;YEAR($N918))),9,_xlfn.IFNA(INDEX($D$2:$D$4001,_xlfn.XMATCH(I$1&amp;"-"&amp;$F918,YEAR($B$2:$B$4001)&amp;"-"&amp;$A$2:$A$4001,0,-1)),H918))</f>
        <v>7</v>
      </c>
      <c r="J918" cm="1">
        <f t="array" ref="J918">IF(OR(AND(I918=9,J$1&gt;YEAR($N918))),9,_xlfn.IFNA(INDEX($D$2:$D$4001,_xlfn.XMATCH(J$1&amp;"-"&amp;$F918,YEAR($B$2:$B$4001)&amp;"-"&amp;$A$2:$A$4001,0,-1)),I918))</f>
        <v>0</v>
      </c>
      <c r="K918" cm="1">
        <f t="array" ref="K918">IF(OR(AND(J918=9,K$1&gt;YEAR($N918))),9,_xlfn.IFNA(INDEX($D$2:$D$4001,_xlfn.XMATCH(K$1&amp;"-"&amp;$F918,YEAR($B$2:$B$4001)&amp;"-"&amp;$A$2:$A$4001,0,-1)),J918))</f>
        <v>0</v>
      </c>
      <c r="L918" cm="1">
        <f t="array" ref="L918">IF(OR(AND(K918=9,L$1&gt;YEAR($N918))),9,_xlfn.IFNA(INDEX($D$2:$D$4001,_xlfn.XMATCH(L$1&amp;"-"&amp;$F918,YEAR($B$2:$B$4001)&amp;"-"&amp;$A$2:$A$4001,0,-1)),K918))</f>
        <v>0</v>
      </c>
      <c r="M918" cm="1">
        <f t="array" ref="M918">IF(OR(AND(L918=9,M$1&gt;YEAR($N918))),9,_xlfn.IFNA(INDEX($D$2:$D$4001,_xlfn.XMATCH(M$1&amp;"-"&amp;$F918,YEAR($B$2:$B$4001)&amp;"-"&amp;$A$2:$A$4001,0,-1)),L918))</f>
        <v>0</v>
      </c>
      <c r="N918" s="1">
        <f t="shared" si="14"/>
        <v>36676</v>
      </c>
    </row>
    <row r="919" spans="1:14" x14ac:dyDescent="0.35">
      <c r="A919">
        <v>443</v>
      </c>
      <c r="B919" s="2">
        <v>36667</v>
      </c>
      <c r="C919">
        <v>3</v>
      </c>
      <c r="D919">
        <v>3</v>
      </c>
      <c r="F919">
        <v>918</v>
      </c>
      <c r="G919" cm="1">
        <f t="array" ref="G919">_xlfn.IFNA(INDEX($D$2:$D$4001,_xlfn.XMATCH(G$1&amp;"-"&amp;$F919,YEAR($B$2:$B$4001)&amp;"-"&amp;$A$2:$A$4001,0,-1)),9)</f>
        <v>5</v>
      </c>
      <c r="H919" cm="1">
        <f t="array" ref="H919">IF(OR(AND(G919=9,H$1&gt;YEAR($N919))),9,_xlfn.IFNA(INDEX($D$2:$D$4001,_xlfn.XMATCH(H$1&amp;"-"&amp;$F919,YEAR($B$2:$B$4001)&amp;"-"&amp;$A$2:$A$4001,0,-1)),G919))</f>
        <v>7</v>
      </c>
      <c r="I919" cm="1">
        <f t="array" ref="I919">IF(OR(AND(H919=9,I$1&gt;YEAR($N919))),9,_xlfn.IFNA(INDEX($D$2:$D$4001,_xlfn.XMATCH(I$1&amp;"-"&amp;$F919,YEAR($B$2:$B$4001)&amp;"-"&amp;$A$2:$A$4001,0,-1)),H919))</f>
        <v>0</v>
      </c>
      <c r="J919" cm="1">
        <f t="array" ref="J919">IF(OR(AND(I919=9,J$1&gt;YEAR($N919))),9,_xlfn.IFNA(INDEX($D$2:$D$4001,_xlfn.XMATCH(J$1&amp;"-"&amp;$F919,YEAR($B$2:$B$4001)&amp;"-"&amp;$A$2:$A$4001,0,-1)),I919))</f>
        <v>0</v>
      </c>
      <c r="K919" cm="1">
        <f t="array" ref="K919">IF(OR(AND(J919=9,K$1&gt;YEAR($N919))),9,_xlfn.IFNA(INDEX($D$2:$D$4001,_xlfn.XMATCH(K$1&amp;"-"&amp;$F919,YEAR($B$2:$B$4001)&amp;"-"&amp;$A$2:$A$4001,0,-1)),J919))</f>
        <v>0</v>
      </c>
      <c r="L919" cm="1">
        <f t="array" ref="L919">IF(OR(AND(K919=9,L$1&gt;YEAR($N919))),9,_xlfn.IFNA(INDEX($D$2:$D$4001,_xlfn.XMATCH(L$1&amp;"-"&amp;$F919,YEAR($B$2:$B$4001)&amp;"-"&amp;$A$2:$A$4001,0,-1)),K919))</f>
        <v>0</v>
      </c>
      <c r="M919" cm="1">
        <f t="array" ref="M919">IF(OR(AND(L919=9,M$1&gt;YEAR($N919))),9,_xlfn.IFNA(INDEX($D$2:$D$4001,_xlfn.XMATCH(M$1&amp;"-"&amp;$F919,YEAR($B$2:$B$4001)&amp;"-"&amp;$A$2:$A$4001,0,-1)),L919))</f>
        <v>0</v>
      </c>
      <c r="N919" s="1">
        <f t="shared" si="14"/>
        <v>36402</v>
      </c>
    </row>
    <row r="920" spans="1:14" x14ac:dyDescent="0.35">
      <c r="A920">
        <v>443</v>
      </c>
      <c r="B920" s="2">
        <v>36676</v>
      </c>
      <c r="C920">
        <v>0</v>
      </c>
      <c r="D920">
        <v>0</v>
      </c>
      <c r="F920">
        <v>919</v>
      </c>
      <c r="G920" cm="1">
        <f t="array" ref="G920">_xlfn.IFNA(INDEX($D$2:$D$4001,_xlfn.XMATCH(G$1&amp;"-"&amp;$F920,YEAR($B$2:$B$4001)&amp;"-"&amp;$A$2:$A$4001,0,-1)),9)</f>
        <v>0</v>
      </c>
      <c r="H920" cm="1">
        <f t="array" ref="H920">IF(OR(AND(G920=9,H$1&gt;YEAR($N920))),9,_xlfn.IFNA(INDEX($D$2:$D$4001,_xlfn.XMATCH(H$1&amp;"-"&amp;$F920,YEAR($B$2:$B$4001)&amp;"-"&amp;$A$2:$A$4001,0,-1)),G920))</f>
        <v>0</v>
      </c>
      <c r="I920" cm="1">
        <f t="array" ref="I920">IF(OR(AND(H920=9,I$1&gt;YEAR($N920))),9,_xlfn.IFNA(INDEX($D$2:$D$4001,_xlfn.XMATCH(I$1&amp;"-"&amp;$F920,YEAR($B$2:$B$4001)&amp;"-"&amp;$A$2:$A$4001,0,-1)),H920))</f>
        <v>0</v>
      </c>
      <c r="J920" cm="1">
        <f t="array" ref="J920">IF(OR(AND(I920=9,J$1&gt;YEAR($N920))),9,_xlfn.IFNA(INDEX($D$2:$D$4001,_xlfn.XMATCH(J$1&amp;"-"&amp;$F920,YEAR($B$2:$B$4001)&amp;"-"&amp;$A$2:$A$4001,0,-1)),I920))</f>
        <v>0</v>
      </c>
      <c r="K920" cm="1">
        <f t="array" ref="K920">IF(OR(AND(J920=9,K$1&gt;YEAR($N920))),9,_xlfn.IFNA(INDEX($D$2:$D$4001,_xlfn.XMATCH(K$1&amp;"-"&amp;$F920,YEAR($B$2:$B$4001)&amp;"-"&amp;$A$2:$A$4001,0,-1)),J920))</f>
        <v>0</v>
      </c>
      <c r="L920" cm="1">
        <f t="array" ref="L920">IF(OR(AND(K920=9,L$1&gt;YEAR($N920))),9,_xlfn.IFNA(INDEX($D$2:$D$4001,_xlfn.XMATCH(L$1&amp;"-"&amp;$F920,YEAR($B$2:$B$4001)&amp;"-"&amp;$A$2:$A$4001,0,-1)),K920))</f>
        <v>0</v>
      </c>
      <c r="M920" cm="1">
        <f t="array" ref="M920">IF(OR(AND(L920=9,M$1&gt;YEAR($N920))),9,_xlfn.IFNA(INDEX($D$2:$D$4001,_xlfn.XMATCH(M$1&amp;"-"&amp;$F920,YEAR($B$2:$B$4001)&amp;"-"&amp;$A$2:$A$4001,0,-1)),L920))</f>
        <v>0</v>
      </c>
      <c r="N920" s="1">
        <f t="shared" si="14"/>
        <v>36310</v>
      </c>
    </row>
    <row r="921" spans="1:14" x14ac:dyDescent="0.35">
      <c r="A921">
        <v>443</v>
      </c>
      <c r="B921" s="2">
        <v>36890</v>
      </c>
      <c r="C921">
        <v>3</v>
      </c>
      <c r="D921">
        <v>3</v>
      </c>
      <c r="F921">
        <v>920</v>
      </c>
      <c r="G921" cm="1">
        <f t="array" ref="G921">_xlfn.IFNA(INDEX($D$2:$D$4001,_xlfn.XMATCH(G$1&amp;"-"&amp;$F921,YEAR($B$2:$B$4001)&amp;"-"&amp;$A$2:$A$4001,0,-1)),9)</f>
        <v>9</v>
      </c>
      <c r="H921" cm="1">
        <f t="array" ref="H921">IF(OR(AND(G921=9,H$1&gt;YEAR($N921))),9,_xlfn.IFNA(INDEX($D$2:$D$4001,_xlfn.XMATCH(H$1&amp;"-"&amp;$F921,YEAR($B$2:$B$4001)&amp;"-"&amp;$A$2:$A$4001,0,-1)),G921))</f>
        <v>2</v>
      </c>
      <c r="I921" cm="1">
        <f t="array" ref="I921">IF(OR(AND(H921=9,I$1&gt;YEAR($N921))),9,_xlfn.IFNA(INDEX($D$2:$D$4001,_xlfn.XMATCH(I$1&amp;"-"&amp;$F921,YEAR($B$2:$B$4001)&amp;"-"&amp;$A$2:$A$4001,0,-1)),H921))</f>
        <v>2</v>
      </c>
      <c r="J921" cm="1">
        <f t="array" ref="J921">IF(OR(AND(I921=9,J$1&gt;YEAR($N921))),9,_xlfn.IFNA(INDEX($D$2:$D$4001,_xlfn.XMATCH(J$1&amp;"-"&amp;$F921,YEAR($B$2:$B$4001)&amp;"-"&amp;$A$2:$A$4001,0,-1)),I921))</f>
        <v>3</v>
      </c>
      <c r="K921" cm="1">
        <f t="array" ref="K921">IF(OR(AND(J921=9,K$1&gt;YEAR($N921))),9,_xlfn.IFNA(INDEX($D$2:$D$4001,_xlfn.XMATCH(K$1&amp;"-"&amp;$F921,YEAR($B$2:$B$4001)&amp;"-"&amp;$A$2:$A$4001,0,-1)),J921))</f>
        <v>3</v>
      </c>
      <c r="L921" cm="1">
        <f t="array" ref="L921">IF(OR(AND(K921=9,L$1&gt;YEAR($N921))),9,_xlfn.IFNA(INDEX($D$2:$D$4001,_xlfn.XMATCH(L$1&amp;"-"&amp;$F921,YEAR($B$2:$B$4001)&amp;"-"&amp;$A$2:$A$4001,0,-1)),K921))</f>
        <v>3</v>
      </c>
      <c r="M921" cm="1">
        <f t="array" ref="M921">IF(OR(AND(L921=9,M$1&gt;YEAR($N921))),9,_xlfn.IFNA(INDEX($D$2:$D$4001,_xlfn.XMATCH(M$1&amp;"-"&amp;$F921,YEAR($B$2:$B$4001)&amp;"-"&amp;$A$2:$A$4001,0,-1)),L921))</f>
        <v>3</v>
      </c>
      <c r="N921" s="1">
        <f t="shared" si="14"/>
        <v>36698</v>
      </c>
    </row>
    <row r="922" spans="1:14" x14ac:dyDescent="0.35">
      <c r="A922">
        <v>444</v>
      </c>
      <c r="B922" s="2">
        <v>36768</v>
      </c>
      <c r="C922">
        <v>2</v>
      </c>
      <c r="D922">
        <v>2</v>
      </c>
      <c r="F922">
        <v>921</v>
      </c>
      <c r="G922" cm="1">
        <f t="array" ref="G922">_xlfn.IFNA(INDEX($D$2:$D$4001,_xlfn.XMATCH(G$1&amp;"-"&amp;$F922,YEAR($B$2:$B$4001)&amp;"-"&amp;$A$2:$A$4001,0,-1)),9)</f>
        <v>9</v>
      </c>
      <c r="H922" cm="1">
        <f t="array" ref="H922">IF(OR(AND(G922=9,H$1&gt;YEAR($N922))),9,_xlfn.IFNA(INDEX($D$2:$D$4001,_xlfn.XMATCH(H$1&amp;"-"&amp;$F922,YEAR($B$2:$B$4001)&amp;"-"&amp;$A$2:$A$4001,0,-1)),G922))</f>
        <v>9</v>
      </c>
      <c r="I922" cm="1">
        <f t="array" ref="I922">IF(OR(AND(H922=9,I$1&gt;YEAR($N922))),9,_xlfn.IFNA(INDEX($D$2:$D$4001,_xlfn.XMATCH(I$1&amp;"-"&amp;$F922,YEAR($B$2:$B$4001)&amp;"-"&amp;$A$2:$A$4001,0,-1)),H922))</f>
        <v>9</v>
      </c>
      <c r="J922" cm="1">
        <f t="array" ref="J922">IF(OR(AND(I922=9,J$1&gt;YEAR($N922))),9,_xlfn.IFNA(INDEX($D$2:$D$4001,_xlfn.XMATCH(J$1&amp;"-"&amp;$F922,YEAR($B$2:$B$4001)&amp;"-"&amp;$A$2:$A$4001,0,-1)),I922))</f>
        <v>9</v>
      </c>
      <c r="K922" cm="1">
        <f t="array" ref="K922">IF(OR(AND(J922=9,K$1&gt;YEAR($N922))),9,_xlfn.IFNA(INDEX($D$2:$D$4001,_xlfn.XMATCH(K$1&amp;"-"&amp;$F922,YEAR($B$2:$B$4001)&amp;"-"&amp;$A$2:$A$4001,0,-1)),J922))</f>
        <v>9</v>
      </c>
      <c r="L922" cm="1">
        <f t="array" ref="L922">IF(OR(AND(K922=9,L$1&gt;YEAR($N922))),9,_xlfn.IFNA(INDEX($D$2:$D$4001,_xlfn.XMATCH(L$1&amp;"-"&amp;$F922,YEAR($B$2:$B$4001)&amp;"-"&amp;$A$2:$A$4001,0,-1)),K922))</f>
        <v>9</v>
      </c>
      <c r="M922" cm="1">
        <f t="array" ref="M922">IF(OR(AND(L922=9,M$1&gt;YEAR($N922))),9,_xlfn.IFNA(INDEX($D$2:$D$4001,_xlfn.XMATCH(M$1&amp;"-"&amp;$F922,YEAR($B$2:$B$4001)&amp;"-"&amp;$A$2:$A$4001,0,-1)),L922))</f>
        <v>3</v>
      </c>
      <c r="N922" s="1">
        <f t="shared" si="14"/>
        <v>38655</v>
      </c>
    </row>
    <row r="923" spans="1:14" x14ac:dyDescent="0.35">
      <c r="A923">
        <v>444</v>
      </c>
      <c r="B923" s="2">
        <v>37762</v>
      </c>
      <c r="C923">
        <v>3</v>
      </c>
      <c r="D923">
        <v>3</v>
      </c>
      <c r="F923">
        <v>922</v>
      </c>
      <c r="G923" cm="1">
        <f t="array" ref="G923">_xlfn.IFNA(INDEX($D$2:$D$4001,_xlfn.XMATCH(G$1&amp;"-"&amp;$F923,YEAR($B$2:$B$4001)&amp;"-"&amp;$A$2:$A$4001,0,-1)),9)</f>
        <v>9</v>
      </c>
      <c r="H923" cm="1">
        <f t="array" ref="H923">IF(OR(AND(G923=9,H$1&gt;YEAR($N923))),9,_xlfn.IFNA(INDEX($D$2:$D$4001,_xlfn.XMATCH(H$1&amp;"-"&amp;$F923,YEAR($B$2:$B$4001)&amp;"-"&amp;$A$2:$A$4001,0,-1)),G923))</f>
        <v>9</v>
      </c>
      <c r="I923" cm="1">
        <f t="array" ref="I923">IF(OR(AND(H923=9,I$1&gt;YEAR($N923))),9,_xlfn.IFNA(INDEX($D$2:$D$4001,_xlfn.XMATCH(I$1&amp;"-"&amp;$F923,YEAR($B$2:$B$4001)&amp;"-"&amp;$A$2:$A$4001,0,-1)),H923))</f>
        <v>9</v>
      </c>
      <c r="J923" cm="1">
        <f t="array" ref="J923">IF(OR(AND(I923=9,J$1&gt;YEAR($N923))),9,_xlfn.IFNA(INDEX($D$2:$D$4001,_xlfn.XMATCH(J$1&amp;"-"&amp;$F923,YEAR($B$2:$B$4001)&amp;"-"&amp;$A$2:$A$4001,0,-1)),I923))</f>
        <v>9</v>
      </c>
      <c r="K923" cm="1">
        <f t="array" ref="K923">IF(OR(AND(J923=9,K$1&gt;YEAR($N923))),9,_xlfn.IFNA(INDEX($D$2:$D$4001,_xlfn.XMATCH(K$1&amp;"-"&amp;$F923,YEAR($B$2:$B$4001)&amp;"-"&amp;$A$2:$A$4001,0,-1)),J923))</f>
        <v>3</v>
      </c>
      <c r="L923" cm="1">
        <f t="array" ref="L923">IF(OR(AND(K923=9,L$1&gt;YEAR($N923))),9,_xlfn.IFNA(INDEX($D$2:$D$4001,_xlfn.XMATCH(L$1&amp;"-"&amp;$F923,YEAR($B$2:$B$4001)&amp;"-"&amp;$A$2:$A$4001,0,-1)),K923))</f>
        <v>3</v>
      </c>
      <c r="M923" cm="1">
        <f t="array" ref="M923">IF(OR(AND(L923=9,M$1&gt;YEAR($N923))),9,_xlfn.IFNA(INDEX($D$2:$D$4001,_xlfn.XMATCH(M$1&amp;"-"&amp;$F923,YEAR($B$2:$B$4001)&amp;"-"&amp;$A$2:$A$4001,0,-1)),L923))</f>
        <v>3</v>
      </c>
      <c r="N923" s="1">
        <f t="shared" si="14"/>
        <v>37915</v>
      </c>
    </row>
    <row r="924" spans="1:14" x14ac:dyDescent="0.35">
      <c r="A924">
        <v>444</v>
      </c>
      <c r="B924" s="2">
        <v>38351</v>
      </c>
      <c r="C924">
        <v>3</v>
      </c>
      <c r="D924">
        <v>3</v>
      </c>
      <c r="F924">
        <v>923</v>
      </c>
      <c r="G924" cm="1">
        <f t="array" ref="G924">_xlfn.IFNA(INDEX($D$2:$D$4001,_xlfn.XMATCH(G$1&amp;"-"&amp;$F924,YEAR($B$2:$B$4001)&amp;"-"&amp;$A$2:$A$4001,0,-1)),9)</f>
        <v>9</v>
      </c>
      <c r="H924" cm="1">
        <f t="array" ref="H924">IF(OR(AND(G924=9,H$1&gt;YEAR($N924))),9,_xlfn.IFNA(INDEX($D$2:$D$4001,_xlfn.XMATCH(H$1&amp;"-"&amp;$F924,YEAR($B$2:$B$4001)&amp;"-"&amp;$A$2:$A$4001,0,-1)),G924))</f>
        <v>3</v>
      </c>
      <c r="I924" cm="1">
        <f t="array" ref="I924">IF(OR(AND(H924=9,I$1&gt;YEAR($N924))),9,_xlfn.IFNA(INDEX($D$2:$D$4001,_xlfn.XMATCH(I$1&amp;"-"&amp;$F924,YEAR($B$2:$B$4001)&amp;"-"&amp;$A$2:$A$4001,0,-1)),H924))</f>
        <v>3</v>
      </c>
      <c r="J924" cm="1">
        <f t="array" ref="J924">IF(OR(AND(I924=9,J$1&gt;YEAR($N924))),9,_xlfn.IFNA(INDEX($D$2:$D$4001,_xlfn.XMATCH(J$1&amp;"-"&amp;$F924,YEAR($B$2:$B$4001)&amp;"-"&amp;$A$2:$A$4001,0,-1)),I924))</f>
        <v>3</v>
      </c>
      <c r="K924" cm="1">
        <f t="array" ref="K924">IF(OR(AND(J924=9,K$1&gt;YEAR($N924))),9,_xlfn.IFNA(INDEX($D$2:$D$4001,_xlfn.XMATCH(K$1&amp;"-"&amp;$F924,YEAR($B$2:$B$4001)&amp;"-"&amp;$A$2:$A$4001,0,-1)),J924))</f>
        <v>0</v>
      </c>
      <c r="L924" cm="1">
        <f t="array" ref="L924">IF(OR(AND(K924=9,L$1&gt;YEAR($N924))),9,_xlfn.IFNA(INDEX($D$2:$D$4001,_xlfn.XMATCH(L$1&amp;"-"&amp;$F924,YEAR($B$2:$B$4001)&amp;"-"&amp;$A$2:$A$4001,0,-1)),K924))</f>
        <v>0</v>
      </c>
      <c r="M924" cm="1">
        <f t="array" ref="M924">IF(OR(AND(L924=9,M$1&gt;YEAR($N924))),9,_xlfn.IFNA(INDEX($D$2:$D$4001,_xlfn.XMATCH(M$1&amp;"-"&amp;$F924,YEAR($B$2:$B$4001)&amp;"-"&amp;$A$2:$A$4001,0,-1)),L924))</f>
        <v>0</v>
      </c>
      <c r="N924" s="1">
        <f t="shared" si="14"/>
        <v>36667</v>
      </c>
    </row>
    <row r="925" spans="1:14" x14ac:dyDescent="0.35">
      <c r="A925">
        <v>445</v>
      </c>
      <c r="B925" s="2">
        <v>36424</v>
      </c>
      <c r="C925">
        <v>4</v>
      </c>
      <c r="D925">
        <v>4</v>
      </c>
      <c r="F925">
        <v>924</v>
      </c>
      <c r="G925" cm="1">
        <f t="array" ref="G925">_xlfn.IFNA(INDEX($D$2:$D$4001,_xlfn.XMATCH(G$1&amp;"-"&amp;$F925,YEAR($B$2:$B$4001)&amp;"-"&amp;$A$2:$A$4001,0,-1)),9)</f>
        <v>9</v>
      </c>
      <c r="H925" cm="1">
        <f t="array" ref="H925">IF(OR(AND(G925=9,H$1&gt;YEAR($N925))),9,_xlfn.IFNA(INDEX($D$2:$D$4001,_xlfn.XMATCH(H$1&amp;"-"&amp;$F925,YEAR($B$2:$B$4001)&amp;"-"&amp;$A$2:$A$4001,0,-1)),G925))</f>
        <v>9</v>
      </c>
      <c r="I925" cm="1">
        <f t="array" ref="I925">IF(OR(AND(H925=9,I$1&gt;YEAR($N925))),9,_xlfn.IFNA(INDEX($D$2:$D$4001,_xlfn.XMATCH(I$1&amp;"-"&amp;$F925,YEAR($B$2:$B$4001)&amp;"-"&amp;$A$2:$A$4001,0,-1)),H925))</f>
        <v>9</v>
      </c>
      <c r="J925" cm="1">
        <f t="array" ref="J925">IF(OR(AND(I925=9,J$1&gt;YEAR($N925))),9,_xlfn.IFNA(INDEX($D$2:$D$4001,_xlfn.XMATCH(J$1&amp;"-"&amp;$F925,YEAR($B$2:$B$4001)&amp;"-"&amp;$A$2:$A$4001,0,-1)),I925))</f>
        <v>0</v>
      </c>
      <c r="K925" cm="1">
        <f t="array" ref="K925">IF(OR(AND(J925=9,K$1&gt;YEAR($N925))),9,_xlfn.IFNA(INDEX($D$2:$D$4001,_xlfn.XMATCH(K$1&amp;"-"&amp;$F925,YEAR($B$2:$B$4001)&amp;"-"&amp;$A$2:$A$4001,0,-1)),J925))</f>
        <v>0</v>
      </c>
      <c r="L925" cm="1">
        <f t="array" ref="L925">IF(OR(AND(K925=9,L$1&gt;YEAR($N925))),9,_xlfn.IFNA(INDEX($D$2:$D$4001,_xlfn.XMATCH(L$1&amp;"-"&amp;$F925,YEAR($B$2:$B$4001)&amp;"-"&amp;$A$2:$A$4001,0,-1)),K925))</f>
        <v>0</v>
      </c>
      <c r="M925" cm="1">
        <f t="array" ref="M925">IF(OR(AND(L925=9,M$1&gt;YEAR($N925))),9,_xlfn.IFNA(INDEX($D$2:$D$4001,_xlfn.XMATCH(M$1&amp;"-"&amp;$F925,YEAR($B$2:$B$4001)&amp;"-"&amp;$A$2:$A$4001,0,-1)),L925))</f>
        <v>0</v>
      </c>
      <c r="N925" s="1">
        <f t="shared" si="14"/>
        <v>37520</v>
      </c>
    </row>
    <row r="926" spans="1:14" x14ac:dyDescent="0.35">
      <c r="A926">
        <v>446</v>
      </c>
      <c r="B926" s="2">
        <v>36676</v>
      </c>
      <c r="C926">
        <v>2</v>
      </c>
      <c r="D926">
        <v>2</v>
      </c>
      <c r="F926">
        <v>925</v>
      </c>
      <c r="G926" cm="1">
        <f t="array" ref="G926">_xlfn.IFNA(INDEX($D$2:$D$4001,_xlfn.XMATCH(G$1&amp;"-"&amp;$F926,YEAR($B$2:$B$4001)&amp;"-"&amp;$A$2:$A$4001,0,-1)),9)</f>
        <v>9</v>
      </c>
      <c r="H926" cm="1">
        <f t="array" ref="H926">IF(OR(AND(G926=9,H$1&gt;YEAR($N926))),9,_xlfn.IFNA(INDEX($D$2:$D$4001,_xlfn.XMATCH(H$1&amp;"-"&amp;$F926,YEAR($B$2:$B$4001)&amp;"-"&amp;$A$2:$A$4001,0,-1)),G926))</f>
        <v>4</v>
      </c>
      <c r="I926" cm="1">
        <f t="array" ref="I926">IF(OR(AND(H926=9,I$1&gt;YEAR($N926))),9,_xlfn.IFNA(INDEX($D$2:$D$4001,_xlfn.XMATCH(I$1&amp;"-"&amp;$F926,YEAR($B$2:$B$4001)&amp;"-"&amp;$A$2:$A$4001,0,-1)),H926))</f>
        <v>4</v>
      </c>
      <c r="J926" cm="1">
        <f t="array" ref="J926">IF(OR(AND(I926=9,J$1&gt;YEAR($N926))),9,_xlfn.IFNA(INDEX($D$2:$D$4001,_xlfn.XMATCH(J$1&amp;"-"&amp;$F926,YEAR($B$2:$B$4001)&amp;"-"&amp;$A$2:$A$4001,0,-1)),I926))</f>
        <v>3</v>
      </c>
      <c r="K926" cm="1">
        <f t="array" ref="K926">IF(OR(AND(J926=9,K$1&gt;YEAR($N926))),9,_xlfn.IFNA(INDEX($D$2:$D$4001,_xlfn.XMATCH(K$1&amp;"-"&amp;$F926,YEAR($B$2:$B$4001)&amp;"-"&amp;$A$2:$A$4001,0,-1)),J926))</f>
        <v>3</v>
      </c>
      <c r="L926" cm="1">
        <f t="array" ref="L926">IF(OR(AND(K926=9,L$1&gt;YEAR($N926))),9,_xlfn.IFNA(INDEX($D$2:$D$4001,_xlfn.XMATCH(L$1&amp;"-"&amp;$F926,YEAR($B$2:$B$4001)&amp;"-"&amp;$A$2:$A$4001,0,-1)),K926))</f>
        <v>3</v>
      </c>
      <c r="M926" cm="1">
        <f t="array" ref="M926">IF(OR(AND(L926=9,M$1&gt;YEAR($N926))),9,_xlfn.IFNA(INDEX($D$2:$D$4001,_xlfn.XMATCH(M$1&amp;"-"&amp;$F926,YEAR($B$2:$B$4001)&amp;"-"&amp;$A$2:$A$4001,0,-1)),L926))</f>
        <v>3</v>
      </c>
      <c r="N926" s="1">
        <f t="shared" si="14"/>
        <v>36890</v>
      </c>
    </row>
    <row r="927" spans="1:14" x14ac:dyDescent="0.35">
      <c r="A927">
        <v>446</v>
      </c>
      <c r="B927" s="2">
        <v>37985</v>
      </c>
      <c r="C927">
        <v>3</v>
      </c>
      <c r="D927">
        <v>3</v>
      </c>
      <c r="F927">
        <v>926</v>
      </c>
      <c r="G927" cm="1">
        <f t="array" ref="G927">_xlfn.IFNA(INDEX($D$2:$D$4001,_xlfn.XMATCH(G$1&amp;"-"&amp;$F927,YEAR($B$2:$B$4001)&amp;"-"&amp;$A$2:$A$4001,0,-1)),9)</f>
        <v>9</v>
      </c>
      <c r="H927" cm="1">
        <f t="array" ref="H927">IF(OR(AND(G927=9,H$1&gt;YEAR($N927))),9,_xlfn.IFNA(INDEX($D$2:$D$4001,_xlfn.XMATCH(H$1&amp;"-"&amp;$F927,YEAR($B$2:$B$4001)&amp;"-"&amp;$A$2:$A$4001,0,-1)),G927))</f>
        <v>2</v>
      </c>
      <c r="I927" cm="1">
        <f t="array" ref="I927">IF(OR(AND(H927=9,I$1&gt;YEAR($N927))),9,_xlfn.IFNA(INDEX($D$2:$D$4001,_xlfn.XMATCH(I$1&amp;"-"&amp;$F927,YEAR($B$2:$B$4001)&amp;"-"&amp;$A$2:$A$4001,0,-1)),H927))</f>
        <v>2</v>
      </c>
      <c r="J927" cm="1">
        <f t="array" ref="J927">IF(OR(AND(I927=9,J$1&gt;YEAR($N927))),9,_xlfn.IFNA(INDEX($D$2:$D$4001,_xlfn.XMATCH(J$1&amp;"-"&amp;$F927,YEAR($B$2:$B$4001)&amp;"-"&amp;$A$2:$A$4001,0,-1)),I927))</f>
        <v>2</v>
      </c>
      <c r="K927" cm="1">
        <f t="array" ref="K927">IF(OR(AND(J927=9,K$1&gt;YEAR($N927))),9,_xlfn.IFNA(INDEX($D$2:$D$4001,_xlfn.XMATCH(K$1&amp;"-"&amp;$F927,YEAR($B$2:$B$4001)&amp;"-"&amp;$A$2:$A$4001,0,-1)),J927))</f>
        <v>3</v>
      </c>
      <c r="L927" cm="1">
        <f t="array" ref="L927">IF(OR(AND(K927=9,L$1&gt;YEAR($N927))),9,_xlfn.IFNA(INDEX($D$2:$D$4001,_xlfn.XMATCH(L$1&amp;"-"&amp;$F927,YEAR($B$2:$B$4001)&amp;"-"&amp;$A$2:$A$4001,0,-1)),K927))</f>
        <v>3</v>
      </c>
      <c r="M927" cm="1">
        <f t="array" ref="M927">IF(OR(AND(L927=9,M$1&gt;YEAR($N927))),9,_xlfn.IFNA(INDEX($D$2:$D$4001,_xlfn.XMATCH(M$1&amp;"-"&amp;$F927,YEAR($B$2:$B$4001)&amp;"-"&amp;$A$2:$A$4001,0,-1)),L927))</f>
        <v>3</v>
      </c>
      <c r="N927" s="1">
        <f t="shared" si="14"/>
        <v>36676</v>
      </c>
    </row>
    <row r="928" spans="1:14" x14ac:dyDescent="0.35">
      <c r="A928">
        <v>446</v>
      </c>
      <c r="B928" s="2">
        <v>38137</v>
      </c>
      <c r="C928">
        <v>3</v>
      </c>
      <c r="D928">
        <v>3</v>
      </c>
      <c r="F928">
        <v>927</v>
      </c>
      <c r="G928" cm="1">
        <f t="array" ref="G928">_xlfn.IFNA(INDEX($D$2:$D$4001,_xlfn.XMATCH(G$1&amp;"-"&amp;$F928,YEAR($B$2:$B$4001)&amp;"-"&amp;$A$2:$A$4001,0,-1)),9)</f>
        <v>9</v>
      </c>
      <c r="H928" cm="1">
        <f t="array" ref="H928">IF(OR(AND(G928=9,H$1&gt;YEAR($N928))),9,_xlfn.IFNA(INDEX($D$2:$D$4001,_xlfn.XMATCH(H$1&amp;"-"&amp;$F928,YEAR($B$2:$B$4001)&amp;"-"&amp;$A$2:$A$4001,0,-1)),G928))</f>
        <v>4</v>
      </c>
      <c r="I928" cm="1">
        <f t="array" ref="I928">IF(OR(AND(H928=9,I$1&gt;YEAR($N928))),9,_xlfn.IFNA(INDEX($D$2:$D$4001,_xlfn.XMATCH(I$1&amp;"-"&amp;$F928,YEAR($B$2:$B$4001)&amp;"-"&amp;$A$2:$A$4001,0,-1)),H928))</f>
        <v>8</v>
      </c>
      <c r="J928" cm="1">
        <f t="array" ref="J928">IF(OR(AND(I928=9,J$1&gt;YEAR($N928))),9,_xlfn.IFNA(INDEX($D$2:$D$4001,_xlfn.XMATCH(J$1&amp;"-"&amp;$F928,YEAR($B$2:$B$4001)&amp;"-"&amp;$A$2:$A$4001,0,-1)),I928))</f>
        <v>8</v>
      </c>
      <c r="K928" cm="1">
        <f t="array" ref="K928">IF(OR(AND(J928=9,K$1&gt;YEAR($N928))),9,_xlfn.IFNA(INDEX($D$2:$D$4001,_xlfn.XMATCH(K$1&amp;"-"&amp;$F928,YEAR($B$2:$B$4001)&amp;"-"&amp;$A$2:$A$4001,0,-1)),J928))</f>
        <v>8</v>
      </c>
      <c r="L928" cm="1">
        <f t="array" ref="L928">IF(OR(AND(K928=9,L$1&gt;YEAR($N928))),9,_xlfn.IFNA(INDEX($D$2:$D$4001,_xlfn.XMATCH(L$1&amp;"-"&amp;$F928,YEAR($B$2:$B$4001)&amp;"-"&amp;$A$2:$A$4001,0,-1)),K928))</f>
        <v>8</v>
      </c>
      <c r="M928" cm="1">
        <f t="array" ref="M928">IF(OR(AND(L928=9,M$1&gt;YEAR($N928))),9,_xlfn.IFNA(INDEX($D$2:$D$4001,_xlfn.XMATCH(M$1&amp;"-"&amp;$F928,YEAR($B$2:$B$4001)&amp;"-"&amp;$A$2:$A$4001,0,-1)),L928))</f>
        <v>8</v>
      </c>
      <c r="N928" s="1">
        <f t="shared" si="14"/>
        <v>36667</v>
      </c>
    </row>
    <row r="929" spans="1:14" x14ac:dyDescent="0.35">
      <c r="A929">
        <v>447</v>
      </c>
      <c r="B929" s="2">
        <v>37437</v>
      </c>
      <c r="C929">
        <v>2</v>
      </c>
      <c r="D929">
        <v>2</v>
      </c>
      <c r="F929">
        <v>928</v>
      </c>
      <c r="G929" cm="1">
        <f t="array" ref="G929">_xlfn.IFNA(INDEX($D$2:$D$4001,_xlfn.XMATCH(G$1&amp;"-"&amp;$F929,YEAR($B$2:$B$4001)&amp;"-"&amp;$A$2:$A$4001,0,-1)),9)</f>
        <v>9</v>
      </c>
      <c r="H929" cm="1">
        <f t="array" ref="H929">IF(OR(AND(G929=9,H$1&gt;YEAR($N929))),9,_xlfn.IFNA(INDEX($D$2:$D$4001,_xlfn.XMATCH(H$1&amp;"-"&amp;$F929,YEAR($B$2:$B$4001)&amp;"-"&amp;$A$2:$A$4001,0,-1)),G929))</f>
        <v>0</v>
      </c>
      <c r="I929" cm="1">
        <f t="array" ref="I929">IF(OR(AND(H929=9,I$1&gt;YEAR($N929))),9,_xlfn.IFNA(INDEX($D$2:$D$4001,_xlfn.XMATCH(I$1&amp;"-"&amp;$F929,YEAR($B$2:$B$4001)&amp;"-"&amp;$A$2:$A$4001,0,-1)),H929))</f>
        <v>0</v>
      </c>
      <c r="J929" cm="1">
        <f t="array" ref="J929">IF(OR(AND(I929=9,J$1&gt;YEAR($N929))),9,_xlfn.IFNA(INDEX($D$2:$D$4001,_xlfn.XMATCH(J$1&amp;"-"&amp;$F929,YEAR($B$2:$B$4001)&amp;"-"&amp;$A$2:$A$4001,0,-1)),I929))</f>
        <v>0</v>
      </c>
      <c r="K929" cm="1">
        <f t="array" ref="K929">IF(OR(AND(J929=9,K$1&gt;YEAR($N929))),9,_xlfn.IFNA(INDEX($D$2:$D$4001,_xlfn.XMATCH(K$1&amp;"-"&amp;$F929,YEAR($B$2:$B$4001)&amp;"-"&amp;$A$2:$A$4001,0,-1)),J929))</f>
        <v>0</v>
      </c>
      <c r="L929" cm="1">
        <f t="array" ref="L929">IF(OR(AND(K929=9,L$1&gt;YEAR($N929))),9,_xlfn.IFNA(INDEX($D$2:$D$4001,_xlfn.XMATCH(L$1&amp;"-"&amp;$F929,YEAR($B$2:$B$4001)&amp;"-"&amp;$A$2:$A$4001,0,-1)),K929))</f>
        <v>0</v>
      </c>
      <c r="M929" cm="1">
        <f t="array" ref="M929">IF(OR(AND(L929=9,M$1&gt;YEAR($N929))),9,_xlfn.IFNA(INDEX($D$2:$D$4001,_xlfn.XMATCH(M$1&amp;"-"&amp;$F929,YEAR($B$2:$B$4001)&amp;"-"&amp;$A$2:$A$4001,0,-1)),L929))</f>
        <v>0</v>
      </c>
      <c r="N929" s="1">
        <f t="shared" si="14"/>
        <v>36676</v>
      </c>
    </row>
    <row r="930" spans="1:14" x14ac:dyDescent="0.35">
      <c r="A930">
        <v>448</v>
      </c>
      <c r="B930" s="2">
        <v>38498</v>
      </c>
      <c r="C930">
        <v>4</v>
      </c>
      <c r="D930">
        <v>4</v>
      </c>
      <c r="F930">
        <v>929</v>
      </c>
      <c r="G930" cm="1">
        <f t="array" ref="G930">_xlfn.IFNA(INDEX($D$2:$D$4001,_xlfn.XMATCH(G$1&amp;"-"&amp;$F930,YEAR($B$2:$B$4001)&amp;"-"&amp;$A$2:$A$4001,0,-1)),9)</f>
        <v>2</v>
      </c>
      <c r="H930" cm="1">
        <f t="array" ref="H930">IF(OR(AND(G930=9,H$1&gt;YEAR($N930))),9,_xlfn.IFNA(INDEX($D$2:$D$4001,_xlfn.XMATCH(H$1&amp;"-"&amp;$F930,YEAR($B$2:$B$4001)&amp;"-"&amp;$A$2:$A$4001,0,-1)),G930))</f>
        <v>2</v>
      </c>
      <c r="I930" cm="1">
        <f t="array" ref="I930">IF(OR(AND(H930=9,I$1&gt;YEAR($N930))),9,_xlfn.IFNA(INDEX($D$2:$D$4001,_xlfn.XMATCH(I$1&amp;"-"&amp;$F930,YEAR($B$2:$B$4001)&amp;"-"&amp;$A$2:$A$4001,0,-1)),H930))</f>
        <v>3</v>
      </c>
      <c r="J930" cm="1">
        <f t="array" ref="J930">IF(OR(AND(I930=9,J$1&gt;YEAR($N930))),9,_xlfn.IFNA(INDEX($D$2:$D$4001,_xlfn.XMATCH(J$1&amp;"-"&amp;$F930,YEAR($B$2:$B$4001)&amp;"-"&amp;$A$2:$A$4001,0,-1)),I930))</f>
        <v>4</v>
      </c>
      <c r="K930" cm="1">
        <f t="array" ref="K930">IF(OR(AND(J930=9,K$1&gt;YEAR($N930))),9,_xlfn.IFNA(INDEX($D$2:$D$4001,_xlfn.XMATCH(K$1&amp;"-"&amp;$F930,YEAR($B$2:$B$4001)&amp;"-"&amp;$A$2:$A$4001,0,-1)),J930))</f>
        <v>4</v>
      </c>
      <c r="L930" cm="1">
        <f t="array" ref="L930">IF(OR(AND(K930=9,L$1&gt;YEAR($N930))),9,_xlfn.IFNA(INDEX($D$2:$D$4001,_xlfn.XMATCH(L$1&amp;"-"&amp;$F930,YEAR($B$2:$B$4001)&amp;"-"&amp;$A$2:$A$4001,0,-1)),K930))</f>
        <v>4</v>
      </c>
      <c r="M930" cm="1">
        <f t="array" ref="M930">IF(OR(AND(L930=9,M$1&gt;YEAR($N930))),9,_xlfn.IFNA(INDEX($D$2:$D$4001,_xlfn.XMATCH(M$1&amp;"-"&amp;$F930,YEAR($B$2:$B$4001)&amp;"-"&amp;$A$2:$A$4001,0,-1)),L930))</f>
        <v>4</v>
      </c>
      <c r="N930" s="1">
        <f t="shared" si="14"/>
        <v>36463</v>
      </c>
    </row>
    <row r="931" spans="1:14" x14ac:dyDescent="0.35">
      <c r="A931">
        <v>449</v>
      </c>
      <c r="B931" s="2">
        <v>37762</v>
      </c>
      <c r="C931">
        <v>3</v>
      </c>
      <c r="D931">
        <v>3</v>
      </c>
      <c r="F931">
        <v>930</v>
      </c>
      <c r="G931" cm="1">
        <f t="array" ref="G931">_xlfn.IFNA(INDEX($D$2:$D$4001,_xlfn.XMATCH(G$1&amp;"-"&amp;$F931,YEAR($B$2:$B$4001)&amp;"-"&amp;$A$2:$A$4001,0,-1)),9)</f>
        <v>9</v>
      </c>
      <c r="H931" cm="1">
        <f t="array" ref="H931">IF(OR(AND(G931=9,H$1&gt;YEAR($N931))),9,_xlfn.IFNA(INDEX($D$2:$D$4001,_xlfn.XMATCH(H$1&amp;"-"&amp;$F931,YEAR($B$2:$B$4001)&amp;"-"&amp;$A$2:$A$4001,0,-1)),G931))</f>
        <v>9</v>
      </c>
      <c r="I931" cm="1">
        <f t="array" ref="I931">IF(OR(AND(H931=9,I$1&gt;YEAR($N931))),9,_xlfn.IFNA(INDEX($D$2:$D$4001,_xlfn.XMATCH(I$1&amp;"-"&amp;$F931,YEAR($B$2:$B$4001)&amp;"-"&amp;$A$2:$A$4001,0,-1)),H931))</f>
        <v>9</v>
      </c>
      <c r="J931" cm="1">
        <f t="array" ref="J931">IF(OR(AND(I931=9,J$1&gt;YEAR($N931))),9,_xlfn.IFNA(INDEX($D$2:$D$4001,_xlfn.XMATCH(J$1&amp;"-"&amp;$F931,YEAR($B$2:$B$4001)&amp;"-"&amp;$A$2:$A$4001,0,-1)),I931))</f>
        <v>4</v>
      </c>
      <c r="K931" cm="1">
        <f t="array" ref="K931">IF(OR(AND(J931=9,K$1&gt;YEAR($N931))),9,_xlfn.IFNA(INDEX($D$2:$D$4001,_xlfn.XMATCH(K$1&amp;"-"&amp;$F931,YEAR($B$2:$B$4001)&amp;"-"&amp;$A$2:$A$4001,0,-1)),J931))</f>
        <v>5</v>
      </c>
      <c r="L931" cm="1">
        <f t="array" ref="L931">IF(OR(AND(K931=9,L$1&gt;YEAR($N931))),9,_xlfn.IFNA(INDEX($D$2:$D$4001,_xlfn.XMATCH(L$1&amp;"-"&amp;$F931,YEAR($B$2:$B$4001)&amp;"-"&amp;$A$2:$A$4001,0,-1)),K931))</f>
        <v>5</v>
      </c>
      <c r="M931" cm="1">
        <f t="array" ref="M931">IF(OR(AND(L931=9,M$1&gt;YEAR($N931))),9,_xlfn.IFNA(INDEX($D$2:$D$4001,_xlfn.XMATCH(M$1&amp;"-"&amp;$F931,YEAR($B$2:$B$4001)&amp;"-"&amp;$A$2:$A$4001,0,-1)),L931))</f>
        <v>5</v>
      </c>
      <c r="N931" s="1">
        <f t="shared" si="14"/>
        <v>37529</v>
      </c>
    </row>
    <row r="932" spans="1:14" x14ac:dyDescent="0.35">
      <c r="A932">
        <v>450</v>
      </c>
      <c r="B932" s="2">
        <v>36341</v>
      </c>
      <c r="C932">
        <v>5</v>
      </c>
      <c r="D932">
        <v>5</v>
      </c>
      <c r="F932">
        <v>931</v>
      </c>
      <c r="G932" cm="1">
        <f t="array" ref="G932">_xlfn.IFNA(INDEX($D$2:$D$4001,_xlfn.XMATCH(G$1&amp;"-"&amp;$F932,YEAR($B$2:$B$4001)&amp;"-"&amp;$A$2:$A$4001,0,-1)),9)</f>
        <v>9</v>
      </c>
      <c r="H932" cm="1">
        <f t="array" ref="H932">IF(OR(AND(G932=9,H$1&gt;YEAR($N932))),9,_xlfn.IFNA(INDEX($D$2:$D$4001,_xlfn.XMATCH(H$1&amp;"-"&amp;$F932,YEAR($B$2:$B$4001)&amp;"-"&amp;$A$2:$A$4001,0,-1)),G932))</f>
        <v>9</v>
      </c>
      <c r="I932" cm="1">
        <f t="array" ref="I932">IF(OR(AND(H932=9,I$1&gt;YEAR($N932))),9,_xlfn.IFNA(INDEX($D$2:$D$4001,_xlfn.XMATCH(I$1&amp;"-"&amp;$F932,YEAR($B$2:$B$4001)&amp;"-"&amp;$A$2:$A$4001,0,-1)),H932))</f>
        <v>0</v>
      </c>
      <c r="J932" cm="1">
        <f t="array" ref="J932">IF(OR(AND(I932=9,J$1&gt;YEAR($N932))),9,_xlfn.IFNA(INDEX($D$2:$D$4001,_xlfn.XMATCH(J$1&amp;"-"&amp;$F932,YEAR($B$2:$B$4001)&amp;"-"&amp;$A$2:$A$4001,0,-1)),I932))</f>
        <v>0</v>
      </c>
      <c r="K932" cm="1">
        <f t="array" ref="K932">IF(OR(AND(J932=9,K$1&gt;YEAR($N932))),9,_xlfn.IFNA(INDEX($D$2:$D$4001,_xlfn.XMATCH(K$1&amp;"-"&amp;$F932,YEAR($B$2:$B$4001)&amp;"-"&amp;$A$2:$A$4001,0,-1)),J932))</f>
        <v>0</v>
      </c>
      <c r="L932" cm="1">
        <f t="array" ref="L932">IF(OR(AND(K932=9,L$1&gt;YEAR($N932))),9,_xlfn.IFNA(INDEX($D$2:$D$4001,_xlfn.XMATCH(L$1&amp;"-"&amp;$F932,YEAR($B$2:$B$4001)&amp;"-"&amp;$A$2:$A$4001,0,-1)),K932))</f>
        <v>0</v>
      </c>
      <c r="M932" cm="1">
        <f t="array" ref="M932">IF(OR(AND(L932=9,M$1&gt;YEAR($N932))),9,_xlfn.IFNA(INDEX($D$2:$D$4001,_xlfn.XMATCH(M$1&amp;"-"&amp;$F932,YEAR($B$2:$B$4001)&amp;"-"&amp;$A$2:$A$4001,0,-1)),L932))</f>
        <v>0</v>
      </c>
      <c r="N932" s="1">
        <f t="shared" si="14"/>
        <v>37041</v>
      </c>
    </row>
    <row r="933" spans="1:14" x14ac:dyDescent="0.35">
      <c r="A933">
        <v>450</v>
      </c>
      <c r="B933" s="2">
        <v>36524</v>
      </c>
      <c r="C933">
        <v>4</v>
      </c>
      <c r="D933">
        <v>4</v>
      </c>
      <c r="F933">
        <v>932</v>
      </c>
      <c r="G933" cm="1">
        <f t="array" ref="G933">_xlfn.IFNA(INDEX($D$2:$D$4001,_xlfn.XMATCH(G$1&amp;"-"&amp;$F933,YEAR($B$2:$B$4001)&amp;"-"&amp;$A$2:$A$4001,0,-1)),9)</f>
        <v>9</v>
      </c>
      <c r="H933" cm="1">
        <f t="array" ref="H933">IF(OR(AND(G933=9,H$1&gt;YEAR($N933))),9,_xlfn.IFNA(INDEX($D$2:$D$4001,_xlfn.XMATCH(H$1&amp;"-"&amp;$F933,YEAR($B$2:$B$4001)&amp;"-"&amp;$A$2:$A$4001,0,-1)),G933))</f>
        <v>9</v>
      </c>
      <c r="I933" cm="1">
        <f t="array" ref="I933">IF(OR(AND(H933=9,I$1&gt;YEAR($N933))),9,_xlfn.IFNA(INDEX($D$2:$D$4001,_xlfn.XMATCH(I$1&amp;"-"&amp;$F933,YEAR($B$2:$B$4001)&amp;"-"&amp;$A$2:$A$4001,0,-1)),H933))</f>
        <v>9</v>
      </c>
      <c r="J933" cm="1">
        <f t="array" ref="J933">IF(OR(AND(I933=9,J$1&gt;YEAR($N933))),9,_xlfn.IFNA(INDEX($D$2:$D$4001,_xlfn.XMATCH(J$1&amp;"-"&amp;$F933,YEAR($B$2:$B$4001)&amp;"-"&amp;$A$2:$A$4001,0,-1)),I933))</f>
        <v>9</v>
      </c>
      <c r="K933" cm="1">
        <f t="array" ref="K933">IF(OR(AND(J933=9,K$1&gt;YEAR($N933))),9,_xlfn.IFNA(INDEX($D$2:$D$4001,_xlfn.XMATCH(K$1&amp;"-"&amp;$F933,YEAR($B$2:$B$4001)&amp;"-"&amp;$A$2:$A$4001,0,-1)),J933))</f>
        <v>2</v>
      </c>
      <c r="L933" cm="1">
        <f t="array" ref="L933">IF(OR(AND(K933=9,L$1&gt;YEAR($N933))),9,_xlfn.IFNA(INDEX($D$2:$D$4001,_xlfn.XMATCH(L$1&amp;"-"&amp;$F933,YEAR($B$2:$B$4001)&amp;"-"&amp;$A$2:$A$4001,0,-1)),K933))</f>
        <v>2</v>
      </c>
      <c r="M933" cm="1">
        <f t="array" ref="M933">IF(OR(AND(L933=9,M$1&gt;YEAR($N933))),9,_xlfn.IFNA(INDEX($D$2:$D$4001,_xlfn.XMATCH(M$1&amp;"-"&amp;$F933,YEAR($B$2:$B$4001)&amp;"-"&amp;$A$2:$A$4001,0,-1)),L933))</f>
        <v>2</v>
      </c>
      <c r="N933" s="1">
        <f t="shared" si="14"/>
        <v>37955</v>
      </c>
    </row>
    <row r="934" spans="1:14" x14ac:dyDescent="0.35">
      <c r="A934">
        <v>450</v>
      </c>
      <c r="B934" s="2">
        <v>36768</v>
      </c>
      <c r="C934">
        <v>5</v>
      </c>
      <c r="D934">
        <v>5</v>
      </c>
      <c r="F934">
        <v>933</v>
      </c>
      <c r="G934" cm="1">
        <f t="array" ref="G934">_xlfn.IFNA(INDEX($D$2:$D$4001,_xlfn.XMATCH(G$1&amp;"-"&amp;$F934,YEAR($B$2:$B$4001)&amp;"-"&amp;$A$2:$A$4001,0,-1)),9)</f>
        <v>4</v>
      </c>
      <c r="H934" cm="1">
        <f t="array" ref="H934">IF(OR(AND(G934=9,H$1&gt;YEAR($N934))),9,_xlfn.IFNA(INDEX($D$2:$D$4001,_xlfn.XMATCH(H$1&amp;"-"&amp;$F934,YEAR($B$2:$B$4001)&amp;"-"&amp;$A$2:$A$4001,0,-1)),G934))</f>
        <v>4</v>
      </c>
      <c r="I934" cm="1">
        <f t="array" ref="I934">IF(OR(AND(H934=9,I$1&gt;YEAR($N934))),9,_xlfn.IFNA(INDEX($D$2:$D$4001,_xlfn.XMATCH(I$1&amp;"-"&amp;$F934,YEAR($B$2:$B$4001)&amp;"-"&amp;$A$2:$A$4001,0,-1)),H934))</f>
        <v>4</v>
      </c>
      <c r="J934" cm="1">
        <f t="array" ref="J934">IF(OR(AND(I934=9,J$1&gt;YEAR($N934))),9,_xlfn.IFNA(INDEX($D$2:$D$4001,_xlfn.XMATCH(J$1&amp;"-"&amp;$F934,YEAR($B$2:$B$4001)&amp;"-"&amp;$A$2:$A$4001,0,-1)),I934))</f>
        <v>4</v>
      </c>
      <c r="K934" cm="1">
        <f t="array" ref="K934">IF(OR(AND(J934=9,K$1&gt;YEAR($N934))),9,_xlfn.IFNA(INDEX($D$2:$D$4001,_xlfn.XMATCH(K$1&amp;"-"&amp;$F934,YEAR($B$2:$B$4001)&amp;"-"&amp;$A$2:$A$4001,0,-1)),J934))</f>
        <v>4</v>
      </c>
      <c r="L934" cm="1">
        <f t="array" ref="L934">IF(OR(AND(K934=9,L$1&gt;YEAR($N934))),9,_xlfn.IFNA(INDEX($D$2:$D$4001,_xlfn.XMATCH(L$1&amp;"-"&amp;$F934,YEAR($B$2:$B$4001)&amp;"-"&amp;$A$2:$A$4001,0,-1)),K934))</f>
        <v>4</v>
      </c>
      <c r="M934" cm="1">
        <f t="array" ref="M934">IF(OR(AND(L934=9,M$1&gt;YEAR($N934))),9,_xlfn.IFNA(INDEX($D$2:$D$4001,_xlfn.XMATCH(M$1&amp;"-"&amp;$F934,YEAR($B$2:$B$4001)&amp;"-"&amp;$A$2:$A$4001,0,-1)),L934))</f>
        <v>4</v>
      </c>
      <c r="N934" s="1">
        <f t="shared" si="14"/>
        <v>36341</v>
      </c>
    </row>
    <row r="935" spans="1:14" x14ac:dyDescent="0.35">
      <c r="A935">
        <v>450</v>
      </c>
      <c r="B935" s="2">
        <v>36768</v>
      </c>
      <c r="C935">
        <v>5</v>
      </c>
      <c r="D935">
        <v>5</v>
      </c>
      <c r="F935">
        <v>934</v>
      </c>
      <c r="G935" cm="1">
        <f t="array" ref="G935">_xlfn.IFNA(INDEX($D$2:$D$4001,_xlfn.XMATCH(G$1&amp;"-"&amp;$F935,YEAR($B$2:$B$4001)&amp;"-"&amp;$A$2:$A$4001,0,-1)),9)</f>
        <v>6</v>
      </c>
      <c r="H935" cm="1">
        <f t="array" ref="H935">IF(OR(AND(G935=9,H$1&gt;YEAR($N935))),9,_xlfn.IFNA(INDEX($D$2:$D$4001,_xlfn.XMATCH(H$1&amp;"-"&amp;$F935,YEAR($B$2:$B$4001)&amp;"-"&amp;$A$2:$A$4001,0,-1)),G935))</f>
        <v>6</v>
      </c>
      <c r="I935" cm="1">
        <f t="array" ref="I935">IF(OR(AND(H935=9,I$1&gt;YEAR($N935))),9,_xlfn.IFNA(INDEX($D$2:$D$4001,_xlfn.XMATCH(I$1&amp;"-"&amp;$F935,YEAR($B$2:$B$4001)&amp;"-"&amp;$A$2:$A$4001,0,-1)),H935))</f>
        <v>7</v>
      </c>
      <c r="J935" cm="1">
        <f t="array" ref="J935">IF(OR(AND(I935=9,J$1&gt;YEAR($N935))),9,_xlfn.IFNA(INDEX($D$2:$D$4001,_xlfn.XMATCH(J$1&amp;"-"&amp;$F935,YEAR($B$2:$B$4001)&amp;"-"&amp;$A$2:$A$4001,0,-1)),I935))</f>
        <v>0</v>
      </c>
      <c r="K935" cm="1">
        <f t="array" ref="K935">IF(OR(AND(J935=9,K$1&gt;YEAR($N935))),9,_xlfn.IFNA(INDEX($D$2:$D$4001,_xlfn.XMATCH(K$1&amp;"-"&amp;$F935,YEAR($B$2:$B$4001)&amp;"-"&amp;$A$2:$A$4001,0,-1)),J935))</f>
        <v>0</v>
      </c>
      <c r="L935" cm="1">
        <f t="array" ref="L935">IF(OR(AND(K935=9,L$1&gt;YEAR($N935))),9,_xlfn.IFNA(INDEX($D$2:$D$4001,_xlfn.XMATCH(L$1&amp;"-"&amp;$F935,YEAR($B$2:$B$4001)&amp;"-"&amp;$A$2:$A$4001,0,-1)),K935))</f>
        <v>0</v>
      </c>
      <c r="M935" cm="1">
        <f t="array" ref="M935">IF(OR(AND(L935=9,M$1&gt;YEAR($N935))),9,_xlfn.IFNA(INDEX($D$2:$D$4001,_xlfn.XMATCH(M$1&amp;"-"&amp;$F935,YEAR($B$2:$B$4001)&amp;"-"&amp;$A$2:$A$4001,0,-1)),L935))</f>
        <v>0</v>
      </c>
      <c r="N935" s="1">
        <f t="shared" si="14"/>
        <v>36306</v>
      </c>
    </row>
    <row r="936" spans="1:14" x14ac:dyDescent="0.35">
      <c r="A936">
        <v>450</v>
      </c>
      <c r="B936" s="2">
        <v>37397</v>
      </c>
      <c r="C936">
        <v>5</v>
      </c>
      <c r="D936">
        <v>5</v>
      </c>
      <c r="F936">
        <v>935</v>
      </c>
      <c r="G936" cm="1">
        <f t="array" ref="G936">_xlfn.IFNA(INDEX($D$2:$D$4001,_xlfn.XMATCH(G$1&amp;"-"&amp;$F936,YEAR($B$2:$B$4001)&amp;"-"&amp;$A$2:$A$4001,0,-1)),9)</f>
        <v>9</v>
      </c>
      <c r="H936" cm="1">
        <f t="array" ref="H936">IF(OR(AND(G936=9,H$1&gt;YEAR($N936))),9,_xlfn.IFNA(INDEX($D$2:$D$4001,_xlfn.XMATCH(H$1&amp;"-"&amp;$F936,YEAR($B$2:$B$4001)&amp;"-"&amp;$A$2:$A$4001,0,-1)),G936))</f>
        <v>4</v>
      </c>
      <c r="I936" cm="1">
        <f t="array" ref="I936">IF(OR(AND(H936=9,I$1&gt;YEAR($N936))),9,_xlfn.IFNA(INDEX($D$2:$D$4001,_xlfn.XMATCH(I$1&amp;"-"&amp;$F936,YEAR($B$2:$B$4001)&amp;"-"&amp;$A$2:$A$4001,0,-1)),H936))</f>
        <v>5</v>
      </c>
      <c r="J936" cm="1">
        <f t="array" ref="J936">IF(OR(AND(I936=9,J$1&gt;YEAR($N936))),9,_xlfn.IFNA(INDEX($D$2:$D$4001,_xlfn.XMATCH(J$1&amp;"-"&amp;$F936,YEAR($B$2:$B$4001)&amp;"-"&amp;$A$2:$A$4001,0,-1)),I936))</f>
        <v>5</v>
      </c>
      <c r="K936" cm="1">
        <f t="array" ref="K936">IF(OR(AND(J936=9,K$1&gt;YEAR($N936))),9,_xlfn.IFNA(INDEX($D$2:$D$4001,_xlfn.XMATCH(K$1&amp;"-"&amp;$F936,YEAR($B$2:$B$4001)&amp;"-"&amp;$A$2:$A$4001,0,-1)),J936))</f>
        <v>5</v>
      </c>
      <c r="L936" cm="1">
        <f t="array" ref="L936">IF(OR(AND(K936=9,L$1&gt;YEAR($N936))),9,_xlfn.IFNA(INDEX($D$2:$D$4001,_xlfn.XMATCH(L$1&amp;"-"&amp;$F936,YEAR($B$2:$B$4001)&amp;"-"&amp;$A$2:$A$4001,0,-1)),K936))</f>
        <v>4</v>
      </c>
      <c r="M936" cm="1">
        <f t="array" ref="M936">IF(OR(AND(L936=9,M$1&gt;YEAR($N936))),9,_xlfn.IFNA(INDEX($D$2:$D$4001,_xlfn.XMATCH(M$1&amp;"-"&amp;$F936,YEAR($B$2:$B$4001)&amp;"-"&amp;$A$2:$A$4001,0,-1)),L936))</f>
        <v>4</v>
      </c>
      <c r="N936" s="1">
        <f t="shared" si="14"/>
        <v>36890</v>
      </c>
    </row>
    <row r="937" spans="1:14" x14ac:dyDescent="0.35">
      <c r="A937">
        <v>450</v>
      </c>
      <c r="B937" s="2">
        <v>38351</v>
      </c>
      <c r="C937">
        <v>0</v>
      </c>
      <c r="D937">
        <v>0</v>
      </c>
      <c r="F937">
        <v>936</v>
      </c>
      <c r="G937" cm="1">
        <f t="array" ref="G937">_xlfn.IFNA(INDEX($D$2:$D$4001,_xlfn.XMATCH(G$1&amp;"-"&amp;$F937,YEAR($B$2:$B$4001)&amp;"-"&amp;$A$2:$A$4001,0,-1)),9)</f>
        <v>0</v>
      </c>
      <c r="H937" cm="1">
        <f t="array" ref="H937">IF(OR(AND(G937=9,H$1&gt;YEAR($N937))),9,_xlfn.IFNA(INDEX($D$2:$D$4001,_xlfn.XMATCH(H$1&amp;"-"&amp;$F937,YEAR($B$2:$B$4001)&amp;"-"&amp;$A$2:$A$4001,0,-1)),G937))</f>
        <v>0</v>
      </c>
      <c r="I937" cm="1">
        <f t="array" ref="I937">IF(OR(AND(H937=9,I$1&gt;YEAR($N937))),9,_xlfn.IFNA(INDEX($D$2:$D$4001,_xlfn.XMATCH(I$1&amp;"-"&amp;$F937,YEAR($B$2:$B$4001)&amp;"-"&amp;$A$2:$A$4001,0,-1)),H937))</f>
        <v>0</v>
      </c>
      <c r="J937" cm="1">
        <f t="array" ref="J937">IF(OR(AND(I937=9,J$1&gt;YEAR($N937))),9,_xlfn.IFNA(INDEX($D$2:$D$4001,_xlfn.XMATCH(J$1&amp;"-"&amp;$F937,YEAR($B$2:$B$4001)&amp;"-"&amp;$A$2:$A$4001,0,-1)),I937))</f>
        <v>0</v>
      </c>
      <c r="K937" cm="1">
        <f t="array" ref="K937">IF(OR(AND(J937=9,K$1&gt;YEAR($N937))),9,_xlfn.IFNA(INDEX($D$2:$D$4001,_xlfn.XMATCH(K$1&amp;"-"&amp;$F937,YEAR($B$2:$B$4001)&amp;"-"&amp;$A$2:$A$4001,0,-1)),J937))</f>
        <v>0</v>
      </c>
      <c r="L937" cm="1">
        <f t="array" ref="L937">IF(OR(AND(K937=9,L$1&gt;YEAR($N937))),9,_xlfn.IFNA(INDEX($D$2:$D$4001,_xlfn.XMATCH(L$1&amp;"-"&amp;$F937,YEAR($B$2:$B$4001)&amp;"-"&amp;$A$2:$A$4001,0,-1)),K937))</f>
        <v>0</v>
      </c>
      <c r="M937" cm="1">
        <f t="array" ref="M937">IF(OR(AND(L937=9,M$1&gt;YEAR($N937))),9,_xlfn.IFNA(INDEX($D$2:$D$4001,_xlfn.XMATCH(M$1&amp;"-"&amp;$F937,YEAR($B$2:$B$4001)&amp;"-"&amp;$A$2:$A$4001,0,-1)),L937))</f>
        <v>0</v>
      </c>
      <c r="N937" s="1">
        <f t="shared" si="14"/>
        <v>36362</v>
      </c>
    </row>
    <row r="938" spans="1:14" x14ac:dyDescent="0.35">
      <c r="A938">
        <v>451</v>
      </c>
      <c r="B938" s="2">
        <v>36393</v>
      </c>
      <c r="C938">
        <v>5</v>
      </c>
      <c r="D938">
        <v>5</v>
      </c>
      <c r="F938">
        <v>937</v>
      </c>
      <c r="G938" cm="1">
        <f t="array" ref="G938">_xlfn.IFNA(INDEX($D$2:$D$4001,_xlfn.XMATCH(G$1&amp;"-"&amp;$F938,YEAR($B$2:$B$4001)&amp;"-"&amp;$A$2:$A$4001,0,-1)),9)</f>
        <v>9</v>
      </c>
      <c r="H938" cm="1">
        <f t="array" ref="H938">IF(OR(AND(G938=9,H$1&gt;YEAR($N938))),9,_xlfn.IFNA(INDEX($D$2:$D$4001,_xlfn.XMATCH(H$1&amp;"-"&amp;$F938,YEAR($B$2:$B$4001)&amp;"-"&amp;$A$2:$A$4001,0,-1)),G938))</f>
        <v>4</v>
      </c>
      <c r="I938" cm="1">
        <f t="array" ref="I938">IF(OR(AND(H938=9,I$1&gt;YEAR($N938))),9,_xlfn.IFNA(INDEX($D$2:$D$4001,_xlfn.XMATCH(I$1&amp;"-"&amp;$F938,YEAR($B$2:$B$4001)&amp;"-"&amp;$A$2:$A$4001,0,-1)),H938))</f>
        <v>4</v>
      </c>
      <c r="J938" cm="1">
        <f t="array" ref="J938">IF(OR(AND(I938=9,J$1&gt;YEAR($N938))),9,_xlfn.IFNA(INDEX($D$2:$D$4001,_xlfn.XMATCH(J$1&amp;"-"&amp;$F938,YEAR($B$2:$B$4001)&amp;"-"&amp;$A$2:$A$4001,0,-1)),I938))</f>
        <v>4</v>
      </c>
      <c r="K938" cm="1">
        <f t="array" ref="K938">IF(OR(AND(J938=9,K$1&gt;YEAR($N938))),9,_xlfn.IFNA(INDEX($D$2:$D$4001,_xlfn.XMATCH(K$1&amp;"-"&amp;$F938,YEAR($B$2:$B$4001)&amp;"-"&amp;$A$2:$A$4001,0,-1)),J938))</f>
        <v>4</v>
      </c>
      <c r="L938" cm="1">
        <f t="array" ref="L938">IF(OR(AND(K938=9,L$1&gt;YEAR($N938))),9,_xlfn.IFNA(INDEX($D$2:$D$4001,_xlfn.XMATCH(L$1&amp;"-"&amp;$F938,YEAR($B$2:$B$4001)&amp;"-"&amp;$A$2:$A$4001,0,-1)),K938))</f>
        <v>4</v>
      </c>
      <c r="M938" cm="1">
        <f t="array" ref="M938">IF(OR(AND(L938=9,M$1&gt;YEAR($N938))),9,_xlfn.IFNA(INDEX($D$2:$D$4001,_xlfn.XMATCH(M$1&amp;"-"&amp;$F938,YEAR($B$2:$B$4001)&amp;"-"&amp;$A$2:$A$4001,0,-1)),L938))</f>
        <v>3</v>
      </c>
      <c r="N938" s="1">
        <f t="shared" si="14"/>
        <v>36890</v>
      </c>
    </row>
    <row r="939" spans="1:14" x14ac:dyDescent="0.35">
      <c r="A939">
        <v>452</v>
      </c>
      <c r="B939" s="2">
        <v>36890</v>
      </c>
      <c r="C939">
        <v>6</v>
      </c>
      <c r="D939">
        <v>6</v>
      </c>
      <c r="F939">
        <v>938</v>
      </c>
      <c r="G939" cm="1">
        <f t="array" ref="G939">_xlfn.IFNA(INDEX($D$2:$D$4001,_xlfn.XMATCH(G$1&amp;"-"&amp;$F939,YEAR($B$2:$B$4001)&amp;"-"&amp;$A$2:$A$4001,0,-1)),9)</f>
        <v>9</v>
      </c>
      <c r="H939" cm="1">
        <f t="array" ref="H939">IF(OR(AND(G939=9,H$1&gt;YEAR($N939))),9,_xlfn.IFNA(INDEX($D$2:$D$4001,_xlfn.XMATCH(H$1&amp;"-"&amp;$F939,YEAR($B$2:$B$4001)&amp;"-"&amp;$A$2:$A$4001,0,-1)),G939))</f>
        <v>9</v>
      </c>
      <c r="I939" cm="1">
        <f t="array" ref="I939">IF(OR(AND(H939=9,I$1&gt;YEAR($N939))),9,_xlfn.IFNA(INDEX($D$2:$D$4001,_xlfn.XMATCH(I$1&amp;"-"&amp;$F939,YEAR($B$2:$B$4001)&amp;"-"&amp;$A$2:$A$4001,0,-1)),H939))</f>
        <v>9</v>
      </c>
      <c r="J939" cm="1">
        <f t="array" ref="J939">IF(OR(AND(I939=9,J$1&gt;YEAR($N939))),9,_xlfn.IFNA(INDEX($D$2:$D$4001,_xlfn.XMATCH(J$1&amp;"-"&amp;$F939,YEAR($B$2:$B$4001)&amp;"-"&amp;$A$2:$A$4001,0,-1)),I939))</f>
        <v>9</v>
      </c>
      <c r="K939" cm="1">
        <f t="array" ref="K939">IF(OR(AND(J939=9,K$1&gt;YEAR($N939))),9,_xlfn.IFNA(INDEX($D$2:$D$4001,_xlfn.XMATCH(K$1&amp;"-"&amp;$F939,YEAR($B$2:$B$4001)&amp;"-"&amp;$A$2:$A$4001,0,-1)),J939))</f>
        <v>3</v>
      </c>
      <c r="L939" cm="1">
        <f t="array" ref="L939">IF(OR(AND(K939=9,L$1&gt;YEAR($N939))),9,_xlfn.IFNA(INDEX($D$2:$D$4001,_xlfn.XMATCH(L$1&amp;"-"&amp;$F939,YEAR($B$2:$B$4001)&amp;"-"&amp;$A$2:$A$4001,0,-1)),K939))</f>
        <v>3</v>
      </c>
      <c r="M939" cm="1">
        <f t="array" ref="M939">IF(OR(AND(L939=9,M$1&gt;YEAR($N939))),9,_xlfn.IFNA(INDEX($D$2:$D$4001,_xlfn.XMATCH(M$1&amp;"-"&amp;$F939,YEAR($B$2:$B$4001)&amp;"-"&amp;$A$2:$A$4001,0,-1)),L939))</f>
        <v>3</v>
      </c>
      <c r="N939" s="1">
        <f t="shared" si="14"/>
        <v>37762</v>
      </c>
    </row>
    <row r="940" spans="1:14" x14ac:dyDescent="0.35">
      <c r="A940">
        <v>452</v>
      </c>
      <c r="B940" s="2">
        <v>37038</v>
      </c>
      <c r="C940">
        <v>7</v>
      </c>
      <c r="D940">
        <v>7</v>
      </c>
      <c r="F940">
        <v>939</v>
      </c>
      <c r="G940" cm="1">
        <f t="array" ref="G940">_xlfn.IFNA(INDEX($D$2:$D$4001,_xlfn.XMATCH(G$1&amp;"-"&amp;$F940,YEAR($B$2:$B$4001)&amp;"-"&amp;$A$2:$A$4001,0,-1)),9)</f>
        <v>0</v>
      </c>
      <c r="H940" cm="1">
        <f t="array" ref="H940">IF(OR(AND(G940=9,H$1&gt;YEAR($N940))),9,_xlfn.IFNA(INDEX($D$2:$D$4001,_xlfn.XMATCH(H$1&amp;"-"&amp;$F940,YEAR($B$2:$B$4001)&amp;"-"&amp;$A$2:$A$4001,0,-1)),G940))</f>
        <v>4</v>
      </c>
      <c r="I940" cm="1">
        <f t="array" ref="I940">IF(OR(AND(H940=9,I$1&gt;YEAR($N940))),9,_xlfn.IFNA(INDEX($D$2:$D$4001,_xlfn.XMATCH(I$1&amp;"-"&amp;$F940,YEAR($B$2:$B$4001)&amp;"-"&amp;$A$2:$A$4001,0,-1)),H940))</f>
        <v>4</v>
      </c>
      <c r="J940" cm="1">
        <f t="array" ref="J940">IF(OR(AND(I940=9,J$1&gt;YEAR($N940))),9,_xlfn.IFNA(INDEX($D$2:$D$4001,_xlfn.XMATCH(J$1&amp;"-"&amp;$F940,YEAR($B$2:$B$4001)&amp;"-"&amp;$A$2:$A$4001,0,-1)),I940))</f>
        <v>4</v>
      </c>
      <c r="K940" cm="1">
        <f t="array" ref="K940">IF(OR(AND(J940=9,K$1&gt;YEAR($N940))),9,_xlfn.IFNA(INDEX($D$2:$D$4001,_xlfn.XMATCH(K$1&amp;"-"&amp;$F940,YEAR($B$2:$B$4001)&amp;"-"&amp;$A$2:$A$4001,0,-1)),J940))</f>
        <v>4</v>
      </c>
      <c r="L940" cm="1">
        <f t="array" ref="L940">IF(OR(AND(K940=9,L$1&gt;YEAR($N940))),9,_xlfn.IFNA(INDEX($D$2:$D$4001,_xlfn.XMATCH(L$1&amp;"-"&amp;$F940,YEAR($B$2:$B$4001)&amp;"-"&amp;$A$2:$A$4001,0,-1)),K940))</f>
        <v>4</v>
      </c>
      <c r="M940" cm="1">
        <f t="array" ref="M940">IF(OR(AND(L940=9,M$1&gt;YEAR($N940))),9,_xlfn.IFNA(INDEX($D$2:$D$4001,_xlfn.XMATCH(M$1&amp;"-"&amp;$F940,YEAR($B$2:$B$4001)&amp;"-"&amp;$A$2:$A$4001,0,-1)),L940))</f>
        <v>4</v>
      </c>
      <c r="N940" s="1">
        <f t="shared" si="14"/>
        <v>36524</v>
      </c>
    </row>
    <row r="941" spans="1:14" x14ac:dyDescent="0.35">
      <c r="A941">
        <v>452</v>
      </c>
      <c r="B941" s="2">
        <v>37185</v>
      </c>
      <c r="C941">
        <v>7</v>
      </c>
      <c r="D941">
        <v>7</v>
      </c>
      <c r="F941">
        <v>940</v>
      </c>
      <c r="G941" cm="1">
        <f t="array" ref="G941">_xlfn.IFNA(INDEX($D$2:$D$4001,_xlfn.XMATCH(G$1&amp;"-"&amp;$F941,YEAR($B$2:$B$4001)&amp;"-"&amp;$A$2:$A$4001,0,-1)),9)</f>
        <v>9</v>
      </c>
      <c r="H941" cm="1">
        <f t="array" ref="H941">IF(OR(AND(G941=9,H$1&gt;YEAR($N941))),9,_xlfn.IFNA(INDEX($D$2:$D$4001,_xlfn.XMATCH(H$1&amp;"-"&amp;$F941,YEAR($B$2:$B$4001)&amp;"-"&amp;$A$2:$A$4001,0,-1)),G941))</f>
        <v>8</v>
      </c>
      <c r="I941" cm="1">
        <f t="array" ref="I941">IF(OR(AND(H941=9,I$1&gt;YEAR($N941))),9,_xlfn.IFNA(INDEX($D$2:$D$4001,_xlfn.XMATCH(I$1&amp;"-"&amp;$F941,YEAR($B$2:$B$4001)&amp;"-"&amp;$A$2:$A$4001,0,-1)),H941))</f>
        <v>8</v>
      </c>
      <c r="J941" cm="1">
        <f t="array" ref="J941">IF(OR(AND(I941=9,J$1&gt;YEAR($N941))),9,_xlfn.IFNA(INDEX($D$2:$D$4001,_xlfn.XMATCH(J$1&amp;"-"&amp;$F941,YEAR($B$2:$B$4001)&amp;"-"&amp;$A$2:$A$4001,0,-1)),I941))</f>
        <v>8</v>
      </c>
      <c r="K941" cm="1">
        <f t="array" ref="K941">IF(OR(AND(J941=9,K$1&gt;YEAR($N941))),9,_xlfn.IFNA(INDEX($D$2:$D$4001,_xlfn.XMATCH(K$1&amp;"-"&amp;$F941,YEAR($B$2:$B$4001)&amp;"-"&amp;$A$2:$A$4001,0,-1)),J941))</f>
        <v>8</v>
      </c>
      <c r="L941" cm="1">
        <f t="array" ref="L941">IF(OR(AND(K941=9,L$1&gt;YEAR($N941))),9,_xlfn.IFNA(INDEX($D$2:$D$4001,_xlfn.XMATCH(L$1&amp;"-"&amp;$F941,YEAR($B$2:$B$4001)&amp;"-"&amp;$A$2:$A$4001,0,-1)),K941))</f>
        <v>8</v>
      </c>
      <c r="M941" cm="1">
        <f t="array" ref="M941">IF(OR(AND(L941=9,M$1&gt;YEAR($N941))),9,_xlfn.IFNA(INDEX($D$2:$D$4001,_xlfn.XMATCH(M$1&amp;"-"&amp;$F941,YEAR($B$2:$B$4001)&amp;"-"&amp;$A$2:$A$4001,0,-1)),L941))</f>
        <v>8</v>
      </c>
      <c r="N941" s="1">
        <f t="shared" si="14"/>
        <v>36667</v>
      </c>
    </row>
    <row r="942" spans="1:14" x14ac:dyDescent="0.35">
      <c r="A942">
        <v>452</v>
      </c>
      <c r="B942" s="2">
        <v>37255</v>
      </c>
      <c r="C942">
        <v>8</v>
      </c>
      <c r="D942">
        <v>8</v>
      </c>
      <c r="F942">
        <v>941</v>
      </c>
      <c r="G942" cm="1">
        <f t="array" ref="G942">_xlfn.IFNA(INDEX($D$2:$D$4001,_xlfn.XMATCH(G$1&amp;"-"&amp;$F942,YEAR($B$2:$B$4001)&amp;"-"&amp;$A$2:$A$4001,0,-1)),9)</f>
        <v>9</v>
      </c>
      <c r="H942" cm="1">
        <f t="array" ref="H942">IF(OR(AND(G942=9,H$1&gt;YEAR($N942))),9,_xlfn.IFNA(INDEX($D$2:$D$4001,_xlfn.XMATCH(H$1&amp;"-"&amp;$F942,YEAR($B$2:$B$4001)&amp;"-"&amp;$A$2:$A$4001,0,-1)),G942))</f>
        <v>9</v>
      </c>
      <c r="I942" cm="1">
        <f t="array" ref="I942">IF(OR(AND(H942=9,I$1&gt;YEAR($N942))),9,_xlfn.IFNA(INDEX($D$2:$D$4001,_xlfn.XMATCH(I$1&amp;"-"&amp;$F942,YEAR($B$2:$B$4001)&amp;"-"&amp;$A$2:$A$4001,0,-1)),H942))</f>
        <v>9</v>
      </c>
      <c r="J942" cm="1">
        <f t="array" ref="J942">IF(OR(AND(I942=9,J$1&gt;YEAR($N942))),9,_xlfn.IFNA(INDEX($D$2:$D$4001,_xlfn.XMATCH(J$1&amp;"-"&amp;$F942,YEAR($B$2:$B$4001)&amp;"-"&amp;$A$2:$A$4001,0,-1)),I942))</f>
        <v>9</v>
      </c>
      <c r="K942" cm="1">
        <f t="array" ref="K942">IF(OR(AND(J942=9,K$1&gt;YEAR($N942))),9,_xlfn.IFNA(INDEX($D$2:$D$4001,_xlfn.XMATCH(K$1&amp;"-"&amp;$F942,YEAR($B$2:$B$4001)&amp;"-"&amp;$A$2:$A$4001,0,-1)),J942))</f>
        <v>9</v>
      </c>
      <c r="L942" cm="1">
        <f t="array" ref="L942">IF(OR(AND(K942=9,L$1&gt;YEAR($N942))),9,_xlfn.IFNA(INDEX($D$2:$D$4001,_xlfn.XMATCH(L$1&amp;"-"&amp;$F942,YEAR($B$2:$B$4001)&amp;"-"&amp;$A$2:$A$4001,0,-1)),K942))</f>
        <v>4</v>
      </c>
      <c r="M942" cm="1">
        <f t="array" ref="M942">IF(OR(AND(L942=9,M$1&gt;YEAR($N942))),9,_xlfn.IFNA(INDEX($D$2:$D$4001,_xlfn.XMATCH(M$1&amp;"-"&amp;$F942,YEAR($B$2:$B$4001)&amp;"-"&amp;$A$2:$A$4001,0,-1)),L942))</f>
        <v>4</v>
      </c>
      <c r="N942" s="1">
        <f t="shared" si="14"/>
        <v>38198</v>
      </c>
    </row>
    <row r="943" spans="1:14" x14ac:dyDescent="0.35">
      <c r="A943">
        <v>452</v>
      </c>
      <c r="B943" s="2">
        <v>37397</v>
      </c>
      <c r="C943">
        <v>0</v>
      </c>
      <c r="D943">
        <v>8</v>
      </c>
      <c r="F943">
        <v>942</v>
      </c>
      <c r="G943" cm="1">
        <f t="array" ref="G943">_xlfn.IFNA(INDEX($D$2:$D$4001,_xlfn.XMATCH(G$1&amp;"-"&amp;$F943,YEAR($B$2:$B$4001)&amp;"-"&amp;$A$2:$A$4001,0,-1)),9)</f>
        <v>6</v>
      </c>
      <c r="H943" cm="1">
        <f t="array" ref="H943">IF(OR(AND(G943=9,H$1&gt;YEAR($N943))),9,_xlfn.IFNA(INDEX($D$2:$D$4001,_xlfn.XMATCH(H$1&amp;"-"&amp;$F943,YEAR($B$2:$B$4001)&amp;"-"&amp;$A$2:$A$4001,0,-1)),G943))</f>
        <v>6</v>
      </c>
      <c r="I943" cm="1">
        <f t="array" ref="I943">IF(OR(AND(H943=9,I$1&gt;YEAR($N943))),9,_xlfn.IFNA(INDEX($D$2:$D$4001,_xlfn.XMATCH(I$1&amp;"-"&amp;$F943,YEAR($B$2:$B$4001)&amp;"-"&amp;$A$2:$A$4001,0,-1)),H943))</f>
        <v>6</v>
      </c>
      <c r="J943" cm="1">
        <f t="array" ref="J943">IF(OR(AND(I943=9,J$1&gt;YEAR($N943))),9,_xlfn.IFNA(INDEX($D$2:$D$4001,_xlfn.XMATCH(J$1&amp;"-"&amp;$F943,YEAR($B$2:$B$4001)&amp;"-"&amp;$A$2:$A$4001,0,-1)),I943))</f>
        <v>6</v>
      </c>
      <c r="K943" cm="1">
        <f t="array" ref="K943">IF(OR(AND(J943=9,K$1&gt;YEAR($N943))),9,_xlfn.IFNA(INDEX($D$2:$D$4001,_xlfn.XMATCH(K$1&amp;"-"&amp;$F943,YEAR($B$2:$B$4001)&amp;"-"&amp;$A$2:$A$4001,0,-1)),J943))</f>
        <v>0</v>
      </c>
      <c r="L943" cm="1">
        <f t="array" ref="L943">IF(OR(AND(K943=9,L$1&gt;YEAR($N943))),9,_xlfn.IFNA(INDEX($D$2:$D$4001,_xlfn.XMATCH(L$1&amp;"-"&amp;$F943,YEAR($B$2:$B$4001)&amp;"-"&amp;$A$2:$A$4001,0,-1)),K943))</f>
        <v>0</v>
      </c>
      <c r="M943" cm="1">
        <f t="array" ref="M943">IF(OR(AND(L943=9,M$1&gt;YEAR($N943))),9,_xlfn.IFNA(INDEX($D$2:$D$4001,_xlfn.XMATCH(M$1&amp;"-"&amp;$F943,YEAR($B$2:$B$4001)&amp;"-"&amp;$A$2:$A$4001,0,-1)),L943))</f>
        <v>0</v>
      </c>
      <c r="N943" s="1">
        <f t="shared" si="14"/>
        <v>36310</v>
      </c>
    </row>
    <row r="944" spans="1:14" x14ac:dyDescent="0.35">
      <c r="A944">
        <v>453</v>
      </c>
      <c r="B944" s="2">
        <v>36676</v>
      </c>
      <c r="C944">
        <v>6</v>
      </c>
      <c r="D944">
        <v>6</v>
      </c>
      <c r="F944">
        <v>943</v>
      </c>
      <c r="G944" cm="1">
        <f t="array" ref="G944">_xlfn.IFNA(INDEX($D$2:$D$4001,_xlfn.XMATCH(G$1&amp;"-"&amp;$F944,YEAR($B$2:$B$4001)&amp;"-"&amp;$A$2:$A$4001,0,-1)),9)</f>
        <v>4</v>
      </c>
      <c r="H944" cm="1">
        <f t="array" ref="H944">IF(OR(AND(G944=9,H$1&gt;YEAR($N944))),9,_xlfn.IFNA(INDEX($D$2:$D$4001,_xlfn.XMATCH(H$1&amp;"-"&amp;$F944,YEAR($B$2:$B$4001)&amp;"-"&amp;$A$2:$A$4001,0,-1)),G944))</f>
        <v>4</v>
      </c>
      <c r="I944" cm="1">
        <f t="array" ref="I944">IF(OR(AND(H944=9,I$1&gt;YEAR($N944))),9,_xlfn.IFNA(INDEX($D$2:$D$4001,_xlfn.XMATCH(I$1&amp;"-"&amp;$F944,YEAR($B$2:$B$4001)&amp;"-"&amp;$A$2:$A$4001,0,-1)),H944))</f>
        <v>4</v>
      </c>
      <c r="J944" cm="1">
        <f t="array" ref="J944">IF(OR(AND(I944=9,J$1&gt;YEAR($N944))),9,_xlfn.IFNA(INDEX($D$2:$D$4001,_xlfn.XMATCH(J$1&amp;"-"&amp;$F944,YEAR($B$2:$B$4001)&amp;"-"&amp;$A$2:$A$4001,0,-1)),I944))</f>
        <v>4</v>
      </c>
      <c r="K944" cm="1">
        <f t="array" ref="K944">IF(OR(AND(J944=9,K$1&gt;YEAR($N944))),9,_xlfn.IFNA(INDEX($D$2:$D$4001,_xlfn.XMATCH(K$1&amp;"-"&amp;$F944,YEAR($B$2:$B$4001)&amp;"-"&amp;$A$2:$A$4001,0,-1)),J944))</f>
        <v>4</v>
      </c>
      <c r="L944" cm="1">
        <f t="array" ref="L944">IF(OR(AND(K944=9,L$1&gt;YEAR($N944))),9,_xlfn.IFNA(INDEX($D$2:$D$4001,_xlfn.XMATCH(L$1&amp;"-"&amp;$F944,YEAR($B$2:$B$4001)&amp;"-"&amp;$A$2:$A$4001,0,-1)),K944))</f>
        <v>4</v>
      </c>
      <c r="M944" cm="1">
        <f t="array" ref="M944">IF(OR(AND(L944=9,M$1&gt;YEAR($N944))),9,_xlfn.IFNA(INDEX($D$2:$D$4001,_xlfn.XMATCH(M$1&amp;"-"&amp;$F944,YEAR($B$2:$B$4001)&amp;"-"&amp;$A$2:$A$4001,0,-1)),L944))</f>
        <v>4</v>
      </c>
      <c r="N944" s="1">
        <f t="shared" si="14"/>
        <v>36524</v>
      </c>
    </row>
    <row r="945" spans="1:14" x14ac:dyDescent="0.35">
      <c r="A945">
        <v>454</v>
      </c>
      <c r="B945" s="2">
        <v>36393</v>
      </c>
      <c r="C945">
        <v>6</v>
      </c>
      <c r="D945">
        <v>6</v>
      </c>
      <c r="F945">
        <v>944</v>
      </c>
      <c r="G945" cm="1">
        <f t="array" ref="G945">_xlfn.IFNA(INDEX($D$2:$D$4001,_xlfn.XMATCH(G$1&amp;"-"&amp;$F945,YEAR($B$2:$B$4001)&amp;"-"&amp;$A$2:$A$4001,0,-1)),9)</f>
        <v>8</v>
      </c>
      <c r="H945" cm="1">
        <f t="array" ref="H945">IF(OR(AND(G945=9,H$1&gt;YEAR($N945))),9,_xlfn.IFNA(INDEX($D$2:$D$4001,_xlfn.XMATCH(H$1&amp;"-"&amp;$F945,YEAR($B$2:$B$4001)&amp;"-"&amp;$A$2:$A$4001,0,-1)),G945))</f>
        <v>8</v>
      </c>
      <c r="I945" cm="1">
        <f t="array" ref="I945">IF(OR(AND(H945=9,I$1&gt;YEAR($N945))),9,_xlfn.IFNA(INDEX($D$2:$D$4001,_xlfn.XMATCH(I$1&amp;"-"&amp;$F945,YEAR($B$2:$B$4001)&amp;"-"&amp;$A$2:$A$4001,0,-1)),H945))</f>
        <v>8</v>
      </c>
      <c r="J945" cm="1">
        <f t="array" ref="J945">IF(OR(AND(I945=9,J$1&gt;YEAR($N945))),9,_xlfn.IFNA(INDEX($D$2:$D$4001,_xlfn.XMATCH(J$1&amp;"-"&amp;$F945,YEAR($B$2:$B$4001)&amp;"-"&amp;$A$2:$A$4001,0,-1)),I945))</f>
        <v>8</v>
      </c>
      <c r="K945" cm="1">
        <f t="array" ref="K945">IF(OR(AND(J945=9,K$1&gt;YEAR($N945))),9,_xlfn.IFNA(INDEX($D$2:$D$4001,_xlfn.XMATCH(K$1&amp;"-"&amp;$F945,YEAR($B$2:$B$4001)&amp;"-"&amp;$A$2:$A$4001,0,-1)),J945))</f>
        <v>8</v>
      </c>
      <c r="L945" cm="1">
        <f t="array" ref="L945">IF(OR(AND(K945=9,L$1&gt;YEAR($N945))),9,_xlfn.IFNA(INDEX($D$2:$D$4001,_xlfn.XMATCH(L$1&amp;"-"&amp;$F945,YEAR($B$2:$B$4001)&amp;"-"&amp;$A$2:$A$4001,0,-1)),K945))</f>
        <v>8</v>
      </c>
      <c r="M945" cm="1">
        <f t="array" ref="M945">IF(OR(AND(L945=9,M$1&gt;YEAR($N945))),9,_xlfn.IFNA(INDEX($D$2:$D$4001,_xlfn.XMATCH(M$1&amp;"-"&amp;$F945,YEAR($B$2:$B$4001)&amp;"-"&amp;$A$2:$A$4001,0,-1)),L945))</f>
        <v>8</v>
      </c>
      <c r="N945" s="1">
        <f t="shared" si="14"/>
        <v>36310</v>
      </c>
    </row>
    <row r="946" spans="1:14" x14ac:dyDescent="0.35">
      <c r="A946">
        <v>454</v>
      </c>
      <c r="B946" s="2">
        <v>37793</v>
      </c>
      <c r="C946">
        <v>5</v>
      </c>
      <c r="D946">
        <v>5</v>
      </c>
      <c r="F946">
        <v>945</v>
      </c>
      <c r="G946" cm="1">
        <f t="array" ref="G946">_xlfn.IFNA(INDEX($D$2:$D$4001,_xlfn.XMATCH(G$1&amp;"-"&amp;$F946,YEAR($B$2:$B$4001)&amp;"-"&amp;$A$2:$A$4001,0,-1)),9)</f>
        <v>9</v>
      </c>
      <c r="H946" cm="1">
        <f t="array" ref="H946">IF(OR(AND(G946=9,H$1&gt;YEAR($N946))),9,_xlfn.IFNA(INDEX($D$2:$D$4001,_xlfn.XMATCH(H$1&amp;"-"&amp;$F946,YEAR($B$2:$B$4001)&amp;"-"&amp;$A$2:$A$4001,0,-1)),G946))</f>
        <v>9</v>
      </c>
      <c r="I946" cm="1">
        <f t="array" ref="I946">IF(OR(AND(H946=9,I$1&gt;YEAR($N946))),9,_xlfn.IFNA(INDEX($D$2:$D$4001,_xlfn.XMATCH(I$1&amp;"-"&amp;$F946,YEAR($B$2:$B$4001)&amp;"-"&amp;$A$2:$A$4001,0,-1)),H946))</f>
        <v>9</v>
      </c>
      <c r="J946" cm="1">
        <f t="array" ref="J946">IF(OR(AND(I946=9,J$1&gt;YEAR($N946))),9,_xlfn.IFNA(INDEX($D$2:$D$4001,_xlfn.XMATCH(J$1&amp;"-"&amp;$F946,YEAR($B$2:$B$4001)&amp;"-"&amp;$A$2:$A$4001,0,-1)),I946))</f>
        <v>3</v>
      </c>
      <c r="K946" cm="1">
        <f t="array" ref="K946">IF(OR(AND(J946=9,K$1&gt;YEAR($N946))),9,_xlfn.IFNA(INDEX($D$2:$D$4001,_xlfn.XMATCH(K$1&amp;"-"&amp;$F946,YEAR($B$2:$B$4001)&amp;"-"&amp;$A$2:$A$4001,0,-1)),J946))</f>
        <v>3</v>
      </c>
      <c r="L946" cm="1">
        <f t="array" ref="L946">IF(OR(AND(K946=9,L$1&gt;YEAR($N946))),9,_xlfn.IFNA(INDEX($D$2:$D$4001,_xlfn.XMATCH(L$1&amp;"-"&amp;$F946,YEAR($B$2:$B$4001)&amp;"-"&amp;$A$2:$A$4001,0,-1)),K946))</f>
        <v>3</v>
      </c>
      <c r="M946" cm="1">
        <f t="array" ref="M946">IF(OR(AND(L946=9,M$1&gt;YEAR($N946))),9,_xlfn.IFNA(INDEX($D$2:$D$4001,_xlfn.XMATCH(M$1&amp;"-"&amp;$F946,YEAR($B$2:$B$4001)&amp;"-"&amp;$A$2:$A$4001,0,-1)),L946))</f>
        <v>3</v>
      </c>
      <c r="N946" s="1">
        <f t="shared" si="14"/>
        <v>37467</v>
      </c>
    </row>
    <row r="947" spans="1:14" x14ac:dyDescent="0.35">
      <c r="A947">
        <v>455</v>
      </c>
      <c r="B947" s="2">
        <v>37620</v>
      </c>
      <c r="C947">
        <v>4</v>
      </c>
      <c r="D947">
        <v>4</v>
      </c>
      <c r="F947">
        <v>946</v>
      </c>
      <c r="G947" cm="1">
        <f t="array" ref="G947">_xlfn.IFNA(INDEX($D$2:$D$4001,_xlfn.XMATCH(G$1&amp;"-"&amp;$F947,YEAR($B$2:$B$4001)&amp;"-"&amp;$A$2:$A$4001,0,-1)),9)</f>
        <v>9</v>
      </c>
      <c r="H947" cm="1">
        <f t="array" ref="H947">IF(OR(AND(G947=9,H$1&gt;YEAR($N947))),9,_xlfn.IFNA(INDEX($D$2:$D$4001,_xlfn.XMATCH(H$1&amp;"-"&amp;$F947,YEAR($B$2:$B$4001)&amp;"-"&amp;$A$2:$A$4001,0,-1)),G947))</f>
        <v>9</v>
      </c>
      <c r="I947" cm="1">
        <f t="array" ref="I947">IF(OR(AND(H947=9,I$1&gt;YEAR($N947))),9,_xlfn.IFNA(INDEX($D$2:$D$4001,_xlfn.XMATCH(I$1&amp;"-"&amp;$F947,YEAR($B$2:$B$4001)&amp;"-"&amp;$A$2:$A$4001,0,-1)),H947))</f>
        <v>1</v>
      </c>
      <c r="J947" cm="1">
        <f t="array" ref="J947">IF(OR(AND(I947=9,J$1&gt;YEAR($N947))),9,_xlfn.IFNA(INDEX($D$2:$D$4001,_xlfn.XMATCH(J$1&amp;"-"&amp;$F947,YEAR($B$2:$B$4001)&amp;"-"&amp;$A$2:$A$4001,0,-1)),I947))</f>
        <v>1</v>
      </c>
      <c r="K947" cm="1">
        <f t="array" ref="K947">IF(OR(AND(J947=9,K$1&gt;YEAR($N947))),9,_xlfn.IFNA(INDEX($D$2:$D$4001,_xlfn.XMATCH(K$1&amp;"-"&amp;$F947,YEAR($B$2:$B$4001)&amp;"-"&amp;$A$2:$A$4001,0,-1)),J947))</f>
        <v>1</v>
      </c>
      <c r="L947" cm="1">
        <f t="array" ref="L947">IF(OR(AND(K947=9,L$1&gt;YEAR($N947))),9,_xlfn.IFNA(INDEX($D$2:$D$4001,_xlfn.XMATCH(L$1&amp;"-"&amp;$F947,YEAR($B$2:$B$4001)&amp;"-"&amp;$A$2:$A$4001,0,-1)),K947))</f>
        <v>1</v>
      </c>
      <c r="M947" cm="1">
        <f t="array" ref="M947">IF(OR(AND(L947=9,M$1&gt;YEAR($N947))),9,_xlfn.IFNA(INDEX($D$2:$D$4001,_xlfn.XMATCH(M$1&amp;"-"&amp;$F947,YEAR($B$2:$B$4001)&amp;"-"&amp;$A$2:$A$4001,0,-1)),L947))</f>
        <v>1</v>
      </c>
      <c r="N947" s="1">
        <f t="shared" si="14"/>
        <v>37063</v>
      </c>
    </row>
    <row r="948" spans="1:14" x14ac:dyDescent="0.35">
      <c r="A948">
        <v>456</v>
      </c>
      <c r="B948" s="2">
        <v>37559</v>
      </c>
      <c r="C948">
        <v>0</v>
      </c>
      <c r="D948">
        <v>0</v>
      </c>
      <c r="F948">
        <v>947</v>
      </c>
      <c r="G948" cm="1">
        <f t="array" ref="G948">_xlfn.IFNA(INDEX($D$2:$D$4001,_xlfn.XMATCH(G$1&amp;"-"&amp;$F948,YEAR($B$2:$B$4001)&amp;"-"&amp;$A$2:$A$4001,0,-1)),9)</f>
        <v>9</v>
      </c>
      <c r="H948" cm="1">
        <f t="array" ref="H948">IF(OR(AND(G948=9,H$1&gt;YEAR($N948))),9,_xlfn.IFNA(INDEX($D$2:$D$4001,_xlfn.XMATCH(H$1&amp;"-"&amp;$F948,YEAR($B$2:$B$4001)&amp;"-"&amp;$A$2:$A$4001,0,-1)),G948))</f>
        <v>9</v>
      </c>
      <c r="I948" cm="1">
        <f t="array" ref="I948">IF(OR(AND(H948=9,I$1&gt;YEAR($N948))),9,_xlfn.IFNA(INDEX($D$2:$D$4001,_xlfn.XMATCH(I$1&amp;"-"&amp;$F948,YEAR($B$2:$B$4001)&amp;"-"&amp;$A$2:$A$4001,0,-1)),H948))</f>
        <v>3</v>
      </c>
      <c r="J948" cm="1">
        <f t="array" ref="J948">IF(OR(AND(I948=9,J$1&gt;YEAR($N948))),9,_xlfn.IFNA(INDEX($D$2:$D$4001,_xlfn.XMATCH(J$1&amp;"-"&amp;$F948,YEAR($B$2:$B$4001)&amp;"-"&amp;$A$2:$A$4001,0,-1)),I948))</f>
        <v>3</v>
      </c>
      <c r="K948" cm="1">
        <f t="array" ref="K948">IF(OR(AND(J948=9,K$1&gt;YEAR($N948))),9,_xlfn.IFNA(INDEX($D$2:$D$4001,_xlfn.XMATCH(K$1&amp;"-"&amp;$F948,YEAR($B$2:$B$4001)&amp;"-"&amp;$A$2:$A$4001,0,-1)),J948))</f>
        <v>3</v>
      </c>
      <c r="L948" cm="1">
        <f t="array" ref="L948">IF(OR(AND(K948=9,L$1&gt;YEAR($N948))),9,_xlfn.IFNA(INDEX($D$2:$D$4001,_xlfn.XMATCH(L$1&amp;"-"&amp;$F948,YEAR($B$2:$B$4001)&amp;"-"&amp;$A$2:$A$4001,0,-1)),K948))</f>
        <v>3</v>
      </c>
      <c r="M948" cm="1">
        <f t="array" ref="M948">IF(OR(AND(L948=9,M$1&gt;YEAR($N948))),9,_xlfn.IFNA(INDEX($D$2:$D$4001,_xlfn.XMATCH(M$1&amp;"-"&amp;$F948,YEAR($B$2:$B$4001)&amp;"-"&amp;$A$2:$A$4001,0,-1)),L948))</f>
        <v>3</v>
      </c>
      <c r="N948" s="1">
        <f t="shared" si="14"/>
        <v>37255</v>
      </c>
    </row>
    <row r="949" spans="1:14" x14ac:dyDescent="0.35">
      <c r="A949">
        <v>456</v>
      </c>
      <c r="B949" s="2">
        <v>38290</v>
      </c>
      <c r="C949">
        <v>6</v>
      </c>
      <c r="D949">
        <v>6</v>
      </c>
      <c r="F949">
        <v>948</v>
      </c>
      <c r="G949" cm="1">
        <f t="array" ref="G949">_xlfn.IFNA(INDEX($D$2:$D$4001,_xlfn.XMATCH(G$1&amp;"-"&amp;$F949,YEAR($B$2:$B$4001)&amp;"-"&amp;$A$2:$A$4001,0,-1)),9)</f>
        <v>9</v>
      </c>
      <c r="H949" cm="1">
        <f t="array" ref="H949">IF(OR(AND(G949=9,H$1&gt;YEAR($N949))),9,_xlfn.IFNA(INDEX($D$2:$D$4001,_xlfn.XMATCH(H$1&amp;"-"&amp;$F949,YEAR($B$2:$B$4001)&amp;"-"&amp;$A$2:$A$4001,0,-1)),G949))</f>
        <v>5</v>
      </c>
      <c r="I949" cm="1">
        <f t="array" ref="I949">IF(OR(AND(H949=9,I$1&gt;YEAR($N949))),9,_xlfn.IFNA(INDEX($D$2:$D$4001,_xlfn.XMATCH(I$1&amp;"-"&amp;$F949,YEAR($B$2:$B$4001)&amp;"-"&amp;$A$2:$A$4001,0,-1)),H949))</f>
        <v>5</v>
      </c>
      <c r="J949" cm="1">
        <f t="array" ref="J949">IF(OR(AND(I949=9,J$1&gt;YEAR($N949))),9,_xlfn.IFNA(INDEX($D$2:$D$4001,_xlfn.XMATCH(J$1&amp;"-"&amp;$F949,YEAR($B$2:$B$4001)&amp;"-"&amp;$A$2:$A$4001,0,-1)),I949))</f>
        <v>5</v>
      </c>
      <c r="K949" cm="1">
        <f t="array" ref="K949">IF(OR(AND(J949=9,K$1&gt;YEAR($N949))),9,_xlfn.IFNA(INDEX($D$2:$D$4001,_xlfn.XMATCH(K$1&amp;"-"&amp;$F949,YEAR($B$2:$B$4001)&amp;"-"&amp;$A$2:$A$4001,0,-1)),J949))</f>
        <v>5</v>
      </c>
      <c r="L949" cm="1">
        <f t="array" ref="L949">IF(OR(AND(K949=9,L$1&gt;YEAR($N949))),9,_xlfn.IFNA(INDEX($D$2:$D$4001,_xlfn.XMATCH(L$1&amp;"-"&amp;$F949,YEAR($B$2:$B$4001)&amp;"-"&amp;$A$2:$A$4001,0,-1)),K949))</f>
        <v>5</v>
      </c>
      <c r="M949" cm="1">
        <f t="array" ref="M949">IF(OR(AND(L949=9,M$1&gt;YEAR($N949))),9,_xlfn.IFNA(INDEX($D$2:$D$4001,_xlfn.XMATCH(M$1&amp;"-"&amp;$F949,YEAR($B$2:$B$4001)&amp;"-"&amp;$A$2:$A$4001,0,-1)),L949))</f>
        <v>5</v>
      </c>
      <c r="N949" s="1">
        <f t="shared" si="14"/>
        <v>36698</v>
      </c>
    </row>
    <row r="950" spans="1:14" x14ac:dyDescent="0.35">
      <c r="A950">
        <v>457</v>
      </c>
      <c r="B950" s="2">
        <v>36307</v>
      </c>
      <c r="C950">
        <v>6</v>
      </c>
      <c r="D950">
        <v>6</v>
      </c>
      <c r="F950">
        <v>949</v>
      </c>
      <c r="G950" cm="1">
        <f t="array" ref="G950">_xlfn.IFNA(INDEX($D$2:$D$4001,_xlfn.XMATCH(G$1&amp;"-"&amp;$F950,YEAR($B$2:$B$4001)&amp;"-"&amp;$A$2:$A$4001,0,-1)),9)</f>
        <v>9</v>
      </c>
      <c r="H950" cm="1">
        <f t="array" ref="H950">IF(OR(AND(G950=9,H$1&gt;YEAR($N950))),9,_xlfn.IFNA(INDEX($D$2:$D$4001,_xlfn.XMATCH(H$1&amp;"-"&amp;$F950,YEAR($B$2:$B$4001)&amp;"-"&amp;$A$2:$A$4001,0,-1)),G950))</f>
        <v>9</v>
      </c>
      <c r="I950" cm="1">
        <f t="array" ref="I950">IF(OR(AND(H950=9,I$1&gt;YEAR($N950))),9,_xlfn.IFNA(INDEX($D$2:$D$4001,_xlfn.XMATCH(I$1&amp;"-"&amp;$F950,YEAR($B$2:$B$4001)&amp;"-"&amp;$A$2:$A$4001,0,-1)),H950))</f>
        <v>0</v>
      </c>
      <c r="J950" cm="1">
        <f t="array" ref="J950">IF(OR(AND(I950=9,J$1&gt;YEAR($N950))),9,_xlfn.IFNA(INDEX($D$2:$D$4001,_xlfn.XMATCH(J$1&amp;"-"&amp;$F950,YEAR($B$2:$B$4001)&amp;"-"&amp;$A$2:$A$4001,0,-1)),I950))</f>
        <v>0</v>
      </c>
      <c r="K950" cm="1">
        <f t="array" ref="K950">IF(OR(AND(J950=9,K$1&gt;YEAR($N950))),9,_xlfn.IFNA(INDEX($D$2:$D$4001,_xlfn.XMATCH(K$1&amp;"-"&amp;$F950,YEAR($B$2:$B$4001)&amp;"-"&amp;$A$2:$A$4001,0,-1)),J950))</f>
        <v>0</v>
      </c>
      <c r="L950" cm="1">
        <f t="array" ref="L950">IF(OR(AND(K950=9,L$1&gt;YEAR($N950))),9,_xlfn.IFNA(INDEX($D$2:$D$4001,_xlfn.XMATCH(L$1&amp;"-"&amp;$F950,YEAR($B$2:$B$4001)&amp;"-"&amp;$A$2:$A$4001,0,-1)),K950))</f>
        <v>0</v>
      </c>
      <c r="M950" cm="1">
        <f t="array" ref="M950">IF(OR(AND(L950=9,M$1&gt;YEAR($N950))),9,_xlfn.IFNA(INDEX($D$2:$D$4001,_xlfn.XMATCH(M$1&amp;"-"&amp;$F950,YEAR($B$2:$B$4001)&amp;"-"&amp;$A$2:$A$4001,0,-1)),L950))</f>
        <v>0</v>
      </c>
      <c r="N950" s="1">
        <f t="shared" si="14"/>
        <v>37102</v>
      </c>
    </row>
    <row r="951" spans="1:14" x14ac:dyDescent="0.35">
      <c r="A951">
        <v>457</v>
      </c>
      <c r="B951" s="2">
        <v>37093</v>
      </c>
      <c r="C951">
        <v>7</v>
      </c>
      <c r="D951">
        <v>7</v>
      </c>
      <c r="F951">
        <v>950</v>
      </c>
      <c r="G951" cm="1">
        <f t="array" ref="G951">_xlfn.IFNA(INDEX($D$2:$D$4001,_xlfn.XMATCH(G$1&amp;"-"&amp;$F951,YEAR($B$2:$B$4001)&amp;"-"&amp;$A$2:$A$4001,0,-1)),9)</f>
        <v>0</v>
      </c>
      <c r="H951" cm="1">
        <f t="array" ref="H951">IF(OR(AND(G951=9,H$1&gt;YEAR($N951))),9,_xlfn.IFNA(INDEX($D$2:$D$4001,_xlfn.XMATCH(H$1&amp;"-"&amp;$F951,YEAR($B$2:$B$4001)&amp;"-"&amp;$A$2:$A$4001,0,-1)),G951))</f>
        <v>0</v>
      </c>
      <c r="I951" cm="1">
        <f t="array" ref="I951">IF(OR(AND(H951=9,I$1&gt;YEAR($N951))),9,_xlfn.IFNA(INDEX($D$2:$D$4001,_xlfn.XMATCH(I$1&amp;"-"&amp;$F951,YEAR($B$2:$B$4001)&amp;"-"&amp;$A$2:$A$4001,0,-1)),H951))</f>
        <v>0</v>
      </c>
      <c r="J951" cm="1">
        <f t="array" ref="J951">IF(OR(AND(I951=9,J$1&gt;YEAR($N951))),9,_xlfn.IFNA(INDEX($D$2:$D$4001,_xlfn.XMATCH(J$1&amp;"-"&amp;$F951,YEAR($B$2:$B$4001)&amp;"-"&amp;$A$2:$A$4001,0,-1)),I951))</f>
        <v>0</v>
      </c>
      <c r="K951" cm="1">
        <f t="array" ref="K951">IF(OR(AND(J951=9,K$1&gt;YEAR($N951))),9,_xlfn.IFNA(INDEX($D$2:$D$4001,_xlfn.XMATCH(K$1&amp;"-"&amp;$F951,YEAR($B$2:$B$4001)&amp;"-"&amp;$A$2:$A$4001,0,-1)),J951))</f>
        <v>0</v>
      </c>
      <c r="L951" cm="1">
        <f t="array" ref="L951">IF(OR(AND(K951=9,L$1&gt;YEAR($N951))),9,_xlfn.IFNA(INDEX($D$2:$D$4001,_xlfn.XMATCH(L$1&amp;"-"&amp;$F951,YEAR($B$2:$B$4001)&amp;"-"&amp;$A$2:$A$4001,0,-1)),K951))</f>
        <v>0</v>
      </c>
      <c r="M951" cm="1">
        <f t="array" ref="M951">IF(OR(AND(L951=9,M$1&gt;YEAR($N951))),9,_xlfn.IFNA(INDEX($D$2:$D$4001,_xlfn.XMATCH(M$1&amp;"-"&amp;$F951,YEAR($B$2:$B$4001)&amp;"-"&amp;$A$2:$A$4001,0,-1)),L951))</f>
        <v>0</v>
      </c>
      <c r="N951" s="1">
        <f t="shared" si="14"/>
        <v>36524</v>
      </c>
    </row>
    <row r="952" spans="1:14" x14ac:dyDescent="0.35">
      <c r="A952">
        <v>457</v>
      </c>
      <c r="B952" s="2">
        <v>38351</v>
      </c>
      <c r="C952">
        <v>6</v>
      </c>
      <c r="D952">
        <v>6</v>
      </c>
      <c r="F952">
        <v>951</v>
      </c>
      <c r="G952" cm="1">
        <f t="array" ref="G952">_xlfn.IFNA(INDEX($D$2:$D$4001,_xlfn.XMATCH(G$1&amp;"-"&amp;$F952,YEAR($B$2:$B$4001)&amp;"-"&amp;$A$2:$A$4001,0,-1)),9)</f>
        <v>9</v>
      </c>
      <c r="H952" cm="1">
        <f t="array" ref="H952">IF(OR(AND(G952=9,H$1&gt;YEAR($N952))),9,_xlfn.IFNA(INDEX($D$2:$D$4001,_xlfn.XMATCH(H$1&amp;"-"&amp;$F952,YEAR($B$2:$B$4001)&amp;"-"&amp;$A$2:$A$4001,0,-1)),G952))</f>
        <v>9</v>
      </c>
      <c r="I952" cm="1">
        <f t="array" ref="I952">IF(OR(AND(H952=9,I$1&gt;YEAR($N952))),9,_xlfn.IFNA(INDEX($D$2:$D$4001,_xlfn.XMATCH(I$1&amp;"-"&amp;$F952,YEAR($B$2:$B$4001)&amp;"-"&amp;$A$2:$A$4001,0,-1)),H952))</f>
        <v>4</v>
      </c>
      <c r="J952" cm="1">
        <f t="array" ref="J952">IF(OR(AND(I952=9,J$1&gt;YEAR($N952))),9,_xlfn.IFNA(INDEX($D$2:$D$4001,_xlfn.XMATCH(J$1&amp;"-"&amp;$F952,YEAR($B$2:$B$4001)&amp;"-"&amp;$A$2:$A$4001,0,-1)),I952))</f>
        <v>4</v>
      </c>
      <c r="K952" cm="1">
        <f t="array" ref="K952">IF(OR(AND(J952=9,K$1&gt;YEAR($N952))),9,_xlfn.IFNA(INDEX($D$2:$D$4001,_xlfn.XMATCH(K$1&amp;"-"&amp;$F952,YEAR($B$2:$B$4001)&amp;"-"&amp;$A$2:$A$4001,0,-1)),J952))</f>
        <v>4</v>
      </c>
      <c r="L952" cm="1">
        <f t="array" ref="L952">IF(OR(AND(K952=9,L$1&gt;YEAR($N952))),9,_xlfn.IFNA(INDEX($D$2:$D$4001,_xlfn.XMATCH(L$1&amp;"-"&amp;$F952,YEAR($B$2:$B$4001)&amp;"-"&amp;$A$2:$A$4001,0,-1)),K952))</f>
        <v>4</v>
      </c>
      <c r="M952" cm="1">
        <f t="array" ref="M952">IF(OR(AND(L952=9,M$1&gt;YEAR($N952))),9,_xlfn.IFNA(INDEX($D$2:$D$4001,_xlfn.XMATCH(M$1&amp;"-"&amp;$F952,YEAR($B$2:$B$4001)&amp;"-"&amp;$A$2:$A$4001,0,-1)),L952))</f>
        <v>4</v>
      </c>
      <c r="N952" s="1">
        <f t="shared" si="14"/>
        <v>37255</v>
      </c>
    </row>
    <row r="953" spans="1:14" x14ac:dyDescent="0.35">
      <c r="A953">
        <v>458</v>
      </c>
      <c r="B953" s="2">
        <v>37985</v>
      </c>
      <c r="C953">
        <v>5</v>
      </c>
      <c r="D953">
        <v>5</v>
      </c>
      <c r="F953">
        <v>952</v>
      </c>
      <c r="G953" cm="1">
        <f t="array" ref="G953">_xlfn.IFNA(INDEX($D$2:$D$4001,_xlfn.XMATCH(G$1&amp;"-"&amp;$F953,YEAR($B$2:$B$4001)&amp;"-"&amp;$A$2:$A$4001,0,-1)),9)</f>
        <v>9</v>
      </c>
      <c r="H953" cm="1">
        <f t="array" ref="H953">IF(OR(AND(G953=9,H$1&gt;YEAR($N953))),9,_xlfn.IFNA(INDEX($D$2:$D$4001,_xlfn.XMATCH(H$1&amp;"-"&amp;$F953,YEAR($B$2:$B$4001)&amp;"-"&amp;$A$2:$A$4001,0,-1)),G953))</f>
        <v>9</v>
      </c>
      <c r="I953" cm="1">
        <f t="array" ref="I953">IF(OR(AND(H953=9,I$1&gt;YEAR($N953))),9,_xlfn.IFNA(INDEX($D$2:$D$4001,_xlfn.XMATCH(I$1&amp;"-"&amp;$F953,YEAR($B$2:$B$4001)&amp;"-"&amp;$A$2:$A$4001,0,-1)),H953))</f>
        <v>2</v>
      </c>
      <c r="J953" cm="1">
        <f t="array" ref="J953">IF(OR(AND(I953=9,J$1&gt;YEAR($N953))),9,_xlfn.IFNA(INDEX($D$2:$D$4001,_xlfn.XMATCH(J$1&amp;"-"&amp;$F953,YEAR($B$2:$B$4001)&amp;"-"&amp;$A$2:$A$4001,0,-1)),I953))</f>
        <v>3</v>
      </c>
      <c r="K953" cm="1">
        <f t="array" ref="K953">IF(OR(AND(J953=9,K$1&gt;YEAR($N953))),9,_xlfn.IFNA(INDEX($D$2:$D$4001,_xlfn.XMATCH(K$1&amp;"-"&amp;$F953,YEAR($B$2:$B$4001)&amp;"-"&amp;$A$2:$A$4001,0,-1)),J953))</f>
        <v>3</v>
      </c>
      <c r="L953" cm="1">
        <f t="array" ref="L953">IF(OR(AND(K953=9,L$1&gt;YEAR($N953))),9,_xlfn.IFNA(INDEX($D$2:$D$4001,_xlfn.XMATCH(L$1&amp;"-"&amp;$F953,YEAR($B$2:$B$4001)&amp;"-"&amp;$A$2:$A$4001,0,-1)),K953))</f>
        <v>3</v>
      </c>
      <c r="M953" cm="1">
        <f t="array" ref="M953">IF(OR(AND(L953=9,M$1&gt;YEAR($N953))),9,_xlfn.IFNA(INDEX($D$2:$D$4001,_xlfn.XMATCH(M$1&amp;"-"&amp;$F953,YEAR($B$2:$B$4001)&amp;"-"&amp;$A$2:$A$4001,0,-1)),L953))</f>
        <v>3</v>
      </c>
      <c r="N953" s="1">
        <f t="shared" si="14"/>
        <v>37124</v>
      </c>
    </row>
    <row r="954" spans="1:14" x14ac:dyDescent="0.35">
      <c r="A954">
        <v>458</v>
      </c>
      <c r="B954" s="2">
        <v>38168</v>
      </c>
      <c r="C954">
        <v>4</v>
      </c>
      <c r="D954">
        <v>4</v>
      </c>
      <c r="F954">
        <v>953</v>
      </c>
      <c r="G954" cm="1">
        <f t="array" ref="G954">_xlfn.IFNA(INDEX($D$2:$D$4001,_xlfn.XMATCH(G$1&amp;"-"&amp;$F954,YEAR($B$2:$B$4001)&amp;"-"&amp;$A$2:$A$4001,0,-1)),9)</f>
        <v>9</v>
      </c>
      <c r="H954" cm="1">
        <f t="array" ref="H954">IF(OR(AND(G954=9,H$1&gt;YEAR($N954))),9,_xlfn.IFNA(INDEX($D$2:$D$4001,_xlfn.XMATCH(H$1&amp;"-"&amp;$F954,YEAR($B$2:$B$4001)&amp;"-"&amp;$A$2:$A$4001,0,-1)),G954))</f>
        <v>9</v>
      </c>
      <c r="I954" cm="1">
        <f t="array" ref="I954">IF(OR(AND(H954=9,I$1&gt;YEAR($N954))),9,_xlfn.IFNA(INDEX($D$2:$D$4001,_xlfn.XMATCH(I$1&amp;"-"&amp;$F954,YEAR($B$2:$B$4001)&amp;"-"&amp;$A$2:$A$4001,0,-1)),H954))</f>
        <v>3</v>
      </c>
      <c r="J954" cm="1">
        <f t="array" ref="J954">IF(OR(AND(I954=9,J$1&gt;YEAR($N954))),9,_xlfn.IFNA(INDEX($D$2:$D$4001,_xlfn.XMATCH(J$1&amp;"-"&amp;$F954,YEAR($B$2:$B$4001)&amp;"-"&amp;$A$2:$A$4001,0,-1)),I954))</f>
        <v>3</v>
      </c>
      <c r="K954" cm="1">
        <f t="array" ref="K954">IF(OR(AND(J954=9,K$1&gt;YEAR($N954))),9,_xlfn.IFNA(INDEX($D$2:$D$4001,_xlfn.XMATCH(K$1&amp;"-"&amp;$F954,YEAR($B$2:$B$4001)&amp;"-"&amp;$A$2:$A$4001,0,-1)),J954))</f>
        <v>0</v>
      </c>
      <c r="L954" cm="1">
        <f t="array" ref="L954">IF(OR(AND(K954=9,L$1&gt;YEAR($N954))),9,_xlfn.IFNA(INDEX($D$2:$D$4001,_xlfn.XMATCH(L$1&amp;"-"&amp;$F954,YEAR($B$2:$B$4001)&amp;"-"&amp;$A$2:$A$4001,0,-1)),K954))</f>
        <v>0</v>
      </c>
      <c r="M954" cm="1">
        <f t="array" ref="M954">IF(OR(AND(L954=9,M$1&gt;YEAR($N954))),9,_xlfn.IFNA(INDEX($D$2:$D$4001,_xlfn.XMATCH(M$1&amp;"-"&amp;$F954,YEAR($B$2:$B$4001)&amp;"-"&amp;$A$2:$A$4001,0,-1)),L954))</f>
        <v>0</v>
      </c>
      <c r="N954" s="1">
        <f t="shared" si="14"/>
        <v>37041</v>
      </c>
    </row>
    <row r="955" spans="1:14" x14ac:dyDescent="0.35">
      <c r="A955">
        <v>459</v>
      </c>
      <c r="B955" s="2">
        <v>37155</v>
      </c>
      <c r="C955">
        <v>3</v>
      </c>
      <c r="D955">
        <v>3</v>
      </c>
      <c r="F955">
        <v>954</v>
      </c>
      <c r="G955" cm="1">
        <f t="array" ref="G955">_xlfn.IFNA(INDEX($D$2:$D$4001,_xlfn.XMATCH(G$1&amp;"-"&amp;$F955,YEAR($B$2:$B$4001)&amp;"-"&amp;$A$2:$A$4001,0,-1)),9)</f>
        <v>4</v>
      </c>
      <c r="H955" cm="1">
        <f t="array" ref="H955">IF(OR(AND(G955=9,H$1&gt;YEAR($N955))),9,_xlfn.IFNA(INDEX($D$2:$D$4001,_xlfn.XMATCH(H$1&amp;"-"&amp;$F955,YEAR($B$2:$B$4001)&amp;"-"&amp;$A$2:$A$4001,0,-1)),G955))</f>
        <v>4</v>
      </c>
      <c r="I955" cm="1">
        <f t="array" ref="I955">IF(OR(AND(H955=9,I$1&gt;YEAR($N955))),9,_xlfn.IFNA(INDEX($D$2:$D$4001,_xlfn.XMATCH(I$1&amp;"-"&amp;$F955,YEAR($B$2:$B$4001)&amp;"-"&amp;$A$2:$A$4001,0,-1)),H955))</f>
        <v>5</v>
      </c>
      <c r="J955" cm="1">
        <f t="array" ref="J955">IF(OR(AND(I955=9,J$1&gt;YEAR($N955))),9,_xlfn.IFNA(INDEX($D$2:$D$4001,_xlfn.XMATCH(J$1&amp;"-"&amp;$F955,YEAR($B$2:$B$4001)&amp;"-"&amp;$A$2:$A$4001,0,-1)),I955))</f>
        <v>5</v>
      </c>
      <c r="K955" cm="1">
        <f t="array" ref="K955">IF(OR(AND(J955=9,K$1&gt;YEAR($N955))),9,_xlfn.IFNA(INDEX($D$2:$D$4001,_xlfn.XMATCH(K$1&amp;"-"&amp;$F955,YEAR($B$2:$B$4001)&amp;"-"&amp;$A$2:$A$4001,0,-1)),J955))</f>
        <v>5</v>
      </c>
      <c r="L955" cm="1">
        <f t="array" ref="L955">IF(OR(AND(K955=9,L$1&gt;YEAR($N955))),9,_xlfn.IFNA(INDEX($D$2:$D$4001,_xlfn.XMATCH(L$1&amp;"-"&amp;$F955,YEAR($B$2:$B$4001)&amp;"-"&amp;$A$2:$A$4001,0,-1)),K955))</f>
        <v>4</v>
      </c>
      <c r="M955" cm="1">
        <f t="array" ref="M955">IF(OR(AND(L955=9,M$1&gt;YEAR($N955))),9,_xlfn.IFNA(INDEX($D$2:$D$4001,_xlfn.XMATCH(M$1&amp;"-"&amp;$F955,YEAR($B$2:$B$4001)&amp;"-"&amp;$A$2:$A$4001,0,-1)),L955))</f>
        <v>4</v>
      </c>
      <c r="N955" s="1">
        <f t="shared" si="14"/>
        <v>36310</v>
      </c>
    </row>
    <row r="956" spans="1:14" x14ac:dyDescent="0.35">
      <c r="A956">
        <v>459</v>
      </c>
      <c r="B956" s="2">
        <v>37976</v>
      </c>
      <c r="C956">
        <v>3</v>
      </c>
      <c r="D956">
        <v>3</v>
      </c>
      <c r="F956">
        <v>955</v>
      </c>
      <c r="G956" cm="1">
        <f t="array" ref="G956">_xlfn.IFNA(INDEX($D$2:$D$4001,_xlfn.XMATCH(G$1&amp;"-"&amp;$F956,YEAR($B$2:$B$4001)&amp;"-"&amp;$A$2:$A$4001,0,-1)),9)</f>
        <v>6</v>
      </c>
      <c r="H956" cm="1">
        <f t="array" ref="H956">IF(OR(AND(G956=9,H$1&gt;YEAR($N956))),9,_xlfn.IFNA(INDEX($D$2:$D$4001,_xlfn.XMATCH(H$1&amp;"-"&amp;$F956,YEAR($B$2:$B$4001)&amp;"-"&amp;$A$2:$A$4001,0,-1)),G956))</f>
        <v>7</v>
      </c>
      <c r="I956" cm="1">
        <f t="array" ref="I956">IF(OR(AND(H956=9,I$1&gt;YEAR($N956))),9,_xlfn.IFNA(INDEX($D$2:$D$4001,_xlfn.XMATCH(I$1&amp;"-"&amp;$F956,YEAR($B$2:$B$4001)&amp;"-"&amp;$A$2:$A$4001,0,-1)),H956))</f>
        <v>8</v>
      </c>
      <c r="J956" cm="1">
        <f t="array" ref="J956">IF(OR(AND(I956=9,J$1&gt;YEAR($N956))),9,_xlfn.IFNA(INDEX($D$2:$D$4001,_xlfn.XMATCH(J$1&amp;"-"&amp;$F956,YEAR($B$2:$B$4001)&amp;"-"&amp;$A$2:$A$4001,0,-1)),I956))</f>
        <v>8</v>
      </c>
      <c r="K956" cm="1">
        <f t="array" ref="K956">IF(OR(AND(J956=9,K$1&gt;YEAR($N956))),9,_xlfn.IFNA(INDEX($D$2:$D$4001,_xlfn.XMATCH(K$1&amp;"-"&amp;$F956,YEAR($B$2:$B$4001)&amp;"-"&amp;$A$2:$A$4001,0,-1)),J956))</f>
        <v>8</v>
      </c>
      <c r="L956" cm="1">
        <f t="array" ref="L956">IF(OR(AND(K956=9,L$1&gt;YEAR($N956))),9,_xlfn.IFNA(INDEX($D$2:$D$4001,_xlfn.XMATCH(L$1&amp;"-"&amp;$F956,YEAR($B$2:$B$4001)&amp;"-"&amp;$A$2:$A$4001,0,-1)),K956))</f>
        <v>8</v>
      </c>
      <c r="M956" cm="1">
        <f t="array" ref="M956">IF(OR(AND(L956=9,M$1&gt;YEAR($N956))),9,_xlfn.IFNA(INDEX($D$2:$D$4001,_xlfn.XMATCH(M$1&amp;"-"&amp;$F956,YEAR($B$2:$B$4001)&amp;"-"&amp;$A$2:$A$4001,0,-1)),L956))</f>
        <v>8</v>
      </c>
      <c r="N956" s="1">
        <f t="shared" si="14"/>
        <v>36301</v>
      </c>
    </row>
    <row r="957" spans="1:14" x14ac:dyDescent="0.35">
      <c r="A957">
        <v>460</v>
      </c>
      <c r="B957" s="2">
        <v>37762</v>
      </c>
      <c r="C957">
        <v>6</v>
      </c>
      <c r="D957">
        <v>6</v>
      </c>
      <c r="F957">
        <v>956</v>
      </c>
      <c r="G957" cm="1">
        <f t="array" ref="G957">_xlfn.IFNA(INDEX($D$2:$D$4001,_xlfn.XMATCH(G$1&amp;"-"&amp;$F957,YEAR($B$2:$B$4001)&amp;"-"&amp;$A$2:$A$4001,0,-1)),9)</f>
        <v>6</v>
      </c>
      <c r="H957" cm="1">
        <f t="array" ref="H957">IF(OR(AND(G957=9,H$1&gt;YEAR($N957))),9,_xlfn.IFNA(INDEX($D$2:$D$4001,_xlfn.XMATCH(H$1&amp;"-"&amp;$F957,YEAR($B$2:$B$4001)&amp;"-"&amp;$A$2:$A$4001,0,-1)),G957))</f>
        <v>6</v>
      </c>
      <c r="I957" cm="1">
        <f t="array" ref="I957">IF(OR(AND(H957=9,I$1&gt;YEAR($N957))),9,_xlfn.IFNA(INDEX($D$2:$D$4001,_xlfn.XMATCH(I$1&amp;"-"&amp;$F957,YEAR($B$2:$B$4001)&amp;"-"&amp;$A$2:$A$4001,0,-1)),H957))</f>
        <v>6</v>
      </c>
      <c r="J957" cm="1">
        <f t="array" ref="J957">IF(OR(AND(I957=9,J$1&gt;YEAR($N957))),9,_xlfn.IFNA(INDEX($D$2:$D$4001,_xlfn.XMATCH(J$1&amp;"-"&amp;$F957,YEAR($B$2:$B$4001)&amp;"-"&amp;$A$2:$A$4001,0,-1)),I957))</f>
        <v>7</v>
      </c>
      <c r="K957" cm="1">
        <f t="array" ref="K957">IF(OR(AND(J957=9,K$1&gt;YEAR($N957))),9,_xlfn.IFNA(INDEX($D$2:$D$4001,_xlfn.XMATCH(K$1&amp;"-"&amp;$F957,YEAR($B$2:$B$4001)&amp;"-"&amp;$A$2:$A$4001,0,-1)),J957))</f>
        <v>7</v>
      </c>
      <c r="L957" cm="1">
        <f t="array" ref="L957">IF(OR(AND(K957=9,L$1&gt;YEAR($N957))),9,_xlfn.IFNA(INDEX($D$2:$D$4001,_xlfn.XMATCH(L$1&amp;"-"&amp;$F957,YEAR($B$2:$B$4001)&amp;"-"&amp;$A$2:$A$4001,0,-1)),K957))</f>
        <v>7</v>
      </c>
      <c r="M957" cm="1">
        <f t="array" ref="M957">IF(OR(AND(L957=9,M$1&gt;YEAR($N957))),9,_xlfn.IFNA(INDEX($D$2:$D$4001,_xlfn.XMATCH(M$1&amp;"-"&amp;$F957,YEAR($B$2:$B$4001)&amp;"-"&amp;$A$2:$A$4001,0,-1)),L957))</f>
        <v>6</v>
      </c>
      <c r="N957" s="1">
        <f t="shared" si="14"/>
        <v>36310</v>
      </c>
    </row>
    <row r="958" spans="1:14" x14ac:dyDescent="0.35">
      <c r="A958">
        <v>461</v>
      </c>
      <c r="B958" s="2">
        <v>37032</v>
      </c>
      <c r="C958">
        <v>0</v>
      </c>
      <c r="D958">
        <v>0</v>
      </c>
      <c r="F958">
        <v>957</v>
      </c>
      <c r="G958" cm="1">
        <f t="array" ref="G958">_xlfn.IFNA(INDEX($D$2:$D$4001,_xlfn.XMATCH(G$1&amp;"-"&amp;$F958,YEAR($B$2:$B$4001)&amp;"-"&amp;$A$2:$A$4001,0,-1)),9)</f>
        <v>9</v>
      </c>
      <c r="H958" cm="1">
        <f t="array" ref="H958">IF(OR(AND(G958=9,H$1&gt;YEAR($N958))),9,_xlfn.IFNA(INDEX($D$2:$D$4001,_xlfn.XMATCH(H$1&amp;"-"&amp;$F958,YEAR($B$2:$B$4001)&amp;"-"&amp;$A$2:$A$4001,0,-1)),G958))</f>
        <v>9</v>
      </c>
      <c r="I958" cm="1">
        <f t="array" ref="I958">IF(OR(AND(H958=9,I$1&gt;YEAR($N958))),9,_xlfn.IFNA(INDEX($D$2:$D$4001,_xlfn.XMATCH(I$1&amp;"-"&amp;$F958,YEAR($B$2:$B$4001)&amp;"-"&amp;$A$2:$A$4001,0,-1)),H958))</f>
        <v>9</v>
      </c>
      <c r="J958" cm="1">
        <f t="array" ref="J958">IF(OR(AND(I958=9,J$1&gt;YEAR($N958))),9,_xlfn.IFNA(INDEX($D$2:$D$4001,_xlfn.XMATCH(J$1&amp;"-"&amp;$F958,YEAR($B$2:$B$4001)&amp;"-"&amp;$A$2:$A$4001,0,-1)),I958))</f>
        <v>9</v>
      </c>
      <c r="K958" cm="1">
        <f t="array" ref="K958">IF(OR(AND(J958=9,K$1&gt;YEAR($N958))),9,_xlfn.IFNA(INDEX($D$2:$D$4001,_xlfn.XMATCH(K$1&amp;"-"&amp;$F958,YEAR($B$2:$B$4001)&amp;"-"&amp;$A$2:$A$4001,0,-1)),J958))</f>
        <v>9</v>
      </c>
      <c r="L958" cm="1">
        <f t="array" ref="L958">IF(OR(AND(K958=9,L$1&gt;YEAR($N958))),9,_xlfn.IFNA(INDEX($D$2:$D$4001,_xlfn.XMATCH(L$1&amp;"-"&amp;$F958,YEAR($B$2:$B$4001)&amp;"-"&amp;$A$2:$A$4001,0,-1)),K958))</f>
        <v>3</v>
      </c>
      <c r="M958" cm="1">
        <f t="array" ref="M958">IF(OR(AND(L958=9,M$1&gt;YEAR($N958))),9,_xlfn.IFNA(INDEX($D$2:$D$4001,_xlfn.XMATCH(M$1&amp;"-"&amp;$F958,YEAR($B$2:$B$4001)&amp;"-"&amp;$A$2:$A$4001,0,-1)),L958))</f>
        <v>3</v>
      </c>
      <c r="N958" s="1">
        <f t="shared" si="14"/>
        <v>38351</v>
      </c>
    </row>
    <row r="959" spans="1:14" x14ac:dyDescent="0.35">
      <c r="A959">
        <v>462</v>
      </c>
      <c r="B959" s="2">
        <v>36402</v>
      </c>
      <c r="C959">
        <v>3</v>
      </c>
      <c r="D959">
        <v>3</v>
      </c>
      <c r="F959">
        <v>958</v>
      </c>
      <c r="G959" cm="1">
        <f t="array" ref="G959">_xlfn.IFNA(INDEX($D$2:$D$4001,_xlfn.XMATCH(G$1&amp;"-"&amp;$F959,YEAR($B$2:$B$4001)&amp;"-"&amp;$A$2:$A$4001,0,-1)),9)</f>
        <v>9</v>
      </c>
      <c r="H959" cm="1">
        <f t="array" ref="H959">IF(OR(AND(G959=9,H$1&gt;YEAR($N959))),9,_xlfn.IFNA(INDEX($D$2:$D$4001,_xlfn.XMATCH(H$1&amp;"-"&amp;$F959,YEAR($B$2:$B$4001)&amp;"-"&amp;$A$2:$A$4001,0,-1)),G959))</f>
        <v>9</v>
      </c>
      <c r="I959" cm="1">
        <f t="array" ref="I959">IF(OR(AND(H959=9,I$1&gt;YEAR($N959))),9,_xlfn.IFNA(INDEX($D$2:$D$4001,_xlfn.XMATCH(I$1&amp;"-"&amp;$F959,YEAR($B$2:$B$4001)&amp;"-"&amp;$A$2:$A$4001,0,-1)),H959))</f>
        <v>9</v>
      </c>
      <c r="J959" cm="1">
        <f t="array" ref="J959">IF(OR(AND(I959=9,J$1&gt;YEAR($N959))),9,_xlfn.IFNA(INDEX($D$2:$D$4001,_xlfn.XMATCH(J$1&amp;"-"&amp;$F959,YEAR($B$2:$B$4001)&amp;"-"&amp;$A$2:$A$4001,0,-1)),I959))</f>
        <v>9</v>
      </c>
      <c r="K959" cm="1">
        <f t="array" ref="K959">IF(OR(AND(J959=9,K$1&gt;YEAR($N959))),9,_xlfn.IFNA(INDEX($D$2:$D$4001,_xlfn.XMATCH(K$1&amp;"-"&amp;$F959,YEAR($B$2:$B$4001)&amp;"-"&amp;$A$2:$A$4001,0,-1)),J959))</f>
        <v>4</v>
      </c>
      <c r="L959" cm="1">
        <f t="array" ref="L959">IF(OR(AND(K959=9,L$1&gt;YEAR($N959))),9,_xlfn.IFNA(INDEX($D$2:$D$4001,_xlfn.XMATCH(L$1&amp;"-"&amp;$F959,YEAR($B$2:$B$4001)&amp;"-"&amp;$A$2:$A$4001,0,-1)),K959))</f>
        <v>4</v>
      </c>
      <c r="M959" cm="1">
        <f t="array" ref="M959">IF(OR(AND(L959=9,M$1&gt;YEAR($N959))),9,_xlfn.IFNA(INDEX($D$2:$D$4001,_xlfn.XMATCH(M$1&amp;"-"&amp;$F959,YEAR($B$2:$B$4001)&amp;"-"&amp;$A$2:$A$4001,0,-1)),L959))</f>
        <v>3</v>
      </c>
      <c r="N959" s="1">
        <f t="shared" si="14"/>
        <v>37832</v>
      </c>
    </row>
    <row r="960" spans="1:14" x14ac:dyDescent="0.35">
      <c r="A960">
        <v>462</v>
      </c>
      <c r="B960" s="2">
        <v>38128</v>
      </c>
      <c r="C960">
        <v>3</v>
      </c>
      <c r="D960">
        <v>3</v>
      </c>
      <c r="F960">
        <v>959</v>
      </c>
      <c r="G960" cm="1">
        <f t="array" ref="G960">_xlfn.IFNA(INDEX($D$2:$D$4001,_xlfn.XMATCH(G$1&amp;"-"&amp;$F960,YEAR($B$2:$B$4001)&amp;"-"&amp;$A$2:$A$4001,0,-1)),9)</f>
        <v>3</v>
      </c>
      <c r="H960" cm="1">
        <f t="array" ref="H960">IF(OR(AND(G960=9,H$1&gt;YEAR($N960))),9,_xlfn.IFNA(INDEX($D$2:$D$4001,_xlfn.XMATCH(H$1&amp;"-"&amp;$F960,YEAR($B$2:$B$4001)&amp;"-"&amp;$A$2:$A$4001,0,-1)),G960))</f>
        <v>3</v>
      </c>
      <c r="I960" cm="1">
        <f t="array" ref="I960">IF(OR(AND(H960=9,I$1&gt;YEAR($N960))),9,_xlfn.IFNA(INDEX($D$2:$D$4001,_xlfn.XMATCH(I$1&amp;"-"&amp;$F960,YEAR($B$2:$B$4001)&amp;"-"&amp;$A$2:$A$4001,0,-1)),H960))</f>
        <v>3</v>
      </c>
      <c r="J960" cm="1">
        <f t="array" ref="J960">IF(OR(AND(I960=9,J$1&gt;YEAR($N960))),9,_xlfn.IFNA(INDEX($D$2:$D$4001,_xlfn.XMATCH(J$1&amp;"-"&amp;$F960,YEAR($B$2:$B$4001)&amp;"-"&amp;$A$2:$A$4001,0,-1)),I960))</f>
        <v>3</v>
      </c>
      <c r="K960" cm="1">
        <f t="array" ref="K960">IF(OR(AND(J960=9,K$1&gt;YEAR($N960))),9,_xlfn.IFNA(INDEX($D$2:$D$4001,_xlfn.XMATCH(K$1&amp;"-"&amp;$F960,YEAR($B$2:$B$4001)&amp;"-"&amp;$A$2:$A$4001,0,-1)),J960))</f>
        <v>3</v>
      </c>
      <c r="L960" cm="1">
        <f t="array" ref="L960">IF(OR(AND(K960=9,L$1&gt;YEAR($N960))),9,_xlfn.IFNA(INDEX($D$2:$D$4001,_xlfn.XMATCH(L$1&amp;"-"&amp;$F960,YEAR($B$2:$B$4001)&amp;"-"&amp;$A$2:$A$4001,0,-1)),K960))</f>
        <v>3</v>
      </c>
      <c r="M960" cm="1">
        <f t="array" ref="M960">IF(OR(AND(L960=9,M$1&gt;YEAR($N960))),9,_xlfn.IFNA(INDEX($D$2:$D$4001,_xlfn.XMATCH(M$1&amp;"-"&amp;$F960,YEAR($B$2:$B$4001)&amp;"-"&amp;$A$2:$A$4001,0,-1)),L960))</f>
        <v>3</v>
      </c>
      <c r="N960" s="1">
        <f t="shared" si="14"/>
        <v>36371</v>
      </c>
    </row>
    <row r="961" spans="1:14" x14ac:dyDescent="0.35">
      <c r="A961">
        <v>463</v>
      </c>
      <c r="B961" s="2">
        <v>36676</v>
      </c>
      <c r="C961">
        <v>0</v>
      </c>
      <c r="D961">
        <v>0</v>
      </c>
      <c r="F961">
        <v>960</v>
      </c>
      <c r="G961" cm="1">
        <f t="array" ref="G961">_xlfn.IFNA(INDEX($D$2:$D$4001,_xlfn.XMATCH(G$1&amp;"-"&amp;$F961,YEAR($B$2:$B$4001)&amp;"-"&amp;$A$2:$A$4001,0,-1)),9)</f>
        <v>9</v>
      </c>
      <c r="H961" cm="1">
        <f t="array" ref="H961">IF(OR(AND(G961=9,H$1&gt;YEAR($N961))),9,_xlfn.IFNA(INDEX($D$2:$D$4001,_xlfn.XMATCH(H$1&amp;"-"&amp;$F961,YEAR($B$2:$B$4001)&amp;"-"&amp;$A$2:$A$4001,0,-1)),G961))</f>
        <v>9</v>
      </c>
      <c r="I961" cm="1">
        <f t="array" ref="I961">IF(OR(AND(H961=9,I$1&gt;YEAR($N961))),9,_xlfn.IFNA(INDEX($D$2:$D$4001,_xlfn.XMATCH(I$1&amp;"-"&amp;$F961,YEAR($B$2:$B$4001)&amp;"-"&amp;$A$2:$A$4001,0,-1)),H961))</f>
        <v>9</v>
      </c>
      <c r="J961" cm="1">
        <f t="array" ref="J961">IF(OR(AND(I961=9,J$1&gt;YEAR($N961))),9,_xlfn.IFNA(INDEX($D$2:$D$4001,_xlfn.XMATCH(J$1&amp;"-"&amp;$F961,YEAR($B$2:$B$4001)&amp;"-"&amp;$A$2:$A$4001,0,-1)),I961))</f>
        <v>5</v>
      </c>
      <c r="K961" cm="1">
        <f t="array" ref="K961">IF(OR(AND(J961=9,K$1&gt;YEAR($N961))),9,_xlfn.IFNA(INDEX($D$2:$D$4001,_xlfn.XMATCH(K$1&amp;"-"&amp;$F961,YEAR($B$2:$B$4001)&amp;"-"&amp;$A$2:$A$4001,0,-1)),J961))</f>
        <v>5</v>
      </c>
      <c r="L961" cm="1">
        <f t="array" ref="L961">IF(OR(AND(K961=9,L$1&gt;YEAR($N961))),9,_xlfn.IFNA(INDEX($D$2:$D$4001,_xlfn.XMATCH(L$1&amp;"-"&amp;$F961,YEAR($B$2:$B$4001)&amp;"-"&amp;$A$2:$A$4001,0,-1)),K961))</f>
        <v>0</v>
      </c>
      <c r="M961" cm="1">
        <f t="array" ref="M961">IF(OR(AND(L961=9,M$1&gt;YEAR($N961))),9,_xlfn.IFNA(INDEX($D$2:$D$4001,_xlfn.XMATCH(M$1&amp;"-"&amp;$F961,YEAR($B$2:$B$4001)&amp;"-"&amp;$A$2:$A$4001,0,-1)),L961))</f>
        <v>0</v>
      </c>
      <c r="N961" s="1">
        <f t="shared" si="14"/>
        <v>37620</v>
      </c>
    </row>
    <row r="962" spans="1:14" x14ac:dyDescent="0.35">
      <c r="A962">
        <v>464</v>
      </c>
      <c r="B962" s="2">
        <v>37863</v>
      </c>
      <c r="C962">
        <v>2</v>
      </c>
      <c r="D962">
        <v>2</v>
      </c>
      <c r="F962">
        <v>961</v>
      </c>
      <c r="G962" cm="1">
        <f t="array" ref="G962">_xlfn.IFNA(INDEX($D$2:$D$4001,_xlfn.XMATCH(G$1&amp;"-"&amp;$F962,YEAR($B$2:$B$4001)&amp;"-"&amp;$A$2:$A$4001,0,-1)),9)</f>
        <v>4</v>
      </c>
      <c r="H962" cm="1">
        <f t="array" ref="H962">IF(OR(AND(G962=9,H$1&gt;YEAR($N962))),9,_xlfn.IFNA(INDEX($D$2:$D$4001,_xlfn.XMATCH(H$1&amp;"-"&amp;$F962,YEAR($B$2:$B$4001)&amp;"-"&amp;$A$2:$A$4001,0,-1)),G962))</f>
        <v>4</v>
      </c>
      <c r="I962" cm="1">
        <f t="array" ref="I962">IF(OR(AND(H962=9,I$1&gt;YEAR($N962))),9,_xlfn.IFNA(INDEX($D$2:$D$4001,_xlfn.XMATCH(I$1&amp;"-"&amp;$F962,YEAR($B$2:$B$4001)&amp;"-"&amp;$A$2:$A$4001,0,-1)),H962))</f>
        <v>4</v>
      </c>
      <c r="J962" cm="1">
        <f t="array" ref="J962">IF(OR(AND(I962=9,J$1&gt;YEAR($N962))),9,_xlfn.IFNA(INDEX($D$2:$D$4001,_xlfn.XMATCH(J$1&amp;"-"&amp;$F962,YEAR($B$2:$B$4001)&amp;"-"&amp;$A$2:$A$4001,0,-1)),I962))</f>
        <v>4</v>
      </c>
      <c r="K962" cm="1">
        <f t="array" ref="K962">IF(OR(AND(J962=9,K$1&gt;YEAR($N962))),9,_xlfn.IFNA(INDEX($D$2:$D$4001,_xlfn.XMATCH(K$1&amp;"-"&amp;$F962,YEAR($B$2:$B$4001)&amp;"-"&amp;$A$2:$A$4001,0,-1)),J962))</f>
        <v>4</v>
      </c>
      <c r="L962" cm="1">
        <f t="array" ref="L962">IF(OR(AND(K962=9,L$1&gt;YEAR($N962))),9,_xlfn.IFNA(INDEX($D$2:$D$4001,_xlfn.XMATCH(L$1&amp;"-"&amp;$F962,YEAR($B$2:$B$4001)&amp;"-"&amp;$A$2:$A$4001,0,-1)),K962))</f>
        <v>6</v>
      </c>
      <c r="M962" cm="1">
        <f t="array" ref="M962">IF(OR(AND(L962=9,M$1&gt;YEAR($N962))),9,_xlfn.IFNA(INDEX($D$2:$D$4001,_xlfn.XMATCH(M$1&amp;"-"&amp;$F962,YEAR($B$2:$B$4001)&amp;"-"&amp;$A$2:$A$4001,0,-1)),L962))</f>
        <v>6</v>
      </c>
      <c r="N962" s="1">
        <f t="shared" si="14"/>
        <v>36332</v>
      </c>
    </row>
    <row r="963" spans="1:14" x14ac:dyDescent="0.35">
      <c r="A963">
        <v>465</v>
      </c>
      <c r="B963" s="2">
        <v>37032</v>
      </c>
      <c r="C963">
        <v>5</v>
      </c>
      <c r="D963">
        <v>5</v>
      </c>
      <c r="F963">
        <v>962</v>
      </c>
      <c r="G963" cm="1">
        <f t="array" ref="G963">_xlfn.IFNA(INDEX($D$2:$D$4001,_xlfn.XMATCH(G$1&amp;"-"&amp;$F963,YEAR($B$2:$B$4001)&amp;"-"&amp;$A$2:$A$4001,0,-1)),9)</f>
        <v>4</v>
      </c>
      <c r="H963" cm="1">
        <f t="array" ref="H963">IF(OR(AND(G963=9,H$1&gt;YEAR($N963))),9,_xlfn.IFNA(INDEX($D$2:$D$4001,_xlfn.XMATCH(H$1&amp;"-"&amp;$F963,YEAR($B$2:$B$4001)&amp;"-"&amp;$A$2:$A$4001,0,-1)),G963))</f>
        <v>4</v>
      </c>
      <c r="I963" cm="1">
        <f t="array" ref="I963">IF(OR(AND(H963=9,I$1&gt;YEAR($N963))),9,_xlfn.IFNA(INDEX($D$2:$D$4001,_xlfn.XMATCH(I$1&amp;"-"&amp;$F963,YEAR($B$2:$B$4001)&amp;"-"&amp;$A$2:$A$4001,0,-1)),H963))</f>
        <v>4</v>
      </c>
      <c r="J963" cm="1">
        <f t="array" ref="J963">IF(OR(AND(I963=9,J$1&gt;YEAR($N963))),9,_xlfn.IFNA(INDEX($D$2:$D$4001,_xlfn.XMATCH(J$1&amp;"-"&amp;$F963,YEAR($B$2:$B$4001)&amp;"-"&amp;$A$2:$A$4001,0,-1)),I963))</f>
        <v>4</v>
      </c>
      <c r="K963" cm="1">
        <f t="array" ref="K963">IF(OR(AND(J963=9,K$1&gt;YEAR($N963))),9,_xlfn.IFNA(INDEX($D$2:$D$4001,_xlfn.XMATCH(K$1&amp;"-"&amp;$F963,YEAR($B$2:$B$4001)&amp;"-"&amp;$A$2:$A$4001,0,-1)),J963))</f>
        <v>4</v>
      </c>
      <c r="L963" cm="1">
        <f t="array" ref="L963">IF(OR(AND(K963=9,L$1&gt;YEAR($N963))),9,_xlfn.IFNA(INDEX($D$2:$D$4001,_xlfn.XMATCH(L$1&amp;"-"&amp;$F963,YEAR($B$2:$B$4001)&amp;"-"&amp;$A$2:$A$4001,0,-1)),K963))</f>
        <v>4</v>
      </c>
      <c r="M963" cm="1">
        <f t="array" ref="M963">IF(OR(AND(L963=9,M$1&gt;YEAR($N963))),9,_xlfn.IFNA(INDEX($D$2:$D$4001,_xlfn.XMATCH(M$1&amp;"-"&amp;$F963,YEAR($B$2:$B$4001)&amp;"-"&amp;$A$2:$A$4001,0,-1)),L963))</f>
        <v>4</v>
      </c>
      <c r="N963" s="1">
        <f t="shared" ref="N963:N1026" si="15">_xlfn.MINIFS($B$2:$B$4001,$A$2:$A$4001,F963)</f>
        <v>36402</v>
      </c>
    </row>
    <row r="964" spans="1:14" x14ac:dyDescent="0.35">
      <c r="A964">
        <v>465</v>
      </c>
      <c r="B964" s="2">
        <v>37397</v>
      </c>
      <c r="C964">
        <v>6</v>
      </c>
      <c r="D964">
        <v>6</v>
      </c>
      <c r="F964">
        <v>963</v>
      </c>
      <c r="G964" cm="1">
        <f t="array" ref="G964">_xlfn.IFNA(INDEX($D$2:$D$4001,_xlfn.XMATCH(G$1&amp;"-"&amp;$F964,YEAR($B$2:$B$4001)&amp;"-"&amp;$A$2:$A$4001,0,-1)),9)</f>
        <v>9</v>
      </c>
      <c r="H964" cm="1">
        <f t="array" ref="H964">IF(OR(AND(G964=9,H$1&gt;YEAR($N964))),9,_xlfn.IFNA(INDEX($D$2:$D$4001,_xlfn.XMATCH(H$1&amp;"-"&amp;$F964,YEAR($B$2:$B$4001)&amp;"-"&amp;$A$2:$A$4001,0,-1)),G964))</f>
        <v>6</v>
      </c>
      <c r="I964" cm="1">
        <f t="array" ref="I964">IF(OR(AND(H964=9,I$1&gt;YEAR($N964))),9,_xlfn.IFNA(INDEX($D$2:$D$4001,_xlfn.XMATCH(I$1&amp;"-"&amp;$F964,YEAR($B$2:$B$4001)&amp;"-"&amp;$A$2:$A$4001,0,-1)),H964))</f>
        <v>6</v>
      </c>
      <c r="J964" cm="1">
        <f t="array" ref="J964">IF(OR(AND(I964=9,J$1&gt;YEAR($N964))),9,_xlfn.IFNA(INDEX($D$2:$D$4001,_xlfn.XMATCH(J$1&amp;"-"&amp;$F964,YEAR($B$2:$B$4001)&amp;"-"&amp;$A$2:$A$4001,0,-1)),I964))</f>
        <v>5</v>
      </c>
      <c r="K964" cm="1">
        <f t="array" ref="K964">IF(OR(AND(J964=9,K$1&gt;YEAR($N964))),9,_xlfn.IFNA(INDEX($D$2:$D$4001,_xlfn.XMATCH(K$1&amp;"-"&amp;$F964,YEAR($B$2:$B$4001)&amp;"-"&amp;$A$2:$A$4001,0,-1)),J964))</f>
        <v>5</v>
      </c>
      <c r="L964" cm="1">
        <f t="array" ref="L964">IF(OR(AND(K964=9,L$1&gt;YEAR($N964))),9,_xlfn.IFNA(INDEX($D$2:$D$4001,_xlfn.XMATCH(L$1&amp;"-"&amp;$F964,YEAR($B$2:$B$4001)&amp;"-"&amp;$A$2:$A$4001,0,-1)),K964))</f>
        <v>5</v>
      </c>
      <c r="M964" cm="1">
        <f t="array" ref="M964">IF(OR(AND(L964=9,M$1&gt;YEAR($N964))),9,_xlfn.IFNA(INDEX($D$2:$D$4001,_xlfn.XMATCH(M$1&amp;"-"&amp;$F964,YEAR($B$2:$B$4001)&amp;"-"&amp;$A$2:$A$4001,0,-1)),L964))</f>
        <v>0</v>
      </c>
      <c r="N964" s="1">
        <f t="shared" si="15"/>
        <v>36890</v>
      </c>
    </row>
    <row r="965" spans="1:14" x14ac:dyDescent="0.35">
      <c r="A965">
        <v>465</v>
      </c>
      <c r="B965" s="2">
        <v>37520</v>
      </c>
      <c r="C965">
        <v>6</v>
      </c>
      <c r="D965">
        <v>6</v>
      </c>
      <c r="F965">
        <v>964</v>
      </c>
      <c r="G965" cm="1">
        <f t="array" ref="G965">_xlfn.IFNA(INDEX($D$2:$D$4001,_xlfn.XMATCH(G$1&amp;"-"&amp;$F965,YEAR($B$2:$B$4001)&amp;"-"&amp;$A$2:$A$4001,0,-1)),9)</f>
        <v>7</v>
      </c>
      <c r="H965" cm="1">
        <f t="array" ref="H965">IF(OR(AND(G965=9,H$1&gt;YEAR($N965))),9,_xlfn.IFNA(INDEX($D$2:$D$4001,_xlfn.XMATCH(H$1&amp;"-"&amp;$F965,YEAR($B$2:$B$4001)&amp;"-"&amp;$A$2:$A$4001,0,-1)),G965))</f>
        <v>6</v>
      </c>
      <c r="I965" cm="1">
        <f t="array" ref="I965">IF(OR(AND(H965=9,I$1&gt;YEAR($N965))),9,_xlfn.IFNA(INDEX($D$2:$D$4001,_xlfn.XMATCH(I$1&amp;"-"&amp;$F965,YEAR($B$2:$B$4001)&amp;"-"&amp;$A$2:$A$4001,0,-1)),H965))</f>
        <v>6</v>
      </c>
      <c r="J965" cm="1">
        <f t="array" ref="J965">IF(OR(AND(I965=9,J$1&gt;YEAR($N965))),9,_xlfn.IFNA(INDEX($D$2:$D$4001,_xlfn.XMATCH(J$1&amp;"-"&amp;$F965,YEAR($B$2:$B$4001)&amp;"-"&amp;$A$2:$A$4001,0,-1)),I965))</f>
        <v>6</v>
      </c>
      <c r="K965" cm="1">
        <f t="array" ref="K965">IF(OR(AND(J965=9,K$1&gt;YEAR($N965))),9,_xlfn.IFNA(INDEX($D$2:$D$4001,_xlfn.XMATCH(K$1&amp;"-"&amp;$F965,YEAR($B$2:$B$4001)&amp;"-"&amp;$A$2:$A$4001,0,-1)),J965))</f>
        <v>6</v>
      </c>
      <c r="L965" cm="1">
        <f t="array" ref="L965">IF(OR(AND(K965=9,L$1&gt;YEAR($N965))),9,_xlfn.IFNA(INDEX($D$2:$D$4001,_xlfn.XMATCH(L$1&amp;"-"&amp;$F965,YEAR($B$2:$B$4001)&amp;"-"&amp;$A$2:$A$4001,0,-1)),K965))</f>
        <v>6</v>
      </c>
      <c r="M965" cm="1">
        <f t="array" ref="M965">IF(OR(AND(L965=9,M$1&gt;YEAR($N965))),9,_xlfn.IFNA(INDEX($D$2:$D$4001,_xlfn.XMATCH(M$1&amp;"-"&amp;$F965,YEAR($B$2:$B$4001)&amp;"-"&amp;$A$2:$A$4001,0,-1)),L965))</f>
        <v>6</v>
      </c>
      <c r="N965" s="1">
        <f t="shared" si="15"/>
        <v>36524</v>
      </c>
    </row>
    <row r="966" spans="1:14" x14ac:dyDescent="0.35">
      <c r="A966">
        <v>466</v>
      </c>
      <c r="B966" s="2">
        <v>38290</v>
      </c>
      <c r="C966">
        <v>0</v>
      </c>
      <c r="D966">
        <v>0</v>
      </c>
      <c r="F966">
        <v>965</v>
      </c>
      <c r="G966" cm="1">
        <f t="array" ref="G966">_xlfn.IFNA(INDEX($D$2:$D$4001,_xlfn.XMATCH(G$1&amp;"-"&amp;$F966,YEAR($B$2:$B$4001)&amp;"-"&amp;$A$2:$A$4001,0,-1)),9)</f>
        <v>9</v>
      </c>
      <c r="H966" cm="1">
        <f t="array" ref="H966">IF(OR(AND(G966=9,H$1&gt;YEAR($N966))),9,_xlfn.IFNA(INDEX($D$2:$D$4001,_xlfn.XMATCH(H$1&amp;"-"&amp;$F966,YEAR($B$2:$B$4001)&amp;"-"&amp;$A$2:$A$4001,0,-1)),G966))</f>
        <v>9</v>
      </c>
      <c r="I966" cm="1">
        <f t="array" ref="I966">IF(OR(AND(H966=9,I$1&gt;YEAR($N966))),9,_xlfn.IFNA(INDEX($D$2:$D$4001,_xlfn.XMATCH(I$1&amp;"-"&amp;$F966,YEAR($B$2:$B$4001)&amp;"-"&amp;$A$2:$A$4001,0,-1)),H966))</f>
        <v>9</v>
      </c>
      <c r="J966" cm="1">
        <f t="array" ref="J966">IF(OR(AND(I966=9,J$1&gt;YEAR($N966))),9,_xlfn.IFNA(INDEX($D$2:$D$4001,_xlfn.XMATCH(J$1&amp;"-"&amp;$F966,YEAR($B$2:$B$4001)&amp;"-"&amp;$A$2:$A$4001,0,-1)),I966))</f>
        <v>9</v>
      </c>
      <c r="K966" cm="1">
        <f t="array" ref="K966">IF(OR(AND(J966=9,K$1&gt;YEAR($N966))),9,_xlfn.IFNA(INDEX($D$2:$D$4001,_xlfn.XMATCH(K$1&amp;"-"&amp;$F966,YEAR($B$2:$B$4001)&amp;"-"&amp;$A$2:$A$4001,0,-1)),J966))</f>
        <v>9</v>
      </c>
      <c r="L966" cm="1">
        <f t="array" ref="L966">IF(OR(AND(K966=9,L$1&gt;YEAR($N966))),9,_xlfn.IFNA(INDEX($D$2:$D$4001,_xlfn.XMATCH(L$1&amp;"-"&amp;$F966,YEAR($B$2:$B$4001)&amp;"-"&amp;$A$2:$A$4001,0,-1)),K966))</f>
        <v>0</v>
      </c>
      <c r="M966" cm="1">
        <f t="array" ref="M966">IF(OR(AND(L966=9,M$1&gt;YEAR($N966))),9,_xlfn.IFNA(INDEX($D$2:$D$4001,_xlfn.XMATCH(M$1&amp;"-"&amp;$F966,YEAR($B$2:$B$4001)&amp;"-"&amp;$A$2:$A$4001,0,-1)),L966))</f>
        <v>0</v>
      </c>
      <c r="N966" s="1">
        <f t="shared" si="15"/>
        <v>38189</v>
      </c>
    </row>
    <row r="967" spans="1:14" x14ac:dyDescent="0.35">
      <c r="A967">
        <v>467</v>
      </c>
      <c r="B967" s="2">
        <v>37620</v>
      </c>
      <c r="C967">
        <v>4</v>
      </c>
      <c r="D967">
        <v>4</v>
      </c>
      <c r="F967">
        <v>966</v>
      </c>
      <c r="G967" cm="1">
        <f t="array" ref="G967">_xlfn.IFNA(INDEX($D$2:$D$4001,_xlfn.XMATCH(G$1&amp;"-"&amp;$F967,YEAR($B$2:$B$4001)&amp;"-"&amp;$A$2:$A$4001,0,-1)),9)</f>
        <v>4</v>
      </c>
      <c r="H967" cm="1">
        <f t="array" ref="H967">IF(OR(AND(G967=9,H$1&gt;YEAR($N967))),9,_xlfn.IFNA(INDEX($D$2:$D$4001,_xlfn.XMATCH(H$1&amp;"-"&amp;$F967,YEAR($B$2:$B$4001)&amp;"-"&amp;$A$2:$A$4001,0,-1)),G967))</f>
        <v>4</v>
      </c>
      <c r="I967" cm="1">
        <f t="array" ref="I967">IF(OR(AND(H967=9,I$1&gt;YEAR($N967))),9,_xlfn.IFNA(INDEX($D$2:$D$4001,_xlfn.XMATCH(I$1&amp;"-"&amp;$F967,YEAR($B$2:$B$4001)&amp;"-"&amp;$A$2:$A$4001,0,-1)),H967))</f>
        <v>4</v>
      </c>
      <c r="J967" cm="1">
        <f t="array" ref="J967">IF(OR(AND(I967=9,J$1&gt;YEAR($N967))),9,_xlfn.IFNA(INDEX($D$2:$D$4001,_xlfn.XMATCH(J$1&amp;"-"&amp;$F967,YEAR($B$2:$B$4001)&amp;"-"&amp;$A$2:$A$4001,0,-1)),I967))</f>
        <v>4</v>
      </c>
      <c r="K967" cm="1">
        <f t="array" ref="K967">IF(OR(AND(J967=9,K$1&gt;YEAR($N967))),9,_xlfn.IFNA(INDEX($D$2:$D$4001,_xlfn.XMATCH(K$1&amp;"-"&amp;$F967,YEAR($B$2:$B$4001)&amp;"-"&amp;$A$2:$A$4001,0,-1)),J967))</f>
        <v>4</v>
      </c>
      <c r="L967" cm="1">
        <f t="array" ref="L967">IF(OR(AND(K967=9,L$1&gt;YEAR($N967))),9,_xlfn.IFNA(INDEX($D$2:$D$4001,_xlfn.XMATCH(L$1&amp;"-"&amp;$F967,YEAR($B$2:$B$4001)&amp;"-"&amp;$A$2:$A$4001,0,-1)),K967))</f>
        <v>4</v>
      </c>
      <c r="M967" cm="1">
        <f t="array" ref="M967">IF(OR(AND(L967=9,M$1&gt;YEAR($N967))),9,_xlfn.IFNA(INDEX($D$2:$D$4001,_xlfn.XMATCH(M$1&amp;"-"&amp;$F967,YEAR($B$2:$B$4001)&amp;"-"&amp;$A$2:$A$4001,0,-1)),L967))</f>
        <v>4</v>
      </c>
      <c r="N967" s="1">
        <f t="shared" si="15"/>
        <v>36524</v>
      </c>
    </row>
    <row r="968" spans="1:14" x14ac:dyDescent="0.35">
      <c r="A968">
        <v>467</v>
      </c>
      <c r="B968" s="2">
        <v>37620</v>
      </c>
      <c r="C968">
        <v>3</v>
      </c>
      <c r="D968">
        <v>3</v>
      </c>
      <c r="F968">
        <v>967</v>
      </c>
      <c r="G968" cm="1">
        <f t="array" ref="G968">_xlfn.IFNA(INDEX($D$2:$D$4001,_xlfn.XMATCH(G$1&amp;"-"&amp;$F968,YEAR($B$2:$B$4001)&amp;"-"&amp;$A$2:$A$4001,0,-1)),9)</f>
        <v>9</v>
      </c>
      <c r="H968" cm="1">
        <f t="array" ref="H968">IF(OR(AND(G968=9,H$1&gt;YEAR($N968))),9,_xlfn.IFNA(INDEX($D$2:$D$4001,_xlfn.XMATCH(H$1&amp;"-"&amp;$F968,YEAR($B$2:$B$4001)&amp;"-"&amp;$A$2:$A$4001,0,-1)),G968))</f>
        <v>9</v>
      </c>
      <c r="I968" cm="1">
        <f t="array" ref="I968">IF(OR(AND(H968=9,I$1&gt;YEAR($N968))),9,_xlfn.IFNA(INDEX($D$2:$D$4001,_xlfn.XMATCH(I$1&amp;"-"&amp;$F968,YEAR($B$2:$B$4001)&amp;"-"&amp;$A$2:$A$4001,0,-1)),H968))</f>
        <v>9</v>
      </c>
      <c r="J968" cm="1">
        <f t="array" ref="J968">IF(OR(AND(I968=9,J$1&gt;YEAR($N968))),9,_xlfn.IFNA(INDEX($D$2:$D$4001,_xlfn.XMATCH(J$1&amp;"-"&amp;$F968,YEAR($B$2:$B$4001)&amp;"-"&amp;$A$2:$A$4001,0,-1)),I968))</f>
        <v>0</v>
      </c>
      <c r="K968" cm="1">
        <f t="array" ref="K968">IF(OR(AND(J968=9,K$1&gt;YEAR($N968))),9,_xlfn.IFNA(INDEX($D$2:$D$4001,_xlfn.XMATCH(K$1&amp;"-"&amp;$F968,YEAR($B$2:$B$4001)&amp;"-"&amp;$A$2:$A$4001,0,-1)),J968))</f>
        <v>0</v>
      </c>
      <c r="L968" cm="1">
        <f t="array" ref="L968">IF(OR(AND(K968=9,L$1&gt;YEAR($N968))),9,_xlfn.IFNA(INDEX($D$2:$D$4001,_xlfn.XMATCH(L$1&amp;"-"&amp;$F968,YEAR($B$2:$B$4001)&amp;"-"&amp;$A$2:$A$4001,0,-1)),K968))</f>
        <v>0</v>
      </c>
      <c r="M968" cm="1">
        <f t="array" ref="M968">IF(OR(AND(L968=9,M$1&gt;YEAR($N968))),9,_xlfn.IFNA(INDEX($D$2:$D$4001,_xlfn.XMATCH(M$1&amp;"-"&amp;$F968,YEAR($B$2:$B$4001)&amp;"-"&amp;$A$2:$A$4001,0,-1)),L968))</f>
        <v>0</v>
      </c>
      <c r="N968" s="1">
        <f t="shared" si="15"/>
        <v>37529</v>
      </c>
    </row>
    <row r="969" spans="1:14" x14ac:dyDescent="0.35">
      <c r="A969">
        <v>468</v>
      </c>
      <c r="B969" s="2">
        <v>36890</v>
      </c>
      <c r="C969">
        <v>5</v>
      </c>
      <c r="D969">
        <v>5</v>
      </c>
      <c r="F969">
        <v>968</v>
      </c>
      <c r="G969" cm="1">
        <f t="array" ref="G969">_xlfn.IFNA(INDEX($D$2:$D$4001,_xlfn.XMATCH(G$1&amp;"-"&amp;$F969,YEAR($B$2:$B$4001)&amp;"-"&amp;$A$2:$A$4001,0,-1)),9)</f>
        <v>9</v>
      </c>
      <c r="H969" cm="1">
        <f t="array" ref="H969">IF(OR(AND(G969=9,H$1&gt;YEAR($N969))),9,_xlfn.IFNA(INDEX($D$2:$D$4001,_xlfn.XMATCH(H$1&amp;"-"&amp;$F969,YEAR($B$2:$B$4001)&amp;"-"&amp;$A$2:$A$4001,0,-1)),G969))</f>
        <v>9</v>
      </c>
      <c r="I969" cm="1">
        <f t="array" ref="I969">IF(OR(AND(H969=9,I$1&gt;YEAR($N969))),9,_xlfn.IFNA(INDEX($D$2:$D$4001,_xlfn.XMATCH(I$1&amp;"-"&amp;$F969,YEAR($B$2:$B$4001)&amp;"-"&amp;$A$2:$A$4001,0,-1)),H969))</f>
        <v>3</v>
      </c>
      <c r="J969" cm="1">
        <f t="array" ref="J969">IF(OR(AND(I969=9,J$1&gt;YEAR($N969))),9,_xlfn.IFNA(INDEX($D$2:$D$4001,_xlfn.XMATCH(J$1&amp;"-"&amp;$F969,YEAR($B$2:$B$4001)&amp;"-"&amp;$A$2:$A$4001,0,-1)),I969))</f>
        <v>3</v>
      </c>
      <c r="K969" cm="1">
        <f t="array" ref="K969">IF(OR(AND(J969=9,K$1&gt;YEAR($N969))),9,_xlfn.IFNA(INDEX($D$2:$D$4001,_xlfn.XMATCH(K$1&amp;"-"&amp;$F969,YEAR($B$2:$B$4001)&amp;"-"&amp;$A$2:$A$4001,0,-1)),J969))</f>
        <v>3</v>
      </c>
      <c r="L969" cm="1">
        <f t="array" ref="L969">IF(OR(AND(K969=9,L$1&gt;YEAR($N969))),9,_xlfn.IFNA(INDEX($D$2:$D$4001,_xlfn.XMATCH(L$1&amp;"-"&amp;$F969,YEAR($B$2:$B$4001)&amp;"-"&amp;$A$2:$A$4001,0,-1)),K969))</f>
        <v>3</v>
      </c>
      <c r="M969" cm="1">
        <f t="array" ref="M969">IF(OR(AND(L969=9,M$1&gt;YEAR($N969))),9,_xlfn.IFNA(INDEX($D$2:$D$4001,_xlfn.XMATCH(M$1&amp;"-"&amp;$F969,YEAR($B$2:$B$4001)&amp;"-"&amp;$A$2:$A$4001,0,-1)),L969))</f>
        <v>3</v>
      </c>
      <c r="N969" s="1">
        <f t="shared" si="15"/>
        <v>37072</v>
      </c>
    </row>
    <row r="970" spans="1:14" x14ac:dyDescent="0.35">
      <c r="A970">
        <v>469</v>
      </c>
      <c r="B970" s="2">
        <v>36671</v>
      </c>
      <c r="C970">
        <v>3</v>
      </c>
      <c r="D970">
        <v>3</v>
      </c>
      <c r="F970">
        <v>969</v>
      </c>
      <c r="G970" cm="1">
        <f t="array" ref="G970">_xlfn.IFNA(INDEX($D$2:$D$4001,_xlfn.XMATCH(G$1&amp;"-"&amp;$F970,YEAR($B$2:$B$4001)&amp;"-"&amp;$A$2:$A$4001,0,-1)),9)</f>
        <v>3</v>
      </c>
      <c r="H970" cm="1">
        <f t="array" ref="H970">IF(OR(AND(G970=9,H$1&gt;YEAR($N970))),9,_xlfn.IFNA(INDEX($D$2:$D$4001,_xlfn.XMATCH(H$1&amp;"-"&amp;$F970,YEAR($B$2:$B$4001)&amp;"-"&amp;$A$2:$A$4001,0,-1)),G970))</f>
        <v>2</v>
      </c>
      <c r="I970" cm="1">
        <f t="array" ref="I970">IF(OR(AND(H970=9,I$1&gt;YEAR($N970))),9,_xlfn.IFNA(INDEX($D$2:$D$4001,_xlfn.XMATCH(I$1&amp;"-"&amp;$F970,YEAR($B$2:$B$4001)&amp;"-"&amp;$A$2:$A$4001,0,-1)),H970))</f>
        <v>2</v>
      </c>
      <c r="J970" cm="1">
        <f t="array" ref="J970">IF(OR(AND(I970=9,J$1&gt;YEAR($N970))),9,_xlfn.IFNA(INDEX($D$2:$D$4001,_xlfn.XMATCH(J$1&amp;"-"&amp;$F970,YEAR($B$2:$B$4001)&amp;"-"&amp;$A$2:$A$4001,0,-1)),I970))</f>
        <v>2</v>
      </c>
      <c r="K970" cm="1">
        <f t="array" ref="K970">IF(OR(AND(J970=9,K$1&gt;YEAR($N970))),9,_xlfn.IFNA(INDEX($D$2:$D$4001,_xlfn.XMATCH(K$1&amp;"-"&amp;$F970,YEAR($B$2:$B$4001)&amp;"-"&amp;$A$2:$A$4001,0,-1)),J970))</f>
        <v>3</v>
      </c>
      <c r="L970" cm="1">
        <f t="array" ref="L970">IF(OR(AND(K970=9,L$1&gt;YEAR($N970))),9,_xlfn.IFNA(INDEX($D$2:$D$4001,_xlfn.XMATCH(L$1&amp;"-"&amp;$F970,YEAR($B$2:$B$4001)&amp;"-"&amp;$A$2:$A$4001,0,-1)),K970))</f>
        <v>3</v>
      </c>
      <c r="M970" cm="1">
        <f t="array" ref="M970">IF(OR(AND(L970=9,M$1&gt;YEAR($N970))),9,_xlfn.IFNA(INDEX($D$2:$D$4001,_xlfn.XMATCH(M$1&amp;"-"&amp;$F970,YEAR($B$2:$B$4001)&amp;"-"&amp;$A$2:$A$4001,0,-1)),L970))</f>
        <v>3</v>
      </c>
      <c r="N970" s="1">
        <f t="shared" si="15"/>
        <v>36524</v>
      </c>
    </row>
    <row r="971" spans="1:14" x14ac:dyDescent="0.35">
      <c r="A971">
        <v>469</v>
      </c>
      <c r="B971" s="2">
        <v>37620</v>
      </c>
      <c r="C971">
        <v>3</v>
      </c>
      <c r="D971">
        <v>3</v>
      </c>
      <c r="F971">
        <v>970</v>
      </c>
      <c r="G971" cm="1">
        <f t="array" ref="G971">_xlfn.IFNA(INDEX($D$2:$D$4001,_xlfn.XMATCH(G$1&amp;"-"&amp;$F971,YEAR($B$2:$B$4001)&amp;"-"&amp;$A$2:$A$4001,0,-1)),9)</f>
        <v>9</v>
      </c>
      <c r="H971" cm="1">
        <f t="array" ref="H971">IF(OR(AND(G971=9,H$1&gt;YEAR($N971))),9,_xlfn.IFNA(INDEX($D$2:$D$4001,_xlfn.XMATCH(H$1&amp;"-"&amp;$F971,YEAR($B$2:$B$4001)&amp;"-"&amp;$A$2:$A$4001,0,-1)),G971))</f>
        <v>9</v>
      </c>
      <c r="I971" cm="1">
        <f t="array" ref="I971">IF(OR(AND(H971=9,I$1&gt;YEAR($N971))),9,_xlfn.IFNA(INDEX($D$2:$D$4001,_xlfn.XMATCH(I$1&amp;"-"&amp;$F971,YEAR($B$2:$B$4001)&amp;"-"&amp;$A$2:$A$4001,0,-1)),H971))</f>
        <v>9</v>
      </c>
      <c r="J971" cm="1">
        <f t="array" ref="J971">IF(OR(AND(I971=9,J$1&gt;YEAR($N971))),9,_xlfn.IFNA(INDEX($D$2:$D$4001,_xlfn.XMATCH(J$1&amp;"-"&amp;$F971,YEAR($B$2:$B$4001)&amp;"-"&amp;$A$2:$A$4001,0,-1)),I971))</f>
        <v>9</v>
      </c>
      <c r="K971" cm="1">
        <f t="array" ref="K971">IF(OR(AND(J971=9,K$1&gt;YEAR($N971))),9,_xlfn.IFNA(INDEX($D$2:$D$4001,_xlfn.XMATCH(K$1&amp;"-"&amp;$F971,YEAR($B$2:$B$4001)&amp;"-"&amp;$A$2:$A$4001,0,-1)),J971))</f>
        <v>3</v>
      </c>
      <c r="L971" cm="1">
        <f t="array" ref="L971">IF(OR(AND(K971=9,L$1&gt;YEAR($N971))),9,_xlfn.IFNA(INDEX($D$2:$D$4001,_xlfn.XMATCH(L$1&amp;"-"&amp;$F971,YEAR($B$2:$B$4001)&amp;"-"&amp;$A$2:$A$4001,0,-1)),K971))</f>
        <v>3</v>
      </c>
      <c r="M971" cm="1">
        <f t="array" ref="M971">IF(OR(AND(L971=9,M$1&gt;YEAR($N971))),9,_xlfn.IFNA(INDEX($D$2:$D$4001,_xlfn.XMATCH(M$1&amp;"-"&amp;$F971,YEAR($B$2:$B$4001)&amp;"-"&amp;$A$2:$A$4001,0,-1)),L971))</f>
        <v>2</v>
      </c>
      <c r="N971" s="1">
        <f t="shared" si="15"/>
        <v>37795</v>
      </c>
    </row>
    <row r="972" spans="1:14" x14ac:dyDescent="0.35">
      <c r="A972">
        <v>470</v>
      </c>
      <c r="B972" s="2">
        <v>36393</v>
      </c>
      <c r="C972">
        <v>3</v>
      </c>
      <c r="D972">
        <v>3</v>
      </c>
      <c r="F972">
        <v>971</v>
      </c>
      <c r="G972" cm="1">
        <f t="array" ref="G972">_xlfn.IFNA(INDEX($D$2:$D$4001,_xlfn.XMATCH(G$1&amp;"-"&amp;$F972,YEAR($B$2:$B$4001)&amp;"-"&amp;$A$2:$A$4001,0,-1)),9)</f>
        <v>9</v>
      </c>
      <c r="H972" cm="1">
        <f t="array" ref="H972">IF(OR(AND(G972=9,H$1&gt;YEAR($N972))),9,_xlfn.IFNA(INDEX($D$2:$D$4001,_xlfn.XMATCH(H$1&amp;"-"&amp;$F972,YEAR($B$2:$B$4001)&amp;"-"&amp;$A$2:$A$4001,0,-1)),G972))</f>
        <v>9</v>
      </c>
      <c r="I972" cm="1">
        <f t="array" ref="I972">IF(OR(AND(H972=9,I$1&gt;YEAR($N972))),9,_xlfn.IFNA(INDEX($D$2:$D$4001,_xlfn.XMATCH(I$1&amp;"-"&amp;$F972,YEAR($B$2:$B$4001)&amp;"-"&amp;$A$2:$A$4001,0,-1)),H972))</f>
        <v>9</v>
      </c>
      <c r="J972" cm="1">
        <f t="array" ref="J972">IF(OR(AND(I972=9,J$1&gt;YEAR($N972))),9,_xlfn.IFNA(INDEX($D$2:$D$4001,_xlfn.XMATCH(J$1&amp;"-"&amp;$F972,YEAR($B$2:$B$4001)&amp;"-"&amp;$A$2:$A$4001,0,-1)),I972))</f>
        <v>9</v>
      </c>
      <c r="K972" cm="1">
        <f t="array" ref="K972">IF(OR(AND(J972=9,K$1&gt;YEAR($N972))),9,_xlfn.IFNA(INDEX($D$2:$D$4001,_xlfn.XMATCH(K$1&amp;"-"&amp;$F972,YEAR($B$2:$B$4001)&amp;"-"&amp;$A$2:$A$4001,0,-1)),J972))</f>
        <v>5</v>
      </c>
      <c r="L972" cm="1">
        <f t="array" ref="L972">IF(OR(AND(K972=9,L$1&gt;YEAR($N972))),9,_xlfn.IFNA(INDEX($D$2:$D$4001,_xlfn.XMATCH(L$1&amp;"-"&amp;$F972,YEAR($B$2:$B$4001)&amp;"-"&amp;$A$2:$A$4001,0,-1)),K972))</f>
        <v>5</v>
      </c>
      <c r="M972" cm="1">
        <f t="array" ref="M972">IF(OR(AND(L972=9,M$1&gt;YEAR($N972))),9,_xlfn.IFNA(INDEX($D$2:$D$4001,_xlfn.XMATCH(M$1&amp;"-"&amp;$F972,YEAR($B$2:$B$4001)&amp;"-"&amp;$A$2:$A$4001,0,-1)),L972))</f>
        <v>5</v>
      </c>
      <c r="N972" s="1">
        <f t="shared" si="15"/>
        <v>37854</v>
      </c>
    </row>
    <row r="973" spans="1:14" x14ac:dyDescent="0.35">
      <c r="A973">
        <v>470</v>
      </c>
      <c r="B973" s="2">
        <v>36524</v>
      </c>
      <c r="C973">
        <v>3</v>
      </c>
      <c r="D973">
        <v>3</v>
      </c>
      <c r="F973">
        <v>972</v>
      </c>
      <c r="G973" cm="1">
        <f t="array" ref="G973">_xlfn.IFNA(INDEX($D$2:$D$4001,_xlfn.XMATCH(G$1&amp;"-"&amp;$F973,YEAR($B$2:$B$4001)&amp;"-"&amp;$A$2:$A$4001,0,-1)),9)</f>
        <v>9</v>
      </c>
      <c r="H973" cm="1">
        <f t="array" ref="H973">IF(OR(AND(G973=9,H$1&gt;YEAR($N973))),9,_xlfn.IFNA(INDEX($D$2:$D$4001,_xlfn.XMATCH(H$1&amp;"-"&amp;$F973,YEAR($B$2:$B$4001)&amp;"-"&amp;$A$2:$A$4001,0,-1)),G973))</f>
        <v>9</v>
      </c>
      <c r="I973" cm="1">
        <f t="array" ref="I973">IF(OR(AND(H973=9,I$1&gt;YEAR($N973))),9,_xlfn.IFNA(INDEX($D$2:$D$4001,_xlfn.XMATCH(I$1&amp;"-"&amp;$F973,YEAR($B$2:$B$4001)&amp;"-"&amp;$A$2:$A$4001,0,-1)),H973))</f>
        <v>5</v>
      </c>
      <c r="J973" cm="1">
        <f t="array" ref="J973">IF(OR(AND(I973=9,J$1&gt;YEAR($N973))),9,_xlfn.IFNA(INDEX($D$2:$D$4001,_xlfn.XMATCH(J$1&amp;"-"&amp;$F973,YEAR($B$2:$B$4001)&amp;"-"&amp;$A$2:$A$4001,0,-1)),I973))</f>
        <v>0</v>
      </c>
      <c r="K973" cm="1">
        <f t="array" ref="K973">IF(OR(AND(J973=9,K$1&gt;YEAR($N973))),9,_xlfn.IFNA(INDEX($D$2:$D$4001,_xlfn.XMATCH(K$1&amp;"-"&amp;$F973,YEAR($B$2:$B$4001)&amp;"-"&amp;$A$2:$A$4001,0,-1)),J973))</f>
        <v>0</v>
      </c>
      <c r="L973" cm="1">
        <f t="array" ref="L973">IF(OR(AND(K973=9,L$1&gt;YEAR($N973))),9,_xlfn.IFNA(INDEX($D$2:$D$4001,_xlfn.XMATCH(L$1&amp;"-"&amp;$F973,YEAR($B$2:$B$4001)&amp;"-"&amp;$A$2:$A$4001,0,-1)),K973))</f>
        <v>0</v>
      </c>
      <c r="M973" cm="1">
        <f t="array" ref="M973">IF(OR(AND(L973=9,M$1&gt;YEAR($N973))),9,_xlfn.IFNA(INDEX($D$2:$D$4001,_xlfn.XMATCH(M$1&amp;"-"&amp;$F973,YEAR($B$2:$B$4001)&amp;"-"&amp;$A$2:$A$4001,0,-1)),L973))</f>
        <v>0</v>
      </c>
      <c r="N973" s="1">
        <f t="shared" si="15"/>
        <v>37041</v>
      </c>
    </row>
    <row r="974" spans="1:14" x14ac:dyDescent="0.35">
      <c r="A974">
        <v>471</v>
      </c>
      <c r="B974" s="2">
        <v>36676</v>
      </c>
      <c r="C974">
        <v>4</v>
      </c>
      <c r="D974">
        <v>4</v>
      </c>
      <c r="F974">
        <v>973</v>
      </c>
      <c r="G974" cm="1">
        <f t="array" ref="G974">_xlfn.IFNA(INDEX($D$2:$D$4001,_xlfn.XMATCH(G$1&amp;"-"&amp;$F974,YEAR($B$2:$B$4001)&amp;"-"&amp;$A$2:$A$4001,0,-1)),9)</f>
        <v>9</v>
      </c>
      <c r="H974" cm="1">
        <f t="array" ref="H974">IF(OR(AND(G974=9,H$1&gt;YEAR($N974))),9,_xlfn.IFNA(INDEX($D$2:$D$4001,_xlfn.XMATCH(H$1&amp;"-"&amp;$F974,YEAR($B$2:$B$4001)&amp;"-"&amp;$A$2:$A$4001,0,-1)),G974))</f>
        <v>9</v>
      </c>
      <c r="I974" cm="1">
        <f t="array" ref="I974">IF(OR(AND(H974=9,I$1&gt;YEAR($N974))),9,_xlfn.IFNA(INDEX($D$2:$D$4001,_xlfn.XMATCH(I$1&amp;"-"&amp;$F974,YEAR($B$2:$B$4001)&amp;"-"&amp;$A$2:$A$4001,0,-1)),H974))</f>
        <v>4</v>
      </c>
      <c r="J974" cm="1">
        <f t="array" ref="J974">IF(OR(AND(I974=9,J$1&gt;YEAR($N974))),9,_xlfn.IFNA(INDEX($D$2:$D$4001,_xlfn.XMATCH(J$1&amp;"-"&amp;$F974,YEAR($B$2:$B$4001)&amp;"-"&amp;$A$2:$A$4001,0,-1)),I974))</f>
        <v>4</v>
      </c>
      <c r="K974" cm="1">
        <f t="array" ref="K974">IF(OR(AND(J974=9,K$1&gt;YEAR($N974))),9,_xlfn.IFNA(INDEX($D$2:$D$4001,_xlfn.XMATCH(K$1&amp;"-"&amp;$F974,YEAR($B$2:$B$4001)&amp;"-"&amp;$A$2:$A$4001,0,-1)),J974))</f>
        <v>4</v>
      </c>
      <c r="L974" cm="1">
        <f t="array" ref="L974">IF(OR(AND(K974=9,L$1&gt;YEAR($N974))),9,_xlfn.IFNA(INDEX($D$2:$D$4001,_xlfn.XMATCH(L$1&amp;"-"&amp;$F974,YEAR($B$2:$B$4001)&amp;"-"&amp;$A$2:$A$4001,0,-1)),K974))</f>
        <v>4</v>
      </c>
      <c r="M974" cm="1">
        <f t="array" ref="M974">IF(OR(AND(L974=9,M$1&gt;YEAR($N974))),9,_xlfn.IFNA(INDEX($D$2:$D$4001,_xlfn.XMATCH(M$1&amp;"-"&amp;$F974,YEAR($B$2:$B$4001)&amp;"-"&amp;$A$2:$A$4001,0,-1)),L974))</f>
        <v>4</v>
      </c>
      <c r="N974" s="1">
        <f t="shared" si="15"/>
        <v>37041</v>
      </c>
    </row>
    <row r="975" spans="1:14" x14ac:dyDescent="0.35">
      <c r="A975">
        <v>471</v>
      </c>
      <c r="B975" s="2">
        <v>37620</v>
      </c>
      <c r="C975">
        <v>5</v>
      </c>
      <c r="D975">
        <v>5</v>
      </c>
      <c r="F975">
        <v>974</v>
      </c>
      <c r="G975" cm="1">
        <f t="array" ref="G975">_xlfn.IFNA(INDEX($D$2:$D$4001,_xlfn.XMATCH(G$1&amp;"-"&amp;$F975,YEAR($B$2:$B$4001)&amp;"-"&amp;$A$2:$A$4001,0,-1)),9)</f>
        <v>4</v>
      </c>
      <c r="H975" cm="1">
        <f t="array" ref="H975">IF(OR(AND(G975=9,H$1&gt;YEAR($N975))),9,_xlfn.IFNA(INDEX($D$2:$D$4001,_xlfn.XMATCH(H$1&amp;"-"&amp;$F975,YEAR($B$2:$B$4001)&amp;"-"&amp;$A$2:$A$4001,0,-1)),G975))</f>
        <v>4</v>
      </c>
      <c r="I975" cm="1">
        <f t="array" ref="I975">IF(OR(AND(H975=9,I$1&gt;YEAR($N975))),9,_xlfn.IFNA(INDEX($D$2:$D$4001,_xlfn.XMATCH(I$1&amp;"-"&amp;$F975,YEAR($B$2:$B$4001)&amp;"-"&amp;$A$2:$A$4001,0,-1)),H975))</f>
        <v>4</v>
      </c>
      <c r="J975" cm="1">
        <f t="array" ref="J975">IF(OR(AND(I975=9,J$1&gt;YEAR($N975))),9,_xlfn.IFNA(INDEX($D$2:$D$4001,_xlfn.XMATCH(J$1&amp;"-"&amp;$F975,YEAR($B$2:$B$4001)&amp;"-"&amp;$A$2:$A$4001,0,-1)),I975))</f>
        <v>0</v>
      </c>
      <c r="K975" cm="1">
        <f t="array" ref="K975">IF(OR(AND(J975=9,K$1&gt;YEAR($N975))),9,_xlfn.IFNA(INDEX($D$2:$D$4001,_xlfn.XMATCH(K$1&amp;"-"&amp;$F975,YEAR($B$2:$B$4001)&amp;"-"&amp;$A$2:$A$4001,0,-1)),J975))</f>
        <v>6</v>
      </c>
      <c r="L975" cm="1">
        <f t="array" ref="L975">IF(OR(AND(K975=9,L$1&gt;YEAR($N975))),9,_xlfn.IFNA(INDEX($D$2:$D$4001,_xlfn.XMATCH(L$1&amp;"-"&amp;$F975,YEAR($B$2:$B$4001)&amp;"-"&amp;$A$2:$A$4001,0,-1)),K975))</f>
        <v>6</v>
      </c>
      <c r="M975" cm="1">
        <f t="array" ref="M975">IF(OR(AND(L975=9,M$1&gt;YEAR($N975))),9,_xlfn.IFNA(INDEX($D$2:$D$4001,_xlfn.XMATCH(M$1&amp;"-"&amp;$F975,YEAR($B$2:$B$4001)&amp;"-"&amp;$A$2:$A$4001,0,-1)),L975))</f>
        <v>6</v>
      </c>
      <c r="N975" s="1">
        <f t="shared" si="15"/>
        <v>36371</v>
      </c>
    </row>
    <row r="976" spans="1:14" x14ac:dyDescent="0.35">
      <c r="A976">
        <v>471</v>
      </c>
      <c r="B976" s="2">
        <v>38128</v>
      </c>
      <c r="C976">
        <v>5</v>
      </c>
      <c r="D976">
        <v>5</v>
      </c>
      <c r="F976">
        <v>975</v>
      </c>
      <c r="G976" cm="1">
        <f t="array" ref="G976">_xlfn.IFNA(INDEX($D$2:$D$4001,_xlfn.XMATCH(G$1&amp;"-"&amp;$F976,YEAR($B$2:$B$4001)&amp;"-"&amp;$A$2:$A$4001,0,-1)),9)</f>
        <v>9</v>
      </c>
      <c r="H976" cm="1">
        <f t="array" ref="H976">IF(OR(AND(G976=9,H$1&gt;YEAR($N976))),9,_xlfn.IFNA(INDEX($D$2:$D$4001,_xlfn.XMATCH(H$1&amp;"-"&amp;$F976,YEAR($B$2:$B$4001)&amp;"-"&amp;$A$2:$A$4001,0,-1)),G976))</f>
        <v>9</v>
      </c>
      <c r="I976" cm="1">
        <f t="array" ref="I976">IF(OR(AND(H976=9,I$1&gt;YEAR($N976))),9,_xlfn.IFNA(INDEX($D$2:$D$4001,_xlfn.XMATCH(I$1&amp;"-"&amp;$F976,YEAR($B$2:$B$4001)&amp;"-"&amp;$A$2:$A$4001,0,-1)),H976))</f>
        <v>9</v>
      </c>
      <c r="J976" cm="1">
        <f t="array" ref="J976">IF(OR(AND(I976=9,J$1&gt;YEAR($N976))),9,_xlfn.IFNA(INDEX($D$2:$D$4001,_xlfn.XMATCH(J$1&amp;"-"&amp;$F976,YEAR($B$2:$B$4001)&amp;"-"&amp;$A$2:$A$4001,0,-1)),I976))</f>
        <v>9</v>
      </c>
      <c r="K976" cm="1">
        <f t="array" ref="K976">IF(OR(AND(J976=9,K$1&gt;YEAR($N976))),9,_xlfn.IFNA(INDEX($D$2:$D$4001,_xlfn.XMATCH(K$1&amp;"-"&amp;$F976,YEAR($B$2:$B$4001)&amp;"-"&amp;$A$2:$A$4001,0,-1)),J976))</f>
        <v>3</v>
      </c>
      <c r="L976" cm="1">
        <f t="array" ref="L976">IF(OR(AND(K976=9,L$1&gt;YEAR($N976))),9,_xlfn.IFNA(INDEX($D$2:$D$4001,_xlfn.XMATCH(L$1&amp;"-"&amp;$F976,YEAR($B$2:$B$4001)&amp;"-"&amp;$A$2:$A$4001,0,-1)),K976))</f>
        <v>3</v>
      </c>
      <c r="M976" cm="1">
        <f t="array" ref="M976">IF(OR(AND(L976=9,M$1&gt;YEAR($N976))),9,_xlfn.IFNA(INDEX($D$2:$D$4001,_xlfn.XMATCH(M$1&amp;"-"&amp;$F976,YEAR($B$2:$B$4001)&amp;"-"&amp;$A$2:$A$4001,0,-1)),L976))</f>
        <v>3</v>
      </c>
      <c r="N976" s="1">
        <f t="shared" si="15"/>
        <v>37915</v>
      </c>
    </row>
    <row r="977" spans="1:14" x14ac:dyDescent="0.35">
      <c r="A977">
        <v>471</v>
      </c>
      <c r="B977" s="2">
        <v>38189</v>
      </c>
      <c r="C977">
        <v>5</v>
      </c>
      <c r="D977">
        <v>5</v>
      </c>
      <c r="F977">
        <v>976</v>
      </c>
      <c r="G977" cm="1">
        <f t="array" ref="G977">_xlfn.IFNA(INDEX($D$2:$D$4001,_xlfn.XMATCH(G$1&amp;"-"&amp;$F977,YEAR($B$2:$B$4001)&amp;"-"&amp;$A$2:$A$4001,0,-1)),9)</f>
        <v>9</v>
      </c>
      <c r="H977" cm="1">
        <f t="array" ref="H977">IF(OR(AND(G977=9,H$1&gt;YEAR($N977))),9,_xlfn.IFNA(INDEX($D$2:$D$4001,_xlfn.XMATCH(H$1&amp;"-"&amp;$F977,YEAR($B$2:$B$4001)&amp;"-"&amp;$A$2:$A$4001,0,-1)),G977))</f>
        <v>9</v>
      </c>
      <c r="I977" cm="1">
        <f t="array" ref="I977">IF(OR(AND(H977=9,I$1&gt;YEAR($N977))),9,_xlfn.IFNA(INDEX($D$2:$D$4001,_xlfn.XMATCH(I$1&amp;"-"&amp;$F977,YEAR($B$2:$B$4001)&amp;"-"&amp;$A$2:$A$4001,0,-1)),H977))</f>
        <v>9</v>
      </c>
      <c r="J977" cm="1">
        <f t="array" ref="J977">IF(OR(AND(I977=9,J$1&gt;YEAR($N977))),9,_xlfn.IFNA(INDEX($D$2:$D$4001,_xlfn.XMATCH(J$1&amp;"-"&amp;$F977,YEAR($B$2:$B$4001)&amp;"-"&amp;$A$2:$A$4001,0,-1)),I977))</f>
        <v>9</v>
      </c>
      <c r="K977" cm="1">
        <f t="array" ref="K977">IF(OR(AND(J977=9,K$1&gt;YEAR($N977))),9,_xlfn.IFNA(INDEX($D$2:$D$4001,_xlfn.XMATCH(K$1&amp;"-"&amp;$F977,YEAR($B$2:$B$4001)&amp;"-"&amp;$A$2:$A$4001,0,-1)),J977))</f>
        <v>3</v>
      </c>
      <c r="L977" cm="1">
        <f t="array" ref="L977">IF(OR(AND(K977=9,L$1&gt;YEAR($N977))),9,_xlfn.IFNA(INDEX($D$2:$D$4001,_xlfn.XMATCH(L$1&amp;"-"&amp;$F977,YEAR($B$2:$B$4001)&amp;"-"&amp;$A$2:$A$4001,0,-1)),K977))</f>
        <v>3</v>
      </c>
      <c r="M977" cm="1">
        <f t="array" ref="M977">IF(OR(AND(L977=9,M$1&gt;YEAR($N977))),9,_xlfn.IFNA(INDEX($D$2:$D$4001,_xlfn.XMATCH(M$1&amp;"-"&amp;$F977,YEAR($B$2:$B$4001)&amp;"-"&amp;$A$2:$A$4001,0,-1)),L977))</f>
        <v>3</v>
      </c>
      <c r="N977" s="1">
        <f t="shared" si="15"/>
        <v>37985</v>
      </c>
    </row>
    <row r="978" spans="1:14" x14ac:dyDescent="0.35">
      <c r="A978">
        <v>472</v>
      </c>
      <c r="B978" s="2">
        <v>37041</v>
      </c>
      <c r="C978">
        <v>2</v>
      </c>
      <c r="D978">
        <v>2</v>
      </c>
      <c r="F978">
        <v>977</v>
      </c>
      <c r="G978" cm="1">
        <f t="array" ref="G978">_xlfn.IFNA(INDEX($D$2:$D$4001,_xlfn.XMATCH(G$1&amp;"-"&amp;$F978,YEAR($B$2:$B$4001)&amp;"-"&amp;$A$2:$A$4001,0,-1)),9)</f>
        <v>9</v>
      </c>
      <c r="H978" cm="1">
        <f t="array" ref="H978">IF(OR(AND(G978=9,H$1&gt;YEAR($N978))),9,_xlfn.IFNA(INDEX($D$2:$D$4001,_xlfn.XMATCH(H$1&amp;"-"&amp;$F978,YEAR($B$2:$B$4001)&amp;"-"&amp;$A$2:$A$4001,0,-1)),G978))</f>
        <v>9</v>
      </c>
      <c r="I978" cm="1">
        <f t="array" ref="I978">IF(OR(AND(H978=9,I$1&gt;YEAR($N978))),9,_xlfn.IFNA(INDEX($D$2:$D$4001,_xlfn.XMATCH(I$1&amp;"-"&amp;$F978,YEAR($B$2:$B$4001)&amp;"-"&amp;$A$2:$A$4001,0,-1)),H978))</f>
        <v>9</v>
      </c>
      <c r="J978" cm="1">
        <f t="array" ref="J978">IF(OR(AND(I978=9,J$1&gt;YEAR($N978))),9,_xlfn.IFNA(INDEX($D$2:$D$4001,_xlfn.XMATCH(J$1&amp;"-"&amp;$F978,YEAR($B$2:$B$4001)&amp;"-"&amp;$A$2:$A$4001,0,-1)),I978))</f>
        <v>4</v>
      </c>
      <c r="K978" cm="1">
        <f t="array" ref="K978">IF(OR(AND(J978=9,K$1&gt;YEAR($N978))),9,_xlfn.IFNA(INDEX($D$2:$D$4001,_xlfn.XMATCH(K$1&amp;"-"&amp;$F978,YEAR($B$2:$B$4001)&amp;"-"&amp;$A$2:$A$4001,0,-1)),J978))</f>
        <v>4</v>
      </c>
      <c r="L978" cm="1">
        <f t="array" ref="L978">IF(OR(AND(K978=9,L$1&gt;YEAR($N978))),9,_xlfn.IFNA(INDEX($D$2:$D$4001,_xlfn.XMATCH(L$1&amp;"-"&amp;$F978,YEAR($B$2:$B$4001)&amp;"-"&amp;$A$2:$A$4001,0,-1)),K978))</f>
        <v>4</v>
      </c>
      <c r="M978" cm="1">
        <f t="array" ref="M978">IF(OR(AND(L978=9,M$1&gt;YEAR($N978))),9,_xlfn.IFNA(INDEX($D$2:$D$4001,_xlfn.XMATCH(M$1&amp;"-"&amp;$F978,YEAR($B$2:$B$4001)&amp;"-"&amp;$A$2:$A$4001,0,-1)),L978))</f>
        <v>4</v>
      </c>
      <c r="N978" s="1">
        <f t="shared" si="15"/>
        <v>37406</v>
      </c>
    </row>
    <row r="979" spans="1:14" x14ac:dyDescent="0.35">
      <c r="A979">
        <v>472</v>
      </c>
      <c r="B979" s="2">
        <v>38686</v>
      </c>
      <c r="C979">
        <v>2</v>
      </c>
      <c r="D979">
        <v>2</v>
      </c>
      <c r="F979">
        <v>978</v>
      </c>
      <c r="G979" cm="1">
        <f t="array" ref="G979">_xlfn.IFNA(INDEX($D$2:$D$4001,_xlfn.XMATCH(G$1&amp;"-"&amp;$F979,YEAR($B$2:$B$4001)&amp;"-"&amp;$A$2:$A$4001,0,-1)),9)</f>
        <v>9</v>
      </c>
      <c r="H979" cm="1">
        <f t="array" ref="H979">IF(OR(AND(G979=9,H$1&gt;YEAR($N979))),9,_xlfn.IFNA(INDEX($D$2:$D$4001,_xlfn.XMATCH(H$1&amp;"-"&amp;$F979,YEAR($B$2:$B$4001)&amp;"-"&amp;$A$2:$A$4001,0,-1)),G979))</f>
        <v>2</v>
      </c>
      <c r="I979" cm="1">
        <f t="array" ref="I979">IF(OR(AND(H979=9,I$1&gt;YEAR($N979))),9,_xlfn.IFNA(INDEX($D$2:$D$4001,_xlfn.XMATCH(I$1&amp;"-"&amp;$F979,YEAR($B$2:$B$4001)&amp;"-"&amp;$A$2:$A$4001,0,-1)),H979))</f>
        <v>2</v>
      </c>
      <c r="J979" cm="1">
        <f t="array" ref="J979">IF(OR(AND(I979=9,J$1&gt;YEAR($N979))),9,_xlfn.IFNA(INDEX($D$2:$D$4001,_xlfn.XMATCH(J$1&amp;"-"&amp;$F979,YEAR($B$2:$B$4001)&amp;"-"&amp;$A$2:$A$4001,0,-1)),I979))</f>
        <v>2</v>
      </c>
      <c r="K979" cm="1">
        <f t="array" ref="K979">IF(OR(AND(J979=9,K$1&gt;YEAR($N979))),9,_xlfn.IFNA(INDEX($D$2:$D$4001,_xlfn.XMATCH(K$1&amp;"-"&amp;$F979,YEAR($B$2:$B$4001)&amp;"-"&amp;$A$2:$A$4001,0,-1)),J979))</f>
        <v>2</v>
      </c>
      <c r="L979" cm="1">
        <f t="array" ref="L979">IF(OR(AND(K979=9,L$1&gt;YEAR($N979))),9,_xlfn.IFNA(INDEX($D$2:$D$4001,_xlfn.XMATCH(L$1&amp;"-"&amp;$F979,YEAR($B$2:$B$4001)&amp;"-"&amp;$A$2:$A$4001,0,-1)),K979))</f>
        <v>2</v>
      </c>
      <c r="M979" cm="1">
        <f t="array" ref="M979">IF(OR(AND(L979=9,M$1&gt;YEAR($N979))),9,_xlfn.IFNA(INDEX($D$2:$D$4001,_xlfn.XMATCH(M$1&amp;"-"&amp;$F979,YEAR($B$2:$B$4001)&amp;"-"&amp;$A$2:$A$4001,0,-1)),L979))</f>
        <v>2</v>
      </c>
      <c r="N979" s="1">
        <f t="shared" si="15"/>
        <v>36890</v>
      </c>
    </row>
    <row r="980" spans="1:14" x14ac:dyDescent="0.35">
      <c r="A980">
        <v>473</v>
      </c>
      <c r="B980" s="2">
        <v>36402</v>
      </c>
      <c r="C980">
        <v>4</v>
      </c>
      <c r="D980">
        <v>4</v>
      </c>
      <c r="F980">
        <v>979</v>
      </c>
      <c r="G980" cm="1">
        <f t="array" ref="G980">_xlfn.IFNA(INDEX($D$2:$D$4001,_xlfn.XMATCH(G$1&amp;"-"&amp;$F980,YEAR($B$2:$B$4001)&amp;"-"&amp;$A$2:$A$4001,0,-1)),9)</f>
        <v>9</v>
      </c>
      <c r="H980" cm="1">
        <f t="array" ref="H980">IF(OR(AND(G980=9,H$1&gt;YEAR($N980))),9,_xlfn.IFNA(INDEX($D$2:$D$4001,_xlfn.XMATCH(H$1&amp;"-"&amp;$F980,YEAR($B$2:$B$4001)&amp;"-"&amp;$A$2:$A$4001,0,-1)),G980))</f>
        <v>9</v>
      </c>
      <c r="I980" cm="1">
        <f t="array" ref="I980">IF(OR(AND(H980=9,I$1&gt;YEAR($N980))),9,_xlfn.IFNA(INDEX($D$2:$D$4001,_xlfn.XMATCH(I$1&amp;"-"&amp;$F980,YEAR($B$2:$B$4001)&amp;"-"&amp;$A$2:$A$4001,0,-1)),H980))</f>
        <v>9</v>
      </c>
      <c r="J980" cm="1">
        <f t="array" ref="J980">IF(OR(AND(I980=9,J$1&gt;YEAR($N980))),9,_xlfn.IFNA(INDEX($D$2:$D$4001,_xlfn.XMATCH(J$1&amp;"-"&amp;$F980,YEAR($B$2:$B$4001)&amp;"-"&amp;$A$2:$A$4001,0,-1)),I980))</f>
        <v>9</v>
      </c>
      <c r="K980" cm="1">
        <f t="array" ref="K980">IF(OR(AND(J980=9,K$1&gt;YEAR($N980))),9,_xlfn.IFNA(INDEX($D$2:$D$4001,_xlfn.XMATCH(K$1&amp;"-"&amp;$F980,YEAR($B$2:$B$4001)&amp;"-"&amp;$A$2:$A$4001,0,-1)),J980))</f>
        <v>9</v>
      </c>
      <c r="L980" cm="1">
        <f t="array" ref="L980">IF(OR(AND(K980=9,L$1&gt;YEAR($N980))),9,_xlfn.IFNA(INDEX($D$2:$D$4001,_xlfn.XMATCH(L$1&amp;"-"&amp;$F980,YEAR($B$2:$B$4001)&amp;"-"&amp;$A$2:$A$4001,0,-1)),K980))</f>
        <v>5</v>
      </c>
      <c r="M980" cm="1">
        <f t="array" ref="M980">IF(OR(AND(L980=9,M$1&gt;YEAR($N980))),9,_xlfn.IFNA(INDEX($D$2:$D$4001,_xlfn.XMATCH(M$1&amp;"-"&amp;$F980,YEAR($B$2:$B$4001)&amp;"-"&amp;$A$2:$A$4001,0,-1)),L980))</f>
        <v>5</v>
      </c>
      <c r="N980" s="1">
        <f t="shared" si="15"/>
        <v>38281</v>
      </c>
    </row>
    <row r="981" spans="1:14" x14ac:dyDescent="0.35">
      <c r="A981">
        <v>473</v>
      </c>
      <c r="B981" s="2">
        <v>37131</v>
      </c>
      <c r="C981">
        <v>4</v>
      </c>
      <c r="D981">
        <v>4</v>
      </c>
      <c r="F981">
        <v>980</v>
      </c>
      <c r="G981" cm="1">
        <f t="array" ref="G981">_xlfn.IFNA(INDEX($D$2:$D$4001,_xlfn.XMATCH(G$1&amp;"-"&amp;$F981,YEAR($B$2:$B$4001)&amp;"-"&amp;$A$2:$A$4001,0,-1)),9)</f>
        <v>9</v>
      </c>
      <c r="H981" cm="1">
        <f t="array" ref="H981">IF(OR(AND(G981=9,H$1&gt;YEAR($N981))),9,_xlfn.IFNA(INDEX($D$2:$D$4001,_xlfn.XMATCH(H$1&amp;"-"&amp;$F981,YEAR($B$2:$B$4001)&amp;"-"&amp;$A$2:$A$4001,0,-1)),G981))</f>
        <v>9</v>
      </c>
      <c r="I981" cm="1">
        <f t="array" ref="I981">IF(OR(AND(H981=9,I$1&gt;YEAR($N981))),9,_xlfn.IFNA(INDEX($D$2:$D$4001,_xlfn.XMATCH(I$1&amp;"-"&amp;$F981,YEAR($B$2:$B$4001)&amp;"-"&amp;$A$2:$A$4001,0,-1)),H981))</f>
        <v>5</v>
      </c>
      <c r="J981" cm="1">
        <f t="array" ref="J981">IF(OR(AND(I981=9,J$1&gt;YEAR($N981))),9,_xlfn.IFNA(INDEX($D$2:$D$4001,_xlfn.XMATCH(J$1&amp;"-"&amp;$F981,YEAR($B$2:$B$4001)&amp;"-"&amp;$A$2:$A$4001,0,-1)),I981))</f>
        <v>0</v>
      </c>
      <c r="K981" cm="1">
        <f t="array" ref="K981">IF(OR(AND(J981=9,K$1&gt;YEAR($N981))),9,_xlfn.IFNA(INDEX($D$2:$D$4001,_xlfn.XMATCH(K$1&amp;"-"&amp;$F981,YEAR($B$2:$B$4001)&amp;"-"&amp;$A$2:$A$4001,0,-1)),J981))</f>
        <v>0</v>
      </c>
      <c r="L981" cm="1">
        <f t="array" ref="L981">IF(OR(AND(K981=9,L$1&gt;YEAR($N981))),9,_xlfn.IFNA(INDEX($D$2:$D$4001,_xlfn.XMATCH(L$1&amp;"-"&amp;$F981,YEAR($B$2:$B$4001)&amp;"-"&amp;$A$2:$A$4001,0,-1)),K981))</f>
        <v>0</v>
      </c>
      <c r="M981" cm="1">
        <f t="array" ref="M981">IF(OR(AND(L981=9,M$1&gt;YEAR($N981))),9,_xlfn.IFNA(INDEX($D$2:$D$4001,_xlfn.XMATCH(M$1&amp;"-"&amp;$F981,YEAR($B$2:$B$4001)&amp;"-"&amp;$A$2:$A$4001,0,-1)),L981))</f>
        <v>0</v>
      </c>
      <c r="N981" s="1">
        <f t="shared" si="15"/>
        <v>37255</v>
      </c>
    </row>
    <row r="982" spans="1:14" x14ac:dyDescent="0.35">
      <c r="A982">
        <v>473</v>
      </c>
      <c r="B982" s="2">
        <v>37762</v>
      </c>
      <c r="C982">
        <v>4</v>
      </c>
      <c r="D982">
        <v>4</v>
      </c>
      <c r="F982">
        <v>981</v>
      </c>
      <c r="G982" cm="1">
        <f t="array" ref="G982">_xlfn.IFNA(INDEX($D$2:$D$4001,_xlfn.XMATCH(G$1&amp;"-"&amp;$F982,YEAR($B$2:$B$4001)&amp;"-"&amp;$A$2:$A$4001,0,-1)),9)</f>
        <v>4</v>
      </c>
      <c r="H982" cm="1">
        <f t="array" ref="H982">IF(OR(AND(G982=9,H$1&gt;YEAR($N982))),9,_xlfn.IFNA(INDEX($D$2:$D$4001,_xlfn.XMATCH(H$1&amp;"-"&amp;$F982,YEAR($B$2:$B$4001)&amp;"-"&amp;$A$2:$A$4001,0,-1)),G982))</f>
        <v>3</v>
      </c>
      <c r="I982" cm="1">
        <f t="array" ref="I982">IF(OR(AND(H982=9,I$1&gt;YEAR($N982))),9,_xlfn.IFNA(INDEX($D$2:$D$4001,_xlfn.XMATCH(I$1&amp;"-"&amp;$F982,YEAR($B$2:$B$4001)&amp;"-"&amp;$A$2:$A$4001,0,-1)),H982))</f>
        <v>3</v>
      </c>
      <c r="J982" cm="1">
        <f t="array" ref="J982">IF(OR(AND(I982=9,J$1&gt;YEAR($N982))),9,_xlfn.IFNA(INDEX($D$2:$D$4001,_xlfn.XMATCH(J$1&amp;"-"&amp;$F982,YEAR($B$2:$B$4001)&amp;"-"&amp;$A$2:$A$4001,0,-1)),I982))</f>
        <v>3</v>
      </c>
      <c r="K982" cm="1">
        <f t="array" ref="K982">IF(OR(AND(J982=9,K$1&gt;YEAR($N982))),9,_xlfn.IFNA(INDEX($D$2:$D$4001,_xlfn.XMATCH(K$1&amp;"-"&amp;$F982,YEAR($B$2:$B$4001)&amp;"-"&amp;$A$2:$A$4001,0,-1)),J982))</f>
        <v>3</v>
      </c>
      <c r="L982" cm="1">
        <f t="array" ref="L982">IF(OR(AND(K982=9,L$1&gt;YEAR($N982))),9,_xlfn.IFNA(INDEX($D$2:$D$4001,_xlfn.XMATCH(L$1&amp;"-"&amp;$F982,YEAR($B$2:$B$4001)&amp;"-"&amp;$A$2:$A$4001,0,-1)),K982))</f>
        <v>3</v>
      </c>
      <c r="M982" cm="1">
        <f t="array" ref="M982">IF(OR(AND(L982=9,M$1&gt;YEAR($N982))),9,_xlfn.IFNA(INDEX($D$2:$D$4001,_xlfn.XMATCH(M$1&amp;"-"&amp;$F982,YEAR($B$2:$B$4001)&amp;"-"&amp;$A$2:$A$4001,0,-1)),L982))</f>
        <v>3</v>
      </c>
      <c r="N982" s="1">
        <f t="shared" si="15"/>
        <v>36301</v>
      </c>
    </row>
    <row r="983" spans="1:14" x14ac:dyDescent="0.35">
      <c r="A983">
        <v>474</v>
      </c>
      <c r="B983" s="2">
        <v>36676</v>
      </c>
      <c r="C983">
        <v>6</v>
      </c>
      <c r="D983">
        <v>6</v>
      </c>
      <c r="F983">
        <v>982</v>
      </c>
      <c r="G983" cm="1">
        <f t="array" ref="G983">_xlfn.IFNA(INDEX($D$2:$D$4001,_xlfn.XMATCH(G$1&amp;"-"&amp;$F983,YEAR($B$2:$B$4001)&amp;"-"&amp;$A$2:$A$4001,0,-1)),9)</f>
        <v>3</v>
      </c>
      <c r="H983" cm="1">
        <f t="array" ref="H983">IF(OR(AND(G983=9,H$1&gt;YEAR($N983))),9,_xlfn.IFNA(INDEX($D$2:$D$4001,_xlfn.XMATCH(H$1&amp;"-"&amp;$F983,YEAR($B$2:$B$4001)&amp;"-"&amp;$A$2:$A$4001,0,-1)),G983))</f>
        <v>3</v>
      </c>
      <c r="I983" cm="1">
        <f t="array" ref="I983">IF(OR(AND(H983=9,I$1&gt;YEAR($N983))),9,_xlfn.IFNA(INDEX($D$2:$D$4001,_xlfn.XMATCH(I$1&amp;"-"&amp;$F983,YEAR($B$2:$B$4001)&amp;"-"&amp;$A$2:$A$4001,0,-1)),H983))</f>
        <v>3</v>
      </c>
      <c r="J983" cm="1">
        <f t="array" ref="J983">IF(OR(AND(I983=9,J$1&gt;YEAR($N983))),9,_xlfn.IFNA(INDEX($D$2:$D$4001,_xlfn.XMATCH(J$1&amp;"-"&amp;$F983,YEAR($B$2:$B$4001)&amp;"-"&amp;$A$2:$A$4001,0,-1)),I983))</f>
        <v>3</v>
      </c>
      <c r="K983" cm="1">
        <f t="array" ref="K983">IF(OR(AND(J983=9,K$1&gt;YEAR($N983))),9,_xlfn.IFNA(INDEX($D$2:$D$4001,_xlfn.XMATCH(K$1&amp;"-"&amp;$F983,YEAR($B$2:$B$4001)&amp;"-"&amp;$A$2:$A$4001,0,-1)),J983))</f>
        <v>3</v>
      </c>
      <c r="L983" cm="1">
        <f t="array" ref="L983">IF(OR(AND(K983=9,L$1&gt;YEAR($N983))),9,_xlfn.IFNA(INDEX($D$2:$D$4001,_xlfn.XMATCH(L$1&amp;"-"&amp;$F983,YEAR($B$2:$B$4001)&amp;"-"&amp;$A$2:$A$4001,0,-1)),K983))</f>
        <v>3</v>
      </c>
      <c r="M983" cm="1">
        <f t="array" ref="M983">IF(OR(AND(L983=9,M$1&gt;YEAR($N983))),9,_xlfn.IFNA(INDEX($D$2:$D$4001,_xlfn.XMATCH(M$1&amp;"-"&amp;$F983,YEAR($B$2:$B$4001)&amp;"-"&amp;$A$2:$A$4001,0,-1)),L983))</f>
        <v>3</v>
      </c>
      <c r="N983" s="1">
        <f t="shared" si="15"/>
        <v>36485</v>
      </c>
    </row>
    <row r="984" spans="1:14" x14ac:dyDescent="0.35">
      <c r="A984">
        <v>474</v>
      </c>
      <c r="B984" s="2">
        <v>37559</v>
      </c>
      <c r="C984">
        <v>6</v>
      </c>
      <c r="D984">
        <v>6</v>
      </c>
      <c r="F984">
        <v>983</v>
      </c>
      <c r="G984" cm="1">
        <f t="array" ref="G984">_xlfn.IFNA(INDEX($D$2:$D$4001,_xlfn.XMATCH(G$1&amp;"-"&amp;$F984,YEAR($B$2:$B$4001)&amp;"-"&amp;$A$2:$A$4001,0,-1)),9)</f>
        <v>9</v>
      </c>
      <c r="H984" cm="1">
        <f t="array" ref="H984">IF(OR(AND(G984=9,H$1&gt;YEAR($N984))),9,_xlfn.IFNA(INDEX($D$2:$D$4001,_xlfn.XMATCH(H$1&amp;"-"&amp;$F984,YEAR($B$2:$B$4001)&amp;"-"&amp;$A$2:$A$4001,0,-1)),G984))</f>
        <v>9</v>
      </c>
      <c r="I984" cm="1">
        <f t="array" ref="I984">IF(OR(AND(H984=9,I$1&gt;YEAR($N984))),9,_xlfn.IFNA(INDEX($D$2:$D$4001,_xlfn.XMATCH(I$1&amp;"-"&amp;$F984,YEAR($B$2:$B$4001)&amp;"-"&amp;$A$2:$A$4001,0,-1)),H984))</f>
        <v>4</v>
      </c>
      <c r="J984" cm="1">
        <f t="array" ref="J984">IF(OR(AND(I984=9,J$1&gt;YEAR($N984))),9,_xlfn.IFNA(INDEX($D$2:$D$4001,_xlfn.XMATCH(J$1&amp;"-"&amp;$F984,YEAR($B$2:$B$4001)&amp;"-"&amp;$A$2:$A$4001,0,-1)),I984))</f>
        <v>4</v>
      </c>
      <c r="K984" cm="1">
        <f t="array" ref="K984">IF(OR(AND(J984=9,K$1&gt;YEAR($N984))),9,_xlfn.IFNA(INDEX($D$2:$D$4001,_xlfn.XMATCH(K$1&amp;"-"&amp;$F984,YEAR($B$2:$B$4001)&amp;"-"&amp;$A$2:$A$4001,0,-1)),J984))</f>
        <v>4</v>
      </c>
      <c r="L984" cm="1">
        <f t="array" ref="L984">IF(OR(AND(K984=9,L$1&gt;YEAR($N984))),9,_xlfn.IFNA(INDEX($D$2:$D$4001,_xlfn.XMATCH(L$1&amp;"-"&amp;$F984,YEAR($B$2:$B$4001)&amp;"-"&amp;$A$2:$A$4001,0,-1)),K984))</f>
        <v>4</v>
      </c>
      <c r="M984" cm="1">
        <f t="array" ref="M984">IF(OR(AND(L984=9,M$1&gt;YEAR($N984))),9,_xlfn.IFNA(INDEX($D$2:$D$4001,_xlfn.XMATCH(M$1&amp;"-"&amp;$F984,YEAR($B$2:$B$4001)&amp;"-"&amp;$A$2:$A$4001,0,-1)),L984))</f>
        <v>4</v>
      </c>
      <c r="N984" s="1">
        <f t="shared" si="15"/>
        <v>37164</v>
      </c>
    </row>
    <row r="985" spans="1:14" x14ac:dyDescent="0.35">
      <c r="A985">
        <v>474</v>
      </c>
      <c r="B985" s="2">
        <v>38251</v>
      </c>
      <c r="C985">
        <v>6</v>
      </c>
      <c r="D985">
        <v>6</v>
      </c>
      <c r="F985">
        <v>984</v>
      </c>
      <c r="G985" cm="1">
        <f t="array" ref="G985">_xlfn.IFNA(INDEX($D$2:$D$4001,_xlfn.XMATCH(G$1&amp;"-"&amp;$F985,YEAR($B$2:$B$4001)&amp;"-"&amp;$A$2:$A$4001,0,-1)),9)</f>
        <v>9</v>
      </c>
      <c r="H985" cm="1">
        <f t="array" ref="H985">IF(OR(AND(G985=9,H$1&gt;YEAR($N985))),9,_xlfn.IFNA(INDEX($D$2:$D$4001,_xlfn.XMATCH(H$1&amp;"-"&amp;$F985,YEAR($B$2:$B$4001)&amp;"-"&amp;$A$2:$A$4001,0,-1)),G985))</f>
        <v>9</v>
      </c>
      <c r="I985" cm="1">
        <f t="array" ref="I985">IF(OR(AND(H985=9,I$1&gt;YEAR($N985))),9,_xlfn.IFNA(INDEX($D$2:$D$4001,_xlfn.XMATCH(I$1&amp;"-"&amp;$F985,YEAR($B$2:$B$4001)&amp;"-"&amp;$A$2:$A$4001,0,-1)),H985))</f>
        <v>3</v>
      </c>
      <c r="J985" cm="1">
        <f t="array" ref="J985">IF(OR(AND(I985=9,J$1&gt;YEAR($N985))),9,_xlfn.IFNA(INDEX($D$2:$D$4001,_xlfn.XMATCH(J$1&amp;"-"&amp;$F985,YEAR($B$2:$B$4001)&amp;"-"&amp;$A$2:$A$4001,0,-1)),I985))</f>
        <v>3</v>
      </c>
      <c r="K985" cm="1">
        <f t="array" ref="K985">IF(OR(AND(J985=9,K$1&gt;YEAR($N985))),9,_xlfn.IFNA(INDEX($D$2:$D$4001,_xlfn.XMATCH(K$1&amp;"-"&amp;$F985,YEAR($B$2:$B$4001)&amp;"-"&amp;$A$2:$A$4001,0,-1)),J985))</f>
        <v>3</v>
      </c>
      <c r="L985" cm="1">
        <f t="array" ref="L985">IF(OR(AND(K985=9,L$1&gt;YEAR($N985))),9,_xlfn.IFNA(INDEX($D$2:$D$4001,_xlfn.XMATCH(L$1&amp;"-"&amp;$F985,YEAR($B$2:$B$4001)&amp;"-"&amp;$A$2:$A$4001,0,-1)),K985))</f>
        <v>3</v>
      </c>
      <c r="M985" cm="1">
        <f t="array" ref="M985">IF(OR(AND(L985=9,M$1&gt;YEAR($N985))),9,_xlfn.IFNA(INDEX($D$2:$D$4001,_xlfn.XMATCH(M$1&amp;"-"&amp;$F985,YEAR($B$2:$B$4001)&amp;"-"&amp;$A$2:$A$4001,0,-1)),L985))</f>
        <v>3</v>
      </c>
      <c r="N985" s="1">
        <f t="shared" si="15"/>
        <v>37041</v>
      </c>
    </row>
    <row r="986" spans="1:14" x14ac:dyDescent="0.35">
      <c r="A986">
        <v>475</v>
      </c>
      <c r="B986" s="2">
        <v>38220</v>
      </c>
      <c r="C986">
        <v>2</v>
      </c>
      <c r="D986">
        <v>2</v>
      </c>
      <c r="F986">
        <v>985</v>
      </c>
      <c r="G986" cm="1">
        <f t="array" ref="G986">_xlfn.IFNA(INDEX($D$2:$D$4001,_xlfn.XMATCH(G$1&amp;"-"&amp;$F986,YEAR($B$2:$B$4001)&amp;"-"&amp;$A$2:$A$4001,0,-1)),9)</f>
        <v>9</v>
      </c>
      <c r="H986" cm="1">
        <f t="array" ref="H986">IF(OR(AND(G986=9,H$1&gt;YEAR($N986))),9,_xlfn.IFNA(INDEX($D$2:$D$4001,_xlfn.XMATCH(H$1&amp;"-"&amp;$F986,YEAR($B$2:$B$4001)&amp;"-"&amp;$A$2:$A$4001,0,-1)),G986))</f>
        <v>9</v>
      </c>
      <c r="I986" cm="1">
        <f t="array" ref="I986">IF(OR(AND(H986=9,I$1&gt;YEAR($N986))),9,_xlfn.IFNA(INDEX($D$2:$D$4001,_xlfn.XMATCH(I$1&amp;"-"&amp;$F986,YEAR($B$2:$B$4001)&amp;"-"&amp;$A$2:$A$4001,0,-1)),H986))</f>
        <v>9</v>
      </c>
      <c r="J986" cm="1">
        <f t="array" ref="J986">IF(OR(AND(I986=9,J$1&gt;YEAR($N986))),9,_xlfn.IFNA(INDEX($D$2:$D$4001,_xlfn.XMATCH(J$1&amp;"-"&amp;$F986,YEAR($B$2:$B$4001)&amp;"-"&amp;$A$2:$A$4001,0,-1)),I986))</f>
        <v>3</v>
      </c>
      <c r="K986" cm="1">
        <f t="array" ref="K986">IF(OR(AND(J986=9,K$1&gt;YEAR($N986))),9,_xlfn.IFNA(INDEX($D$2:$D$4001,_xlfn.XMATCH(K$1&amp;"-"&amp;$F986,YEAR($B$2:$B$4001)&amp;"-"&amp;$A$2:$A$4001,0,-1)),J986))</f>
        <v>2</v>
      </c>
      <c r="L986" cm="1">
        <f t="array" ref="L986">IF(OR(AND(K986=9,L$1&gt;YEAR($N986))),9,_xlfn.IFNA(INDEX($D$2:$D$4001,_xlfn.XMATCH(L$1&amp;"-"&amp;$F986,YEAR($B$2:$B$4001)&amp;"-"&amp;$A$2:$A$4001,0,-1)),K986))</f>
        <v>2</v>
      </c>
      <c r="M986" cm="1">
        <f t="array" ref="M986">IF(OR(AND(L986=9,M$1&gt;YEAR($N986))),9,_xlfn.IFNA(INDEX($D$2:$D$4001,_xlfn.XMATCH(M$1&amp;"-"&amp;$F986,YEAR($B$2:$B$4001)&amp;"-"&amp;$A$2:$A$4001,0,-1)),L986))</f>
        <v>2</v>
      </c>
      <c r="N986" s="1">
        <f t="shared" si="15"/>
        <v>37498</v>
      </c>
    </row>
    <row r="987" spans="1:14" x14ac:dyDescent="0.35">
      <c r="A987">
        <v>476</v>
      </c>
      <c r="B987" s="2">
        <v>36860</v>
      </c>
      <c r="C987">
        <v>4</v>
      </c>
      <c r="D987">
        <v>4</v>
      </c>
      <c r="F987">
        <v>986</v>
      </c>
      <c r="G987" cm="1">
        <f t="array" ref="G987">_xlfn.IFNA(INDEX($D$2:$D$4001,_xlfn.XMATCH(G$1&amp;"-"&amp;$F987,YEAR($B$2:$B$4001)&amp;"-"&amp;$A$2:$A$4001,0,-1)),9)</f>
        <v>9</v>
      </c>
      <c r="H987" cm="1">
        <f t="array" ref="H987">IF(OR(AND(G987=9,H$1&gt;YEAR($N987))),9,_xlfn.IFNA(INDEX($D$2:$D$4001,_xlfn.XMATCH(H$1&amp;"-"&amp;$F987,YEAR($B$2:$B$4001)&amp;"-"&amp;$A$2:$A$4001,0,-1)),G987))</f>
        <v>9</v>
      </c>
      <c r="I987" cm="1">
        <f t="array" ref="I987">IF(OR(AND(H987=9,I$1&gt;YEAR($N987))),9,_xlfn.IFNA(INDEX($D$2:$D$4001,_xlfn.XMATCH(I$1&amp;"-"&amp;$F987,YEAR($B$2:$B$4001)&amp;"-"&amp;$A$2:$A$4001,0,-1)),H987))</f>
        <v>9</v>
      </c>
      <c r="J987" cm="1">
        <f t="array" ref="J987">IF(OR(AND(I987=9,J$1&gt;YEAR($N987))),9,_xlfn.IFNA(INDEX($D$2:$D$4001,_xlfn.XMATCH(J$1&amp;"-"&amp;$F987,YEAR($B$2:$B$4001)&amp;"-"&amp;$A$2:$A$4001,0,-1)),I987))</f>
        <v>2</v>
      </c>
      <c r="K987" cm="1">
        <f t="array" ref="K987">IF(OR(AND(J987=9,K$1&gt;YEAR($N987))),9,_xlfn.IFNA(INDEX($D$2:$D$4001,_xlfn.XMATCH(K$1&amp;"-"&amp;$F987,YEAR($B$2:$B$4001)&amp;"-"&amp;$A$2:$A$4001,0,-1)),J987))</f>
        <v>2</v>
      </c>
      <c r="L987" cm="1">
        <f t="array" ref="L987">IF(OR(AND(K987=9,L$1&gt;YEAR($N987))),9,_xlfn.IFNA(INDEX($D$2:$D$4001,_xlfn.XMATCH(L$1&amp;"-"&amp;$F987,YEAR($B$2:$B$4001)&amp;"-"&amp;$A$2:$A$4001,0,-1)),K987))</f>
        <v>2</v>
      </c>
      <c r="M987" cm="1">
        <f t="array" ref="M987">IF(OR(AND(L987=9,M$1&gt;YEAR($N987))),9,_xlfn.IFNA(INDEX($D$2:$D$4001,_xlfn.XMATCH(M$1&amp;"-"&amp;$F987,YEAR($B$2:$B$4001)&amp;"-"&amp;$A$2:$A$4001,0,-1)),L987))</f>
        <v>2</v>
      </c>
      <c r="N987" s="1">
        <f t="shared" si="15"/>
        <v>37458</v>
      </c>
    </row>
    <row r="988" spans="1:14" x14ac:dyDescent="0.35">
      <c r="A988">
        <v>476</v>
      </c>
      <c r="B988" s="2">
        <v>37185</v>
      </c>
      <c r="C988">
        <v>4</v>
      </c>
      <c r="D988">
        <v>4</v>
      </c>
      <c r="F988">
        <v>987</v>
      </c>
      <c r="G988" cm="1">
        <f t="array" ref="G988">_xlfn.IFNA(INDEX($D$2:$D$4001,_xlfn.XMATCH(G$1&amp;"-"&amp;$F988,YEAR($B$2:$B$4001)&amp;"-"&amp;$A$2:$A$4001,0,-1)),9)</f>
        <v>9</v>
      </c>
      <c r="H988" cm="1">
        <f t="array" ref="H988">IF(OR(AND(G988=9,H$1&gt;YEAR($N988))),9,_xlfn.IFNA(INDEX($D$2:$D$4001,_xlfn.XMATCH(H$1&amp;"-"&amp;$F988,YEAR($B$2:$B$4001)&amp;"-"&amp;$A$2:$A$4001,0,-1)),G988))</f>
        <v>9</v>
      </c>
      <c r="I988" cm="1">
        <f t="array" ref="I988">IF(OR(AND(H988=9,I$1&gt;YEAR($N988))),9,_xlfn.IFNA(INDEX($D$2:$D$4001,_xlfn.XMATCH(I$1&amp;"-"&amp;$F988,YEAR($B$2:$B$4001)&amp;"-"&amp;$A$2:$A$4001,0,-1)),H988))</f>
        <v>9</v>
      </c>
      <c r="J988" cm="1">
        <f t="array" ref="J988">IF(OR(AND(I988=9,J$1&gt;YEAR($N988))),9,_xlfn.IFNA(INDEX($D$2:$D$4001,_xlfn.XMATCH(J$1&amp;"-"&amp;$F988,YEAR($B$2:$B$4001)&amp;"-"&amp;$A$2:$A$4001,0,-1)),I988))</f>
        <v>9</v>
      </c>
      <c r="K988" cm="1">
        <f t="array" ref="K988">IF(OR(AND(J988=9,K$1&gt;YEAR($N988))),9,_xlfn.IFNA(INDEX($D$2:$D$4001,_xlfn.XMATCH(K$1&amp;"-"&amp;$F988,YEAR($B$2:$B$4001)&amp;"-"&amp;$A$2:$A$4001,0,-1)),J988))</f>
        <v>9</v>
      </c>
      <c r="L988" cm="1">
        <f t="array" ref="L988">IF(OR(AND(K988=9,L$1&gt;YEAR($N988))),9,_xlfn.IFNA(INDEX($D$2:$D$4001,_xlfn.XMATCH(L$1&amp;"-"&amp;$F988,YEAR($B$2:$B$4001)&amp;"-"&amp;$A$2:$A$4001,0,-1)),K988))</f>
        <v>2</v>
      </c>
      <c r="M988" cm="1">
        <f t="array" ref="M988">IF(OR(AND(L988=9,M$1&gt;YEAR($N988))),9,_xlfn.IFNA(INDEX($D$2:$D$4001,_xlfn.XMATCH(M$1&amp;"-"&amp;$F988,YEAR($B$2:$B$4001)&amp;"-"&amp;$A$2:$A$4001,0,-1)),L988))</f>
        <v>2</v>
      </c>
      <c r="N988" s="1">
        <f t="shared" si="15"/>
        <v>38198</v>
      </c>
    </row>
    <row r="989" spans="1:14" x14ac:dyDescent="0.35">
      <c r="A989">
        <v>476</v>
      </c>
      <c r="B989" s="2">
        <v>38351</v>
      </c>
      <c r="C989">
        <v>3</v>
      </c>
      <c r="D989">
        <v>3</v>
      </c>
      <c r="F989">
        <v>988</v>
      </c>
      <c r="G989" cm="1">
        <f t="array" ref="G989">_xlfn.IFNA(INDEX($D$2:$D$4001,_xlfn.XMATCH(G$1&amp;"-"&amp;$F989,YEAR($B$2:$B$4001)&amp;"-"&amp;$A$2:$A$4001,0,-1)),9)</f>
        <v>9</v>
      </c>
      <c r="H989" cm="1">
        <f t="array" ref="H989">IF(OR(AND(G989=9,H$1&gt;YEAR($N989))),9,_xlfn.IFNA(INDEX($D$2:$D$4001,_xlfn.XMATCH(H$1&amp;"-"&amp;$F989,YEAR($B$2:$B$4001)&amp;"-"&amp;$A$2:$A$4001,0,-1)),G989))</f>
        <v>4</v>
      </c>
      <c r="I989" cm="1">
        <f t="array" ref="I989">IF(OR(AND(H989=9,I$1&gt;YEAR($N989))),9,_xlfn.IFNA(INDEX($D$2:$D$4001,_xlfn.XMATCH(I$1&amp;"-"&amp;$F989,YEAR($B$2:$B$4001)&amp;"-"&amp;$A$2:$A$4001,0,-1)),H989))</f>
        <v>4</v>
      </c>
      <c r="J989" cm="1">
        <f t="array" ref="J989">IF(OR(AND(I989=9,J$1&gt;YEAR($N989))),9,_xlfn.IFNA(INDEX($D$2:$D$4001,_xlfn.XMATCH(J$1&amp;"-"&amp;$F989,YEAR($B$2:$B$4001)&amp;"-"&amp;$A$2:$A$4001,0,-1)),I989))</f>
        <v>4</v>
      </c>
      <c r="K989" cm="1">
        <f t="array" ref="K989">IF(OR(AND(J989=9,K$1&gt;YEAR($N989))),9,_xlfn.IFNA(INDEX($D$2:$D$4001,_xlfn.XMATCH(K$1&amp;"-"&amp;$F989,YEAR($B$2:$B$4001)&amp;"-"&amp;$A$2:$A$4001,0,-1)),J989))</f>
        <v>4</v>
      </c>
      <c r="L989" cm="1">
        <f t="array" ref="L989">IF(OR(AND(K989=9,L$1&gt;YEAR($N989))),9,_xlfn.IFNA(INDEX($D$2:$D$4001,_xlfn.XMATCH(L$1&amp;"-"&amp;$F989,YEAR($B$2:$B$4001)&amp;"-"&amp;$A$2:$A$4001,0,-1)),K989))</f>
        <v>4</v>
      </c>
      <c r="M989" cm="1">
        <f t="array" ref="M989">IF(OR(AND(L989=9,M$1&gt;YEAR($N989))),9,_xlfn.IFNA(INDEX($D$2:$D$4001,_xlfn.XMATCH(M$1&amp;"-"&amp;$F989,YEAR($B$2:$B$4001)&amp;"-"&amp;$A$2:$A$4001,0,-1)),L989))</f>
        <v>4</v>
      </c>
      <c r="N989" s="1">
        <f t="shared" si="15"/>
        <v>36890</v>
      </c>
    </row>
    <row r="990" spans="1:14" x14ac:dyDescent="0.35">
      <c r="A990">
        <v>477</v>
      </c>
      <c r="B990" s="2">
        <v>37406</v>
      </c>
      <c r="C990">
        <v>2</v>
      </c>
      <c r="D990">
        <v>2</v>
      </c>
      <c r="F990">
        <v>989</v>
      </c>
      <c r="G990" cm="1">
        <f t="array" ref="G990">_xlfn.IFNA(INDEX($D$2:$D$4001,_xlfn.XMATCH(G$1&amp;"-"&amp;$F990,YEAR($B$2:$B$4001)&amp;"-"&amp;$A$2:$A$4001,0,-1)),9)</f>
        <v>9</v>
      </c>
      <c r="H990" cm="1">
        <f t="array" ref="H990">IF(OR(AND(G990=9,H$1&gt;YEAR($N990))),9,_xlfn.IFNA(INDEX($D$2:$D$4001,_xlfn.XMATCH(H$1&amp;"-"&amp;$F990,YEAR($B$2:$B$4001)&amp;"-"&amp;$A$2:$A$4001,0,-1)),G990))</f>
        <v>9</v>
      </c>
      <c r="I990" cm="1">
        <f t="array" ref="I990">IF(OR(AND(H990=9,I$1&gt;YEAR($N990))),9,_xlfn.IFNA(INDEX($D$2:$D$4001,_xlfn.XMATCH(I$1&amp;"-"&amp;$F990,YEAR($B$2:$B$4001)&amp;"-"&amp;$A$2:$A$4001,0,-1)),H990))</f>
        <v>9</v>
      </c>
      <c r="J990" cm="1">
        <f t="array" ref="J990">IF(OR(AND(I990=9,J$1&gt;YEAR($N990))),9,_xlfn.IFNA(INDEX($D$2:$D$4001,_xlfn.XMATCH(J$1&amp;"-"&amp;$F990,YEAR($B$2:$B$4001)&amp;"-"&amp;$A$2:$A$4001,0,-1)),I990))</f>
        <v>9</v>
      </c>
      <c r="K990" cm="1">
        <f t="array" ref="K990">IF(OR(AND(J990=9,K$1&gt;YEAR($N990))),9,_xlfn.IFNA(INDEX($D$2:$D$4001,_xlfn.XMATCH(K$1&amp;"-"&amp;$F990,YEAR($B$2:$B$4001)&amp;"-"&amp;$A$2:$A$4001,0,-1)),J990))</f>
        <v>0</v>
      </c>
      <c r="L990" cm="1">
        <f t="array" ref="L990">IF(OR(AND(K990=9,L$1&gt;YEAR($N990))),9,_xlfn.IFNA(INDEX($D$2:$D$4001,_xlfn.XMATCH(L$1&amp;"-"&amp;$F990,YEAR($B$2:$B$4001)&amp;"-"&amp;$A$2:$A$4001,0,-1)),K990))</f>
        <v>0</v>
      </c>
      <c r="M990" cm="1">
        <f t="array" ref="M990">IF(OR(AND(L990=9,M$1&gt;YEAR($N990))),9,_xlfn.IFNA(INDEX($D$2:$D$4001,_xlfn.XMATCH(M$1&amp;"-"&amp;$F990,YEAR($B$2:$B$4001)&amp;"-"&amp;$A$2:$A$4001,0,-1)),L990))</f>
        <v>0</v>
      </c>
      <c r="N990" s="1">
        <f t="shared" si="15"/>
        <v>37762</v>
      </c>
    </row>
    <row r="991" spans="1:14" x14ac:dyDescent="0.35">
      <c r="A991">
        <v>477</v>
      </c>
      <c r="B991" s="2">
        <v>37762</v>
      </c>
      <c r="C991">
        <v>3</v>
      </c>
      <c r="D991">
        <v>3</v>
      </c>
      <c r="F991">
        <v>990</v>
      </c>
      <c r="G991" cm="1">
        <f t="array" ref="G991">_xlfn.IFNA(INDEX($D$2:$D$4001,_xlfn.XMATCH(G$1&amp;"-"&amp;$F991,YEAR($B$2:$B$4001)&amp;"-"&amp;$A$2:$A$4001,0,-1)),9)</f>
        <v>4</v>
      </c>
      <c r="H991" cm="1">
        <f t="array" ref="H991">IF(OR(AND(G991=9,H$1&gt;YEAR($N991))),9,_xlfn.IFNA(INDEX($D$2:$D$4001,_xlfn.XMATCH(H$1&amp;"-"&amp;$F991,YEAR($B$2:$B$4001)&amp;"-"&amp;$A$2:$A$4001,0,-1)),G991))</f>
        <v>3</v>
      </c>
      <c r="I991" cm="1">
        <f t="array" ref="I991">IF(OR(AND(H991=9,I$1&gt;YEAR($N991))),9,_xlfn.IFNA(INDEX($D$2:$D$4001,_xlfn.XMATCH(I$1&amp;"-"&amp;$F991,YEAR($B$2:$B$4001)&amp;"-"&amp;$A$2:$A$4001,0,-1)),H991))</f>
        <v>3</v>
      </c>
      <c r="J991" cm="1">
        <f t="array" ref="J991">IF(OR(AND(I991=9,J$1&gt;YEAR($N991))),9,_xlfn.IFNA(INDEX($D$2:$D$4001,_xlfn.XMATCH(J$1&amp;"-"&amp;$F991,YEAR($B$2:$B$4001)&amp;"-"&amp;$A$2:$A$4001,0,-1)),I991))</f>
        <v>0</v>
      </c>
      <c r="K991" cm="1">
        <f t="array" ref="K991">IF(OR(AND(J991=9,K$1&gt;YEAR($N991))),9,_xlfn.IFNA(INDEX($D$2:$D$4001,_xlfn.XMATCH(K$1&amp;"-"&amp;$F991,YEAR($B$2:$B$4001)&amp;"-"&amp;$A$2:$A$4001,0,-1)),J991))</f>
        <v>0</v>
      </c>
      <c r="L991" cm="1">
        <f t="array" ref="L991">IF(OR(AND(K991=9,L$1&gt;YEAR($N991))),9,_xlfn.IFNA(INDEX($D$2:$D$4001,_xlfn.XMATCH(L$1&amp;"-"&amp;$F991,YEAR($B$2:$B$4001)&amp;"-"&amp;$A$2:$A$4001,0,-1)),K991))</f>
        <v>0</v>
      </c>
      <c r="M991" cm="1">
        <f t="array" ref="M991">IF(OR(AND(L991=9,M$1&gt;YEAR($N991))),9,_xlfn.IFNA(INDEX($D$2:$D$4001,_xlfn.XMATCH(M$1&amp;"-"&amp;$F991,YEAR($B$2:$B$4001)&amp;"-"&amp;$A$2:$A$4001,0,-1)),L991))</f>
        <v>0</v>
      </c>
      <c r="N991" s="1">
        <f t="shared" si="15"/>
        <v>36301</v>
      </c>
    </row>
    <row r="992" spans="1:14" x14ac:dyDescent="0.35">
      <c r="A992">
        <v>478</v>
      </c>
      <c r="B992" s="2">
        <v>38128</v>
      </c>
      <c r="C992">
        <v>2</v>
      </c>
      <c r="D992">
        <v>2</v>
      </c>
      <c r="F992">
        <v>991</v>
      </c>
      <c r="G992" cm="1">
        <f t="array" ref="G992">_xlfn.IFNA(INDEX($D$2:$D$4001,_xlfn.XMATCH(G$1&amp;"-"&amp;$F992,YEAR($B$2:$B$4001)&amp;"-"&amp;$A$2:$A$4001,0,-1)),9)</f>
        <v>9</v>
      </c>
      <c r="H992" cm="1">
        <f t="array" ref="H992">IF(OR(AND(G992=9,H$1&gt;YEAR($N992))),9,_xlfn.IFNA(INDEX($D$2:$D$4001,_xlfn.XMATCH(H$1&amp;"-"&amp;$F992,YEAR($B$2:$B$4001)&amp;"-"&amp;$A$2:$A$4001,0,-1)),G992))</f>
        <v>9</v>
      </c>
      <c r="I992" cm="1">
        <f t="array" ref="I992">IF(OR(AND(H992=9,I$1&gt;YEAR($N992))),9,_xlfn.IFNA(INDEX($D$2:$D$4001,_xlfn.XMATCH(I$1&amp;"-"&amp;$F992,YEAR($B$2:$B$4001)&amp;"-"&amp;$A$2:$A$4001,0,-1)),H992))</f>
        <v>9</v>
      </c>
      <c r="J992" cm="1">
        <f t="array" ref="J992">IF(OR(AND(I992=9,J$1&gt;YEAR($N992))),9,_xlfn.IFNA(INDEX($D$2:$D$4001,_xlfn.XMATCH(J$1&amp;"-"&amp;$F992,YEAR($B$2:$B$4001)&amp;"-"&amp;$A$2:$A$4001,0,-1)),I992))</f>
        <v>9</v>
      </c>
      <c r="K992" cm="1">
        <f t="array" ref="K992">IF(OR(AND(J992=9,K$1&gt;YEAR($N992))),9,_xlfn.IFNA(INDEX($D$2:$D$4001,_xlfn.XMATCH(K$1&amp;"-"&amp;$F992,YEAR($B$2:$B$4001)&amp;"-"&amp;$A$2:$A$4001,0,-1)),J992))</f>
        <v>9</v>
      </c>
      <c r="L992" cm="1">
        <f t="array" ref="L992">IF(OR(AND(K992=9,L$1&gt;YEAR($N992))),9,_xlfn.IFNA(INDEX($D$2:$D$4001,_xlfn.XMATCH(L$1&amp;"-"&amp;$F992,YEAR($B$2:$B$4001)&amp;"-"&amp;$A$2:$A$4001,0,-1)),K992))</f>
        <v>9</v>
      </c>
      <c r="M992" cm="1">
        <f t="array" ref="M992">IF(OR(AND(L992=9,M$1&gt;YEAR($N992))),9,_xlfn.IFNA(INDEX($D$2:$D$4001,_xlfn.XMATCH(M$1&amp;"-"&amp;$F992,YEAR($B$2:$B$4001)&amp;"-"&amp;$A$2:$A$4001,0,-1)),L992))</f>
        <v>3</v>
      </c>
      <c r="N992" s="1">
        <f t="shared" si="15"/>
        <v>38493</v>
      </c>
    </row>
    <row r="993" spans="1:14" x14ac:dyDescent="0.35">
      <c r="A993">
        <v>479</v>
      </c>
      <c r="B993" s="2">
        <v>36335</v>
      </c>
      <c r="C993">
        <v>3</v>
      </c>
      <c r="D993">
        <v>3</v>
      </c>
      <c r="F993">
        <v>992</v>
      </c>
      <c r="G993" cm="1">
        <f t="array" ref="G993">_xlfn.IFNA(INDEX($D$2:$D$4001,_xlfn.XMATCH(G$1&amp;"-"&amp;$F993,YEAR($B$2:$B$4001)&amp;"-"&amp;$A$2:$A$4001,0,-1)),9)</f>
        <v>4</v>
      </c>
      <c r="H993" cm="1">
        <f t="array" ref="H993">IF(OR(AND(G993=9,H$1&gt;YEAR($N993))),9,_xlfn.IFNA(INDEX($D$2:$D$4001,_xlfn.XMATCH(H$1&amp;"-"&amp;$F993,YEAR($B$2:$B$4001)&amp;"-"&amp;$A$2:$A$4001,0,-1)),G993))</f>
        <v>4</v>
      </c>
      <c r="I993" cm="1">
        <f t="array" ref="I993">IF(OR(AND(H993=9,I$1&gt;YEAR($N993))),9,_xlfn.IFNA(INDEX($D$2:$D$4001,_xlfn.XMATCH(I$1&amp;"-"&amp;$F993,YEAR($B$2:$B$4001)&amp;"-"&amp;$A$2:$A$4001,0,-1)),H993))</f>
        <v>4</v>
      </c>
      <c r="J993" cm="1">
        <f t="array" ref="J993">IF(OR(AND(I993=9,J$1&gt;YEAR($N993))),9,_xlfn.IFNA(INDEX($D$2:$D$4001,_xlfn.XMATCH(J$1&amp;"-"&amp;$F993,YEAR($B$2:$B$4001)&amp;"-"&amp;$A$2:$A$4001,0,-1)),I993))</f>
        <v>4</v>
      </c>
      <c r="K993" cm="1">
        <f t="array" ref="K993">IF(OR(AND(J993=9,K$1&gt;YEAR($N993))),9,_xlfn.IFNA(INDEX($D$2:$D$4001,_xlfn.XMATCH(K$1&amp;"-"&amp;$F993,YEAR($B$2:$B$4001)&amp;"-"&amp;$A$2:$A$4001,0,-1)),J993))</f>
        <v>4</v>
      </c>
      <c r="L993" cm="1">
        <f t="array" ref="L993">IF(OR(AND(K993=9,L$1&gt;YEAR($N993))),9,_xlfn.IFNA(INDEX($D$2:$D$4001,_xlfn.XMATCH(L$1&amp;"-"&amp;$F993,YEAR($B$2:$B$4001)&amp;"-"&amp;$A$2:$A$4001,0,-1)),K993))</f>
        <v>4</v>
      </c>
      <c r="M993" cm="1">
        <f t="array" ref="M993">IF(OR(AND(L993=9,M$1&gt;YEAR($N993))),9,_xlfn.IFNA(INDEX($D$2:$D$4001,_xlfn.XMATCH(M$1&amp;"-"&amp;$F993,YEAR($B$2:$B$4001)&amp;"-"&amp;$A$2:$A$4001,0,-1)),L993))</f>
        <v>4</v>
      </c>
      <c r="N993" s="1">
        <f t="shared" si="15"/>
        <v>36310</v>
      </c>
    </row>
    <row r="994" spans="1:14" x14ac:dyDescent="0.35">
      <c r="A994">
        <v>479</v>
      </c>
      <c r="B994" s="2">
        <v>37762</v>
      </c>
      <c r="C994">
        <v>4</v>
      </c>
      <c r="D994">
        <v>4</v>
      </c>
      <c r="F994">
        <v>993</v>
      </c>
      <c r="G994" cm="1">
        <f t="array" ref="G994">_xlfn.IFNA(INDEX($D$2:$D$4001,_xlfn.XMATCH(G$1&amp;"-"&amp;$F994,YEAR($B$2:$B$4001)&amp;"-"&amp;$A$2:$A$4001,0,-1)),9)</f>
        <v>9</v>
      </c>
      <c r="H994" cm="1">
        <f t="array" ref="H994">IF(OR(AND(G994=9,H$1&gt;YEAR($N994))),9,_xlfn.IFNA(INDEX($D$2:$D$4001,_xlfn.XMATCH(H$1&amp;"-"&amp;$F994,YEAR($B$2:$B$4001)&amp;"-"&amp;$A$2:$A$4001,0,-1)),G994))</f>
        <v>9</v>
      </c>
      <c r="I994" cm="1">
        <f t="array" ref="I994">IF(OR(AND(H994=9,I$1&gt;YEAR($N994))),9,_xlfn.IFNA(INDEX($D$2:$D$4001,_xlfn.XMATCH(I$1&amp;"-"&amp;$F994,YEAR($B$2:$B$4001)&amp;"-"&amp;$A$2:$A$4001,0,-1)),H994))</f>
        <v>9</v>
      </c>
      <c r="J994" cm="1">
        <f t="array" ref="J994">IF(OR(AND(I994=9,J$1&gt;YEAR($N994))),9,_xlfn.IFNA(INDEX($D$2:$D$4001,_xlfn.XMATCH(J$1&amp;"-"&amp;$F994,YEAR($B$2:$B$4001)&amp;"-"&amp;$A$2:$A$4001,0,-1)),I994))</f>
        <v>0</v>
      </c>
      <c r="K994" cm="1">
        <f t="array" ref="K994">IF(OR(AND(J994=9,K$1&gt;YEAR($N994))),9,_xlfn.IFNA(INDEX($D$2:$D$4001,_xlfn.XMATCH(K$1&amp;"-"&amp;$F994,YEAR($B$2:$B$4001)&amp;"-"&amp;$A$2:$A$4001,0,-1)),J994))</f>
        <v>6</v>
      </c>
      <c r="L994" cm="1">
        <f t="array" ref="L994">IF(OR(AND(K994=9,L$1&gt;YEAR($N994))),9,_xlfn.IFNA(INDEX($D$2:$D$4001,_xlfn.XMATCH(L$1&amp;"-"&amp;$F994,YEAR($B$2:$B$4001)&amp;"-"&amp;$A$2:$A$4001,0,-1)),K994))</f>
        <v>6</v>
      </c>
      <c r="M994" cm="1">
        <f t="array" ref="M994">IF(OR(AND(L994=9,M$1&gt;YEAR($N994))),9,_xlfn.IFNA(INDEX($D$2:$D$4001,_xlfn.XMATCH(M$1&amp;"-"&amp;$F994,YEAR($B$2:$B$4001)&amp;"-"&amp;$A$2:$A$4001,0,-1)),L994))</f>
        <v>6</v>
      </c>
      <c r="N994" s="1">
        <f t="shared" si="15"/>
        <v>37620</v>
      </c>
    </row>
    <row r="995" spans="1:14" x14ac:dyDescent="0.35">
      <c r="A995">
        <v>479</v>
      </c>
      <c r="B995" s="2">
        <v>38351</v>
      </c>
      <c r="C995">
        <v>4</v>
      </c>
      <c r="D995">
        <v>4</v>
      </c>
      <c r="F995">
        <v>994</v>
      </c>
      <c r="G995" cm="1">
        <f t="array" ref="G995">_xlfn.IFNA(INDEX($D$2:$D$4001,_xlfn.XMATCH(G$1&amp;"-"&amp;$F995,YEAR($B$2:$B$4001)&amp;"-"&amp;$A$2:$A$4001,0,-1)),9)</f>
        <v>9</v>
      </c>
      <c r="H995" cm="1">
        <f t="array" ref="H995">IF(OR(AND(G995=9,H$1&gt;YEAR($N995))),9,_xlfn.IFNA(INDEX($D$2:$D$4001,_xlfn.XMATCH(H$1&amp;"-"&amp;$F995,YEAR($B$2:$B$4001)&amp;"-"&amp;$A$2:$A$4001,0,-1)),G995))</f>
        <v>4</v>
      </c>
      <c r="I995" cm="1">
        <f t="array" ref="I995">IF(OR(AND(H995=9,I$1&gt;YEAR($N995))),9,_xlfn.IFNA(INDEX($D$2:$D$4001,_xlfn.XMATCH(I$1&amp;"-"&amp;$F995,YEAR($B$2:$B$4001)&amp;"-"&amp;$A$2:$A$4001,0,-1)),H995))</f>
        <v>4</v>
      </c>
      <c r="J995" cm="1">
        <f t="array" ref="J995">IF(OR(AND(I995=9,J$1&gt;YEAR($N995))),9,_xlfn.IFNA(INDEX($D$2:$D$4001,_xlfn.XMATCH(J$1&amp;"-"&amp;$F995,YEAR($B$2:$B$4001)&amp;"-"&amp;$A$2:$A$4001,0,-1)),I995))</f>
        <v>4</v>
      </c>
      <c r="K995" cm="1">
        <f t="array" ref="K995">IF(OR(AND(J995=9,K$1&gt;YEAR($N995))),9,_xlfn.IFNA(INDEX($D$2:$D$4001,_xlfn.XMATCH(K$1&amp;"-"&amp;$F995,YEAR($B$2:$B$4001)&amp;"-"&amp;$A$2:$A$4001,0,-1)),J995))</f>
        <v>4</v>
      </c>
      <c r="L995" cm="1">
        <f t="array" ref="L995">IF(OR(AND(K995=9,L$1&gt;YEAR($N995))),9,_xlfn.IFNA(INDEX($D$2:$D$4001,_xlfn.XMATCH(L$1&amp;"-"&amp;$F995,YEAR($B$2:$B$4001)&amp;"-"&amp;$A$2:$A$4001,0,-1)),K995))</f>
        <v>4</v>
      </c>
      <c r="M995" cm="1">
        <f t="array" ref="M995">IF(OR(AND(L995=9,M$1&gt;YEAR($N995))),9,_xlfn.IFNA(INDEX($D$2:$D$4001,_xlfn.XMATCH(M$1&amp;"-"&amp;$F995,YEAR($B$2:$B$4001)&amp;"-"&amp;$A$2:$A$4001,0,-1)),L995))</f>
        <v>4</v>
      </c>
      <c r="N995" s="1">
        <f t="shared" si="15"/>
        <v>36698</v>
      </c>
    </row>
    <row r="996" spans="1:14" x14ac:dyDescent="0.35">
      <c r="A996">
        <v>480</v>
      </c>
      <c r="B996" s="2">
        <v>36362</v>
      </c>
      <c r="C996">
        <v>3</v>
      </c>
      <c r="D996">
        <v>3</v>
      </c>
      <c r="F996">
        <v>995</v>
      </c>
      <c r="G996" cm="1">
        <f t="array" ref="G996">_xlfn.IFNA(INDEX($D$2:$D$4001,_xlfn.XMATCH(G$1&amp;"-"&amp;$F996,YEAR($B$2:$B$4001)&amp;"-"&amp;$A$2:$A$4001,0,-1)),9)</f>
        <v>9</v>
      </c>
      <c r="H996" cm="1">
        <f t="array" ref="H996">IF(OR(AND(G996=9,H$1&gt;YEAR($N996))),9,_xlfn.IFNA(INDEX($D$2:$D$4001,_xlfn.XMATCH(H$1&amp;"-"&amp;$F996,YEAR($B$2:$B$4001)&amp;"-"&amp;$A$2:$A$4001,0,-1)),G996))</f>
        <v>4</v>
      </c>
      <c r="I996" cm="1">
        <f t="array" ref="I996">IF(OR(AND(H996=9,I$1&gt;YEAR($N996))),9,_xlfn.IFNA(INDEX($D$2:$D$4001,_xlfn.XMATCH(I$1&amp;"-"&amp;$F996,YEAR($B$2:$B$4001)&amp;"-"&amp;$A$2:$A$4001,0,-1)),H996))</f>
        <v>4</v>
      </c>
      <c r="J996" cm="1">
        <f t="array" ref="J996">IF(OR(AND(I996=9,J$1&gt;YEAR($N996))),9,_xlfn.IFNA(INDEX($D$2:$D$4001,_xlfn.XMATCH(J$1&amp;"-"&amp;$F996,YEAR($B$2:$B$4001)&amp;"-"&amp;$A$2:$A$4001,0,-1)),I996))</f>
        <v>4</v>
      </c>
      <c r="K996" cm="1">
        <f t="array" ref="K996">IF(OR(AND(J996=9,K$1&gt;YEAR($N996))),9,_xlfn.IFNA(INDEX($D$2:$D$4001,_xlfn.XMATCH(K$1&amp;"-"&amp;$F996,YEAR($B$2:$B$4001)&amp;"-"&amp;$A$2:$A$4001,0,-1)),J996))</f>
        <v>4</v>
      </c>
      <c r="L996" cm="1">
        <f t="array" ref="L996">IF(OR(AND(K996=9,L$1&gt;YEAR($N996))),9,_xlfn.IFNA(INDEX($D$2:$D$4001,_xlfn.XMATCH(L$1&amp;"-"&amp;$F996,YEAR($B$2:$B$4001)&amp;"-"&amp;$A$2:$A$4001,0,-1)),K996))</f>
        <v>4</v>
      </c>
      <c r="M996" cm="1">
        <f t="array" ref="M996">IF(OR(AND(L996=9,M$1&gt;YEAR($N996))),9,_xlfn.IFNA(INDEX($D$2:$D$4001,_xlfn.XMATCH(M$1&amp;"-"&amp;$F996,YEAR($B$2:$B$4001)&amp;"-"&amp;$A$2:$A$4001,0,-1)),L996))</f>
        <v>4</v>
      </c>
      <c r="N996" s="1">
        <f t="shared" si="15"/>
        <v>36890</v>
      </c>
    </row>
    <row r="997" spans="1:14" x14ac:dyDescent="0.35">
      <c r="A997">
        <v>480</v>
      </c>
      <c r="B997" s="2">
        <v>37762</v>
      </c>
      <c r="C997">
        <v>4</v>
      </c>
      <c r="D997">
        <v>4</v>
      </c>
      <c r="F997">
        <v>996</v>
      </c>
      <c r="G997" cm="1">
        <f t="array" ref="G997">_xlfn.IFNA(INDEX($D$2:$D$4001,_xlfn.XMATCH(G$1&amp;"-"&amp;$F997,YEAR($B$2:$B$4001)&amp;"-"&amp;$A$2:$A$4001,0,-1)),9)</f>
        <v>9</v>
      </c>
      <c r="H997" cm="1">
        <f t="array" ref="H997">IF(OR(AND(G997=9,H$1&gt;YEAR($N997))),9,_xlfn.IFNA(INDEX($D$2:$D$4001,_xlfn.XMATCH(H$1&amp;"-"&amp;$F997,YEAR($B$2:$B$4001)&amp;"-"&amp;$A$2:$A$4001,0,-1)),G997))</f>
        <v>2</v>
      </c>
      <c r="I997" cm="1">
        <f t="array" ref="I997">IF(OR(AND(H997=9,I$1&gt;YEAR($N997))),9,_xlfn.IFNA(INDEX($D$2:$D$4001,_xlfn.XMATCH(I$1&amp;"-"&amp;$F997,YEAR($B$2:$B$4001)&amp;"-"&amp;$A$2:$A$4001,0,-1)),H997))</f>
        <v>2</v>
      </c>
      <c r="J997" cm="1">
        <f t="array" ref="J997">IF(OR(AND(I997=9,J$1&gt;YEAR($N997))),9,_xlfn.IFNA(INDEX($D$2:$D$4001,_xlfn.XMATCH(J$1&amp;"-"&amp;$F997,YEAR($B$2:$B$4001)&amp;"-"&amp;$A$2:$A$4001,0,-1)),I997))</f>
        <v>2</v>
      </c>
      <c r="K997" cm="1">
        <f t="array" ref="K997">IF(OR(AND(J997=9,K$1&gt;YEAR($N997))),9,_xlfn.IFNA(INDEX($D$2:$D$4001,_xlfn.XMATCH(K$1&amp;"-"&amp;$F997,YEAR($B$2:$B$4001)&amp;"-"&amp;$A$2:$A$4001,0,-1)),J997))</f>
        <v>2</v>
      </c>
      <c r="L997" cm="1">
        <f t="array" ref="L997">IF(OR(AND(K997=9,L$1&gt;YEAR($N997))),9,_xlfn.IFNA(INDEX($D$2:$D$4001,_xlfn.XMATCH(L$1&amp;"-"&amp;$F997,YEAR($B$2:$B$4001)&amp;"-"&amp;$A$2:$A$4001,0,-1)),K997))</f>
        <v>2</v>
      </c>
      <c r="M997" cm="1">
        <f t="array" ref="M997">IF(OR(AND(L997=9,M$1&gt;YEAR($N997))),9,_xlfn.IFNA(INDEX($D$2:$D$4001,_xlfn.XMATCH(M$1&amp;"-"&amp;$F997,YEAR($B$2:$B$4001)&amp;"-"&amp;$A$2:$A$4001,0,-1)),L997))</f>
        <v>2</v>
      </c>
      <c r="N997" s="1">
        <f t="shared" si="15"/>
        <v>36667</v>
      </c>
    </row>
    <row r="998" spans="1:14" x14ac:dyDescent="0.35">
      <c r="A998">
        <v>480</v>
      </c>
      <c r="B998" s="2">
        <v>38351</v>
      </c>
      <c r="C998">
        <v>4</v>
      </c>
      <c r="D998">
        <v>4</v>
      </c>
      <c r="F998">
        <v>997</v>
      </c>
      <c r="G998" cm="1">
        <f t="array" ref="G998">_xlfn.IFNA(INDEX($D$2:$D$4001,_xlfn.XMATCH(G$1&amp;"-"&amp;$F998,YEAR($B$2:$B$4001)&amp;"-"&amp;$A$2:$A$4001,0,-1)),9)</f>
        <v>6</v>
      </c>
      <c r="H998" cm="1">
        <f t="array" ref="H998">IF(OR(AND(G998=9,H$1&gt;YEAR($N998))),9,_xlfn.IFNA(INDEX($D$2:$D$4001,_xlfn.XMATCH(H$1&amp;"-"&amp;$F998,YEAR($B$2:$B$4001)&amp;"-"&amp;$A$2:$A$4001,0,-1)),G998))</f>
        <v>6</v>
      </c>
      <c r="I998" cm="1">
        <f t="array" ref="I998">IF(OR(AND(H998=9,I$1&gt;YEAR($N998))),9,_xlfn.IFNA(INDEX($D$2:$D$4001,_xlfn.XMATCH(I$1&amp;"-"&amp;$F998,YEAR($B$2:$B$4001)&amp;"-"&amp;$A$2:$A$4001,0,-1)),H998))</f>
        <v>6</v>
      </c>
      <c r="J998" cm="1">
        <f t="array" ref="J998">IF(OR(AND(I998=9,J$1&gt;YEAR($N998))),9,_xlfn.IFNA(INDEX($D$2:$D$4001,_xlfn.XMATCH(J$1&amp;"-"&amp;$F998,YEAR($B$2:$B$4001)&amp;"-"&amp;$A$2:$A$4001,0,-1)),I998))</f>
        <v>0</v>
      </c>
      <c r="K998" cm="1">
        <f t="array" ref="K998">IF(OR(AND(J998=9,K$1&gt;YEAR($N998))),9,_xlfn.IFNA(INDEX($D$2:$D$4001,_xlfn.XMATCH(K$1&amp;"-"&amp;$F998,YEAR($B$2:$B$4001)&amp;"-"&amp;$A$2:$A$4001,0,-1)),J998))</f>
        <v>0</v>
      </c>
      <c r="L998" cm="1">
        <f t="array" ref="L998">IF(OR(AND(K998=9,L$1&gt;YEAR($N998))),9,_xlfn.IFNA(INDEX($D$2:$D$4001,_xlfn.XMATCH(L$1&amp;"-"&amp;$F998,YEAR($B$2:$B$4001)&amp;"-"&amp;$A$2:$A$4001,0,-1)),K998))</f>
        <v>0</v>
      </c>
      <c r="M998" cm="1">
        <f t="array" ref="M998">IF(OR(AND(L998=9,M$1&gt;YEAR($N998))),9,_xlfn.IFNA(INDEX($D$2:$D$4001,_xlfn.XMATCH(M$1&amp;"-"&amp;$F998,YEAR($B$2:$B$4001)&amp;"-"&amp;$A$2:$A$4001,0,-1)),L998))</f>
        <v>0</v>
      </c>
      <c r="N998" s="1">
        <f t="shared" si="15"/>
        <v>36524</v>
      </c>
    </row>
    <row r="999" spans="1:14" x14ac:dyDescent="0.35">
      <c r="A999">
        <v>481</v>
      </c>
      <c r="B999" s="2">
        <v>36707</v>
      </c>
      <c r="C999">
        <v>3</v>
      </c>
      <c r="D999">
        <v>3</v>
      </c>
      <c r="F999">
        <v>998</v>
      </c>
      <c r="G999" cm="1">
        <f t="array" ref="G999">_xlfn.IFNA(INDEX($D$2:$D$4001,_xlfn.XMATCH(G$1&amp;"-"&amp;$F999,YEAR($B$2:$B$4001)&amp;"-"&amp;$A$2:$A$4001,0,-1)),9)</f>
        <v>9</v>
      </c>
      <c r="H999" cm="1">
        <f t="array" ref="H999">IF(OR(AND(G999=9,H$1&gt;YEAR($N999))),9,_xlfn.IFNA(INDEX($D$2:$D$4001,_xlfn.XMATCH(H$1&amp;"-"&amp;$F999,YEAR($B$2:$B$4001)&amp;"-"&amp;$A$2:$A$4001,0,-1)),G999))</f>
        <v>9</v>
      </c>
      <c r="I999" cm="1">
        <f t="array" ref="I999">IF(OR(AND(H999=9,I$1&gt;YEAR($N999))),9,_xlfn.IFNA(INDEX($D$2:$D$4001,_xlfn.XMATCH(I$1&amp;"-"&amp;$F999,YEAR($B$2:$B$4001)&amp;"-"&amp;$A$2:$A$4001,0,-1)),H999))</f>
        <v>9</v>
      </c>
      <c r="J999" cm="1">
        <f t="array" ref="J999">IF(OR(AND(I999=9,J$1&gt;YEAR($N999))),9,_xlfn.IFNA(INDEX($D$2:$D$4001,_xlfn.XMATCH(J$1&amp;"-"&amp;$F999,YEAR($B$2:$B$4001)&amp;"-"&amp;$A$2:$A$4001,0,-1)),I999))</f>
        <v>9</v>
      </c>
      <c r="K999" cm="1">
        <f t="array" ref="K999">IF(OR(AND(J999=9,K$1&gt;YEAR($N999))),9,_xlfn.IFNA(INDEX($D$2:$D$4001,_xlfn.XMATCH(K$1&amp;"-"&amp;$F999,YEAR($B$2:$B$4001)&amp;"-"&amp;$A$2:$A$4001,0,-1)),J999))</f>
        <v>9</v>
      </c>
      <c r="L999" cm="1">
        <f t="array" ref="L999">IF(OR(AND(K999=9,L$1&gt;YEAR($N999))),9,_xlfn.IFNA(INDEX($D$2:$D$4001,_xlfn.XMATCH(L$1&amp;"-"&amp;$F999,YEAR($B$2:$B$4001)&amp;"-"&amp;$A$2:$A$4001,0,-1)),K999))</f>
        <v>2</v>
      </c>
      <c r="M999" cm="1">
        <f t="array" ref="M999">IF(OR(AND(L999=9,M$1&gt;YEAR($N999))),9,_xlfn.IFNA(INDEX($D$2:$D$4001,_xlfn.XMATCH(M$1&amp;"-"&amp;$F999,YEAR($B$2:$B$4001)&amp;"-"&amp;$A$2:$A$4001,0,-1)),L999))</f>
        <v>2</v>
      </c>
      <c r="N999" s="1">
        <f t="shared" si="15"/>
        <v>38135</v>
      </c>
    </row>
    <row r="1000" spans="1:14" x14ac:dyDescent="0.35">
      <c r="A1000">
        <v>481</v>
      </c>
      <c r="B1000" s="2">
        <v>37185</v>
      </c>
      <c r="C1000">
        <v>4</v>
      </c>
      <c r="D1000">
        <v>4</v>
      </c>
      <c r="F1000">
        <v>999</v>
      </c>
      <c r="G1000" cm="1">
        <f t="array" ref="G1000">_xlfn.IFNA(INDEX($D$2:$D$4001,_xlfn.XMATCH(G$1&amp;"-"&amp;$F1000,YEAR($B$2:$B$4001)&amp;"-"&amp;$A$2:$A$4001,0,-1)),9)</f>
        <v>4</v>
      </c>
      <c r="H1000" cm="1">
        <f t="array" ref="H1000">IF(OR(AND(G1000=9,H$1&gt;YEAR($N1000))),9,_xlfn.IFNA(INDEX($D$2:$D$4001,_xlfn.XMATCH(H$1&amp;"-"&amp;$F1000,YEAR($B$2:$B$4001)&amp;"-"&amp;$A$2:$A$4001,0,-1)),G1000))</f>
        <v>4</v>
      </c>
      <c r="I1000" cm="1">
        <f t="array" ref="I1000">IF(OR(AND(H1000=9,I$1&gt;YEAR($N1000))),9,_xlfn.IFNA(INDEX($D$2:$D$4001,_xlfn.XMATCH(I$1&amp;"-"&amp;$F1000,YEAR($B$2:$B$4001)&amp;"-"&amp;$A$2:$A$4001,0,-1)),H1000))</f>
        <v>4</v>
      </c>
      <c r="J1000" cm="1">
        <f t="array" ref="J1000">IF(OR(AND(I1000=9,J$1&gt;YEAR($N1000))),9,_xlfn.IFNA(INDEX($D$2:$D$4001,_xlfn.XMATCH(J$1&amp;"-"&amp;$F1000,YEAR($B$2:$B$4001)&amp;"-"&amp;$A$2:$A$4001,0,-1)),I1000))</f>
        <v>4</v>
      </c>
      <c r="K1000" cm="1">
        <f t="array" ref="K1000">IF(OR(AND(J1000=9,K$1&gt;YEAR($N1000))),9,_xlfn.IFNA(INDEX($D$2:$D$4001,_xlfn.XMATCH(K$1&amp;"-"&amp;$F1000,YEAR($B$2:$B$4001)&amp;"-"&amp;$A$2:$A$4001,0,-1)),J1000))</f>
        <v>4</v>
      </c>
      <c r="L1000" cm="1">
        <f t="array" ref="L1000">IF(OR(AND(K1000=9,L$1&gt;YEAR($N1000))),9,_xlfn.IFNA(INDEX($D$2:$D$4001,_xlfn.XMATCH(L$1&amp;"-"&amp;$F1000,YEAR($B$2:$B$4001)&amp;"-"&amp;$A$2:$A$4001,0,-1)),K1000))</f>
        <v>0</v>
      </c>
      <c r="M1000" cm="1">
        <f t="array" ref="M1000">IF(OR(AND(L1000=9,M$1&gt;YEAR($N1000))),9,_xlfn.IFNA(INDEX($D$2:$D$4001,_xlfn.XMATCH(M$1&amp;"-"&amp;$F1000,YEAR($B$2:$B$4001)&amp;"-"&amp;$A$2:$A$4001,0,-1)),L1000))</f>
        <v>0</v>
      </c>
      <c r="N1000" s="1">
        <f t="shared" si="15"/>
        <v>36524</v>
      </c>
    </row>
    <row r="1001" spans="1:14" x14ac:dyDescent="0.35">
      <c r="A1001">
        <v>481</v>
      </c>
      <c r="B1001" s="2">
        <v>37406</v>
      </c>
      <c r="C1001">
        <v>5</v>
      </c>
      <c r="D1001">
        <v>5</v>
      </c>
      <c r="F1001">
        <v>1000</v>
      </c>
      <c r="G1001" cm="1">
        <f t="array" ref="G1001">_xlfn.IFNA(INDEX($D$2:$D$4001,_xlfn.XMATCH(G$1&amp;"-"&amp;$F1001,YEAR($B$2:$B$4001)&amp;"-"&amp;$A$2:$A$4001,0,-1)),9)</f>
        <v>3</v>
      </c>
      <c r="H1001" cm="1">
        <f t="array" ref="H1001">IF(OR(AND(G1001=9,H$1&gt;YEAR($N1001))),9,_xlfn.IFNA(INDEX($D$2:$D$4001,_xlfn.XMATCH(H$1&amp;"-"&amp;$F1001,YEAR($B$2:$B$4001)&amp;"-"&amp;$A$2:$A$4001,0,-1)),G1001))</f>
        <v>3</v>
      </c>
      <c r="I1001" cm="1">
        <f t="array" ref="I1001">IF(OR(AND(H1001=9,I$1&gt;YEAR($N1001))),9,_xlfn.IFNA(INDEX($D$2:$D$4001,_xlfn.XMATCH(I$1&amp;"-"&amp;$F1001,YEAR($B$2:$B$4001)&amp;"-"&amp;$A$2:$A$4001,0,-1)),H1001))</f>
        <v>3</v>
      </c>
      <c r="J1001" cm="1">
        <f t="array" ref="J1001">IF(OR(AND(I1001=9,J$1&gt;YEAR($N1001))),9,_xlfn.IFNA(INDEX($D$2:$D$4001,_xlfn.XMATCH(J$1&amp;"-"&amp;$F1001,YEAR($B$2:$B$4001)&amp;"-"&amp;$A$2:$A$4001,0,-1)),I1001))</f>
        <v>3</v>
      </c>
      <c r="K1001" cm="1">
        <f t="array" ref="K1001">IF(OR(AND(J1001=9,K$1&gt;YEAR($N1001))),9,_xlfn.IFNA(INDEX($D$2:$D$4001,_xlfn.XMATCH(K$1&amp;"-"&amp;$F1001,YEAR($B$2:$B$4001)&amp;"-"&amp;$A$2:$A$4001,0,-1)),J1001))</f>
        <v>3</v>
      </c>
      <c r="L1001" cm="1">
        <f t="array" ref="L1001">IF(OR(AND(K1001=9,L$1&gt;YEAR($N1001))),9,_xlfn.IFNA(INDEX($D$2:$D$4001,_xlfn.XMATCH(L$1&amp;"-"&amp;$F1001,YEAR($B$2:$B$4001)&amp;"-"&amp;$A$2:$A$4001,0,-1)),K1001))</f>
        <v>3</v>
      </c>
      <c r="M1001" cm="1">
        <f t="array" ref="M1001">IF(OR(AND(L1001=9,M$1&gt;YEAR($N1001))),9,_xlfn.IFNA(INDEX($D$2:$D$4001,_xlfn.XMATCH(M$1&amp;"-"&amp;$F1001,YEAR($B$2:$B$4001)&amp;"-"&amp;$A$2:$A$4001,0,-1)),L1001))</f>
        <v>3</v>
      </c>
      <c r="N1001" s="1">
        <f t="shared" si="15"/>
        <v>36301</v>
      </c>
    </row>
    <row r="1002" spans="1:14" x14ac:dyDescent="0.35">
      <c r="A1002">
        <v>482</v>
      </c>
      <c r="B1002" s="2">
        <v>36304</v>
      </c>
      <c r="C1002">
        <v>2</v>
      </c>
      <c r="D1002">
        <v>2</v>
      </c>
      <c r="F1002">
        <v>1001</v>
      </c>
      <c r="G1002" cm="1">
        <f t="array" ref="G1002">_xlfn.IFNA(INDEX($D$2:$D$4001,_xlfn.XMATCH(G$1&amp;"-"&amp;$F1002,YEAR($B$2:$B$4001)&amp;"-"&amp;$A$2:$A$4001,0,-1)),9)</f>
        <v>0</v>
      </c>
      <c r="H1002" cm="1">
        <f t="array" ref="H1002">IF(OR(AND(G1002=9,H$1&gt;YEAR($N1002))),9,_xlfn.IFNA(INDEX($D$2:$D$4001,_xlfn.XMATCH(H$1&amp;"-"&amp;$F1002,YEAR($B$2:$B$4001)&amp;"-"&amp;$A$2:$A$4001,0,-1)),G1002))</f>
        <v>0</v>
      </c>
      <c r="I1002" cm="1">
        <f t="array" ref="I1002">IF(OR(AND(H1002=9,I$1&gt;YEAR($N1002))),9,_xlfn.IFNA(INDEX($D$2:$D$4001,_xlfn.XMATCH(I$1&amp;"-"&amp;$F1002,YEAR($B$2:$B$4001)&amp;"-"&amp;$A$2:$A$4001,0,-1)),H1002))</f>
        <v>0</v>
      </c>
      <c r="J1002" cm="1">
        <f t="array" ref="J1002">IF(OR(AND(I1002=9,J$1&gt;YEAR($N1002))),9,_xlfn.IFNA(INDEX($D$2:$D$4001,_xlfn.XMATCH(J$1&amp;"-"&amp;$F1002,YEAR($B$2:$B$4001)&amp;"-"&amp;$A$2:$A$4001,0,-1)),I1002))</f>
        <v>0</v>
      </c>
      <c r="K1002" cm="1">
        <f t="array" ref="K1002">IF(OR(AND(J1002=9,K$1&gt;YEAR($N1002))),9,_xlfn.IFNA(INDEX($D$2:$D$4001,_xlfn.XMATCH(K$1&amp;"-"&amp;$F1002,YEAR($B$2:$B$4001)&amp;"-"&amp;$A$2:$A$4001,0,-1)),J1002))</f>
        <v>0</v>
      </c>
      <c r="L1002" cm="1">
        <f t="array" ref="L1002">IF(OR(AND(K1002=9,L$1&gt;YEAR($N1002))),9,_xlfn.IFNA(INDEX($D$2:$D$4001,_xlfn.XMATCH(L$1&amp;"-"&amp;$F1002,YEAR($B$2:$B$4001)&amp;"-"&amp;$A$2:$A$4001,0,-1)),K1002))</f>
        <v>0</v>
      </c>
      <c r="M1002" cm="1">
        <f t="array" ref="M1002">IF(OR(AND(L1002=9,M$1&gt;YEAR($N1002))),9,_xlfn.IFNA(INDEX($D$2:$D$4001,_xlfn.XMATCH(M$1&amp;"-"&amp;$F1002,YEAR($B$2:$B$4001)&amp;"-"&amp;$A$2:$A$4001,0,-1)),L1002))</f>
        <v>0</v>
      </c>
      <c r="N1002" s="1">
        <f t="shared" si="15"/>
        <v>36301</v>
      </c>
    </row>
    <row r="1003" spans="1:14" x14ac:dyDescent="0.35">
      <c r="A1003">
        <v>483</v>
      </c>
      <c r="B1003" s="2">
        <v>36667</v>
      </c>
      <c r="C1003">
        <v>3</v>
      </c>
      <c r="D1003">
        <v>3</v>
      </c>
      <c r="F1003">
        <v>1002</v>
      </c>
      <c r="G1003" cm="1">
        <f t="array" ref="G1003">_xlfn.IFNA(INDEX($D$2:$D$4001,_xlfn.XMATCH(G$1&amp;"-"&amp;$F1003,YEAR($B$2:$B$4001)&amp;"-"&amp;$A$2:$A$4001,0,-1)),9)</f>
        <v>9</v>
      </c>
      <c r="H1003" cm="1">
        <f t="array" ref="H1003">IF(OR(AND(G1003=9,H$1&gt;YEAR($N1003))),9,_xlfn.IFNA(INDEX($D$2:$D$4001,_xlfn.XMATCH(H$1&amp;"-"&amp;$F1003,YEAR($B$2:$B$4001)&amp;"-"&amp;$A$2:$A$4001,0,-1)),G1003))</f>
        <v>5</v>
      </c>
      <c r="I1003" cm="1">
        <f t="array" ref="I1003">IF(OR(AND(H1003=9,I$1&gt;YEAR($N1003))),9,_xlfn.IFNA(INDEX($D$2:$D$4001,_xlfn.XMATCH(I$1&amp;"-"&amp;$F1003,YEAR($B$2:$B$4001)&amp;"-"&amp;$A$2:$A$4001,0,-1)),H1003))</f>
        <v>5</v>
      </c>
      <c r="J1003" cm="1">
        <f t="array" ref="J1003">IF(OR(AND(I1003=9,J$1&gt;YEAR($N1003))),9,_xlfn.IFNA(INDEX($D$2:$D$4001,_xlfn.XMATCH(J$1&amp;"-"&amp;$F1003,YEAR($B$2:$B$4001)&amp;"-"&amp;$A$2:$A$4001,0,-1)),I1003))</f>
        <v>5</v>
      </c>
      <c r="K1003" cm="1">
        <f t="array" ref="K1003">IF(OR(AND(J1003=9,K$1&gt;YEAR($N1003))),9,_xlfn.IFNA(INDEX($D$2:$D$4001,_xlfn.XMATCH(K$1&amp;"-"&amp;$F1003,YEAR($B$2:$B$4001)&amp;"-"&amp;$A$2:$A$4001,0,-1)),J1003))</f>
        <v>0</v>
      </c>
      <c r="L1003" cm="1">
        <f t="array" ref="L1003">IF(OR(AND(K1003=9,L$1&gt;YEAR($N1003))),9,_xlfn.IFNA(INDEX($D$2:$D$4001,_xlfn.XMATCH(L$1&amp;"-"&amp;$F1003,YEAR($B$2:$B$4001)&amp;"-"&amp;$A$2:$A$4001,0,-1)),K1003))</f>
        <v>0</v>
      </c>
      <c r="M1003" cm="1">
        <f t="array" ref="M1003">IF(OR(AND(L1003=9,M$1&gt;YEAR($N1003))),9,_xlfn.IFNA(INDEX($D$2:$D$4001,_xlfn.XMATCH(M$1&amp;"-"&amp;$F1003,YEAR($B$2:$B$4001)&amp;"-"&amp;$A$2:$A$4001,0,-1)),L1003))</f>
        <v>0</v>
      </c>
      <c r="N1003" s="1">
        <f t="shared" si="15"/>
        <v>36676</v>
      </c>
    </row>
    <row r="1004" spans="1:14" x14ac:dyDescent="0.35">
      <c r="A1004">
        <v>484</v>
      </c>
      <c r="B1004" s="2">
        <v>37620</v>
      </c>
      <c r="C1004">
        <v>3</v>
      </c>
      <c r="D1004">
        <v>3</v>
      </c>
      <c r="F1004">
        <v>1003</v>
      </c>
      <c r="G1004" cm="1">
        <f t="array" ref="G1004">_xlfn.IFNA(INDEX($D$2:$D$4001,_xlfn.XMATCH(G$1&amp;"-"&amp;$F1004,YEAR($B$2:$B$4001)&amp;"-"&amp;$A$2:$A$4001,0,-1)),9)</f>
        <v>9</v>
      </c>
      <c r="H1004" cm="1">
        <f t="array" ref="H1004">IF(OR(AND(G1004=9,H$1&gt;YEAR($N1004))),9,_xlfn.IFNA(INDEX($D$2:$D$4001,_xlfn.XMATCH(H$1&amp;"-"&amp;$F1004,YEAR($B$2:$B$4001)&amp;"-"&amp;$A$2:$A$4001,0,-1)),G1004))</f>
        <v>9</v>
      </c>
      <c r="I1004" cm="1">
        <f t="array" ref="I1004">IF(OR(AND(H1004=9,I$1&gt;YEAR($N1004))),9,_xlfn.IFNA(INDEX($D$2:$D$4001,_xlfn.XMATCH(I$1&amp;"-"&amp;$F1004,YEAR($B$2:$B$4001)&amp;"-"&amp;$A$2:$A$4001,0,-1)),H1004))</f>
        <v>9</v>
      </c>
      <c r="J1004" cm="1">
        <f t="array" ref="J1004">IF(OR(AND(I1004=9,J$1&gt;YEAR($N1004))),9,_xlfn.IFNA(INDEX($D$2:$D$4001,_xlfn.XMATCH(J$1&amp;"-"&amp;$F1004,YEAR($B$2:$B$4001)&amp;"-"&amp;$A$2:$A$4001,0,-1)),I1004))</f>
        <v>9</v>
      </c>
      <c r="K1004" cm="1">
        <f t="array" ref="K1004">IF(OR(AND(J1004=9,K$1&gt;YEAR($N1004))),9,_xlfn.IFNA(INDEX($D$2:$D$4001,_xlfn.XMATCH(K$1&amp;"-"&amp;$F1004,YEAR($B$2:$B$4001)&amp;"-"&amp;$A$2:$A$4001,0,-1)),J1004))</f>
        <v>9</v>
      </c>
      <c r="L1004" cm="1">
        <f t="array" ref="L1004">IF(OR(AND(K1004=9,L$1&gt;YEAR($N1004))),9,_xlfn.IFNA(INDEX($D$2:$D$4001,_xlfn.XMATCH(L$1&amp;"-"&amp;$F1004,YEAR($B$2:$B$4001)&amp;"-"&amp;$A$2:$A$4001,0,-1)),K1004))</f>
        <v>4</v>
      </c>
      <c r="M1004" cm="1">
        <f t="array" ref="M1004">IF(OR(AND(L1004=9,M$1&gt;YEAR($N1004))),9,_xlfn.IFNA(INDEX($D$2:$D$4001,_xlfn.XMATCH(M$1&amp;"-"&amp;$F1004,YEAR($B$2:$B$4001)&amp;"-"&amp;$A$2:$A$4001,0,-1)),L1004))</f>
        <v>4</v>
      </c>
      <c r="N1004" s="1">
        <f t="shared" si="15"/>
        <v>38260</v>
      </c>
    </row>
    <row r="1005" spans="1:14" x14ac:dyDescent="0.35">
      <c r="A1005">
        <v>484</v>
      </c>
      <c r="B1005" s="2">
        <v>37771</v>
      </c>
      <c r="C1005">
        <v>4</v>
      </c>
      <c r="D1005">
        <v>4</v>
      </c>
      <c r="F1005">
        <v>1004</v>
      </c>
      <c r="G1005" cm="1">
        <f t="array" ref="G1005">_xlfn.IFNA(INDEX($D$2:$D$4001,_xlfn.XMATCH(G$1&amp;"-"&amp;$F1005,YEAR($B$2:$B$4001)&amp;"-"&amp;$A$2:$A$4001,0,-1)),9)</f>
        <v>6</v>
      </c>
      <c r="H1005" cm="1">
        <f t="array" ref="H1005">IF(OR(AND(G1005=9,H$1&gt;YEAR($N1005))),9,_xlfn.IFNA(INDEX($D$2:$D$4001,_xlfn.XMATCH(H$1&amp;"-"&amp;$F1005,YEAR($B$2:$B$4001)&amp;"-"&amp;$A$2:$A$4001,0,-1)),G1005))</f>
        <v>6</v>
      </c>
      <c r="I1005" cm="1">
        <f t="array" ref="I1005">IF(OR(AND(H1005=9,I$1&gt;YEAR($N1005))),9,_xlfn.IFNA(INDEX($D$2:$D$4001,_xlfn.XMATCH(I$1&amp;"-"&amp;$F1005,YEAR($B$2:$B$4001)&amp;"-"&amp;$A$2:$A$4001,0,-1)),H1005))</f>
        <v>5</v>
      </c>
      <c r="J1005" cm="1">
        <f t="array" ref="J1005">IF(OR(AND(I1005=9,J$1&gt;YEAR($N1005))),9,_xlfn.IFNA(INDEX($D$2:$D$4001,_xlfn.XMATCH(J$1&amp;"-"&amp;$F1005,YEAR($B$2:$B$4001)&amp;"-"&amp;$A$2:$A$4001,0,-1)),I1005))</f>
        <v>6</v>
      </c>
      <c r="K1005" cm="1">
        <f t="array" ref="K1005">IF(OR(AND(J1005=9,K$1&gt;YEAR($N1005))),9,_xlfn.IFNA(INDEX($D$2:$D$4001,_xlfn.XMATCH(K$1&amp;"-"&amp;$F1005,YEAR($B$2:$B$4001)&amp;"-"&amp;$A$2:$A$4001,0,-1)),J1005))</f>
        <v>6</v>
      </c>
      <c r="L1005" cm="1">
        <f t="array" ref="L1005">IF(OR(AND(K1005=9,L$1&gt;YEAR($N1005))),9,_xlfn.IFNA(INDEX($D$2:$D$4001,_xlfn.XMATCH(L$1&amp;"-"&amp;$F1005,YEAR($B$2:$B$4001)&amp;"-"&amp;$A$2:$A$4001,0,-1)),K1005))</f>
        <v>6</v>
      </c>
      <c r="M1005" cm="1">
        <f t="array" ref="M1005">IF(OR(AND(L1005=9,M$1&gt;YEAR($N1005))),9,_xlfn.IFNA(INDEX($D$2:$D$4001,_xlfn.XMATCH(M$1&amp;"-"&amp;$F1005,YEAR($B$2:$B$4001)&amp;"-"&amp;$A$2:$A$4001,0,-1)),L1005))</f>
        <v>6</v>
      </c>
      <c r="N1005" s="1">
        <f t="shared" si="15"/>
        <v>36310</v>
      </c>
    </row>
    <row r="1006" spans="1:14" x14ac:dyDescent="0.35">
      <c r="A1006">
        <v>485</v>
      </c>
      <c r="B1006" s="2">
        <v>38128</v>
      </c>
      <c r="C1006">
        <v>0</v>
      </c>
      <c r="D1006">
        <v>0</v>
      </c>
      <c r="F1006">
        <v>1005</v>
      </c>
      <c r="G1006" cm="1">
        <f t="array" ref="G1006">_xlfn.IFNA(INDEX($D$2:$D$4001,_xlfn.XMATCH(G$1&amp;"-"&amp;$F1006,YEAR($B$2:$B$4001)&amp;"-"&amp;$A$2:$A$4001,0,-1)),9)</f>
        <v>2</v>
      </c>
      <c r="H1006" cm="1">
        <f t="array" ref="H1006">IF(OR(AND(G1006=9,H$1&gt;YEAR($N1006))),9,_xlfn.IFNA(INDEX($D$2:$D$4001,_xlfn.XMATCH(H$1&amp;"-"&amp;$F1006,YEAR($B$2:$B$4001)&amp;"-"&amp;$A$2:$A$4001,0,-1)),G1006))</f>
        <v>2</v>
      </c>
      <c r="I1006" cm="1">
        <f t="array" ref="I1006">IF(OR(AND(H1006=9,I$1&gt;YEAR($N1006))),9,_xlfn.IFNA(INDEX($D$2:$D$4001,_xlfn.XMATCH(I$1&amp;"-"&amp;$F1006,YEAR($B$2:$B$4001)&amp;"-"&amp;$A$2:$A$4001,0,-1)),H1006))</f>
        <v>2</v>
      </c>
      <c r="J1006" cm="1">
        <f t="array" ref="J1006">IF(OR(AND(I1006=9,J$1&gt;YEAR($N1006))),9,_xlfn.IFNA(INDEX($D$2:$D$4001,_xlfn.XMATCH(J$1&amp;"-"&amp;$F1006,YEAR($B$2:$B$4001)&amp;"-"&amp;$A$2:$A$4001,0,-1)),I1006))</f>
        <v>2</v>
      </c>
      <c r="K1006" cm="1">
        <f t="array" ref="K1006">IF(OR(AND(J1006=9,K$1&gt;YEAR($N1006))),9,_xlfn.IFNA(INDEX($D$2:$D$4001,_xlfn.XMATCH(K$1&amp;"-"&amp;$F1006,YEAR($B$2:$B$4001)&amp;"-"&amp;$A$2:$A$4001,0,-1)),J1006))</f>
        <v>2</v>
      </c>
      <c r="L1006" cm="1">
        <f t="array" ref="L1006">IF(OR(AND(K1006=9,L$1&gt;YEAR($N1006))),9,_xlfn.IFNA(INDEX($D$2:$D$4001,_xlfn.XMATCH(L$1&amp;"-"&amp;$F1006,YEAR($B$2:$B$4001)&amp;"-"&amp;$A$2:$A$4001,0,-1)),K1006))</f>
        <v>3</v>
      </c>
      <c r="M1006" cm="1">
        <f t="array" ref="M1006">IF(OR(AND(L1006=9,M$1&gt;YEAR($N1006))),9,_xlfn.IFNA(INDEX($D$2:$D$4001,_xlfn.XMATCH(M$1&amp;"-"&amp;$F1006,YEAR($B$2:$B$4001)&amp;"-"&amp;$A$2:$A$4001,0,-1)),L1006))</f>
        <v>3</v>
      </c>
      <c r="N1006" s="1">
        <f t="shared" si="15"/>
        <v>36310</v>
      </c>
    </row>
    <row r="1007" spans="1:14" x14ac:dyDescent="0.35">
      <c r="A1007">
        <v>486</v>
      </c>
      <c r="B1007" s="2">
        <v>37255</v>
      </c>
      <c r="C1007">
        <v>6</v>
      </c>
      <c r="D1007">
        <v>6</v>
      </c>
      <c r="F1007">
        <v>1006</v>
      </c>
      <c r="G1007" cm="1">
        <f t="array" ref="G1007">_xlfn.IFNA(INDEX($D$2:$D$4001,_xlfn.XMATCH(G$1&amp;"-"&amp;$F1007,YEAR($B$2:$B$4001)&amp;"-"&amp;$A$2:$A$4001,0,-1)),9)</f>
        <v>9</v>
      </c>
      <c r="H1007" cm="1">
        <f t="array" ref="H1007">IF(OR(AND(G1007=9,H$1&gt;YEAR($N1007))),9,_xlfn.IFNA(INDEX($D$2:$D$4001,_xlfn.XMATCH(H$1&amp;"-"&amp;$F1007,YEAR($B$2:$B$4001)&amp;"-"&amp;$A$2:$A$4001,0,-1)),G1007))</f>
        <v>9</v>
      </c>
      <c r="I1007" cm="1">
        <f t="array" ref="I1007">IF(OR(AND(H1007=9,I$1&gt;YEAR($N1007))),9,_xlfn.IFNA(INDEX($D$2:$D$4001,_xlfn.XMATCH(I$1&amp;"-"&amp;$F1007,YEAR($B$2:$B$4001)&amp;"-"&amp;$A$2:$A$4001,0,-1)),H1007))</f>
        <v>4</v>
      </c>
      <c r="J1007" cm="1">
        <f t="array" ref="J1007">IF(OR(AND(I1007=9,J$1&gt;YEAR($N1007))),9,_xlfn.IFNA(INDEX($D$2:$D$4001,_xlfn.XMATCH(J$1&amp;"-"&amp;$F1007,YEAR($B$2:$B$4001)&amp;"-"&amp;$A$2:$A$4001,0,-1)),I1007))</f>
        <v>7</v>
      </c>
      <c r="K1007" cm="1">
        <f t="array" ref="K1007">IF(OR(AND(J1007=9,K$1&gt;YEAR($N1007))),9,_xlfn.IFNA(INDEX($D$2:$D$4001,_xlfn.XMATCH(K$1&amp;"-"&amp;$F1007,YEAR($B$2:$B$4001)&amp;"-"&amp;$A$2:$A$4001,0,-1)),J1007))</f>
        <v>7</v>
      </c>
      <c r="L1007" cm="1">
        <f t="array" ref="L1007">IF(OR(AND(K1007=9,L$1&gt;YEAR($N1007))),9,_xlfn.IFNA(INDEX($D$2:$D$4001,_xlfn.XMATCH(L$1&amp;"-"&amp;$F1007,YEAR($B$2:$B$4001)&amp;"-"&amp;$A$2:$A$4001,0,-1)),K1007))</f>
        <v>5</v>
      </c>
      <c r="M1007" cm="1">
        <f t="array" ref="M1007">IF(OR(AND(L1007=9,M$1&gt;YEAR($N1007))),9,_xlfn.IFNA(INDEX($D$2:$D$4001,_xlfn.XMATCH(M$1&amp;"-"&amp;$F1007,YEAR($B$2:$B$4001)&amp;"-"&amp;$A$2:$A$4001,0,-1)),L1007))</f>
        <v>4</v>
      </c>
      <c r="N1007" s="1">
        <f t="shared" si="15"/>
        <v>37155</v>
      </c>
    </row>
    <row r="1008" spans="1:14" x14ac:dyDescent="0.35">
      <c r="A1008">
        <v>486</v>
      </c>
      <c r="B1008" s="2">
        <v>37762</v>
      </c>
      <c r="C1008">
        <v>0</v>
      </c>
      <c r="D1008">
        <v>0</v>
      </c>
      <c r="F1008">
        <v>1007</v>
      </c>
      <c r="G1008" cm="1">
        <f t="array" ref="G1008">_xlfn.IFNA(INDEX($D$2:$D$4001,_xlfn.XMATCH(G$1&amp;"-"&amp;$F1008,YEAR($B$2:$B$4001)&amp;"-"&amp;$A$2:$A$4001,0,-1)),9)</f>
        <v>9</v>
      </c>
      <c r="H1008" cm="1">
        <f t="array" ref="H1008">IF(OR(AND(G1008=9,H$1&gt;YEAR($N1008))),9,_xlfn.IFNA(INDEX($D$2:$D$4001,_xlfn.XMATCH(H$1&amp;"-"&amp;$F1008,YEAR($B$2:$B$4001)&amp;"-"&amp;$A$2:$A$4001,0,-1)),G1008))</f>
        <v>9</v>
      </c>
      <c r="I1008" cm="1">
        <f t="array" ref="I1008">IF(OR(AND(H1008=9,I$1&gt;YEAR($N1008))),9,_xlfn.IFNA(INDEX($D$2:$D$4001,_xlfn.XMATCH(I$1&amp;"-"&amp;$F1008,YEAR($B$2:$B$4001)&amp;"-"&amp;$A$2:$A$4001,0,-1)),H1008))</f>
        <v>2</v>
      </c>
      <c r="J1008" cm="1">
        <f t="array" ref="J1008">IF(OR(AND(I1008=9,J$1&gt;YEAR($N1008))),9,_xlfn.IFNA(INDEX($D$2:$D$4001,_xlfn.XMATCH(J$1&amp;"-"&amp;$F1008,YEAR($B$2:$B$4001)&amp;"-"&amp;$A$2:$A$4001,0,-1)),I1008))</f>
        <v>2</v>
      </c>
      <c r="K1008" cm="1">
        <f t="array" ref="K1008">IF(OR(AND(J1008=9,K$1&gt;YEAR($N1008))),9,_xlfn.IFNA(INDEX($D$2:$D$4001,_xlfn.XMATCH(K$1&amp;"-"&amp;$F1008,YEAR($B$2:$B$4001)&amp;"-"&amp;$A$2:$A$4001,0,-1)),J1008))</f>
        <v>0</v>
      </c>
      <c r="L1008" cm="1">
        <f t="array" ref="L1008">IF(OR(AND(K1008=9,L$1&gt;YEAR($N1008))),9,_xlfn.IFNA(INDEX($D$2:$D$4001,_xlfn.XMATCH(L$1&amp;"-"&amp;$F1008,YEAR($B$2:$B$4001)&amp;"-"&amp;$A$2:$A$4001,0,-1)),K1008))</f>
        <v>0</v>
      </c>
      <c r="M1008" cm="1">
        <f t="array" ref="M1008">IF(OR(AND(L1008=9,M$1&gt;YEAR($N1008))),9,_xlfn.IFNA(INDEX($D$2:$D$4001,_xlfn.XMATCH(M$1&amp;"-"&amp;$F1008,YEAR($B$2:$B$4001)&amp;"-"&amp;$A$2:$A$4001,0,-1)),L1008))</f>
        <v>0</v>
      </c>
      <c r="N1008" s="1">
        <f t="shared" si="15"/>
        <v>37032</v>
      </c>
    </row>
    <row r="1009" spans="1:14" x14ac:dyDescent="0.35">
      <c r="A1009">
        <v>487</v>
      </c>
      <c r="B1009" s="2">
        <v>36790</v>
      </c>
      <c r="C1009">
        <v>3</v>
      </c>
      <c r="D1009">
        <v>3</v>
      </c>
      <c r="F1009">
        <v>1008</v>
      </c>
      <c r="G1009" cm="1">
        <f t="array" ref="G1009">_xlfn.IFNA(INDEX($D$2:$D$4001,_xlfn.XMATCH(G$1&amp;"-"&amp;$F1009,YEAR($B$2:$B$4001)&amp;"-"&amp;$A$2:$A$4001,0,-1)),9)</f>
        <v>9</v>
      </c>
      <c r="H1009" cm="1">
        <f t="array" ref="H1009">IF(OR(AND(G1009=9,H$1&gt;YEAR($N1009))),9,_xlfn.IFNA(INDEX($D$2:$D$4001,_xlfn.XMATCH(H$1&amp;"-"&amp;$F1009,YEAR($B$2:$B$4001)&amp;"-"&amp;$A$2:$A$4001,0,-1)),G1009))</f>
        <v>9</v>
      </c>
      <c r="I1009" cm="1">
        <f t="array" ref="I1009">IF(OR(AND(H1009=9,I$1&gt;YEAR($N1009))),9,_xlfn.IFNA(INDEX($D$2:$D$4001,_xlfn.XMATCH(I$1&amp;"-"&amp;$F1009,YEAR($B$2:$B$4001)&amp;"-"&amp;$A$2:$A$4001,0,-1)),H1009))</f>
        <v>3</v>
      </c>
      <c r="J1009" cm="1">
        <f t="array" ref="J1009">IF(OR(AND(I1009=9,J$1&gt;YEAR($N1009))),9,_xlfn.IFNA(INDEX($D$2:$D$4001,_xlfn.XMATCH(J$1&amp;"-"&amp;$F1009,YEAR($B$2:$B$4001)&amp;"-"&amp;$A$2:$A$4001,0,-1)),I1009))</f>
        <v>0</v>
      </c>
      <c r="K1009" cm="1">
        <f t="array" ref="K1009">IF(OR(AND(J1009=9,K$1&gt;YEAR($N1009))),9,_xlfn.IFNA(INDEX($D$2:$D$4001,_xlfn.XMATCH(K$1&amp;"-"&amp;$F1009,YEAR($B$2:$B$4001)&amp;"-"&amp;$A$2:$A$4001,0,-1)),J1009))</f>
        <v>0</v>
      </c>
      <c r="L1009" cm="1">
        <f t="array" ref="L1009">IF(OR(AND(K1009=9,L$1&gt;YEAR($N1009))),9,_xlfn.IFNA(INDEX($D$2:$D$4001,_xlfn.XMATCH(L$1&amp;"-"&amp;$F1009,YEAR($B$2:$B$4001)&amp;"-"&amp;$A$2:$A$4001,0,-1)),K1009))</f>
        <v>0</v>
      </c>
      <c r="M1009" cm="1">
        <f t="array" ref="M1009">IF(OR(AND(L1009=9,M$1&gt;YEAR($N1009))),9,_xlfn.IFNA(INDEX($D$2:$D$4001,_xlfn.XMATCH(M$1&amp;"-"&amp;$F1009,YEAR($B$2:$B$4001)&amp;"-"&amp;$A$2:$A$4001,0,-1)),L1009))</f>
        <v>0</v>
      </c>
      <c r="N1009" s="1">
        <f t="shared" si="15"/>
        <v>37041</v>
      </c>
    </row>
    <row r="1010" spans="1:14" x14ac:dyDescent="0.35">
      <c r="A1010">
        <v>487</v>
      </c>
      <c r="B1010" s="2">
        <v>37036</v>
      </c>
      <c r="C1010">
        <v>4</v>
      </c>
      <c r="D1010">
        <v>4</v>
      </c>
      <c r="F1010">
        <v>1009</v>
      </c>
      <c r="G1010" cm="1">
        <f t="array" ref="G1010">_xlfn.IFNA(INDEX($D$2:$D$4001,_xlfn.XMATCH(G$1&amp;"-"&amp;$F1010,YEAR($B$2:$B$4001)&amp;"-"&amp;$A$2:$A$4001,0,-1)),9)</f>
        <v>9</v>
      </c>
      <c r="H1010" cm="1">
        <f t="array" ref="H1010">IF(OR(AND(G1010=9,H$1&gt;YEAR($N1010))),9,_xlfn.IFNA(INDEX($D$2:$D$4001,_xlfn.XMATCH(H$1&amp;"-"&amp;$F1010,YEAR($B$2:$B$4001)&amp;"-"&amp;$A$2:$A$4001,0,-1)),G1010))</f>
        <v>9</v>
      </c>
      <c r="I1010" cm="1">
        <f t="array" ref="I1010">IF(OR(AND(H1010=9,I$1&gt;YEAR($N1010))),9,_xlfn.IFNA(INDEX($D$2:$D$4001,_xlfn.XMATCH(I$1&amp;"-"&amp;$F1010,YEAR($B$2:$B$4001)&amp;"-"&amp;$A$2:$A$4001,0,-1)),H1010))</f>
        <v>3</v>
      </c>
      <c r="J1010" cm="1">
        <f t="array" ref="J1010">IF(OR(AND(I1010=9,J$1&gt;YEAR($N1010))),9,_xlfn.IFNA(INDEX($D$2:$D$4001,_xlfn.XMATCH(J$1&amp;"-"&amp;$F1010,YEAR($B$2:$B$4001)&amp;"-"&amp;$A$2:$A$4001,0,-1)),I1010))</f>
        <v>3</v>
      </c>
      <c r="K1010" cm="1">
        <f t="array" ref="K1010">IF(OR(AND(J1010=9,K$1&gt;YEAR($N1010))),9,_xlfn.IFNA(INDEX($D$2:$D$4001,_xlfn.XMATCH(K$1&amp;"-"&amp;$F1010,YEAR($B$2:$B$4001)&amp;"-"&amp;$A$2:$A$4001,0,-1)),J1010))</f>
        <v>3</v>
      </c>
      <c r="L1010" cm="1">
        <f t="array" ref="L1010">IF(OR(AND(K1010=9,L$1&gt;YEAR($N1010))),9,_xlfn.IFNA(INDEX($D$2:$D$4001,_xlfn.XMATCH(L$1&amp;"-"&amp;$F1010,YEAR($B$2:$B$4001)&amp;"-"&amp;$A$2:$A$4001,0,-1)),K1010))</f>
        <v>3</v>
      </c>
      <c r="M1010" cm="1">
        <f t="array" ref="M1010">IF(OR(AND(L1010=9,M$1&gt;YEAR($N1010))),9,_xlfn.IFNA(INDEX($D$2:$D$4001,_xlfn.XMATCH(M$1&amp;"-"&amp;$F1010,YEAR($B$2:$B$4001)&amp;"-"&amp;$A$2:$A$4001,0,-1)),L1010))</f>
        <v>3</v>
      </c>
      <c r="N1010" s="1">
        <f t="shared" si="15"/>
        <v>37194</v>
      </c>
    </row>
    <row r="1011" spans="1:14" x14ac:dyDescent="0.35">
      <c r="A1011">
        <v>488</v>
      </c>
      <c r="B1011" s="2">
        <v>36890</v>
      </c>
      <c r="C1011">
        <v>3</v>
      </c>
      <c r="D1011">
        <v>3</v>
      </c>
      <c r="F1011">
        <v>1010</v>
      </c>
      <c r="G1011" cm="1">
        <f t="array" ref="G1011">_xlfn.IFNA(INDEX($D$2:$D$4001,_xlfn.XMATCH(G$1&amp;"-"&amp;$F1011,YEAR($B$2:$B$4001)&amp;"-"&amp;$A$2:$A$4001,0,-1)),9)</f>
        <v>9</v>
      </c>
      <c r="H1011" cm="1">
        <f t="array" ref="H1011">IF(OR(AND(G1011=9,H$1&gt;YEAR($N1011))),9,_xlfn.IFNA(INDEX($D$2:$D$4001,_xlfn.XMATCH(H$1&amp;"-"&amp;$F1011,YEAR($B$2:$B$4001)&amp;"-"&amp;$A$2:$A$4001,0,-1)),G1011))</f>
        <v>2</v>
      </c>
      <c r="I1011" cm="1">
        <f t="array" ref="I1011">IF(OR(AND(H1011=9,I$1&gt;YEAR($N1011))),9,_xlfn.IFNA(INDEX($D$2:$D$4001,_xlfn.XMATCH(I$1&amp;"-"&amp;$F1011,YEAR($B$2:$B$4001)&amp;"-"&amp;$A$2:$A$4001,0,-1)),H1011))</f>
        <v>2</v>
      </c>
      <c r="J1011" cm="1">
        <f t="array" ref="J1011">IF(OR(AND(I1011=9,J$1&gt;YEAR($N1011))),9,_xlfn.IFNA(INDEX($D$2:$D$4001,_xlfn.XMATCH(J$1&amp;"-"&amp;$F1011,YEAR($B$2:$B$4001)&amp;"-"&amp;$A$2:$A$4001,0,-1)),I1011))</f>
        <v>0</v>
      </c>
      <c r="K1011" cm="1">
        <f t="array" ref="K1011">IF(OR(AND(J1011=9,K$1&gt;YEAR($N1011))),9,_xlfn.IFNA(INDEX($D$2:$D$4001,_xlfn.XMATCH(K$1&amp;"-"&amp;$F1011,YEAR($B$2:$B$4001)&amp;"-"&amp;$A$2:$A$4001,0,-1)),J1011))</f>
        <v>0</v>
      </c>
      <c r="L1011" cm="1">
        <f t="array" ref="L1011">IF(OR(AND(K1011=9,L$1&gt;YEAR($N1011))),9,_xlfn.IFNA(INDEX($D$2:$D$4001,_xlfn.XMATCH(L$1&amp;"-"&amp;$F1011,YEAR($B$2:$B$4001)&amp;"-"&amp;$A$2:$A$4001,0,-1)),K1011))</f>
        <v>0</v>
      </c>
      <c r="M1011" cm="1">
        <f t="array" ref="M1011">IF(OR(AND(L1011=9,M$1&gt;YEAR($N1011))),9,_xlfn.IFNA(INDEX($D$2:$D$4001,_xlfn.XMATCH(M$1&amp;"-"&amp;$F1011,YEAR($B$2:$B$4001)&amp;"-"&amp;$A$2:$A$4001,0,-1)),L1011))</f>
        <v>0</v>
      </c>
      <c r="N1011" s="1">
        <f t="shared" si="15"/>
        <v>36667</v>
      </c>
    </row>
    <row r="1012" spans="1:14" x14ac:dyDescent="0.35">
      <c r="A1012">
        <v>489</v>
      </c>
      <c r="B1012" s="2">
        <v>37618</v>
      </c>
      <c r="C1012">
        <v>3</v>
      </c>
      <c r="D1012">
        <v>3</v>
      </c>
      <c r="F1012">
        <v>1011</v>
      </c>
      <c r="G1012" cm="1">
        <f t="array" ref="G1012">_xlfn.IFNA(INDEX($D$2:$D$4001,_xlfn.XMATCH(G$1&amp;"-"&amp;$F1012,YEAR($B$2:$B$4001)&amp;"-"&amp;$A$2:$A$4001,0,-1)),9)</f>
        <v>6</v>
      </c>
      <c r="H1012" cm="1">
        <f t="array" ref="H1012">IF(OR(AND(G1012=9,H$1&gt;YEAR($N1012))),9,_xlfn.IFNA(INDEX($D$2:$D$4001,_xlfn.XMATCH(H$1&amp;"-"&amp;$F1012,YEAR($B$2:$B$4001)&amp;"-"&amp;$A$2:$A$4001,0,-1)),G1012))</f>
        <v>6</v>
      </c>
      <c r="I1012" cm="1">
        <f t="array" ref="I1012">IF(OR(AND(H1012=9,I$1&gt;YEAR($N1012))),9,_xlfn.IFNA(INDEX($D$2:$D$4001,_xlfn.XMATCH(I$1&amp;"-"&amp;$F1012,YEAR($B$2:$B$4001)&amp;"-"&amp;$A$2:$A$4001,0,-1)),H1012))</f>
        <v>6</v>
      </c>
      <c r="J1012" cm="1">
        <f t="array" ref="J1012">IF(OR(AND(I1012=9,J$1&gt;YEAR($N1012))),9,_xlfn.IFNA(INDEX($D$2:$D$4001,_xlfn.XMATCH(J$1&amp;"-"&amp;$F1012,YEAR($B$2:$B$4001)&amp;"-"&amp;$A$2:$A$4001,0,-1)),I1012))</f>
        <v>6</v>
      </c>
      <c r="K1012" cm="1">
        <f t="array" ref="K1012">IF(OR(AND(J1012=9,K$1&gt;YEAR($N1012))),9,_xlfn.IFNA(INDEX($D$2:$D$4001,_xlfn.XMATCH(K$1&amp;"-"&amp;$F1012,YEAR($B$2:$B$4001)&amp;"-"&amp;$A$2:$A$4001,0,-1)),J1012))</f>
        <v>6</v>
      </c>
      <c r="L1012" cm="1">
        <f t="array" ref="L1012">IF(OR(AND(K1012=9,L$1&gt;YEAR($N1012))),9,_xlfn.IFNA(INDEX($D$2:$D$4001,_xlfn.XMATCH(L$1&amp;"-"&amp;$F1012,YEAR($B$2:$B$4001)&amp;"-"&amp;$A$2:$A$4001,0,-1)),K1012))</f>
        <v>6</v>
      </c>
      <c r="M1012" cm="1">
        <f t="array" ref="M1012">IF(OR(AND(L1012=9,M$1&gt;YEAR($N1012))),9,_xlfn.IFNA(INDEX($D$2:$D$4001,_xlfn.XMATCH(M$1&amp;"-"&amp;$F1012,YEAR($B$2:$B$4001)&amp;"-"&amp;$A$2:$A$4001,0,-1)),L1012))</f>
        <v>6</v>
      </c>
      <c r="N1012" s="1">
        <f t="shared" si="15"/>
        <v>36524</v>
      </c>
    </row>
    <row r="1013" spans="1:14" x14ac:dyDescent="0.35">
      <c r="A1013">
        <v>489</v>
      </c>
      <c r="B1013" s="2">
        <v>37620</v>
      </c>
      <c r="C1013">
        <v>3</v>
      </c>
      <c r="D1013">
        <v>3</v>
      </c>
      <c r="F1013">
        <v>1012</v>
      </c>
      <c r="G1013" cm="1">
        <f t="array" ref="G1013">_xlfn.IFNA(INDEX($D$2:$D$4001,_xlfn.XMATCH(G$1&amp;"-"&amp;$F1013,YEAR($B$2:$B$4001)&amp;"-"&amp;$A$2:$A$4001,0,-1)),9)</f>
        <v>0</v>
      </c>
      <c r="H1013" cm="1">
        <f t="array" ref="H1013">IF(OR(AND(G1013=9,H$1&gt;YEAR($N1013))),9,_xlfn.IFNA(INDEX($D$2:$D$4001,_xlfn.XMATCH(H$1&amp;"-"&amp;$F1013,YEAR($B$2:$B$4001)&amp;"-"&amp;$A$2:$A$4001,0,-1)),G1013))</f>
        <v>0</v>
      </c>
      <c r="I1013" cm="1">
        <f t="array" ref="I1013">IF(OR(AND(H1013=9,I$1&gt;YEAR($N1013))),9,_xlfn.IFNA(INDEX($D$2:$D$4001,_xlfn.XMATCH(I$1&amp;"-"&amp;$F1013,YEAR($B$2:$B$4001)&amp;"-"&amp;$A$2:$A$4001,0,-1)),H1013))</f>
        <v>0</v>
      </c>
      <c r="J1013" cm="1">
        <f t="array" ref="J1013">IF(OR(AND(I1013=9,J$1&gt;YEAR($N1013))),9,_xlfn.IFNA(INDEX($D$2:$D$4001,_xlfn.XMATCH(J$1&amp;"-"&amp;$F1013,YEAR($B$2:$B$4001)&amp;"-"&amp;$A$2:$A$4001,0,-1)),I1013))</f>
        <v>0</v>
      </c>
      <c r="K1013" cm="1">
        <f t="array" ref="K1013">IF(OR(AND(J1013=9,K$1&gt;YEAR($N1013))),9,_xlfn.IFNA(INDEX($D$2:$D$4001,_xlfn.XMATCH(K$1&amp;"-"&amp;$F1013,YEAR($B$2:$B$4001)&amp;"-"&amp;$A$2:$A$4001,0,-1)),J1013))</f>
        <v>0</v>
      </c>
      <c r="L1013" cm="1">
        <f t="array" ref="L1013">IF(OR(AND(K1013=9,L$1&gt;YEAR($N1013))),9,_xlfn.IFNA(INDEX($D$2:$D$4001,_xlfn.XMATCH(L$1&amp;"-"&amp;$F1013,YEAR($B$2:$B$4001)&amp;"-"&amp;$A$2:$A$4001,0,-1)),K1013))</f>
        <v>0</v>
      </c>
      <c r="M1013" cm="1">
        <f t="array" ref="M1013">IF(OR(AND(L1013=9,M$1&gt;YEAR($N1013))),9,_xlfn.IFNA(INDEX($D$2:$D$4001,_xlfn.XMATCH(M$1&amp;"-"&amp;$F1013,YEAR($B$2:$B$4001)&amp;"-"&amp;$A$2:$A$4001,0,-1)),L1013))</f>
        <v>0</v>
      </c>
      <c r="N1013" s="1">
        <f t="shared" si="15"/>
        <v>36301</v>
      </c>
    </row>
    <row r="1014" spans="1:14" x14ac:dyDescent="0.35">
      <c r="A1014">
        <v>489</v>
      </c>
      <c r="B1014" s="2">
        <v>38285</v>
      </c>
      <c r="C1014">
        <v>3</v>
      </c>
      <c r="D1014">
        <v>3</v>
      </c>
      <c r="F1014">
        <v>1013</v>
      </c>
      <c r="G1014" cm="1">
        <f t="array" ref="G1014">_xlfn.IFNA(INDEX($D$2:$D$4001,_xlfn.XMATCH(G$1&amp;"-"&amp;$F1014,YEAR($B$2:$B$4001)&amp;"-"&amp;$A$2:$A$4001,0,-1)),9)</f>
        <v>3</v>
      </c>
      <c r="H1014" cm="1">
        <f t="array" ref="H1014">IF(OR(AND(G1014=9,H$1&gt;YEAR($N1014))),9,_xlfn.IFNA(INDEX($D$2:$D$4001,_xlfn.XMATCH(H$1&amp;"-"&amp;$F1014,YEAR($B$2:$B$4001)&amp;"-"&amp;$A$2:$A$4001,0,-1)),G1014))</f>
        <v>3</v>
      </c>
      <c r="I1014" cm="1">
        <f t="array" ref="I1014">IF(OR(AND(H1014=9,I$1&gt;YEAR($N1014))),9,_xlfn.IFNA(INDEX($D$2:$D$4001,_xlfn.XMATCH(I$1&amp;"-"&amp;$F1014,YEAR($B$2:$B$4001)&amp;"-"&amp;$A$2:$A$4001,0,-1)),H1014))</f>
        <v>3</v>
      </c>
      <c r="J1014" cm="1">
        <f t="array" ref="J1014">IF(OR(AND(I1014=9,J$1&gt;YEAR($N1014))),9,_xlfn.IFNA(INDEX($D$2:$D$4001,_xlfn.XMATCH(J$1&amp;"-"&amp;$F1014,YEAR($B$2:$B$4001)&amp;"-"&amp;$A$2:$A$4001,0,-1)),I1014))</f>
        <v>3</v>
      </c>
      <c r="K1014" cm="1">
        <f t="array" ref="K1014">IF(OR(AND(J1014=9,K$1&gt;YEAR($N1014))),9,_xlfn.IFNA(INDEX($D$2:$D$4001,_xlfn.XMATCH(K$1&amp;"-"&amp;$F1014,YEAR($B$2:$B$4001)&amp;"-"&amp;$A$2:$A$4001,0,-1)),J1014))</f>
        <v>3</v>
      </c>
      <c r="L1014" cm="1">
        <f t="array" ref="L1014">IF(OR(AND(K1014=9,L$1&gt;YEAR($N1014))),9,_xlfn.IFNA(INDEX($D$2:$D$4001,_xlfn.XMATCH(L$1&amp;"-"&amp;$F1014,YEAR($B$2:$B$4001)&amp;"-"&amp;$A$2:$A$4001,0,-1)),K1014))</f>
        <v>0</v>
      </c>
      <c r="M1014" cm="1">
        <f t="array" ref="M1014">IF(OR(AND(L1014=9,M$1&gt;YEAR($N1014))),9,_xlfn.IFNA(INDEX($D$2:$D$4001,_xlfn.XMATCH(M$1&amp;"-"&amp;$F1014,YEAR($B$2:$B$4001)&amp;"-"&amp;$A$2:$A$4001,0,-1)),L1014))</f>
        <v>0</v>
      </c>
      <c r="N1014" s="1">
        <f t="shared" si="15"/>
        <v>36362</v>
      </c>
    </row>
    <row r="1015" spans="1:14" x14ac:dyDescent="0.35">
      <c r="A1015">
        <v>490</v>
      </c>
      <c r="B1015" s="2">
        <v>37885</v>
      </c>
      <c r="C1015">
        <v>0</v>
      </c>
      <c r="D1015">
        <v>0</v>
      </c>
      <c r="F1015">
        <v>1014</v>
      </c>
      <c r="G1015" cm="1">
        <f t="array" ref="G1015">_xlfn.IFNA(INDEX($D$2:$D$4001,_xlfn.XMATCH(G$1&amp;"-"&amp;$F1015,YEAR($B$2:$B$4001)&amp;"-"&amp;$A$2:$A$4001,0,-1)),9)</f>
        <v>3</v>
      </c>
      <c r="H1015" cm="1">
        <f t="array" ref="H1015">IF(OR(AND(G1015=9,H$1&gt;YEAR($N1015))),9,_xlfn.IFNA(INDEX($D$2:$D$4001,_xlfn.XMATCH(H$1&amp;"-"&amp;$F1015,YEAR($B$2:$B$4001)&amp;"-"&amp;$A$2:$A$4001,0,-1)),G1015))</f>
        <v>3</v>
      </c>
      <c r="I1015" cm="1">
        <f t="array" ref="I1015">IF(OR(AND(H1015=9,I$1&gt;YEAR($N1015))),9,_xlfn.IFNA(INDEX($D$2:$D$4001,_xlfn.XMATCH(I$1&amp;"-"&amp;$F1015,YEAR($B$2:$B$4001)&amp;"-"&amp;$A$2:$A$4001,0,-1)),H1015))</f>
        <v>3</v>
      </c>
      <c r="J1015" cm="1">
        <f t="array" ref="J1015">IF(OR(AND(I1015=9,J$1&gt;YEAR($N1015))),9,_xlfn.IFNA(INDEX($D$2:$D$4001,_xlfn.XMATCH(J$1&amp;"-"&amp;$F1015,YEAR($B$2:$B$4001)&amp;"-"&amp;$A$2:$A$4001,0,-1)),I1015))</f>
        <v>3</v>
      </c>
      <c r="K1015" cm="1">
        <f t="array" ref="K1015">IF(OR(AND(J1015=9,K$1&gt;YEAR($N1015))),9,_xlfn.IFNA(INDEX($D$2:$D$4001,_xlfn.XMATCH(K$1&amp;"-"&amp;$F1015,YEAR($B$2:$B$4001)&amp;"-"&amp;$A$2:$A$4001,0,-1)),J1015))</f>
        <v>3</v>
      </c>
      <c r="L1015" cm="1">
        <f t="array" ref="L1015">IF(OR(AND(K1015=9,L$1&gt;YEAR($N1015))),9,_xlfn.IFNA(INDEX($D$2:$D$4001,_xlfn.XMATCH(L$1&amp;"-"&amp;$F1015,YEAR($B$2:$B$4001)&amp;"-"&amp;$A$2:$A$4001,0,-1)),K1015))</f>
        <v>3</v>
      </c>
      <c r="M1015" cm="1">
        <f t="array" ref="M1015">IF(OR(AND(L1015=9,M$1&gt;YEAR($N1015))),9,_xlfn.IFNA(INDEX($D$2:$D$4001,_xlfn.XMATCH(M$1&amp;"-"&amp;$F1015,YEAR($B$2:$B$4001)&amp;"-"&amp;$A$2:$A$4001,0,-1)),L1015))</f>
        <v>3</v>
      </c>
      <c r="N1015" s="1">
        <f t="shared" si="15"/>
        <v>36402</v>
      </c>
    </row>
    <row r="1016" spans="1:14" x14ac:dyDescent="0.35">
      <c r="A1016">
        <v>491</v>
      </c>
      <c r="B1016" s="2">
        <v>38129</v>
      </c>
      <c r="C1016">
        <v>3</v>
      </c>
      <c r="D1016">
        <v>3</v>
      </c>
      <c r="F1016">
        <v>1015</v>
      </c>
      <c r="G1016" cm="1">
        <f t="array" ref="G1016">_xlfn.IFNA(INDEX($D$2:$D$4001,_xlfn.XMATCH(G$1&amp;"-"&amp;$F1016,YEAR($B$2:$B$4001)&amp;"-"&amp;$A$2:$A$4001,0,-1)),9)</f>
        <v>9</v>
      </c>
      <c r="H1016" cm="1">
        <f t="array" ref="H1016">IF(OR(AND(G1016=9,H$1&gt;YEAR($N1016))),9,_xlfn.IFNA(INDEX($D$2:$D$4001,_xlfn.XMATCH(H$1&amp;"-"&amp;$F1016,YEAR($B$2:$B$4001)&amp;"-"&amp;$A$2:$A$4001,0,-1)),G1016))</f>
        <v>9</v>
      </c>
      <c r="I1016" cm="1">
        <f t="array" ref="I1016">IF(OR(AND(H1016=9,I$1&gt;YEAR($N1016))),9,_xlfn.IFNA(INDEX($D$2:$D$4001,_xlfn.XMATCH(I$1&amp;"-"&amp;$F1016,YEAR($B$2:$B$4001)&amp;"-"&amp;$A$2:$A$4001,0,-1)),H1016))</f>
        <v>9</v>
      </c>
      <c r="J1016" cm="1">
        <f t="array" ref="J1016">IF(OR(AND(I1016=9,J$1&gt;YEAR($N1016))),9,_xlfn.IFNA(INDEX($D$2:$D$4001,_xlfn.XMATCH(J$1&amp;"-"&amp;$F1016,YEAR($B$2:$B$4001)&amp;"-"&amp;$A$2:$A$4001,0,-1)),I1016))</f>
        <v>9</v>
      </c>
      <c r="K1016" cm="1">
        <f t="array" ref="K1016">IF(OR(AND(J1016=9,K$1&gt;YEAR($N1016))),9,_xlfn.IFNA(INDEX($D$2:$D$4001,_xlfn.XMATCH(K$1&amp;"-"&amp;$F1016,YEAR($B$2:$B$4001)&amp;"-"&amp;$A$2:$A$4001,0,-1)),J1016))</f>
        <v>9</v>
      </c>
      <c r="L1016" cm="1">
        <f t="array" ref="L1016">IF(OR(AND(K1016=9,L$1&gt;YEAR($N1016))),9,_xlfn.IFNA(INDEX($D$2:$D$4001,_xlfn.XMATCH(L$1&amp;"-"&amp;$F1016,YEAR($B$2:$B$4001)&amp;"-"&amp;$A$2:$A$4001,0,-1)),K1016))</f>
        <v>6</v>
      </c>
      <c r="M1016" cm="1">
        <f t="array" ref="M1016">IF(OR(AND(L1016=9,M$1&gt;YEAR($N1016))),9,_xlfn.IFNA(INDEX($D$2:$D$4001,_xlfn.XMATCH(M$1&amp;"-"&amp;$F1016,YEAR($B$2:$B$4001)&amp;"-"&amp;$A$2:$A$4001,0,-1)),L1016))</f>
        <v>5</v>
      </c>
      <c r="N1016" s="1">
        <f t="shared" si="15"/>
        <v>38351</v>
      </c>
    </row>
    <row r="1017" spans="1:14" x14ac:dyDescent="0.35">
      <c r="A1017">
        <v>492</v>
      </c>
      <c r="B1017" s="2">
        <v>37041</v>
      </c>
      <c r="C1017">
        <v>4</v>
      </c>
      <c r="D1017">
        <v>4</v>
      </c>
      <c r="F1017">
        <v>1016</v>
      </c>
      <c r="G1017" cm="1">
        <f t="array" ref="G1017">_xlfn.IFNA(INDEX($D$2:$D$4001,_xlfn.XMATCH(G$1&amp;"-"&amp;$F1017,YEAR($B$2:$B$4001)&amp;"-"&amp;$A$2:$A$4001,0,-1)),9)</f>
        <v>5</v>
      </c>
      <c r="H1017" cm="1">
        <f t="array" ref="H1017">IF(OR(AND(G1017=9,H$1&gt;YEAR($N1017))),9,_xlfn.IFNA(INDEX($D$2:$D$4001,_xlfn.XMATCH(H$1&amp;"-"&amp;$F1017,YEAR($B$2:$B$4001)&amp;"-"&amp;$A$2:$A$4001,0,-1)),G1017))</f>
        <v>4</v>
      </c>
      <c r="I1017" cm="1">
        <f t="array" ref="I1017">IF(OR(AND(H1017=9,I$1&gt;YEAR($N1017))),9,_xlfn.IFNA(INDEX($D$2:$D$4001,_xlfn.XMATCH(I$1&amp;"-"&amp;$F1017,YEAR($B$2:$B$4001)&amp;"-"&amp;$A$2:$A$4001,0,-1)),H1017))</f>
        <v>4</v>
      </c>
      <c r="J1017" cm="1">
        <f t="array" ref="J1017">IF(OR(AND(I1017=9,J$1&gt;YEAR($N1017))),9,_xlfn.IFNA(INDEX($D$2:$D$4001,_xlfn.XMATCH(J$1&amp;"-"&amp;$F1017,YEAR($B$2:$B$4001)&amp;"-"&amp;$A$2:$A$4001,0,-1)),I1017))</f>
        <v>4</v>
      </c>
      <c r="K1017" cm="1">
        <f t="array" ref="K1017">IF(OR(AND(J1017=9,K$1&gt;YEAR($N1017))),9,_xlfn.IFNA(INDEX($D$2:$D$4001,_xlfn.XMATCH(K$1&amp;"-"&amp;$F1017,YEAR($B$2:$B$4001)&amp;"-"&amp;$A$2:$A$4001,0,-1)),J1017))</f>
        <v>4</v>
      </c>
      <c r="L1017" cm="1">
        <f t="array" ref="L1017">IF(OR(AND(K1017=9,L$1&gt;YEAR($N1017))),9,_xlfn.IFNA(INDEX($D$2:$D$4001,_xlfn.XMATCH(L$1&amp;"-"&amp;$F1017,YEAR($B$2:$B$4001)&amp;"-"&amp;$A$2:$A$4001,0,-1)),K1017))</f>
        <v>4</v>
      </c>
      <c r="M1017" cm="1">
        <f t="array" ref="M1017">IF(OR(AND(L1017=9,M$1&gt;YEAR($N1017))),9,_xlfn.IFNA(INDEX($D$2:$D$4001,_xlfn.XMATCH(M$1&amp;"-"&amp;$F1017,YEAR($B$2:$B$4001)&amp;"-"&amp;$A$2:$A$4001,0,-1)),L1017))</f>
        <v>4</v>
      </c>
      <c r="N1017" s="1">
        <f t="shared" si="15"/>
        <v>36301</v>
      </c>
    </row>
    <row r="1018" spans="1:14" x14ac:dyDescent="0.35">
      <c r="A1018">
        <v>492</v>
      </c>
      <c r="B1018" s="2">
        <v>38281</v>
      </c>
      <c r="C1018">
        <v>0</v>
      </c>
      <c r="D1018">
        <v>0</v>
      </c>
      <c r="F1018">
        <v>1017</v>
      </c>
      <c r="G1018" cm="1">
        <f t="array" ref="G1018">_xlfn.IFNA(INDEX($D$2:$D$4001,_xlfn.XMATCH(G$1&amp;"-"&amp;$F1018,YEAR($B$2:$B$4001)&amp;"-"&amp;$A$2:$A$4001,0,-1)),9)</f>
        <v>9</v>
      </c>
      <c r="H1018" cm="1">
        <f t="array" ref="H1018">IF(OR(AND(G1018=9,H$1&gt;YEAR($N1018))),9,_xlfn.IFNA(INDEX($D$2:$D$4001,_xlfn.XMATCH(H$1&amp;"-"&amp;$F1018,YEAR($B$2:$B$4001)&amp;"-"&amp;$A$2:$A$4001,0,-1)),G1018))</f>
        <v>0</v>
      </c>
      <c r="I1018" cm="1">
        <f t="array" ref="I1018">IF(OR(AND(H1018=9,I$1&gt;YEAR($N1018))),9,_xlfn.IFNA(INDEX($D$2:$D$4001,_xlfn.XMATCH(I$1&amp;"-"&amp;$F1018,YEAR($B$2:$B$4001)&amp;"-"&amp;$A$2:$A$4001,0,-1)),H1018))</f>
        <v>0</v>
      </c>
      <c r="J1018" cm="1">
        <f t="array" ref="J1018">IF(OR(AND(I1018=9,J$1&gt;YEAR($N1018))),9,_xlfn.IFNA(INDEX($D$2:$D$4001,_xlfn.XMATCH(J$1&amp;"-"&amp;$F1018,YEAR($B$2:$B$4001)&amp;"-"&amp;$A$2:$A$4001,0,-1)),I1018))</f>
        <v>0</v>
      </c>
      <c r="K1018" cm="1">
        <f t="array" ref="K1018">IF(OR(AND(J1018=9,K$1&gt;YEAR($N1018))),9,_xlfn.IFNA(INDEX($D$2:$D$4001,_xlfn.XMATCH(K$1&amp;"-"&amp;$F1018,YEAR($B$2:$B$4001)&amp;"-"&amp;$A$2:$A$4001,0,-1)),J1018))</f>
        <v>0</v>
      </c>
      <c r="L1018" cm="1">
        <f t="array" ref="L1018">IF(OR(AND(K1018=9,L$1&gt;YEAR($N1018))),9,_xlfn.IFNA(INDEX($D$2:$D$4001,_xlfn.XMATCH(L$1&amp;"-"&amp;$F1018,YEAR($B$2:$B$4001)&amp;"-"&amp;$A$2:$A$4001,0,-1)),K1018))</f>
        <v>0</v>
      </c>
      <c r="M1018" cm="1">
        <f t="array" ref="M1018">IF(OR(AND(L1018=9,M$1&gt;YEAR($N1018))),9,_xlfn.IFNA(INDEX($D$2:$D$4001,_xlfn.XMATCH(M$1&amp;"-"&amp;$F1018,YEAR($B$2:$B$4001)&amp;"-"&amp;$A$2:$A$4001,0,-1)),L1018))</f>
        <v>0</v>
      </c>
      <c r="N1018" s="1">
        <f t="shared" si="15"/>
        <v>36667</v>
      </c>
    </row>
    <row r="1019" spans="1:14" x14ac:dyDescent="0.35">
      <c r="A1019">
        <v>493</v>
      </c>
      <c r="B1019" s="2">
        <v>37802</v>
      </c>
      <c r="C1019">
        <v>3</v>
      </c>
      <c r="D1019">
        <v>3</v>
      </c>
      <c r="F1019">
        <v>1018</v>
      </c>
      <c r="G1019" cm="1">
        <f t="array" ref="G1019">_xlfn.IFNA(INDEX($D$2:$D$4001,_xlfn.XMATCH(G$1&amp;"-"&amp;$F1019,YEAR($B$2:$B$4001)&amp;"-"&amp;$A$2:$A$4001,0,-1)),9)</f>
        <v>9</v>
      </c>
      <c r="H1019" cm="1">
        <f t="array" ref="H1019">IF(OR(AND(G1019=9,H$1&gt;YEAR($N1019))),9,_xlfn.IFNA(INDEX($D$2:$D$4001,_xlfn.XMATCH(H$1&amp;"-"&amp;$F1019,YEAR($B$2:$B$4001)&amp;"-"&amp;$A$2:$A$4001,0,-1)),G1019))</f>
        <v>7</v>
      </c>
      <c r="I1019" cm="1">
        <f t="array" ref="I1019">IF(OR(AND(H1019=9,I$1&gt;YEAR($N1019))),9,_xlfn.IFNA(INDEX($D$2:$D$4001,_xlfn.XMATCH(I$1&amp;"-"&amp;$F1019,YEAR($B$2:$B$4001)&amp;"-"&amp;$A$2:$A$4001,0,-1)),H1019))</f>
        <v>7</v>
      </c>
      <c r="J1019" cm="1">
        <f t="array" ref="J1019">IF(OR(AND(I1019=9,J$1&gt;YEAR($N1019))),9,_xlfn.IFNA(INDEX($D$2:$D$4001,_xlfn.XMATCH(J$1&amp;"-"&amp;$F1019,YEAR($B$2:$B$4001)&amp;"-"&amp;$A$2:$A$4001,0,-1)),I1019))</f>
        <v>7</v>
      </c>
      <c r="K1019" cm="1">
        <f t="array" ref="K1019">IF(OR(AND(J1019=9,K$1&gt;YEAR($N1019))),9,_xlfn.IFNA(INDEX($D$2:$D$4001,_xlfn.XMATCH(K$1&amp;"-"&amp;$F1019,YEAR($B$2:$B$4001)&amp;"-"&amp;$A$2:$A$4001,0,-1)),J1019))</f>
        <v>7</v>
      </c>
      <c r="L1019" cm="1">
        <f t="array" ref="L1019">IF(OR(AND(K1019=9,L$1&gt;YEAR($N1019))),9,_xlfn.IFNA(INDEX($D$2:$D$4001,_xlfn.XMATCH(L$1&amp;"-"&amp;$F1019,YEAR($B$2:$B$4001)&amp;"-"&amp;$A$2:$A$4001,0,-1)),K1019))</f>
        <v>7</v>
      </c>
      <c r="M1019" cm="1">
        <f t="array" ref="M1019">IF(OR(AND(L1019=9,M$1&gt;YEAR($N1019))),9,_xlfn.IFNA(INDEX($D$2:$D$4001,_xlfn.XMATCH(M$1&amp;"-"&amp;$F1019,YEAR($B$2:$B$4001)&amp;"-"&amp;$A$2:$A$4001,0,-1)),L1019))</f>
        <v>7</v>
      </c>
      <c r="N1019" s="1">
        <f t="shared" si="15"/>
        <v>36890</v>
      </c>
    </row>
    <row r="1020" spans="1:14" x14ac:dyDescent="0.35">
      <c r="A1020">
        <v>494</v>
      </c>
      <c r="B1020" s="2">
        <v>37794</v>
      </c>
      <c r="C1020">
        <v>5</v>
      </c>
      <c r="D1020">
        <v>5</v>
      </c>
      <c r="F1020">
        <v>1019</v>
      </c>
      <c r="G1020" cm="1">
        <f t="array" ref="G1020">_xlfn.IFNA(INDEX($D$2:$D$4001,_xlfn.XMATCH(G$1&amp;"-"&amp;$F1020,YEAR($B$2:$B$4001)&amp;"-"&amp;$A$2:$A$4001,0,-1)),9)</f>
        <v>9</v>
      </c>
      <c r="H1020" cm="1">
        <f t="array" ref="H1020">IF(OR(AND(G1020=9,H$1&gt;YEAR($N1020))),9,_xlfn.IFNA(INDEX($D$2:$D$4001,_xlfn.XMATCH(H$1&amp;"-"&amp;$F1020,YEAR($B$2:$B$4001)&amp;"-"&amp;$A$2:$A$4001,0,-1)),G1020))</f>
        <v>9</v>
      </c>
      <c r="I1020" cm="1">
        <f t="array" ref="I1020">IF(OR(AND(H1020=9,I$1&gt;YEAR($N1020))),9,_xlfn.IFNA(INDEX($D$2:$D$4001,_xlfn.XMATCH(I$1&amp;"-"&amp;$F1020,YEAR($B$2:$B$4001)&amp;"-"&amp;$A$2:$A$4001,0,-1)),H1020))</f>
        <v>4</v>
      </c>
      <c r="J1020" cm="1">
        <f t="array" ref="J1020">IF(OR(AND(I1020=9,J$1&gt;YEAR($N1020))),9,_xlfn.IFNA(INDEX($D$2:$D$4001,_xlfn.XMATCH(J$1&amp;"-"&amp;$F1020,YEAR($B$2:$B$4001)&amp;"-"&amp;$A$2:$A$4001,0,-1)),I1020))</f>
        <v>4</v>
      </c>
      <c r="K1020" cm="1">
        <f t="array" ref="K1020">IF(OR(AND(J1020=9,K$1&gt;YEAR($N1020))),9,_xlfn.IFNA(INDEX($D$2:$D$4001,_xlfn.XMATCH(K$1&amp;"-"&amp;$F1020,YEAR($B$2:$B$4001)&amp;"-"&amp;$A$2:$A$4001,0,-1)),J1020))</f>
        <v>4</v>
      </c>
      <c r="L1020" cm="1">
        <f t="array" ref="L1020">IF(OR(AND(K1020=9,L$1&gt;YEAR($N1020))),9,_xlfn.IFNA(INDEX($D$2:$D$4001,_xlfn.XMATCH(L$1&amp;"-"&amp;$F1020,YEAR($B$2:$B$4001)&amp;"-"&amp;$A$2:$A$4001,0,-1)),K1020))</f>
        <v>4</v>
      </c>
      <c r="M1020" cm="1">
        <f t="array" ref="M1020">IF(OR(AND(L1020=9,M$1&gt;YEAR($N1020))),9,_xlfn.IFNA(INDEX($D$2:$D$4001,_xlfn.XMATCH(M$1&amp;"-"&amp;$F1020,YEAR($B$2:$B$4001)&amp;"-"&amp;$A$2:$A$4001,0,-1)),L1020))</f>
        <v>4</v>
      </c>
      <c r="N1020" s="1">
        <f t="shared" si="15"/>
        <v>37032</v>
      </c>
    </row>
    <row r="1021" spans="1:14" x14ac:dyDescent="0.35">
      <c r="A1021">
        <v>494</v>
      </c>
      <c r="B1021" s="2">
        <v>38290</v>
      </c>
      <c r="C1021">
        <v>0</v>
      </c>
      <c r="D1021">
        <v>0</v>
      </c>
      <c r="F1021">
        <v>1020</v>
      </c>
      <c r="G1021" cm="1">
        <f t="array" ref="G1021">_xlfn.IFNA(INDEX($D$2:$D$4001,_xlfn.XMATCH(G$1&amp;"-"&amp;$F1021,YEAR($B$2:$B$4001)&amp;"-"&amp;$A$2:$A$4001,0,-1)),9)</f>
        <v>3</v>
      </c>
      <c r="H1021" cm="1">
        <f t="array" ref="H1021">IF(OR(AND(G1021=9,H$1&gt;YEAR($N1021))),9,_xlfn.IFNA(INDEX($D$2:$D$4001,_xlfn.XMATCH(H$1&amp;"-"&amp;$F1021,YEAR($B$2:$B$4001)&amp;"-"&amp;$A$2:$A$4001,0,-1)),G1021))</f>
        <v>2</v>
      </c>
      <c r="I1021" cm="1">
        <f t="array" ref="I1021">IF(OR(AND(H1021=9,I$1&gt;YEAR($N1021))),9,_xlfn.IFNA(INDEX($D$2:$D$4001,_xlfn.XMATCH(I$1&amp;"-"&amp;$F1021,YEAR($B$2:$B$4001)&amp;"-"&amp;$A$2:$A$4001,0,-1)),H1021))</f>
        <v>0</v>
      </c>
      <c r="J1021" cm="1">
        <f t="array" ref="J1021">IF(OR(AND(I1021=9,J$1&gt;YEAR($N1021))),9,_xlfn.IFNA(INDEX($D$2:$D$4001,_xlfn.XMATCH(J$1&amp;"-"&amp;$F1021,YEAR($B$2:$B$4001)&amp;"-"&amp;$A$2:$A$4001,0,-1)),I1021))</f>
        <v>0</v>
      </c>
      <c r="K1021" cm="1">
        <f t="array" ref="K1021">IF(OR(AND(J1021=9,K$1&gt;YEAR($N1021))),9,_xlfn.IFNA(INDEX($D$2:$D$4001,_xlfn.XMATCH(K$1&amp;"-"&amp;$F1021,YEAR($B$2:$B$4001)&amp;"-"&amp;$A$2:$A$4001,0,-1)),J1021))</f>
        <v>0</v>
      </c>
      <c r="L1021" cm="1">
        <f t="array" ref="L1021">IF(OR(AND(K1021=9,L$1&gt;YEAR($N1021))),9,_xlfn.IFNA(INDEX($D$2:$D$4001,_xlfn.XMATCH(L$1&amp;"-"&amp;$F1021,YEAR($B$2:$B$4001)&amp;"-"&amp;$A$2:$A$4001,0,-1)),K1021))</f>
        <v>0</v>
      </c>
      <c r="M1021" cm="1">
        <f t="array" ref="M1021">IF(OR(AND(L1021=9,M$1&gt;YEAR($N1021))),9,_xlfn.IFNA(INDEX($D$2:$D$4001,_xlfn.XMATCH(M$1&amp;"-"&amp;$F1021,YEAR($B$2:$B$4001)&amp;"-"&amp;$A$2:$A$4001,0,-1)),L1021))</f>
        <v>0</v>
      </c>
      <c r="N1021" s="1">
        <f t="shared" si="15"/>
        <v>36371</v>
      </c>
    </row>
    <row r="1022" spans="1:14" x14ac:dyDescent="0.35">
      <c r="A1022">
        <v>495</v>
      </c>
      <c r="B1022" s="2">
        <v>36301</v>
      </c>
      <c r="C1022">
        <v>5</v>
      </c>
      <c r="D1022">
        <v>5</v>
      </c>
      <c r="F1022">
        <v>1021</v>
      </c>
      <c r="G1022" cm="1">
        <f t="array" ref="G1022">_xlfn.IFNA(INDEX($D$2:$D$4001,_xlfn.XMATCH(G$1&amp;"-"&amp;$F1022,YEAR($B$2:$B$4001)&amp;"-"&amp;$A$2:$A$4001,0,-1)),9)</f>
        <v>2</v>
      </c>
      <c r="H1022" cm="1">
        <f t="array" ref="H1022">IF(OR(AND(G1022=9,H$1&gt;YEAR($N1022))),9,_xlfn.IFNA(INDEX($D$2:$D$4001,_xlfn.XMATCH(H$1&amp;"-"&amp;$F1022,YEAR($B$2:$B$4001)&amp;"-"&amp;$A$2:$A$4001,0,-1)),G1022))</f>
        <v>2</v>
      </c>
      <c r="I1022" cm="1">
        <f t="array" ref="I1022">IF(OR(AND(H1022=9,I$1&gt;YEAR($N1022))),9,_xlfn.IFNA(INDEX($D$2:$D$4001,_xlfn.XMATCH(I$1&amp;"-"&amp;$F1022,YEAR($B$2:$B$4001)&amp;"-"&amp;$A$2:$A$4001,0,-1)),H1022))</f>
        <v>2</v>
      </c>
      <c r="J1022" cm="1">
        <f t="array" ref="J1022">IF(OR(AND(I1022=9,J$1&gt;YEAR($N1022))),9,_xlfn.IFNA(INDEX($D$2:$D$4001,_xlfn.XMATCH(J$1&amp;"-"&amp;$F1022,YEAR($B$2:$B$4001)&amp;"-"&amp;$A$2:$A$4001,0,-1)),I1022))</f>
        <v>2</v>
      </c>
      <c r="K1022" cm="1">
        <f t="array" ref="K1022">IF(OR(AND(J1022=9,K$1&gt;YEAR($N1022))),9,_xlfn.IFNA(INDEX($D$2:$D$4001,_xlfn.XMATCH(K$1&amp;"-"&amp;$F1022,YEAR($B$2:$B$4001)&amp;"-"&amp;$A$2:$A$4001,0,-1)),J1022))</f>
        <v>2</v>
      </c>
      <c r="L1022" cm="1">
        <f t="array" ref="L1022">IF(OR(AND(K1022=9,L$1&gt;YEAR($N1022))),9,_xlfn.IFNA(INDEX($D$2:$D$4001,_xlfn.XMATCH(L$1&amp;"-"&amp;$F1022,YEAR($B$2:$B$4001)&amp;"-"&amp;$A$2:$A$4001,0,-1)),K1022))</f>
        <v>3</v>
      </c>
      <c r="M1022" cm="1">
        <f t="array" ref="M1022">IF(OR(AND(L1022=9,M$1&gt;YEAR($N1022))),9,_xlfn.IFNA(INDEX($D$2:$D$4001,_xlfn.XMATCH(M$1&amp;"-"&amp;$F1022,YEAR($B$2:$B$4001)&amp;"-"&amp;$A$2:$A$4001,0,-1)),L1022))</f>
        <v>3</v>
      </c>
      <c r="N1022" s="1">
        <f t="shared" si="15"/>
        <v>36524</v>
      </c>
    </row>
    <row r="1023" spans="1:14" x14ac:dyDescent="0.35">
      <c r="A1023">
        <v>495</v>
      </c>
      <c r="B1023" s="2">
        <v>36310</v>
      </c>
      <c r="C1023">
        <v>6</v>
      </c>
      <c r="D1023">
        <v>6</v>
      </c>
      <c r="F1023">
        <v>1022</v>
      </c>
      <c r="G1023" cm="1">
        <f t="array" ref="G1023">_xlfn.IFNA(INDEX($D$2:$D$4001,_xlfn.XMATCH(G$1&amp;"-"&amp;$F1023,YEAR($B$2:$B$4001)&amp;"-"&amp;$A$2:$A$4001,0,-1)),9)</f>
        <v>9</v>
      </c>
      <c r="H1023" cm="1">
        <f t="array" ref="H1023">IF(OR(AND(G1023=9,H$1&gt;YEAR($N1023))),9,_xlfn.IFNA(INDEX($D$2:$D$4001,_xlfn.XMATCH(H$1&amp;"-"&amp;$F1023,YEAR($B$2:$B$4001)&amp;"-"&amp;$A$2:$A$4001,0,-1)),G1023))</f>
        <v>3</v>
      </c>
      <c r="I1023" cm="1">
        <f t="array" ref="I1023">IF(OR(AND(H1023=9,I$1&gt;YEAR($N1023))),9,_xlfn.IFNA(INDEX($D$2:$D$4001,_xlfn.XMATCH(I$1&amp;"-"&amp;$F1023,YEAR($B$2:$B$4001)&amp;"-"&amp;$A$2:$A$4001,0,-1)),H1023))</f>
        <v>3</v>
      </c>
      <c r="J1023" cm="1">
        <f t="array" ref="J1023">IF(OR(AND(I1023=9,J$1&gt;YEAR($N1023))),9,_xlfn.IFNA(INDEX($D$2:$D$4001,_xlfn.XMATCH(J$1&amp;"-"&amp;$F1023,YEAR($B$2:$B$4001)&amp;"-"&amp;$A$2:$A$4001,0,-1)),I1023))</f>
        <v>4</v>
      </c>
      <c r="K1023" cm="1">
        <f t="array" ref="K1023">IF(OR(AND(J1023=9,K$1&gt;YEAR($N1023))),9,_xlfn.IFNA(INDEX($D$2:$D$4001,_xlfn.XMATCH(K$1&amp;"-"&amp;$F1023,YEAR($B$2:$B$4001)&amp;"-"&amp;$A$2:$A$4001,0,-1)),J1023))</f>
        <v>4</v>
      </c>
      <c r="L1023" cm="1">
        <f t="array" ref="L1023">IF(OR(AND(K1023=9,L$1&gt;YEAR($N1023))),9,_xlfn.IFNA(INDEX($D$2:$D$4001,_xlfn.XMATCH(L$1&amp;"-"&amp;$F1023,YEAR($B$2:$B$4001)&amp;"-"&amp;$A$2:$A$4001,0,-1)),K1023))</f>
        <v>4</v>
      </c>
      <c r="M1023" cm="1">
        <f t="array" ref="M1023">IF(OR(AND(L1023=9,M$1&gt;YEAR($N1023))),9,_xlfn.IFNA(INDEX($D$2:$D$4001,_xlfn.XMATCH(M$1&amp;"-"&amp;$F1023,YEAR($B$2:$B$4001)&amp;"-"&amp;$A$2:$A$4001,0,-1)),L1023))</f>
        <v>4</v>
      </c>
      <c r="N1023" s="1">
        <f t="shared" si="15"/>
        <v>36890</v>
      </c>
    </row>
    <row r="1024" spans="1:14" x14ac:dyDescent="0.35">
      <c r="A1024">
        <v>495</v>
      </c>
      <c r="B1024" s="2">
        <v>38167</v>
      </c>
      <c r="C1024">
        <v>6</v>
      </c>
      <c r="D1024">
        <v>6</v>
      </c>
      <c r="F1024">
        <v>1023</v>
      </c>
      <c r="G1024" cm="1">
        <f t="array" ref="G1024">_xlfn.IFNA(INDEX($D$2:$D$4001,_xlfn.XMATCH(G$1&amp;"-"&amp;$F1024,YEAR($B$2:$B$4001)&amp;"-"&amp;$A$2:$A$4001,0,-1)),9)</f>
        <v>5</v>
      </c>
      <c r="H1024" cm="1">
        <f t="array" ref="H1024">IF(OR(AND(G1024=9,H$1&gt;YEAR($N1024))),9,_xlfn.IFNA(INDEX($D$2:$D$4001,_xlfn.XMATCH(H$1&amp;"-"&amp;$F1024,YEAR($B$2:$B$4001)&amp;"-"&amp;$A$2:$A$4001,0,-1)),G1024))</f>
        <v>5</v>
      </c>
      <c r="I1024" cm="1">
        <f t="array" ref="I1024">IF(OR(AND(H1024=9,I$1&gt;YEAR($N1024))),9,_xlfn.IFNA(INDEX($D$2:$D$4001,_xlfn.XMATCH(I$1&amp;"-"&amp;$F1024,YEAR($B$2:$B$4001)&amp;"-"&amp;$A$2:$A$4001,0,-1)),H1024))</f>
        <v>5</v>
      </c>
      <c r="J1024" cm="1">
        <f t="array" ref="J1024">IF(OR(AND(I1024=9,J$1&gt;YEAR($N1024))),9,_xlfn.IFNA(INDEX($D$2:$D$4001,_xlfn.XMATCH(J$1&amp;"-"&amp;$F1024,YEAR($B$2:$B$4001)&amp;"-"&amp;$A$2:$A$4001,0,-1)),I1024))</f>
        <v>5</v>
      </c>
      <c r="K1024" cm="1">
        <f t="array" ref="K1024">IF(OR(AND(J1024=9,K$1&gt;YEAR($N1024))),9,_xlfn.IFNA(INDEX($D$2:$D$4001,_xlfn.XMATCH(K$1&amp;"-"&amp;$F1024,YEAR($B$2:$B$4001)&amp;"-"&amp;$A$2:$A$4001,0,-1)),J1024))</f>
        <v>6</v>
      </c>
      <c r="L1024" cm="1">
        <f t="array" ref="L1024">IF(OR(AND(K1024=9,L$1&gt;YEAR($N1024))),9,_xlfn.IFNA(INDEX($D$2:$D$4001,_xlfn.XMATCH(L$1&amp;"-"&amp;$F1024,YEAR($B$2:$B$4001)&amp;"-"&amp;$A$2:$A$4001,0,-1)),K1024))</f>
        <v>6</v>
      </c>
      <c r="M1024" cm="1">
        <f t="array" ref="M1024">IF(OR(AND(L1024=9,M$1&gt;YEAR($N1024))),9,_xlfn.IFNA(INDEX($D$2:$D$4001,_xlfn.XMATCH(M$1&amp;"-"&amp;$F1024,YEAR($B$2:$B$4001)&amp;"-"&amp;$A$2:$A$4001,0,-1)),L1024))</f>
        <v>6</v>
      </c>
      <c r="N1024" s="1">
        <f t="shared" si="15"/>
        <v>36301</v>
      </c>
    </row>
    <row r="1025" spans="1:14" x14ac:dyDescent="0.35">
      <c r="A1025">
        <v>496</v>
      </c>
      <c r="B1025" s="2">
        <v>37559</v>
      </c>
      <c r="C1025">
        <v>4</v>
      </c>
      <c r="D1025">
        <v>4</v>
      </c>
      <c r="F1025">
        <v>1024</v>
      </c>
      <c r="G1025" cm="1">
        <f t="array" ref="G1025">_xlfn.IFNA(INDEX($D$2:$D$4001,_xlfn.XMATCH(G$1&amp;"-"&amp;$F1025,YEAR($B$2:$B$4001)&amp;"-"&amp;$A$2:$A$4001,0,-1)),9)</f>
        <v>9</v>
      </c>
      <c r="H1025" cm="1">
        <f t="array" ref="H1025">IF(OR(AND(G1025=9,H$1&gt;YEAR($N1025))),9,_xlfn.IFNA(INDEX($D$2:$D$4001,_xlfn.XMATCH(H$1&amp;"-"&amp;$F1025,YEAR($B$2:$B$4001)&amp;"-"&amp;$A$2:$A$4001,0,-1)),G1025))</f>
        <v>9</v>
      </c>
      <c r="I1025" cm="1">
        <f t="array" ref="I1025">IF(OR(AND(H1025=9,I$1&gt;YEAR($N1025))),9,_xlfn.IFNA(INDEX($D$2:$D$4001,_xlfn.XMATCH(I$1&amp;"-"&amp;$F1025,YEAR($B$2:$B$4001)&amp;"-"&amp;$A$2:$A$4001,0,-1)),H1025))</f>
        <v>9</v>
      </c>
      <c r="J1025" cm="1">
        <f t="array" ref="J1025">IF(OR(AND(I1025=9,J$1&gt;YEAR($N1025))),9,_xlfn.IFNA(INDEX($D$2:$D$4001,_xlfn.XMATCH(J$1&amp;"-"&amp;$F1025,YEAR($B$2:$B$4001)&amp;"-"&amp;$A$2:$A$4001,0,-1)),I1025))</f>
        <v>9</v>
      </c>
      <c r="K1025" cm="1">
        <f t="array" ref="K1025">IF(OR(AND(J1025=9,K$1&gt;YEAR($N1025))),9,_xlfn.IFNA(INDEX($D$2:$D$4001,_xlfn.XMATCH(K$1&amp;"-"&amp;$F1025,YEAR($B$2:$B$4001)&amp;"-"&amp;$A$2:$A$4001,0,-1)),J1025))</f>
        <v>9</v>
      </c>
      <c r="L1025" cm="1">
        <f t="array" ref="L1025">IF(OR(AND(K1025=9,L$1&gt;YEAR($N1025))),9,_xlfn.IFNA(INDEX($D$2:$D$4001,_xlfn.XMATCH(L$1&amp;"-"&amp;$F1025,YEAR($B$2:$B$4001)&amp;"-"&amp;$A$2:$A$4001,0,-1)),K1025))</f>
        <v>9</v>
      </c>
      <c r="M1025" cm="1">
        <f t="array" ref="M1025">IF(OR(AND(L1025=9,M$1&gt;YEAR($N1025))),9,_xlfn.IFNA(INDEX($D$2:$D$4001,_xlfn.XMATCH(M$1&amp;"-"&amp;$F1025,YEAR($B$2:$B$4001)&amp;"-"&amp;$A$2:$A$4001,0,-1)),L1025))</f>
        <v>4</v>
      </c>
      <c r="N1025" s="1">
        <f t="shared" si="15"/>
        <v>38655</v>
      </c>
    </row>
    <row r="1026" spans="1:14" x14ac:dyDescent="0.35">
      <c r="A1026">
        <v>497</v>
      </c>
      <c r="B1026" s="2">
        <v>36890</v>
      </c>
      <c r="C1026">
        <v>2</v>
      </c>
      <c r="D1026">
        <v>2</v>
      </c>
      <c r="F1026">
        <v>1025</v>
      </c>
      <c r="G1026" cm="1">
        <f t="array" ref="G1026">_xlfn.IFNA(INDEX($D$2:$D$4001,_xlfn.XMATCH(G$1&amp;"-"&amp;$F1026,YEAR($B$2:$B$4001)&amp;"-"&amp;$A$2:$A$4001,0,-1)),9)</f>
        <v>9</v>
      </c>
      <c r="H1026" cm="1">
        <f t="array" ref="H1026">IF(OR(AND(G1026=9,H$1&gt;YEAR($N1026))),9,_xlfn.IFNA(INDEX($D$2:$D$4001,_xlfn.XMATCH(H$1&amp;"-"&amp;$F1026,YEAR($B$2:$B$4001)&amp;"-"&amp;$A$2:$A$4001,0,-1)),G1026))</f>
        <v>9</v>
      </c>
      <c r="I1026" cm="1">
        <f t="array" ref="I1026">IF(OR(AND(H1026=9,I$1&gt;YEAR($N1026))),9,_xlfn.IFNA(INDEX($D$2:$D$4001,_xlfn.XMATCH(I$1&amp;"-"&amp;$F1026,YEAR($B$2:$B$4001)&amp;"-"&amp;$A$2:$A$4001,0,-1)),H1026))</f>
        <v>4</v>
      </c>
      <c r="J1026" cm="1">
        <f t="array" ref="J1026">IF(OR(AND(I1026=9,J$1&gt;YEAR($N1026))),9,_xlfn.IFNA(INDEX($D$2:$D$4001,_xlfn.XMATCH(J$1&amp;"-"&amp;$F1026,YEAR($B$2:$B$4001)&amp;"-"&amp;$A$2:$A$4001,0,-1)),I1026))</f>
        <v>4</v>
      </c>
      <c r="K1026" cm="1">
        <f t="array" ref="K1026">IF(OR(AND(J1026=9,K$1&gt;YEAR($N1026))),9,_xlfn.IFNA(INDEX($D$2:$D$4001,_xlfn.XMATCH(K$1&amp;"-"&amp;$F1026,YEAR($B$2:$B$4001)&amp;"-"&amp;$A$2:$A$4001,0,-1)),J1026))</f>
        <v>4</v>
      </c>
      <c r="L1026" cm="1">
        <f t="array" ref="L1026">IF(OR(AND(K1026=9,L$1&gt;YEAR($N1026))),9,_xlfn.IFNA(INDEX($D$2:$D$4001,_xlfn.XMATCH(L$1&amp;"-"&amp;$F1026,YEAR($B$2:$B$4001)&amp;"-"&amp;$A$2:$A$4001,0,-1)),K1026))</f>
        <v>4</v>
      </c>
      <c r="M1026" cm="1">
        <f t="array" ref="M1026">IF(OR(AND(L1026=9,M$1&gt;YEAR($N1026))),9,_xlfn.IFNA(INDEX($D$2:$D$4001,_xlfn.XMATCH(M$1&amp;"-"&amp;$F1026,YEAR($B$2:$B$4001)&amp;"-"&amp;$A$2:$A$4001,0,-1)),L1026))</f>
        <v>4</v>
      </c>
      <c r="N1026" s="1">
        <f t="shared" si="15"/>
        <v>37032</v>
      </c>
    </row>
    <row r="1027" spans="1:14" x14ac:dyDescent="0.35">
      <c r="A1027">
        <v>498</v>
      </c>
      <c r="B1027" s="2">
        <v>38189</v>
      </c>
      <c r="C1027">
        <v>6</v>
      </c>
      <c r="D1027">
        <v>6</v>
      </c>
      <c r="F1027">
        <v>1026</v>
      </c>
      <c r="G1027" cm="1">
        <f t="array" ref="G1027">_xlfn.IFNA(INDEX($D$2:$D$4001,_xlfn.XMATCH(G$1&amp;"-"&amp;$F1027,YEAR($B$2:$B$4001)&amp;"-"&amp;$A$2:$A$4001,0,-1)),9)</f>
        <v>9</v>
      </c>
      <c r="H1027" cm="1">
        <f t="array" ref="H1027">IF(OR(AND(G1027=9,H$1&gt;YEAR($N1027))),9,_xlfn.IFNA(INDEX($D$2:$D$4001,_xlfn.XMATCH(H$1&amp;"-"&amp;$F1027,YEAR($B$2:$B$4001)&amp;"-"&amp;$A$2:$A$4001,0,-1)),G1027))</f>
        <v>9</v>
      </c>
      <c r="I1027" cm="1">
        <f t="array" ref="I1027">IF(OR(AND(H1027=9,I$1&gt;YEAR($N1027))),9,_xlfn.IFNA(INDEX($D$2:$D$4001,_xlfn.XMATCH(I$1&amp;"-"&amp;$F1027,YEAR($B$2:$B$4001)&amp;"-"&amp;$A$2:$A$4001,0,-1)),H1027))</f>
        <v>9</v>
      </c>
      <c r="J1027" cm="1">
        <f t="array" ref="J1027">IF(OR(AND(I1027=9,J$1&gt;YEAR($N1027))),9,_xlfn.IFNA(INDEX($D$2:$D$4001,_xlfn.XMATCH(J$1&amp;"-"&amp;$F1027,YEAR($B$2:$B$4001)&amp;"-"&amp;$A$2:$A$4001,0,-1)),I1027))</f>
        <v>4</v>
      </c>
      <c r="K1027" cm="1">
        <f t="array" ref="K1027">IF(OR(AND(J1027=9,K$1&gt;YEAR($N1027))),9,_xlfn.IFNA(INDEX($D$2:$D$4001,_xlfn.XMATCH(K$1&amp;"-"&amp;$F1027,YEAR($B$2:$B$4001)&amp;"-"&amp;$A$2:$A$4001,0,-1)),J1027))</f>
        <v>4</v>
      </c>
      <c r="L1027" cm="1">
        <f t="array" ref="L1027">IF(OR(AND(K1027=9,L$1&gt;YEAR($N1027))),9,_xlfn.IFNA(INDEX($D$2:$D$4001,_xlfn.XMATCH(L$1&amp;"-"&amp;$F1027,YEAR($B$2:$B$4001)&amp;"-"&amp;$A$2:$A$4001,0,-1)),K1027))</f>
        <v>4</v>
      </c>
      <c r="M1027" cm="1">
        <f t="array" ref="M1027">IF(OR(AND(L1027=9,M$1&gt;YEAR($N1027))),9,_xlfn.IFNA(INDEX($D$2:$D$4001,_xlfn.XMATCH(M$1&amp;"-"&amp;$F1027,YEAR($B$2:$B$4001)&amp;"-"&amp;$A$2:$A$4001,0,-1)),L1027))</f>
        <v>4</v>
      </c>
      <c r="N1027" s="1">
        <f t="shared" ref="N1027:N1090" si="16">_xlfn.MINIFS($B$2:$B$4001,$A$2:$A$4001,F1027)</f>
        <v>37406</v>
      </c>
    </row>
    <row r="1028" spans="1:14" x14ac:dyDescent="0.35">
      <c r="A1028">
        <v>499</v>
      </c>
      <c r="B1028" s="2">
        <v>36485</v>
      </c>
      <c r="C1028">
        <v>0</v>
      </c>
      <c r="D1028">
        <v>0</v>
      </c>
      <c r="F1028">
        <v>1027</v>
      </c>
      <c r="G1028" cm="1">
        <f t="array" ref="G1028">_xlfn.IFNA(INDEX($D$2:$D$4001,_xlfn.XMATCH(G$1&amp;"-"&amp;$F1028,YEAR($B$2:$B$4001)&amp;"-"&amp;$A$2:$A$4001,0,-1)),9)</f>
        <v>4</v>
      </c>
      <c r="H1028" cm="1">
        <f t="array" ref="H1028">IF(OR(AND(G1028=9,H$1&gt;YEAR($N1028))),9,_xlfn.IFNA(INDEX($D$2:$D$4001,_xlfn.XMATCH(H$1&amp;"-"&amp;$F1028,YEAR($B$2:$B$4001)&amp;"-"&amp;$A$2:$A$4001,0,-1)),G1028))</f>
        <v>4</v>
      </c>
      <c r="I1028" cm="1">
        <f t="array" ref="I1028">IF(OR(AND(H1028=9,I$1&gt;YEAR($N1028))),9,_xlfn.IFNA(INDEX($D$2:$D$4001,_xlfn.XMATCH(I$1&amp;"-"&amp;$F1028,YEAR($B$2:$B$4001)&amp;"-"&amp;$A$2:$A$4001,0,-1)),H1028))</f>
        <v>4</v>
      </c>
      <c r="J1028" cm="1">
        <f t="array" ref="J1028">IF(OR(AND(I1028=9,J$1&gt;YEAR($N1028))),9,_xlfn.IFNA(INDEX($D$2:$D$4001,_xlfn.XMATCH(J$1&amp;"-"&amp;$F1028,YEAR($B$2:$B$4001)&amp;"-"&amp;$A$2:$A$4001,0,-1)),I1028))</f>
        <v>4</v>
      </c>
      <c r="K1028" cm="1">
        <f t="array" ref="K1028">IF(OR(AND(J1028=9,K$1&gt;YEAR($N1028))),9,_xlfn.IFNA(INDEX($D$2:$D$4001,_xlfn.XMATCH(K$1&amp;"-"&amp;$F1028,YEAR($B$2:$B$4001)&amp;"-"&amp;$A$2:$A$4001,0,-1)),J1028))</f>
        <v>0</v>
      </c>
      <c r="L1028" cm="1">
        <f t="array" ref="L1028">IF(OR(AND(K1028=9,L$1&gt;YEAR($N1028))),9,_xlfn.IFNA(INDEX($D$2:$D$4001,_xlfn.XMATCH(L$1&amp;"-"&amp;$F1028,YEAR($B$2:$B$4001)&amp;"-"&amp;$A$2:$A$4001,0,-1)),K1028))</f>
        <v>4</v>
      </c>
      <c r="M1028" cm="1">
        <f t="array" ref="M1028">IF(OR(AND(L1028=9,M$1&gt;YEAR($N1028))),9,_xlfn.IFNA(INDEX($D$2:$D$4001,_xlfn.XMATCH(M$1&amp;"-"&amp;$F1028,YEAR($B$2:$B$4001)&amp;"-"&amp;$A$2:$A$4001,0,-1)),L1028))</f>
        <v>4</v>
      </c>
      <c r="N1028" s="1">
        <f t="shared" si="16"/>
        <v>36310</v>
      </c>
    </row>
    <row r="1029" spans="1:14" x14ac:dyDescent="0.35">
      <c r="A1029">
        <v>499</v>
      </c>
      <c r="B1029" s="2">
        <v>36524</v>
      </c>
      <c r="C1029">
        <v>8</v>
      </c>
      <c r="D1029">
        <v>8</v>
      </c>
      <c r="F1029">
        <v>1028</v>
      </c>
      <c r="G1029" cm="1">
        <f t="array" ref="G1029">_xlfn.IFNA(INDEX($D$2:$D$4001,_xlfn.XMATCH(G$1&amp;"-"&amp;$F1029,YEAR($B$2:$B$4001)&amp;"-"&amp;$A$2:$A$4001,0,-1)),9)</f>
        <v>9</v>
      </c>
      <c r="H1029" cm="1">
        <f t="array" ref="H1029">IF(OR(AND(G1029=9,H$1&gt;YEAR($N1029))),9,_xlfn.IFNA(INDEX($D$2:$D$4001,_xlfn.XMATCH(H$1&amp;"-"&amp;$F1029,YEAR($B$2:$B$4001)&amp;"-"&amp;$A$2:$A$4001,0,-1)),G1029))</f>
        <v>9</v>
      </c>
      <c r="I1029" cm="1">
        <f t="array" ref="I1029">IF(OR(AND(H1029=9,I$1&gt;YEAR($N1029))),9,_xlfn.IFNA(INDEX($D$2:$D$4001,_xlfn.XMATCH(I$1&amp;"-"&amp;$F1029,YEAR($B$2:$B$4001)&amp;"-"&amp;$A$2:$A$4001,0,-1)),H1029))</f>
        <v>2</v>
      </c>
      <c r="J1029" cm="1">
        <f t="array" ref="J1029">IF(OR(AND(I1029=9,J$1&gt;YEAR($N1029))),9,_xlfn.IFNA(INDEX($D$2:$D$4001,_xlfn.XMATCH(J$1&amp;"-"&amp;$F1029,YEAR($B$2:$B$4001)&amp;"-"&amp;$A$2:$A$4001,0,-1)),I1029))</f>
        <v>2</v>
      </c>
      <c r="K1029" cm="1">
        <f t="array" ref="K1029">IF(OR(AND(J1029=9,K$1&gt;YEAR($N1029))),9,_xlfn.IFNA(INDEX($D$2:$D$4001,_xlfn.XMATCH(K$1&amp;"-"&amp;$F1029,YEAR($B$2:$B$4001)&amp;"-"&amp;$A$2:$A$4001,0,-1)),J1029))</f>
        <v>3</v>
      </c>
      <c r="L1029" cm="1">
        <f t="array" ref="L1029">IF(OR(AND(K1029=9,L$1&gt;YEAR($N1029))),9,_xlfn.IFNA(INDEX($D$2:$D$4001,_xlfn.XMATCH(L$1&amp;"-"&amp;$F1029,YEAR($B$2:$B$4001)&amp;"-"&amp;$A$2:$A$4001,0,-1)),K1029))</f>
        <v>3</v>
      </c>
      <c r="M1029" cm="1">
        <f t="array" ref="M1029">IF(OR(AND(L1029=9,M$1&gt;YEAR($N1029))),9,_xlfn.IFNA(INDEX($D$2:$D$4001,_xlfn.XMATCH(M$1&amp;"-"&amp;$F1029,YEAR($B$2:$B$4001)&amp;"-"&amp;$A$2:$A$4001,0,-1)),L1029))</f>
        <v>3</v>
      </c>
      <c r="N1029" s="1">
        <f t="shared" si="16"/>
        <v>37124</v>
      </c>
    </row>
    <row r="1030" spans="1:14" x14ac:dyDescent="0.35">
      <c r="A1030">
        <v>500</v>
      </c>
      <c r="B1030" s="2">
        <v>37762</v>
      </c>
      <c r="C1030">
        <v>5</v>
      </c>
      <c r="D1030">
        <v>5</v>
      </c>
      <c r="F1030">
        <v>1029</v>
      </c>
      <c r="G1030" cm="1">
        <f t="array" ref="G1030">_xlfn.IFNA(INDEX($D$2:$D$4001,_xlfn.XMATCH(G$1&amp;"-"&amp;$F1030,YEAR($B$2:$B$4001)&amp;"-"&amp;$A$2:$A$4001,0,-1)),9)</f>
        <v>9</v>
      </c>
      <c r="H1030" cm="1">
        <f t="array" ref="H1030">IF(OR(AND(G1030=9,H$1&gt;YEAR($N1030))),9,_xlfn.IFNA(INDEX($D$2:$D$4001,_xlfn.XMATCH(H$1&amp;"-"&amp;$F1030,YEAR($B$2:$B$4001)&amp;"-"&amp;$A$2:$A$4001,0,-1)),G1030))</f>
        <v>4</v>
      </c>
      <c r="I1030" cm="1">
        <f t="array" ref="I1030">IF(OR(AND(H1030=9,I$1&gt;YEAR($N1030))),9,_xlfn.IFNA(INDEX($D$2:$D$4001,_xlfn.XMATCH(I$1&amp;"-"&amp;$F1030,YEAR($B$2:$B$4001)&amp;"-"&amp;$A$2:$A$4001,0,-1)),H1030))</f>
        <v>4</v>
      </c>
      <c r="J1030" cm="1">
        <f t="array" ref="J1030">IF(OR(AND(I1030=9,J$1&gt;YEAR($N1030))),9,_xlfn.IFNA(INDEX($D$2:$D$4001,_xlfn.XMATCH(J$1&amp;"-"&amp;$F1030,YEAR($B$2:$B$4001)&amp;"-"&amp;$A$2:$A$4001,0,-1)),I1030))</f>
        <v>4</v>
      </c>
      <c r="K1030" cm="1">
        <f t="array" ref="K1030">IF(OR(AND(J1030=9,K$1&gt;YEAR($N1030))),9,_xlfn.IFNA(INDEX($D$2:$D$4001,_xlfn.XMATCH(K$1&amp;"-"&amp;$F1030,YEAR($B$2:$B$4001)&amp;"-"&amp;$A$2:$A$4001,0,-1)),J1030))</f>
        <v>4</v>
      </c>
      <c r="L1030" cm="1">
        <f t="array" ref="L1030">IF(OR(AND(K1030=9,L$1&gt;YEAR($N1030))),9,_xlfn.IFNA(INDEX($D$2:$D$4001,_xlfn.XMATCH(L$1&amp;"-"&amp;$F1030,YEAR($B$2:$B$4001)&amp;"-"&amp;$A$2:$A$4001,0,-1)),K1030))</f>
        <v>4</v>
      </c>
      <c r="M1030" cm="1">
        <f t="array" ref="M1030">IF(OR(AND(L1030=9,M$1&gt;YEAR($N1030))),9,_xlfn.IFNA(INDEX($D$2:$D$4001,_xlfn.XMATCH(M$1&amp;"-"&amp;$F1030,YEAR($B$2:$B$4001)&amp;"-"&amp;$A$2:$A$4001,0,-1)),L1030))</f>
        <v>4</v>
      </c>
      <c r="N1030" s="1">
        <f t="shared" si="16"/>
        <v>36768</v>
      </c>
    </row>
    <row r="1031" spans="1:14" x14ac:dyDescent="0.35">
      <c r="A1031">
        <v>500</v>
      </c>
      <c r="B1031" s="2">
        <v>38137</v>
      </c>
      <c r="C1031">
        <v>5</v>
      </c>
      <c r="D1031">
        <v>5</v>
      </c>
      <c r="F1031">
        <v>1030</v>
      </c>
      <c r="G1031" cm="1">
        <f t="array" ref="G1031">_xlfn.IFNA(INDEX($D$2:$D$4001,_xlfn.XMATCH(G$1&amp;"-"&amp;$F1031,YEAR($B$2:$B$4001)&amp;"-"&amp;$A$2:$A$4001,0,-1)),9)</f>
        <v>4</v>
      </c>
      <c r="H1031" cm="1">
        <f t="array" ref="H1031">IF(OR(AND(G1031=9,H$1&gt;YEAR($N1031))),9,_xlfn.IFNA(INDEX($D$2:$D$4001,_xlfn.XMATCH(H$1&amp;"-"&amp;$F1031,YEAR($B$2:$B$4001)&amp;"-"&amp;$A$2:$A$4001,0,-1)),G1031))</f>
        <v>3</v>
      </c>
      <c r="I1031" cm="1">
        <f t="array" ref="I1031">IF(OR(AND(H1031=9,I$1&gt;YEAR($N1031))),9,_xlfn.IFNA(INDEX($D$2:$D$4001,_xlfn.XMATCH(I$1&amp;"-"&amp;$F1031,YEAR($B$2:$B$4001)&amp;"-"&amp;$A$2:$A$4001,0,-1)),H1031))</f>
        <v>3</v>
      </c>
      <c r="J1031" cm="1">
        <f t="array" ref="J1031">IF(OR(AND(I1031=9,J$1&gt;YEAR($N1031))),9,_xlfn.IFNA(INDEX($D$2:$D$4001,_xlfn.XMATCH(J$1&amp;"-"&amp;$F1031,YEAR($B$2:$B$4001)&amp;"-"&amp;$A$2:$A$4001,0,-1)),I1031))</f>
        <v>3</v>
      </c>
      <c r="K1031" cm="1">
        <f t="array" ref="K1031">IF(OR(AND(J1031=9,K$1&gt;YEAR($N1031))),9,_xlfn.IFNA(INDEX($D$2:$D$4001,_xlfn.XMATCH(K$1&amp;"-"&amp;$F1031,YEAR($B$2:$B$4001)&amp;"-"&amp;$A$2:$A$4001,0,-1)),J1031))</f>
        <v>3</v>
      </c>
      <c r="L1031" cm="1">
        <f t="array" ref="L1031">IF(OR(AND(K1031=9,L$1&gt;YEAR($N1031))),9,_xlfn.IFNA(INDEX($D$2:$D$4001,_xlfn.XMATCH(L$1&amp;"-"&amp;$F1031,YEAR($B$2:$B$4001)&amp;"-"&amp;$A$2:$A$4001,0,-1)),K1031))</f>
        <v>3</v>
      </c>
      <c r="M1031" cm="1">
        <f t="array" ref="M1031">IF(OR(AND(L1031=9,M$1&gt;YEAR($N1031))),9,_xlfn.IFNA(INDEX($D$2:$D$4001,_xlfn.XMATCH(M$1&amp;"-"&amp;$F1031,YEAR($B$2:$B$4001)&amp;"-"&amp;$A$2:$A$4001,0,-1)),L1031))</f>
        <v>3</v>
      </c>
      <c r="N1031" s="1">
        <f t="shared" si="16"/>
        <v>36433</v>
      </c>
    </row>
    <row r="1032" spans="1:14" x14ac:dyDescent="0.35">
      <c r="A1032">
        <v>501</v>
      </c>
      <c r="B1032" s="2">
        <v>36524</v>
      </c>
      <c r="C1032">
        <v>5</v>
      </c>
      <c r="D1032">
        <v>5</v>
      </c>
      <c r="F1032">
        <v>1031</v>
      </c>
      <c r="G1032" cm="1">
        <f t="array" ref="G1032">_xlfn.IFNA(INDEX($D$2:$D$4001,_xlfn.XMATCH(G$1&amp;"-"&amp;$F1032,YEAR($B$2:$B$4001)&amp;"-"&amp;$A$2:$A$4001,0,-1)),9)</f>
        <v>9</v>
      </c>
      <c r="H1032" cm="1">
        <f t="array" ref="H1032">IF(OR(AND(G1032=9,H$1&gt;YEAR($N1032))),9,_xlfn.IFNA(INDEX($D$2:$D$4001,_xlfn.XMATCH(H$1&amp;"-"&amp;$F1032,YEAR($B$2:$B$4001)&amp;"-"&amp;$A$2:$A$4001,0,-1)),G1032))</f>
        <v>9</v>
      </c>
      <c r="I1032" cm="1">
        <f t="array" ref="I1032">IF(OR(AND(H1032=9,I$1&gt;YEAR($N1032))),9,_xlfn.IFNA(INDEX($D$2:$D$4001,_xlfn.XMATCH(I$1&amp;"-"&amp;$F1032,YEAR($B$2:$B$4001)&amp;"-"&amp;$A$2:$A$4001,0,-1)),H1032))</f>
        <v>9</v>
      </c>
      <c r="J1032" cm="1">
        <f t="array" ref="J1032">IF(OR(AND(I1032=9,J$1&gt;YEAR($N1032))),9,_xlfn.IFNA(INDEX($D$2:$D$4001,_xlfn.XMATCH(J$1&amp;"-"&amp;$F1032,YEAR($B$2:$B$4001)&amp;"-"&amp;$A$2:$A$4001,0,-1)),I1032))</f>
        <v>9</v>
      </c>
      <c r="K1032" cm="1">
        <f t="array" ref="K1032">IF(OR(AND(J1032=9,K$1&gt;YEAR($N1032))),9,_xlfn.IFNA(INDEX($D$2:$D$4001,_xlfn.XMATCH(K$1&amp;"-"&amp;$F1032,YEAR($B$2:$B$4001)&amp;"-"&amp;$A$2:$A$4001,0,-1)),J1032))</f>
        <v>6</v>
      </c>
      <c r="L1032" cm="1">
        <f t="array" ref="L1032">IF(OR(AND(K1032=9,L$1&gt;YEAR($N1032))),9,_xlfn.IFNA(INDEX($D$2:$D$4001,_xlfn.XMATCH(L$1&amp;"-"&amp;$F1032,YEAR($B$2:$B$4001)&amp;"-"&amp;$A$2:$A$4001,0,-1)),K1032))</f>
        <v>6</v>
      </c>
      <c r="M1032" cm="1">
        <f t="array" ref="M1032">IF(OR(AND(L1032=9,M$1&gt;YEAR($N1032))),9,_xlfn.IFNA(INDEX($D$2:$D$4001,_xlfn.XMATCH(M$1&amp;"-"&amp;$F1032,YEAR($B$2:$B$4001)&amp;"-"&amp;$A$2:$A$4001,0,-1)),L1032))</f>
        <v>6</v>
      </c>
      <c r="N1032" s="1">
        <f t="shared" si="16"/>
        <v>37854</v>
      </c>
    </row>
    <row r="1033" spans="1:14" x14ac:dyDescent="0.35">
      <c r="A1033">
        <v>501</v>
      </c>
      <c r="B1033" s="2">
        <v>36667</v>
      </c>
      <c r="C1033">
        <v>5</v>
      </c>
      <c r="D1033">
        <v>5</v>
      </c>
      <c r="F1033">
        <v>1032</v>
      </c>
      <c r="G1033" cm="1">
        <f t="array" ref="G1033">_xlfn.IFNA(INDEX($D$2:$D$4001,_xlfn.XMATCH(G$1&amp;"-"&amp;$F1033,YEAR($B$2:$B$4001)&amp;"-"&amp;$A$2:$A$4001,0,-1)),9)</f>
        <v>4</v>
      </c>
      <c r="H1033" cm="1">
        <f t="array" ref="H1033">IF(OR(AND(G1033=9,H$1&gt;YEAR($N1033))),9,_xlfn.IFNA(INDEX($D$2:$D$4001,_xlfn.XMATCH(H$1&amp;"-"&amp;$F1033,YEAR($B$2:$B$4001)&amp;"-"&amp;$A$2:$A$4001,0,-1)),G1033))</f>
        <v>3</v>
      </c>
      <c r="I1033" cm="1">
        <f t="array" ref="I1033">IF(OR(AND(H1033=9,I$1&gt;YEAR($N1033))),9,_xlfn.IFNA(INDEX($D$2:$D$4001,_xlfn.XMATCH(I$1&amp;"-"&amp;$F1033,YEAR($B$2:$B$4001)&amp;"-"&amp;$A$2:$A$4001,0,-1)),H1033))</f>
        <v>3</v>
      </c>
      <c r="J1033" cm="1">
        <f t="array" ref="J1033">IF(OR(AND(I1033=9,J$1&gt;YEAR($N1033))),9,_xlfn.IFNA(INDEX($D$2:$D$4001,_xlfn.XMATCH(J$1&amp;"-"&amp;$F1033,YEAR($B$2:$B$4001)&amp;"-"&amp;$A$2:$A$4001,0,-1)),I1033))</f>
        <v>3</v>
      </c>
      <c r="K1033" cm="1">
        <f t="array" ref="K1033">IF(OR(AND(J1033=9,K$1&gt;YEAR($N1033))),9,_xlfn.IFNA(INDEX($D$2:$D$4001,_xlfn.XMATCH(K$1&amp;"-"&amp;$F1033,YEAR($B$2:$B$4001)&amp;"-"&amp;$A$2:$A$4001,0,-1)),J1033))</f>
        <v>3</v>
      </c>
      <c r="L1033" cm="1">
        <f t="array" ref="L1033">IF(OR(AND(K1033=9,L$1&gt;YEAR($N1033))),9,_xlfn.IFNA(INDEX($D$2:$D$4001,_xlfn.XMATCH(L$1&amp;"-"&amp;$F1033,YEAR($B$2:$B$4001)&amp;"-"&amp;$A$2:$A$4001,0,-1)),K1033))</f>
        <v>3</v>
      </c>
      <c r="M1033" cm="1">
        <f t="array" ref="M1033">IF(OR(AND(L1033=9,M$1&gt;YEAR($N1033))),9,_xlfn.IFNA(INDEX($D$2:$D$4001,_xlfn.XMATCH(M$1&amp;"-"&amp;$F1033,YEAR($B$2:$B$4001)&amp;"-"&amp;$A$2:$A$4001,0,-1)),L1033))</f>
        <v>3</v>
      </c>
      <c r="N1033" s="1">
        <f t="shared" si="16"/>
        <v>36301</v>
      </c>
    </row>
    <row r="1034" spans="1:14" x14ac:dyDescent="0.35">
      <c r="A1034">
        <v>501</v>
      </c>
      <c r="B1034" s="2">
        <v>36676</v>
      </c>
      <c r="C1034">
        <v>6</v>
      </c>
      <c r="D1034">
        <v>6</v>
      </c>
      <c r="F1034">
        <v>1033</v>
      </c>
      <c r="G1034" cm="1">
        <f t="array" ref="G1034">_xlfn.IFNA(INDEX($D$2:$D$4001,_xlfn.XMATCH(G$1&amp;"-"&amp;$F1034,YEAR($B$2:$B$4001)&amp;"-"&amp;$A$2:$A$4001,0,-1)),9)</f>
        <v>9</v>
      </c>
      <c r="H1034" cm="1">
        <f t="array" ref="H1034">IF(OR(AND(G1034=9,H$1&gt;YEAR($N1034))),9,_xlfn.IFNA(INDEX($D$2:$D$4001,_xlfn.XMATCH(H$1&amp;"-"&amp;$F1034,YEAR($B$2:$B$4001)&amp;"-"&amp;$A$2:$A$4001,0,-1)),G1034))</f>
        <v>9</v>
      </c>
      <c r="I1034" cm="1">
        <f t="array" ref="I1034">IF(OR(AND(H1034=9,I$1&gt;YEAR($N1034))),9,_xlfn.IFNA(INDEX($D$2:$D$4001,_xlfn.XMATCH(I$1&amp;"-"&amp;$F1034,YEAR($B$2:$B$4001)&amp;"-"&amp;$A$2:$A$4001,0,-1)),H1034))</f>
        <v>3</v>
      </c>
      <c r="J1034" cm="1">
        <f t="array" ref="J1034">IF(OR(AND(I1034=9,J$1&gt;YEAR($N1034))),9,_xlfn.IFNA(INDEX($D$2:$D$4001,_xlfn.XMATCH(J$1&amp;"-"&amp;$F1034,YEAR($B$2:$B$4001)&amp;"-"&amp;$A$2:$A$4001,0,-1)),I1034))</f>
        <v>3</v>
      </c>
      <c r="K1034" cm="1">
        <f t="array" ref="K1034">IF(OR(AND(J1034=9,K$1&gt;YEAR($N1034))),9,_xlfn.IFNA(INDEX($D$2:$D$4001,_xlfn.XMATCH(K$1&amp;"-"&amp;$F1034,YEAR($B$2:$B$4001)&amp;"-"&amp;$A$2:$A$4001,0,-1)),J1034))</f>
        <v>3</v>
      </c>
      <c r="L1034" cm="1">
        <f t="array" ref="L1034">IF(OR(AND(K1034=9,L$1&gt;YEAR($N1034))),9,_xlfn.IFNA(INDEX($D$2:$D$4001,_xlfn.XMATCH(L$1&amp;"-"&amp;$F1034,YEAR($B$2:$B$4001)&amp;"-"&amp;$A$2:$A$4001,0,-1)),K1034))</f>
        <v>2</v>
      </c>
      <c r="M1034" cm="1">
        <f t="array" ref="M1034">IF(OR(AND(L1034=9,M$1&gt;YEAR($N1034))),9,_xlfn.IFNA(INDEX($D$2:$D$4001,_xlfn.XMATCH(M$1&amp;"-"&amp;$F1034,YEAR($B$2:$B$4001)&amp;"-"&amp;$A$2:$A$4001,0,-1)),L1034))</f>
        <v>2</v>
      </c>
      <c r="N1034" s="1">
        <f t="shared" si="16"/>
        <v>37255</v>
      </c>
    </row>
    <row r="1035" spans="1:14" x14ac:dyDescent="0.35">
      <c r="A1035">
        <v>501</v>
      </c>
      <c r="B1035" s="2">
        <v>37041</v>
      </c>
      <c r="C1035">
        <v>7</v>
      </c>
      <c r="D1035">
        <v>7</v>
      </c>
      <c r="F1035">
        <v>1034</v>
      </c>
      <c r="G1035" cm="1">
        <f t="array" ref="G1035">_xlfn.IFNA(INDEX($D$2:$D$4001,_xlfn.XMATCH(G$1&amp;"-"&amp;$F1035,YEAR($B$2:$B$4001)&amp;"-"&amp;$A$2:$A$4001,0,-1)),9)</f>
        <v>6</v>
      </c>
      <c r="H1035" cm="1">
        <f t="array" ref="H1035">IF(OR(AND(G1035=9,H$1&gt;YEAR($N1035))),9,_xlfn.IFNA(INDEX($D$2:$D$4001,_xlfn.XMATCH(H$1&amp;"-"&amp;$F1035,YEAR($B$2:$B$4001)&amp;"-"&amp;$A$2:$A$4001,0,-1)),G1035))</f>
        <v>6</v>
      </c>
      <c r="I1035" cm="1">
        <f t="array" ref="I1035">IF(OR(AND(H1035=9,I$1&gt;YEAR($N1035))),9,_xlfn.IFNA(INDEX($D$2:$D$4001,_xlfn.XMATCH(I$1&amp;"-"&amp;$F1035,YEAR($B$2:$B$4001)&amp;"-"&amp;$A$2:$A$4001,0,-1)),H1035))</f>
        <v>6</v>
      </c>
      <c r="J1035" cm="1">
        <f t="array" ref="J1035">IF(OR(AND(I1035=9,J$1&gt;YEAR($N1035))),9,_xlfn.IFNA(INDEX($D$2:$D$4001,_xlfn.XMATCH(J$1&amp;"-"&amp;$F1035,YEAR($B$2:$B$4001)&amp;"-"&amp;$A$2:$A$4001,0,-1)),I1035))</f>
        <v>8</v>
      </c>
      <c r="K1035" cm="1">
        <f t="array" ref="K1035">IF(OR(AND(J1035=9,K$1&gt;YEAR($N1035))),9,_xlfn.IFNA(INDEX($D$2:$D$4001,_xlfn.XMATCH(K$1&amp;"-"&amp;$F1035,YEAR($B$2:$B$4001)&amp;"-"&amp;$A$2:$A$4001,0,-1)),J1035))</f>
        <v>8</v>
      </c>
      <c r="L1035" cm="1">
        <f t="array" ref="L1035">IF(OR(AND(K1035=9,L$1&gt;YEAR($N1035))),9,_xlfn.IFNA(INDEX($D$2:$D$4001,_xlfn.XMATCH(L$1&amp;"-"&amp;$F1035,YEAR($B$2:$B$4001)&amp;"-"&amp;$A$2:$A$4001,0,-1)),K1035))</f>
        <v>8</v>
      </c>
      <c r="M1035" cm="1">
        <f t="array" ref="M1035">IF(OR(AND(L1035=9,M$1&gt;YEAR($N1035))),9,_xlfn.IFNA(INDEX($D$2:$D$4001,_xlfn.XMATCH(M$1&amp;"-"&amp;$F1035,YEAR($B$2:$B$4001)&amp;"-"&amp;$A$2:$A$4001,0,-1)),L1035))</f>
        <v>8</v>
      </c>
      <c r="N1035" s="1">
        <f t="shared" si="16"/>
        <v>36524</v>
      </c>
    </row>
    <row r="1036" spans="1:14" x14ac:dyDescent="0.35">
      <c r="A1036">
        <v>501</v>
      </c>
      <c r="B1036" s="2">
        <v>37255</v>
      </c>
      <c r="C1036">
        <v>0</v>
      </c>
      <c r="D1036">
        <v>0</v>
      </c>
      <c r="F1036">
        <v>1035</v>
      </c>
      <c r="G1036" cm="1">
        <f t="array" ref="G1036">_xlfn.IFNA(INDEX($D$2:$D$4001,_xlfn.XMATCH(G$1&amp;"-"&amp;$F1036,YEAR($B$2:$B$4001)&amp;"-"&amp;$A$2:$A$4001,0,-1)),9)</f>
        <v>9</v>
      </c>
      <c r="H1036" cm="1">
        <f t="array" ref="H1036">IF(OR(AND(G1036=9,H$1&gt;YEAR($N1036))),9,_xlfn.IFNA(INDEX($D$2:$D$4001,_xlfn.XMATCH(H$1&amp;"-"&amp;$F1036,YEAR($B$2:$B$4001)&amp;"-"&amp;$A$2:$A$4001,0,-1)),G1036))</f>
        <v>4</v>
      </c>
      <c r="I1036" cm="1">
        <f t="array" ref="I1036">IF(OR(AND(H1036=9,I$1&gt;YEAR($N1036))),9,_xlfn.IFNA(INDEX($D$2:$D$4001,_xlfn.XMATCH(I$1&amp;"-"&amp;$F1036,YEAR($B$2:$B$4001)&amp;"-"&amp;$A$2:$A$4001,0,-1)),H1036))</f>
        <v>4</v>
      </c>
      <c r="J1036" cm="1">
        <f t="array" ref="J1036">IF(OR(AND(I1036=9,J$1&gt;YEAR($N1036))),9,_xlfn.IFNA(INDEX($D$2:$D$4001,_xlfn.XMATCH(J$1&amp;"-"&amp;$F1036,YEAR($B$2:$B$4001)&amp;"-"&amp;$A$2:$A$4001,0,-1)),I1036))</f>
        <v>4</v>
      </c>
      <c r="K1036" cm="1">
        <f t="array" ref="K1036">IF(OR(AND(J1036=9,K$1&gt;YEAR($N1036))),9,_xlfn.IFNA(INDEX($D$2:$D$4001,_xlfn.XMATCH(K$1&amp;"-"&amp;$F1036,YEAR($B$2:$B$4001)&amp;"-"&amp;$A$2:$A$4001,0,-1)),J1036))</f>
        <v>4</v>
      </c>
      <c r="L1036" cm="1">
        <f t="array" ref="L1036">IF(OR(AND(K1036=9,L$1&gt;YEAR($N1036))),9,_xlfn.IFNA(INDEX($D$2:$D$4001,_xlfn.XMATCH(L$1&amp;"-"&amp;$F1036,YEAR($B$2:$B$4001)&amp;"-"&amp;$A$2:$A$4001,0,-1)),K1036))</f>
        <v>4</v>
      </c>
      <c r="M1036" cm="1">
        <f t="array" ref="M1036">IF(OR(AND(L1036=9,M$1&gt;YEAR($N1036))),9,_xlfn.IFNA(INDEX($D$2:$D$4001,_xlfn.XMATCH(M$1&amp;"-"&amp;$F1036,YEAR($B$2:$B$4001)&amp;"-"&amp;$A$2:$A$4001,0,-1)),L1036))</f>
        <v>4</v>
      </c>
      <c r="N1036" s="1">
        <f t="shared" si="16"/>
        <v>36890</v>
      </c>
    </row>
    <row r="1037" spans="1:14" x14ac:dyDescent="0.35">
      <c r="A1037">
        <v>502</v>
      </c>
      <c r="B1037" s="2">
        <v>37620</v>
      </c>
      <c r="C1037">
        <v>6</v>
      </c>
      <c r="D1037">
        <v>6</v>
      </c>
      <c r="F1037">
        <v>1036</v>
      </c>
      <c r="G1037" cm="1">
        <f t="array" ref="G1037">_xlfn.IFNA(INDEX($D$2:$D$4001,_xlfn.XMATCH(G$1&amp;"-"&amp;$F1037,YEAR($B$2:$B$4001)&amp;"-"&amp;$A$2:$A$4001,0,-1)),9)</f>
        <v>9</v>
      </c>
      <c r="H1037" cm="1">
        <f t="array" ref="H1037">IF(OR(AND(G1037=9,H$1&gt;YEAR($N1037))),9,_xlfn.IFNA(INDEX($D$2:$D$4001,_xlfn.XMATCH(H$1&amp;"-"&amp;$F1037,YEAR($B$2:$B$4001)&amp;"-"&amp;$A$2:$A$4001,0,-1)),G1037))</f>
        <v>6</v>
      </c>
      <c r="I1037" cm="1">
        <f t="array" ref="I1037">IF(OR(AND(H1037=9,I$1&gt;YEAR($N1037))),9,_xlfn.IFNA(INDEX($D$2:$D$4001,_xlfn.XMATCH(I$1&amp;"-"&amp;$F1037,YEAR($B$2:$B$4001)&amp;"-"&amp;$A$2:$A$4001,0,-1)),H1037))</f>
        <v>6</v>
      </c>
      <c r="J1037" cm="1">
        <f t="array" ref="J1037">IF(OR(AND(I1037=9,J$1&gt;YEAR($N1037))),9,_xlfn.IFNA(INDEX($D$2:$D$4001,_xlfn.XMATCH(J$1&amp;"-"&amp;$F1037,YEAR($B$2:$B$4001)&amp;"-"&amp;$A$2:$A$4001,0,-1)),I1037))</f>
        <v>7</v>
      </c>
      <c r="K1037" cm="1">
        <f t="array" ref="K1037">IF(OR(AND(J1037=9,K$1&gt;YEAR($N1037))),9,_xlfn.IFNA(INDEX($D$2:$D$4001,_xlfn.XMATCH(K$1&amp;"-"&amp;$F1037,YEAR($B$2:$B$4001)&amp;"-"&amp;$A$2:$A$4001,0,-1)),J1037))</f>
        <v>0</v>
      </c>
      <c r="L1037" cm="1">
        <f t="array" ref="L1037">IF(OR(AND(K1037=9,L$1&gt;YEAR($N1037))),9,_xlfn.IFNA(INDEX($D$2:$D$4001,_xlfn.XMATCH(L$1&amp;"-"&amp;$F1037,YEAR($B$2:$B$4001)&amp;"-"&amp;$A$2:$A$4001,0,-1)),K1037))</f>
        <v>0</v>
      </c>
      <c r="M1037" cm="1">
        <f t="array" ref="M1037">IF(OR(AND(L1037=9,M$1&gt;YEAR($N1037))),9,_xlfn.IFNA(INDEX($D$2:$D$4001,_xlfn.XMATCH(M$1&amp;"-"&amp;$F1037,YEAR($B$2:$B$4001)&amp;"-"&amp;$A$2:$A$4001,0,-1)),L1037))</f>
        <v>0</v>
      </c>
      <c r="N1037" s="1">
        <f t="shared" si="16"/>
        <v>36676</v>
      </c>
    </row>
    <row r="1038" spans="1:14" x14ac:dyDescent="0.35">
      <c r="A1038">
        <v>502</v>
      </c>
      <c r="B1038" s="2">
        <v>37771</v>
      </c>
      <c r="C1038">
        <v>0</v>
      </c>
      <c r="D1038">
        <v>0</v>
      </c>
      <c r="F1038">
        <v>1037</v>
      </c>
      <c r="G1038" cm="1">
        <f t="array" ref="G1038">_xlfn.IFNA(INDEX($D$2:$D$4001,_xlfn.XMATCH(G$1&amp;"-"&amp;$F1038,YEAR($B$2:$B$4001)&amp;"-"&amp;$A$2:$A$4001,0,-1)),9)</f>
        <v>9</v>
      </c>
      <c r="H1038" cm="1">
        <f t="array" ref="H1038">IF(OR(AND(G1038=9,H$1&gt;YEAR($N1038))),9,_xlfn.IFNA(INDEX($D$2:$D$4001,_xlfn.XMATCH(H$1&amp;"-"&amp;$F1038,YEAR($B$2:$B$4001)&amp;"-"&amp;$A$2:$A$4001,0,-1)),G1038))</f>
        <v>9</v>
      </c>
      <c r="I1038" cm="1">
        <f t="array" ref="I1038">IF(OR(AND(H1038=9,I$1&gt;YEAR($N1038))),9,_xlfn.IFNA(INDEX($D$2:$D$4001,_xlfn.XMATCH(I$1&amp;"-"&amp;$F1038,YEAR($B$2:$B$4001)&amp;"-"&amp;$A$2:$A$4001,0,-1)),H1038))</f>
        <v>3</v>
      </c>
      <c r="J1038" cm="1">
        <f t="array" ref="J1038">IF(OR(AND(I1038=9,J$1&gt;YEAR($N1038))),9,_xlfn.IFNA(INDEX($D$2:$D$4001,_xlfn.XMATCH(J$1&amp;"-"&amp;$F1038,YEAR($B$2:$B$4001)&amp;"-"&amp;$A$2:$A$4001,0,-1)),I1038))</f>
        <v>3</v>
      </c>
      <c r="K1038" cm="1">
        <f t="array" ref="K1038">IF(OR(AND(J1038=9,K$1&gt;YEAR($N1038))),9,_xlfn.IFNA(INDEX($D$2:$D$4001,_xlfn.XMATCH(K$1&amp;"-"&amp;$F1038,YEAR($B$2:$B$4001)&amp;"-"&amp;$A$2:$A$4001,0,-1)),J1038))</f>
        <v>3</v>
      </c>
      <c r="L1038" cm="1">
        <f t="array" ref="L1038">IF(OR(AND(K1038=9,L$1&gt;YEAR($N1038))),9,_xlfn.IFNA(INDEX($D$2:$D$4001,_xlfn.XMATCH(L$1&amp;"-"&amp;$F1038,YEAR($B$2:$B$4001)&amp;"-"&amp;$A$2:$A$4001,0,-1)),K1038))</f>
        <v>0</v>
      </c>
      <c r="M1038" cm="1">
        <f t="array" ref="M1038">IF(OR(AND(L1038=9,M$1&gt;YEAR($N1038))),9,_xlfn.IFNA(INDEX($D$2:$D$4001,_xlfn.XMATCH(M$1&amp;"-"&amp;$F1038,YEAR($B$2:$B$4001)&amp;"-"&amp;$A$2:$A$4001,0,-1)),L1038))</f>
        <v>0</v>
      </c>
      <c r="N1038" s="1">
        <f t="shared" si="16"/>
        <v>37255</v>
      </c>
    </row>
    <row r="1039" spans="1:14" x14ac:dyDescent="0.35">
      <c r="A1039">
        <v>503</v>
      </c>
      <c r="B1039" s="2">
        <v>36301</v>
      </c>
      <c r="C1039">
        <v>3</v>
      </c>
      <c r="D1039">
        <v>3</v>
      </c>
      <c r="F1039">
        <v>1038</v>
      </c>
      <c r="G1039" cm="1">
        <f t="array" ref="G1039">_xlfn.IFNA(INDEX($D$2:$D$4001,_xlfn.XMATCH(G$1&amp;"-"&amp;$F1039,YEAR($B$2:$B$4001)&amp;"-"&amp;$A$2:$A$4001,0,-1)),9)</f>
        <v>7</v>
      </c>
      <c r="H1039" cm="1">
        <f t="array" ref="H1039">IF(OR(AND(G1039=9,H$1&gt;YEAR($N1039))),9,_xlfn.IFNA(INDEX($D$2:$D$4001,_xlfn.XMATCH(H$1&amp;"-"&amp;$F1039,YEAR($B$2:$B$4001)&amp;"-"&amp;$A$2:$A$4001,0,-1)),G1039))</f>
        <v>7</v>
      </c>
      <c r="I1039" cm="1">
        <f t="array" ref="I1039">IF(OR(AND(H1039=9,I$1&gt;YEAR($N1039))),9,_xlfn.IFNA(INDEX($D$2:$D$4001,_xlfn.XMATCH(I$1&amp;"-"&amp;$F1039,YEAR($B$2:$B$4001)&amp;"-"&amp;$A$2:$A$4001,0,-1)),H1039))</f>
        <v>7</v>
      </c>
      <c r="J1039" cm="1">
        <f t="array" ref="J1039">IF(OR(AND(I1039=9,J$1&gt;YEAR($N1039))),9,_xlfn.IFNA(INDEX($D$2:$D$4001,_xlfn.XMATCH(J$1&amp;"-"&amp;$F1039,YEAR($B$2:$B$4001)&amp;"-"&amp;$A$2:$A$4001,0,-1)),I1039))</f>
        <v>7</v>
      </c>
      <c r="K1039" cm="1">
        <f t="array" ref="K1039">IF(OR(AND(J1039=9,K$1&gt;YEAR($N1039))),9,_xlfn.IFNA(INDEX($D$2:$D$4001,_xlfn.XMATCH(K$1&amp;"-"&amp;$F1039,YEAR($B$2:$B$4001)&amp;"-"&amp;$A$2:$A$4001,0,-1)),J1039))</f>
        <v>7</v>
      </c>
      <c r="L1039" cm="1">
        <f t="array" ref="L1039">IF(OR(AND(K1039=9,L$1&gt;YEAR($N1039))),9,_xlfn.IFNA(INDEX($D$2:$D$4001,_xlfn.XMATCH(L$1&amp;"-"&amp;$F1039,YEAR($B$2:$B$4001)&amp;"-"&amp;$A$2:$A$4001,0,-1)),K1039))</f>
        <v>7</v>
      </c>
      <c r="M1039" cm="1">
        <f t="array" ref="M1039">IF(OR(AND(L1039=9,M$1&gt;YEAR($N1039))),9,_xlfn.IFNA(INDEX($D$2:$D$4001,_xlfn.XMATCH(M$1&amp;"-"&amp;$F1039,YEAR($B$2:$B$4001)&amp;"-"&amp;$A$2:$A$4001,0,-1)),L1039))</f>
        <v>7</v>
      </c>
      <c r="N1039" s="1">
        <f t="shared" si="16"/>
        <v>36524</v>
      </c>
    </row>
    <row r="1040" spans="1:14" x14ac:dyDescent="0.35">
      <c r="A1040">
        <v>503</v>
      </c>
      <c r="B1040" s="2">
        <v>37985</v>
      </c>
      <c r="C1040">
        <v>2</v>
      </c>
      <c r="D1040">
        <v>2</v>
      </c>
      <c r="F1040">
        <v>1039</v>
      </c>
      <c r="G1040" cm="1">
        <f t="array" ref="G1040">_xlfn.IFNA(INDEX($D$2:$D$4001,_xlfn.XMATCH(G$1&amp;"-"&amp;$F1040,YEAR($B$2:$B$4001)&amp;"-"&amp;$A$2:$A$4001,0,-1)),9)</f>
        <v>9</v>
      </c>
      <c r="H1040" cm="1">
        <f t="array" ref="H1040">IF(OR(AND(G1040=9,H$1&gt;YEAR($N1040))),9,_xlfn.IFNA(INDEX($D$2:$D$4001,_xlfn.XMATCH(H$1&amp;"-"&amp;$F1040,YEAR($B$2:$B$4001)&amp;"-"&amp;$A$2:$A$4001,0,-1)),G1040))</f>
        <v>9</v>
      </c>
      <c r="I1040" cm="1">
        <f t="array" ref="I1040">IF(OR(AND(H1040=9,I$1&gt;YEAR($N1040))),9,_xlfn.IFNA(INDEX($D$2:$D$4001,_xlfn.XMATCH(I$1&amp;"-"&amp;$F1040,YEAR($B$2:$B$4001)&amp;"-"&amp;$A$2:$A$4001,0,-1)),H1040))</f>
        <v>0</v>
      </c>
      <c r="J1040" cm="1">
        <f t="array" ref="J1040">IF(OR(AND(I1040=9,J$1&gt;YEAR($N1040))),9,_xlfn.IFNA(INDEX($D$2:$D$4001,_xlfn.XMATCH(J$1&amp;"-"&amp;$F1040,YEAR($B$2:$B$4001)&amp;"-"&amp;$A$2:$A$4001,0,-1)),I1040))</f>
        <v>0</v>
      </c>
      <c r="K1040" cm="1">
        <f t="array" ref="K1040">IF(OR(AND(J1040=9,K$1&gt;YEAR($N1040))),9,_xlfn.IFNA(INDEX($D$2:$D$4001,_xlfn.XMATCH(K$1&amp;"-"&amp;$F1040,YEAR($B$2:$B$4001)&amp;"-"&amp;$A$2:$A$4001,0,-1)),J1040))</f>
        <v>0</v>
      </c>
      <c r="L1040" cm="1">
        <f t="array" ref="L1040">IF(OR(AND(K1040=9,L$1&gt;YEAR($N1040))),9,_xlfn.IFNA(INDEX($D$2:$D$4001,_xlfn.XMATCH(L$1&amp;"-"&amp;$F1040,YEAR($B$2:$B$4001)&amp;"-"&amp;$A$2:$A$4001,0,-1)),K1040))</f>
        <v>0</v>
      </c>
      <c r="M1040" cm="1">
        <f t="array" ref="M1040">IF(OR(AND(L1040=9,M$1&gt;YEAR($N1040))),9,_xlfn.IFNA(INDEX($D$2:$D$4001,_xlfn.XMATCH(M$1&amp;"-"&amp;$F1040,YEAR($B$2:$B$4001)&amp;"-"&amp;$A$2:$A$4001,0,-1)),L1040))</f>
        <v>0</v>
      </c>
      <c r="N1040" s="1">
        <f t="shared" si="16"/>
        <v>37093</v>
      </c>
    </row>
    <row r="1041" spans="1:14" x14ac:dyDescent="0.35">
      <c r="A1041">
        <v>504</v>
      </c>
      <c r="B1041" s="2">
        <v>36393</v>
      </c>
      <c r="C1041">
        <v>5</v>
      </c>
      <c r="D1041">
        <v>5</v>
      </c>
      <c r="F1041">
        <v>1040</v>
      </c>
      <c r="G1041" cm="1">
        <f t="array" ref="G1041">_xlfn.IFNA(INDEX($D$2:$D$4001,_xlfn.XMATCH(G$1&amp;"-"&amp;$F1041,YEAR($B$2:$B$4001)&amp;"-"&amp;$A$2:$A$4001,0,-1)),9)</f>
        <v>9</v>
      </c>
      <c r="H1041" cm="1">
        <f t="array" ref="H1041">IF(OR(AND(G1041=9,H$1&gt;YEAR($N1041))),9,_xlfn.IFNA(INDEX($D$2:$D$4001,_xlfn.XMATCH(H$1&amp;"-"&amp;$F1041,YEAR($B$2:$B$4001)&amp;"-"&amp;$A$2:$A$4001,0,-1)),G1041))</f>
        <v>2</v>
      </c>
      <c r="I1041" cm="1">
        <f t="array" ref="I1041">IF(OR(AND(H1041=9,I$1&gt;YEAR($N1041))),9,_xlfn.IFNA(INDEX($D$2:$D$4001,_xlfn.XMATCH(I$1&amp;"-"&amp;$F1041,YEAR($B$2:$B$4001)&amp;"-"&amp;$A$2:$A$4001,0,-1)),H1041))</f>
        <v>2</v>
      </c>
      <c r="J1041" cm="1">
        <f t="array" ref="J1041">IF(OR(AND(I1041=9,J$1&gt;YEAR($N1041))),9,_xlfn.IFNA(INDEX($D$2:$D$4001,_xlfn.XMATCH(J$1&amp;"-"&amp;$F1041,YEAR($B$2:$B$4001)&amp;"-"&amp;$A$2:$A$4001,0,-1)),I1041))</f>
        <v>2</v>
      </c>
      <c r="K1041" cm="1">
        <f t="array" ref="K1041">IF(OR(AND(J1041=9,K$1&gt;YEAR($N1041))),9,_xlfn.IFNA(INDEX($D$2:$D$4001,_xlfn.XMATCH(K$1&amp;"-"&amp;$F1041,YEAR($B$2:$B$4001)&amp;"-"&amp;$A$2:$A$4001,0,-1)),J1041))</f>
        <v>2</v>
      </c>
      <c r="L1041" cm="1">
        <f t="array" ref="L1041">IF(OR(AND(K1041=9,L$1&gt;YEAR($N1041))),9,_xlfn.IFNA(INDEX($D$2:$D$4001,_xlfn.XMATCH(L$1&amp;"-"&amp;$F1041,YEAR($B$2:$B$4001)&amp;"-"&amp;$A$2:$A$4001,0,-1)),K1041))</f>
        <v>2</v>
      </c>
      <c r="M1041" cm="1">
        <f t="array" ref="M1041">IF(OR(AND(L1041=9,M$1&gt;YEAR($N1041))),9,_xlfn.IFNA(INDEX($D$2:$D$4001,_xlfn.XMATCH(M$1&amp;"-"&amp;$F1041,YEAR($B$2:$B$4001)&amp;"-"&amp;$A$2:$A$4001,0,-1)),L1041))</f>
        <v>2</v>
      </c>
      <c r="N1041" s="1">
        <f t="shared" si="16"/>
        <v>36890</v>
      </c>
    </row>
    <row r="1042" spans="1:14" x14ac:dyDescent="0.35">
      <c r="A1042">
        <v>504</v>
      </c>
      <c r="B1042" s="2">
        <v>36668</v>
      </c>
      <c r="C1042">
        <v>4</v>
      </c>
      <c r="D1042">
        <v>4</v>
      </c>
      <c r="F1042">
        <v>1041</v>
      </c>
      <c r="G1042" cm="1">
        <f t="array" ref="G1042">_xlfn.IFNA(INDEX($D$2:$D$4001,_xlfn.XMATCH(G$1&amp;"-"&amp;$F1042,YEAR($B$2:$B$4001)&amp;"-"&amp;$A$2:$A$4001,0,-1)),9)</f>
        <v>0</v>
      </c>
      <c r="H1042" cm="1">
        <f t="array" ref="H1042">IF(OR(AND(G1042=9,H$1&gt;YEAR($N1042))),9,_xlfn.IFNA(INDEX($D$2:$D$4001,_xlfn.XMATCH(H$1&amp;"-"&amp;$F1042,YEAR($B$2:$B$4001)&amp;"-"&amp;$A$2:$A$4001,0,-1)),G1042))</f>
        <v>0</v>
      </c>
      <c r="I1042" cm="1">
        <f t="array" ref="I1042">IF(OR(AND(H1042=9,I$1&gt;YEAR($N1042))),9,_xlfn.IFNA(INDEX($D$2:$D$4001,_xlfn.XMATCH(I$1&amp;"-"&amp;$F1042,YEAR($B$2:$B$4001)&amp;"-"&amp;$A$2:$A$4001,0,-1)),H1042))</f>
        <v>0</v>
      </c>
      <c r="J1042" cm="1">
        <f t="array" ref="J1042">IF(OR(AND(I1042=9,J$1&gt;YEAR($N1042))),9,_xlfn.IFNA(INDEX($D$2:$D$4001,_xlfn.XMATCH(J$1&amp;"-"&amp;$F1042,YEAR($B$2:$B$4001)&amp;"-"&amp;$A$2:$A$4001,0,-1)),I1042))</f>
        <v>0</v>
      </c>
      <c r="K1042" cm="1">
        <f t="array" ref="K1042">IF(OR(AND(J1042=9,K$1&gt;YEAR($N1042))),9,_xlfn.IFNA(INDEX($D$2:$D$4001,_xlfn.XMATCH(K$1&amp;"-"&amp;$F1042,YEAR($B$2:$B$4001)&amp;"-"&amp;$A$2:$A$4001,0,-1)),J1042))</f>
        <v>0</v>
      </c>
      <c r="L1042" cm="1">
        <f t="array" ref="L1042">IF(OR(AND(K1042=9,L$1&gt;YEAR($N1042))),9,_xlfn.IFNA(INDEX($D$2:$D$4001,_xlfn.XMATCH(L$1&amp;"-"&amp;$F1042,YEAR($B$2:$B$4001)&amp;"-"&amp;$A$2:$A$4001,0,-1)),K1042))</f>
        <v>0</v>
      </c>
      <c r="M1042" cm="1">
        <f t="array" ref="M1042">IF(OR(AND(L1042=9,M$1&gt;YEAR($N1042))),9,_xlfn.IFNA(INDEX($D$2:$D$4001,_xlfn.XMATCH(M$1&amp;"-"&amp;$F1042,YEAR($B$2:$B$4001)&amp;"-"&amp;$A$2:$A$4001,0,-1)),L1042))</f>
        <v>0</v>
      </c>
      <c r="N1042" s="1">
        <f t="shared" si="16"/>
        <v>36310</v>
      </c>
    </row>
    <row r="1043" spans="1:14" x14ac:dyDescent="0.35">
      <c r="A1043">
        <v>504</v>
      </c>
      <c r="B1043" s="2">
        <v>37216</v>
      </c>
      <c r="C1043">
        <v>5</v>
      </c>
      <c r="D1043">
        <v>5</v>
      </c>
      <c r="F1043">
        <v>1042</v>
      </c>
      <c r="G1043" cm="1">
        <f t="array" ref="G1043">_xlfn.IFNA(INDEX($D$2:$D$4001,_xlfn.XMATCH(G$1&amp;"-"&amp;$F1043,YEAR($B$2:$B$4001)&amp;"-"&amp;$A$2:$A$4001,0,-1)),9)</f>
        <v>9</v>
      </c>
      <c r="H1043" cm="1">
        <f t="array" ref="H1043">IF(OR(AND(G1043=9,H$1&gt;YEAR($N1043))),9,_xlfn.IFNA(INDEX($D$2:$D$4001,_xlfn.XMATCH(H$1&amp;"-"&amp;$F1043,YEAR($B$2:$B$4001)&amp;"-"&amp;$A$2:$A$4001,0,-1)),G1043))</f>
        <v>9</v>
      </c>
      <c r="I1043" cm="1">
        <f t="array" ref="I1043">IF(OR(AND(H1043=9,I$1&gt;YEAR($N1043))),9,_xlfn.IFNA(INDEX($D$2:$D$4001,_xlfn.XMATCH(I$1&amp;"-"&amp;$F1043,YEAR($B$2:$B$4001)&amp;"-"&amp;$A$2:$A$4001,0,-1)),H1043))</f>
        <v>6</v>
      </c>
      <c r="J1043" cm="1">
        <f t="array" ref="J1043">IF(OR(AND(I1043=9,J$1&gt;YEAR($N1043))),9,_xlfn.IFNA(INDEX($D$2:$D$4001,_xlfn.XMATCH(J$1&amp;"-"&amp;$F1043,YEAR($B$2:$B$4001)&amp;"-"&amp;$A$2:$A$4001,0,-1)),I1043))</f>
        <v>6</v>
      </c>
      <c r="K1043" cm="1">
        <f t="array" ref="K1043">IF(OR(AND(J1043=9,K$1&gt;YEAR($N1043))),9,_xlfn.IFNA(INDEX($D$2:$D$4001,_xlfn.XMATCH(K$1&amp;"-"&amp;$F1043,YEAR($B$2:$B$4001)&amp;"-"&amp;$A$2:$A$4001,0,-1)),J1043))</f>
        <v>6</v>
      </c>
      <c r="L1043" cm="1">
        <f t="array" ref="L1043">IF(OR(AND(K1043=9,L$1&gt;YEAR($N1043))),9,_xlfn.IFNA(INDEX($D$2:$D$4001,_xlfn.XMATCH(L$1&amp;"-"&amp;$F1043,YEAR($B$2:$B$4001)&amp;"-"&amp;$A$2:$A$4001,0,-1)),K1043))</f>
        <v>0</v>
      </c>
      <c r="M1043" cm="1">
        <f t="array" ref="M1043">IF(OR(AND(L1043=9,M$1&gt;YEAR($N1043))),9,_xlfn.IFNA(INDEX($D$2:$D$4001,_xlfn.XMATCH(M$1&amp;"-"&amp;$F1043,YEAR($B$2:$B$4001)&amp;"-"&amp;$A$2:$A$4001,0,-1)),L1043))</f>
        <v>0</v>
      </c>
      <c r="N1043" s="1">
        <f t="shared" si="16"/>
        <v>37124</v>
      </c>
    </row>
    <row r="1044" spans="1:14" x14ac:dyDescent="0.35">
      <c r="A1044">
        <v>504</v>
      </c>
      <c r="B1044" s="2">
        <v>37793</v>
      </c>
      <c r="C1044">
        <v>6</v>
      </c>
      <c r="D1044">
        <v>6</v>
      </c>
      <c r="F1044">
        <v>1043</v>
      </c>
      <c r="G1044" cm="1">
        <f t="array" ref="G1044">_xlfn.IFNA(INDEX($D$2:$D$4001,_xlfn.XMATCH(G$1&amp;"-"&amp;$F1044,YEAR($B$2:$B$4001)&amp;"-"&amp;$A$2:$A$4001,0,-1)),9)</f>
        <v>9</v>
      </c>
      <c r="H1044" cm="1">
        <f t="array" ref="H1044">IF(OR(AND(G1044=9,H$1&gt;YEAR($N1044))),9,_xlfn.IFNA(INDEX($D$2:$D$4001,_xlfn.XMATCH(H$1&amp;"-"&amp;$F1044,YEAR($B$2:$B$4001)&amp;"-"&amp;$A$2:$A$4001,0,-1)),G1044))</f>
        <v>9</v>
      </c>
      <c r="I1044" cm="1">
        <f t="array" ref="I1044">IF(OR(AND(H1044=9,I$1&gt;YEAR($N1044))),9,_xlfn.IFNA(INDEX($D$2:$D$4001,_xlfn.XMATCH(I$1&amp;"-"&amp;$F1044,YEAR($B$2:$B$4001)&amp;"-"&amp;$A$2:$A$4001,0,-1)),H1044))</f>
        <v>9</v>
      </c>
      <c r="J1044" cm="1">
        <f t="array" ref="J1044">IF(OR(AND(I1044=9,J$1&gt;YEAR($N1044))),9,_xlfn.IFNA(INDEX($D$2:$D$4001,_xlfn.XMATCH(J$1&amp;"-"&amp;$F1044,YEAR($B$2:$B$4001)&amp;"-"&amp;$A$2:$A$4001,0,-1)),I1044))</f>
        <v>4</v>
      </c>
      <c r="K1044" cm="1">
        <f t="array" ref="K1044">IF(OR(AND(J1044=9,K$1&gt;YEAR($N1044))),9,_xlfn.IFNA(INDEX($D$2:$D$4001,_xlfn.XMATCH(K$1&amp;"-"&amp;$F1044,YEAR($B$2:$B$4001)&amp;"-"&amp;$A$2:$A$4001,0,-1)),J1044))</f>
        <v>4</v>
      </c>
      <c r="L1044" cm="1">
        <f t="array" ref="L1044">IF(OR(AND(K1044=9,L$1&gt;YEAR($N1044))),9,_xlfn.IFNA(INDEX($D$2:$D$4001,_xlfn.XMATCH(L$1&amp;"-"&amp;$F1044,YEAR($B$2:$B$4001)&amp;"-"&amp;$A$2:$A$4001,0,-1)),K1044))</f>
        <v>0</v>
      </c>
      <c r="M1044" cm="1">
        <f t="array" ref="M1044">IF(OR(AND(L1044=9,M$1&gt;YEAR($N1044))),9,_xlfn.IFNA(INDEX($D$2:$D$4001,_xlfn.XMATCH(M$1&amp;"-"&amp;$F1044,YEAR($B$2:$B$4001)&amp;"-"&amp;$A$2:$A$4001,0,-1)),L1044))</f>
        <v>0</v>
      </c>
      <c r="N1044" s="1">
        <f t="shared" si="16"/>
        <v>37406</v>
      </c>
    </row>
    <row r="1045" spans="1:14" x14ac:dyDescent="0.35">
      <c r="A1045">
        <v>505</v>
      </c>
      <c r="B1045" s="2">
        <v>36310</v>
      </c>
      <c r="C1045">
        <v>5</v>
      </c>
      <c r="D1045">
        <v>5</v>
      </c>
      <c r="F1045">
        <v>1044</v>
      </c>
      <c r="G1045" cm="1">
        <f t="array" ref="G1045">_xlfn.IFNA(INDEX($D$2:$D$4001,_xlfn.XMATCH(G$1&amp;"-"&amp;$F1045,YEAR($B$2:$B$4001)&amp;"-"&amp;$A$2:$A$4001,0,-1)),9)</f>
        <v>9</v>
      </c>
      <c r="H1045" cm="1">
        <f t="array" ref="H1045">IF(OR(AND(G1045=9,H$1&gt;YEAR($N1045))),9,_xlfn.IFNA(INDEX($D$2:$D$4001,_xlfn.XMATCH(H$1&amp;"-"&amp;$F1045,YEAR($B$2:$B$4001)&amp;"-"&amp;$A$2:$A$4001,0,-1)),G1045))</f>
        <v>0</v>
      </c>
      <c r="I1045" cm="1">
        <f t="array" ref="I1045">IF(OR(AND(H1045=9,I$1&gt;YEAR($N1045))),9,_xlfn.IFNA(INDEX($D$2:$D$4001,_xlfn.XMATCH(I$1&amp;"-"&amp;$F1045,YEAR($B$2:$B$4001)&amp;"-"&amp;$A$2:$A$4001,0,-1)),H1045))</f>
        <v>0</v>
      </c>
      <c r="J1045" cm="1">
        <f t="array" ref="J1045">IF(OR(AND(I1045=9,J$1&gt;YEAR($N1045))),9,_xlfn.IFNA(INDEX($D$2:$D$4001,_xlfn.XMATCH(J$1&amp;"-"&amp;$F1045,YEAR($B$2:$B$4001)&amp;"-"&amp;$A$2:$A$4001,0,-1)),I1045))</f>
        <v>0</v>
      </c>
      <c r="K1045" cm="1">
        <f t="array" ref="K1045">IF(OR(AND(J1045=9,K$1&gt;YEAR($N1045))),9,_xlfn.IFNA(INDEX($D$2:$D$4001,_xlfn.XMATCH(K$1&amp;"-"&amp;$F1045,YEAR($B$2:$B$4001)&amp;"-"&amp;$A$2:$A$4001,0,-1)),J1045))</f>
        <v>0</v>
      </c>
      <c r="L1045" cm="1">
        <f t="array" ref="L1045">IF(OR(AND(K1045=9,L$1&gt;YEAR($N1045))),9,_xlfn.IFNA(INDEX($D$2:$D$4001,_xlfn.XMATCH(L$1&amp;"-"&amp;$F1045,YEAR($B$2:$B$4001)&amp;"-"&amp;$A$2:$A$4001,0,-1)),K1045))</f>
        <v>0</v>
      </c>
      <c r="M1045" cm="1">
        <f t="array" ref="M1045">IF(OR(AND(L1045=9,M$1&gt;YEAR($N1045))),9,_xlfn.IFNA(INDEX($D$2:$D$4001,_xlfn.XMATCH(M$1&amp;"-"&amp;$F1045,YEAR($B$2:$B$4001)&amp;"-"&amp;$A$2:$A$4001,0,-1)),L1045))</f>
        <v>0</v>
      </c>
      <c r="N1045" s="1">
        <f t="shared" si="16"/>
        <v>36667</v>
      </c>
    </row>
    <row r="1046" spans="1:14" x14ac:dyDescent="0.35">
      <c r="A1046">
        <v>505</v>
      </c>
      <c r="B1046" s="2">
        <v>36676</v>
      </c>
      <c r="C1046">
        <v>0</v>
      </c>
      <c r="D1046">
        <v>0</v>
      </c>
      <c r="F1046">
        <v>1045</v>
      </c>
      <c r="G1046" cm="1">
        <f t="array" ref="G1046">_xlfn.IFNA(INDEX($D$2:$D$4001,_xlfn.XMATCH(G$1&amp;"-"&amp;$F1046,YEAR($B$2:$B$4001)&amp;"-"&amp;$A$2:$A$4001,0,-1)),9)</f>
        <v>9</v>
      </c>
      <c r="H1046" cm="1">
        <f t="array" ref="H1046">IF(OR(AND(G1046=9,H$1&gt;YEAR($N1046))),9,_xlfn.IFNA(INDEX($D$2:$D$4001,_xlfn.XMATCH(H$1&amp;"-"&amp;$F1046,YEAR($B$2:$B$4001)&amp;"-"&amp;$A$2:$A$4001,0,-1)),G1046))</f>
        <v>4</v>
      </c>
      <c r="I1046" cm="1">
        <f t="array" ref="I1046">IF(OR(AND(H1046=9,I$1&gt;YEAR($N1046))),9,_xlfn.IFNA(INDEX($D$2:$D$4001,_xlfn.XMATCH(I$1&amp;"-"&amp;$F1046,YEAR($B$2:$B$4001)&amp;"-"&amp;$A$2:$A$4001,0,-1)),H1046))</f>
        <v>4</v>
      </c>
      <c r="J1046" cm="1">
        <f t="array" ref="J1046">IF(OR(AND(I1046=9,J$1&gt;YEAR($N1046))),9,_xlfn.IFNA(INDEX($D$2:$D$4001,_xlfn.XMATCH(J$1&amp;"-"&amp;$F1046,YEAR($B$2:$B$4001)&amp;"-"&amp;$A$2:$A$4001,0,-1)),I1046))</f>
        <v>4</v>
      </c>
      <c r="K1046" cm="1">
        <f t="array" ref="K1046">IF(OR(AND(J1046=9,K$1&gt;YEAR($N1046))),9,_xlfn.IFNA(INDEX($D$2:$D$4001,_xlfn.XMATCH(K$1&amp;"-"&amp;$F1046,YEAR($B$2:$B$4001)&amp;"-"&amp;$A$2:$A$4001,0,-1)),J1046))</f>
        <v>4</v>
      </c>
      <c r="L1046" cm="1">
        <f t="array" ref="L1046">IF(OR(AND(K1046=9,L$1&gt;YEAR($N1046))),9,_xlfn.IFNA(INDEX($D$2:$D$4001,_xlfn.XMATCH(L$1&amp;"-"&amp;$F1046,YEAR($B$2:$B$4001)&amp;"-"&amp;$A$2:$A$4001,0,-1)),K1046))</f>
        <v>4</v>
      </c>
      <c r="M1046" cm="1">
        <f t="array" ref="M1046">IF(OR(AND(L1046=9,M$1&gt;YEAR($N1046))),9,_xlfn.IFNA(INDEX($D$2:$D$4001,_xlfn.XMATCH(M$1&amp;"-"&amp;$F1046,YEAR($B$2:$B$4001)&amp;"-"&amp;$A$2:$A$4001,0,-1)),L1046))</f>
        <v>4</v>
      </c>
      <c r="N1046" s="1">
        <f t="shared" si="16"/>
        <v>36667</v>
      </c>
    </row>
    <row r="1047" spans="1:14" x14ac:dyDescent="0.35">
      <c r="A1047">
        <v>506</v>
      </c>
      <c r="B1047" s="2">
        <v>37894</v>
      </c>
      <c r="C1047">
        <v>0</v>
      </c>
      <c r="D1047">
        <v>0</v>
      </c>
      <c r="F1047">
        <v>1046</v>
      </c>
      <c r="G1047" cm="1">
        <f t="array" ref="G1047">_xlfn.IFNA(INDEX($D$2:$D$4001,_xlfn.XMATCH(G$1&amp;"-"&amp;$F1047,YEAR($B$2:$B$4001)&amp;"-"&amp;$A$2:$A$4001,0,-1)),9)</f>
        <v>5</v>
      </c>
      <c r="H1047" cm="1">
        <f t="array" ref="H1047">IF(OR(AND(G1047=9,H$1&gt;YEAR($N1047))),9,_xlfn.IFNA(INDEX($D$2:$D$4001,_xlfn.XMATCH(H$1&amp;"-"&amp;$F1047,YEAR($B$2:$B$4001)&amp;"-"&amp;$A$2:$A$4001,0,-1)),G1047))</f>
        <v>5</v>
      </c>
      <c r="I1047" cm="1">
        <f t="array" ref="I1047">IF(OR(AND(H1047=9,I$1&gt;YEAR($N1047))),9,_xlfn.IFNA(INDEX($D$2:$D$4001,_xlfn.XMATCH(I$1&amp;"-"&amp;$F1047,YEAR($B$2:$B$4001)&amp;"-"&amp;$A$2:$A$4001,0,-1)),H1047))</f>
        <v>5</v>
      </c>
      <c r="J1047" cm="1">
        <f t="array" ref="J1047">IF(OR(AND(I1047=9,J$1&gt;YEAR($N1047))),9,_xlfn.IFNA(INDEX($D$2:$D$4001,_xlfn.XMATCH(J$1&amp;"-"&amp;$F1047,YEAR($B$2:$B$4001)&amp;"-"&amp;$A$2:$A$4001,0,-1)),I1047))</f>
        <v>5</v>
      </c>
      <c r="K1047" cm="1">
        <f t="array" ref="K1047">IF(OR(AND(J1047=9,K$1&gt;YEAR($N1047))),9,_xlfn.IFNA(INDEX($D$2:$D$4001,_xlfn.XMATCH(K$1&amp;"-"&amp;$F1047,YEAR($B$2:$B$4001)&amp;"-"&amp;$A$2:$A$4001,0,-1)),J1047))</f>
        <v>4</v>
      </c>
      <c r="L1047" cm="1">
        <f t="array" ref="L1047">IF(OR(AND(K1047=9,L$1&gt;YEAR($N1047))),9,_xlfn.IFNA(INDEX($D$2:$D$4001,_xlfn.XMATCH(L$1&amp;"-"&amp;$F1047,YEAR($B$2:$B$4001)&amp;"-"&amp;$A$2:$A$4001,0,-1)),K1047))</f>
        <v>4</v>
      </c>
      <c r="M1047" cm="1">
        <f t="array" ref="M1047">IF(OR(AND(L1047=9,M$1&gt;YEAR($N1047))),9,_xlfn.IFNA(INDEX($D$2:$D$4001,_xlfn.XMATCH(M$1&amp;"-"&amp;$F1047,YEAR($B$2:$B$4001)&amp;"-"&amp;$A$2:$A$4001,0,-1)),L1047))</f>
        <v>4</v>
      </c>
      <c r="N1047" s="1">
        <f t="shared" si="16"/>
        <v>36301</v>
      </c>
    </row>
    <row r="1048" spans="1:14" x14ac:dyDescent="0.35">
      <c r="A1048">
        <v>507</v>
      </c>
      <c r="B1048" s="2">
        <v>36424</v>
      </c>
      <c r="C1048">
        <v>3</v>
      </c>
      <c r="D1048">
        <v>3</v>
      </c>
      <c r="F1048">
        <v>1047</v>
      </c>
      <c r="G1048" cm="1">
        <f t="array" ref="G1048">_xlfn.IFNA(INDEX($D$2:$D$4001,_xlfn.XMATCH(G$1&amp;"-"&amp;$F1048,YEAR($B$2:$B$4001)&amp;"-"&amp;$A$2:$A$4001,0,-1)),9)</f>
        <v>9</v>
      </c>
      <c r="H1048" cm="1">
        <f t="array" ref="H1048">IF(OR(AND(G1048=9,H$1&gt;YEAR($N1048))),9,_xlfn.IFNA(INDEX($D$2:$D$4001,_xlfn.XMATCH(H$1&amp;"-"&amp;$F1048,YEAR($B$2:$B$4001)&amp;"-"&amp;$A$2:$A$4001,0,-1)),G1048))</f>
        <v>9</v>
      </c>
      <c r="I1048" cm="1">
        <f t="array" ref="I1048">IF(OR(AND(H1048=9,I$1&gt;YEAR($N1048))),9,_xlfn.IFNA(INDEX($D$2:$D$4001,_xlfn.XMATCH(I$1&amp;"-"&amp;$F1048,YEAR($B$2:$B$4001)&amp;"-"&amp;$A$2:$A$4001,0,-1)),H1048))</f>
        <v>9</v>
      </c>
      <c r="J1048" cm="1">
        <f t="array" ref="J1048">IF(OR(AND(I1048=9,J$1&gt;YEAR($N1048))),9,_xlfn.IFNA(INDEX($D$2:$D$4001,_xlfn.XMATCH(J$1&amp;"-"&amp;$F1048,YEAR($B$2:$B$4001)&amp;"-"&amp;$A$2:$A$4001,0,-1)),I1048))</f>
        <v>9</v>
      </c>
      <c r="K1048" cm="1">
        <f t="array" ref="K1048">IF(OR(AND(J1048=9,K$1&gt;YEAR($N1048))),9,_xlfn.IFNA(INDEX($D$2:$D$4001,_xlfn.XMATCH(K$1&amp;"-"&amp;$F1048,YEAR($B$2:$B$4001)&amp;"-"&amp;$A$2:$A$4001,0,-1)),J1048))</f>
        <v>0</v>
      </c>
      <c r="L1048" cm="1">
        <f t="array" ref="L1048">IF(OR(AND(K1048=9,L$1&gt;YEAR($N1048))),9,_xlfn.IFNA(INDEX($D$2:$D$4001,_xlfn.XMATCH(L$1&amp;"-"&amp;$F1048,YEAR($B$2:$B$4001)&amp;"-"&amp;$A$2:$A$4001,0,-1)),K1048))</f>
        <v>0</v>
      </c>
      <c r="M1048" cm="1">
        <f t="array" ref="M1048">IF(OR(AND(L1048=9,M$1&gt;YEAR($N1048))),9,_xlfn.IFNA(INDEX($D$2:$D$4001,_xlfn.XMATCH(M$1&amp;"-"&amp;$F1048,YEAR($B$2:$B$4001)&amp;"-"&amp;$A$2:$A$4001,0,-1)),L1048))</f>
        <v>0</v>
      </c>
      <c r="N1048" s="1">
        <f t="shared" si="16"/>
        <v>37770</v>
      </c>
    </row>
    <row r="1049" spans="1:14" x14ac:dyDescent="0.35">
      <c r="A1049">
        <v>507</v>
      </c>
      <c r="B1049" s="2">
        <v>37255</v>
      </c>
      <c r="C1049">
        <v>3</v>
      </c>
      <c r="D1049">
        <v>3</v>
      </c>
      <c r="F1049">
        <v>1048</v>
      </c>
      <c r="G1049" cm="1">
        <f t="array" ref="G1049">_xlfn.IFNA(INDEX($D$2:$D$4001,_xlfn.XMATCH(G$1&amp;"-"&amp;$F1049,YEAR($B$2:$B$4001)&amp;"-"&amp;$A$2:$A$4001,0,-1)),9)</f>
        <v>0</v>
      </c>
      <c r="H1049" cm="1">
        <f t="array" ref="H1049">IF(OR(AND(G1049=9,H$1&gt;YEAR($N1049))),9,_xlfn.IFNA(INDEX($D$2:$D$4001,_xlfn.XMATCH(H$1&amp;"-"&amp;$F1049,YEAR($B$2:$B$4001)&amp;"-"&amp;$A$2:$A$4001,0,-1)),G1049))</f>
        <v>5</v>
      </c>
      <c r="I1049" cm="1">
        <f t="array" ref="I1049">IF(OR(AND(H1049=9,I$1&gt;YEAR($N1049))),9,_xlfn.IFNA(INDEX($D$2:$D$4001,_xlfn.XMATCH(I$1&amp;"-"&amp;$F1049,YEAR($B$2:$B$4001)&amp;"-"&amp;$A$2:$A$4001,0,-1)),H1049))</f>
        <v>5</v>
      </c>
      <c r="J1049" cm="1">
        <f t="array" ref="J1049">IF(OR(AND(I1049=9,J$1&gt;YEAR($N1049))),9,_xlfn.IFNA(INDEX($D$2:$D$4001,_xlfn.XMATCH(J$1&amp;"-"&amp;$F1049,YEAR($B$2:$B$4001)&amp;"-"&amp;$A$2:$A$4001,0,-1)),I1049))</f>
        <v>5</v>
      </c>
      <c r="K1049" cm="1">
        <f t="array" ref="K1049">IF(OR(AND(J1049=9,K$1&gt;YEAR($N1049))),9,_xlfn.IFNA(INDEX($D$2:$D$4001,_xlfn.XMATCH(K$1&amp;"-"&amp;$F1049,YEAR($B$2:$B$4001)&amp;"-"&amp;$A$2:$A$4001,0,-1)),J1049))</f>
        <v>5</v>
      </c>
      <c r="L1049" cm="1">
        <f t="array" ref="L1049">IF(OR(AND(K1049=9,L$1&gt;YEAR($N1049))),9,_xlfn.IFNA(INDEX($D$2:$D$4001,_xlfn.XMATCH(L$1&amp;"-"&amp;$F1049,YEAR($B$2:$B$4001)&amp;"-"&amp;$A$2:$A$4001,0,-1)),K1049))</f>
        <v>5</v>
      </c>
      <c r="M1049" cm="1">
        <f t="array" ref="M1049">IF(OR(AND(L1049=9,M$1&gt;YEAR($N1049))),9,_xlfn.IFNA(INDEX($D$2:$D$4001,_xlfn.XMATCH(M$1&amp;"-"&amp;$F1049,YEAR($B$2:$B$4001)&amp;"-"&amp;$A$2:$A$4001,0,-1)),L1049))</f>
        <v>5</v>
      </c>
      <c r="N1049" s="1">
        <f t="shared" si="16"/>
        <v>36310</v>
      </c>
    </row>
    <row r="1050" spans="1:14" x14ac:dyDescent="0.35">
      <c r="A1050">
        <v>508</v>
      </c>
      <c r="B1050" s="2">
        <v>37985</v>
      </c>
      <c r="C1050">
        <v>0</v>
      </c>
      <c r="D1050">
        <v>0</v>
      </c>
      <c r="F1050">
        <v>1049</v>
      </c>
      <c r="G1050" cm="1">
        <f t="array" ref="G1050">_xlfn.IFNA(INDEX($D$2:$D$4001,_xlfn.XMATCH(G$1&amp;"-"&amp;$F1050,YEAR($B$2:$B$4001)&amp;"-"&amp;$A$2:$A$4001,0,-1)),9)</f>
        <v>6</v>
      </c>
      <c r="H1050" cm="1">
        <f t="array" ref="H1050">IF(OR(AND(G1050=9,H$1&gt;YEAR($N1050))),9,_xlfn.IFNA(INDEX($D$2:$D$4001,_xlfn.XMATCH(H$1&amp;"-"&amp;$F1050,YEAR($B$2:$B$4001)&amp;"-"&amp;$A$2:$A$4001,0,-1)),G1050))</f>
        <v>6</v>
      </c>
      <c r="I1050" cm="1">
        <f t="array" ref="I1050">IF(OR(AND(H1050=9,I$1&gt;YEAR($N1050))),9,_xlfn.IFNA(INDEX($D$2:$D$4001,_xlfn.XMATCH(I$1&amp;"-"&amp;$F1050,YEAR($B$2:$B$4001)&amp;"-"&amp;$A$2:$A$4001,0,-1)),H1050))</f>
        <v>7</v>
      </c>
      <c r="J1050" cm="1">
        <f t="array" ref="J1050">IF(OR(AND(I1050=9,J$1&gt;YEAR($N1050))),9,_xlfn.IFNA(INDEX($D$2:$D$4001,_xlfn.XMATCH(J$1&amp;"-"&amp;$F1050,YEAR($B$2:$B$4001)&amp;"-"&amp;$A$2:$A$4001,0,-1)),I1050))</f>
        <v>0</v>
      </c>
      <c r="K1050" cm="1">
        <f t="array" ref="K1050">IF(OR(AND(J1050=9,K$1&gt;YEAR($N1050))),9,_xlfn.IFNA(INDEX($D$2:$D$4001,_xlfn.XMATCH(K$1&amp;"-"&amp;$F1050,YEAR($B$2:$B$4001)&amp;"-"&amp;$A$2:$A$4001,0,-1)),J1050))</f>
        <v>0</v>
      </c>
      <c r="L1050" cm="1">
        <f t="array" ref="L1050">IF(OR(AND(K1050=9,L$1&gt;YEAR($N1050))),9,_xlfn.IFNA(INDEX($D$2:$D$4001,_xlfn.XMATCH(L$1&amp;"-"&amp;$F1050,YEAR($B$2:$B$4001)&amp;"-"&amp;$A$2:$A$4001,0,-1)),K1050))</f>
        <v>0</v>
      </c>
      <c r="M1050" cm="1">
        <f t="array" ref="M1050">IF(OR(AND(L1050=9,M$1&gt;YEAR($N1050))),9,_xlfn.IFNA(INDEX($D$2:$D$4001,_xlfn.XMATCH(M$1&amp;"-"&amp;$F1050,YEAR($B$2:$B$4001)&amp;"-"&amp;$A$2:$A$4001,0,-1)),L1050))</f>
        <v>0</v>
      </c>
      <c r="N1050" s="1">
        <f t="shared" si="16"/>
        <v>36301</v>
      </c>
    </row>
    <row r="1051" spans="1:14" x14ac:dyDescent="0.35">
      <c r="A1051">
        <v>509</v>
      </c>
      <c r="B1051" s="2">
        <v>37620</v>
      </c>
      <c r="C1051">
        <v>4</v>
      </c>
      <c r="D1051">
        <v>4</v>
      </c>
      <c r="F1051">
        <v>1050</v>
      </c>
      <c r="G1051" cm="1">
        <f t="array" ref="G1051">_xlfn.IFNA(INDEX($D$2:$D$4001,_xlfn.XMATCH(G$1&amp;"-"&amp;$F1051,YEAR($B$2:$B$4001)&amp;"-"&amp;$A$2:$A$4001,0,-1)),9)</f>
        <v>9</v>
      </c>
      <c r="H1051" cm="1">
        <f t="array" ref="H1051">IF(OR(AND(G1051=9,H$1&gt;YEAR($N1051))),9,_xlfn.IFNA(INDEX($D$2:$D$4001,_xlfn.XMATCH(H$1&amp;"-"&amp;$F1051,YEAR($B$2:$B$4001)&amp;"-"&amp;$A$2:$A$4001,0,-1)),G1051))</f>
        <v>9</v>
      </c>
      <c r="I1051" cm="1">
        <f t="array" ref="I1051">IF(OR(AND(H1051=9,I$1&gt;YEAR($N1051))),9,_xlfn.IFNA(INDEX($D$2:$D$4001,_xlfn.XMATCH(I$1&amp;"-"&amp;$F1051,YEAR($B$2:$B$4001)&amp;"-"&amp;$A$2:$A$4001,0,-1)),H1051))</f>
        <v>9</v>
      </c>
      <c r="J1051" cm="1">
        <f t="array" ref="J1051">IF(OR(AND(I1051=9,J$1&gt;YEAR($N1051))),9,_xlfn.IFNA(INDEX($D$2:$D$4001,_xlfn.XMATCH(J$1&amp;"-"&amp;$F1051,YEAR($B$2:$B$4001)&amp;"-"&amp;$A$2:$A$4001,0,-1)),I1051))</f>
        <v>5</v>
      </c>
      <c r="K1051" cm="1">
        <f t="array" ref="K1051">IF(OR(AND(J1051=9,K$1&gt;YEAR($N1051))),9,_xlfn.IFNA(INDEX($D$2:$D$4001,_xlfn.XMATCH(K$1&amp;"-"&amp;$F1051,YEAR($B$2:$B$4001)&amp;"-"&amp;$A$2:$A$4001,0,-1)),J1051))</f>
        <v>5</v>
      </c>
      <c r="L1051" cm="1">
        <f t="array" ref="L1051">IF(OR(AND(K1051=9,L$1&gt;YEAR($N1051))),9,_xlfn.IFNA(INDEX($D$2:$D$4001,_xlfn.XMATCH(L$1&amp;"-"&amp;$F1051,YEAR($B$2:$B$4001)&amp;"-"&amp;$A$2:$A$4001,0,-1)),K1051))</f>
        <v>5</v>
      </c>
      <c r="M1051" cm="1">
        <f t="array" ref="M1051">IF(OR(AND(L1051=9,M$1&gt;YEAR($N1051))),9,_xlfn.IFNA(INDEX($D$2:$D$4001,_xlfn.XMATCH(M$1&amp;"-"&amp;$F1051,YEAR($B$2:$B$4001)&amp;"-"&amp;$A$2:$A$4001,0,-1)),L1051))</f>
        <v>5</v>
      </c>
      <c r="N1051" s="1">
        <f t="shared" si="16"/>
        <v>37620</v>
      </c>
    </row>
    <row r="1052" spans="1:14" x14ac:dyDescent="0.35">
      <c r="A1052">
        <v>509</v>
      </c>
      <c r="B1052" s="2">
        <v>37771</v>
      </c>
      <c r="C1052">
        <v>4</v>
      </c>
      <c r="D1052">
        <v>4</v>
      </c>
      <c r="F1052">
        <v>1051</v>
      </c>
      <c r="G1052" cm="1">
        <f t="array" ref="G1052">_xlfn.IFNA(INDEX($D$2:$D$4001,_xlfn.XMATCH(G$1&amp;"-"&amp;$F1052,YEAR($B$2:$B$4001)&amp;"-"&amp;$A$2:$A$4001,0,-1)),9)</f>
        <v>9</v>
      </c>
      <c r="H1052" cm="1">
        <f t="array" ref="H1052">IF(OR(AND(G1052=9,H$1&gt;YEAR($N1052))),9,_xlfn.IFNA(INDEX($D$2:$D$4001,_xlfn.XMATCH(H$1&amp;"-"&amp;$F1052,YEAR($B$2:$B$4001)&amp;"-"&amp;$A$2:$A$4001,0,-1)),G1052))</f>
        <v>9</v>
      </c>
      <c r="I1052" cm="1">
        <f t="array" ref="I1052">IF(OR(AND(H1052=9,I$1&gt;YEAR($N1052))),9,_xlfn.IFNA(INDEX($D$2:$D$4001,_xlfn.XMATCH(I$1&amp;"-"&amp;$F1052,YEAR($B$2:$B$4001)&amp;"-"&amp;$A$2:$A$4001,0,-1)),H1052))</f>
        <v>9</v>
      </c>
      <c r="J1052" cm="1">
        <f t="array" ref="J1052">IF(OR(AND(I1052=9,J$1&gt;YEAR($N1052))),9,_xlfn.IFNA(INDEX($D$2:$D$4001,_xlfn.XMATCH(J$1&amp;"-"&amp;$F1052,YEAR($B$2:$B$4001)&amp;"-"&amp;$A$2:$A$4001,0,-1)),I1052))</f>
        <v>5</v>
      </c>
      <c r="K1052" cm="1">
        <f t="array" ref="K1052">IF(OR(AND(J1052=9,K$1&gt;YEAR($N1052))),9,_xlfn.IFNA(INDEX($D$2:$D$4001,_xlfn.XMATCH(K$1&amp;"-"&amp;$F1052,YEAR($B$2:$B$4001)&amp;"-"&amp;$A$2:$A$4001,0,-1)),J1052))</f>
        <v>5</v>
      </c>
      <c r="L1052" cm="1">
        <f t="array" ref="L1052">IF(OR(AND(K1052=9,L$1&gt;YEAR($N1052))),9,_xlfn.IFNA(INDEX($D$2:$D$4001,_xlfn.XMATCH(L$1&amp;"-"&amp;$F1052,YEAR($B$2:$B$4001)&amp;"-"&amp;$A$2:$A$4001,0,-1)),K1052))</f>
        <v>4</v>
      </c>
      <c r="M1052" cm="1">
        <f t="array" ref="M1052">IF(OR(AND(L1052=9,M$1&gt;YEAR($N1052))),9,_xlfn.IFNA(INDEX($D$2:$D$4001,_xlfn.XMATCH(M$1&amp;"-"&amp;$F1052,YEAR($B$2:$B$4001)&amp;"-"&amp;$A$2:$A$4001,0,-1)),L1052))</f>
        <v>4</v>
      </c>
      <c r="N1052" s="1">
        <f t="shared" si="16"/>
        <v>37397</v>
      </c>
    </row>
    <row r="1053" spans="1:14" x14ac:dyDescent="0.35">
      <c r="A1053">
        <v>509</v>
      </c>
      <c r="B1053" s="2">
        <v>37985</v>
      </c>
      <c r="C1053">
        <v>4</v>
      </c>
      <c r="D1053">
        <v>4</v>
      </c>
      <c r="F1053">
        <v>1052</v>
      </c>
      <c r="G1053" cm="1">
        <f t="array" ref="G1053">_xlfn.IFNA(INDEX($D$2:$D$4001,_xlfn.XMATCH(G$1&amp;"-"&amp;$F1053,YEAR($B$2:$B$4001)&amp;"-"&amp;$A$2:$A$4001,0,-1)),9)</f>
        <v>9</v>
      </c>
      <c r="H1053" cm="1">
        <f t="array" ref="H1053">IF(OR(AND(G1053=9,H$1&gt;YEAR($N1053))),9,_xlfn.IFNA(INDEX($D$2:$D$4001,_xlfn.XMATCH(H$1&amp;"-"&amp;$F1053,YEAR($B$2:$B$4001)&amp;"-"&amp;$A$2:$A$4001,0,-1)),G1053))</f>
        <v>9</v>
      </c>
      <c r="I1053" cm="1">
        <f t="array" ref="I1053">IF(OR(AND(H1053=9,I$1&gt;YEAR($N1053))),9,_xlfn.IFNA(INDEX($D$2:$D$4001,_xlfn.XMATCH(I$1&amp;"-"&amp;$F1053,YEAR($B$2:$B$4001)&amp;"-"&amp;$A$2:$A$4001,0,-1)),H1053))</f>
        <v>5</v>
      </c>
      <c r="J1053" cm="1">
        <f t="array" ref="J1053">IF(OR(AND(I1053=9,J$1&gt;YEAR($N1053))),9,_xlfn.IFNA(INDEX($D$2:$D$4001,_xlfn.XMATCH(J$1&amp;"-"&amp;$F1053,YEAR($B$2:$B$4001)&amp;"-"&amp;$A$2:$A$4001,0,-1)),I1053))</f>
        <v>5</v>
      </c>
      <c r="K1053" cm="1">
        <f t="array" ref="K1053">IF(OR(AND(J1053=9,K$1&gt;YEAR($N1053))),9,_xlfn.IFNA(INDEX($D$2:$D$4001,_xlfn.XMATCH(K$1&amp;"-"&amp;$F1053,YEAR($B$2:$B$4001)&amp;"-"&amp;$A$2:$A$4001,0,-1)),J1053))</f>
        <v>5</v>
      </c>
      <c r="L1053" cm="1">
        <f t="array" ref="L1053">IF(OR(AND(K1053=9,L$1&gt;YEAR($N1053))),9,_xlfn.IFNA(INDEX($D$2:$D$4001,_xlfn.XMATCH(L$1&amp;"-"&amp;$F1053,YEAR($B$2:$B$4001)&amp;"-"&amp;$A$2:$A$4001,0,-1)),K1053))</f>
        <v>7</v>
      </c>
      <c r="M1053" cm="1">
        <f t="array" ref="M1053">IF(OR(AND(L1053=9,M$1&gt;YEAR($N1053))),9,_xlfn.IFNA(INDEX($D$2:$D$4001,_xlfn.XMATCH(M$1&amp;"-"&amp;$F1053,YEAR($B$2:$B$4001)&amp;"-"&amp;$A$2:$A$4001,0,-1)),L1053))</f>
        <v>0</v>
      </c>
      <c r="N1053" s="1">
        <f t="shared" si="16"/>
        <v>37032</v>
      </c>
    </row>
    <row r="1054" spans="1:14" x14ac:dyDescent="0.35">
      <c r="A1054">
        <v>510</v>
      </c>
      <c r="B1054" s="2">
        <v>36860</v>
      </c>
      <c r="C1054">
        <v>3</v>
      </c>
      <c r="D1054">
        <v>3</v>
      </c>
      <c r="F1054">
        <v>1053</v>
      </c>
      <c r="G1054" cm="1">
        <f t="array" ref="G1054">_xlfn.IFNA(INDEX($D$2:$D$4001,_xlfn.XMATCH(G$1&amp;"-"&amp;$F1054,YEAR($B$2:$B$4001)&amp;"-"&amp;$A$2:$A$4001,0,-1)),9)</f>
        <v>9</v>
      </c>
      <c r="H1054" cm="1">
        <f t="array" ref="H1054">IF(OR(AND(G1054=9,H$1&gt;YEAR($N1054))),9,_xlfn.IFNA(INDEX($D$2:$D$4001,_xlfn.XMATCH(H$1&amp;"-"&amp;$F1054,YEAR($B$2:$B$4001)&amp;"-"&amp;$A$2:$A$4001,0,-1)),G1054))</f>
        <v>9</v>
      </c>
      <c r="I1054" cm="1">
        <f t="array" ref="I1054">IF(OR(AND(H1054=9,I$1&gt;YEAR($N1054))),9,_xlfn.IFNA(INDEX($D$2:$D$4001,_xlfn.XMATCH(I$1&amp;"-"&amp;$F1054,YEAR($B$2:$B$4001)&amp;"-"&amp;$A$2:$A$4001,0,-1)),H1054))</f>
        <v>4</v>
      </c>
      <c r="J1054" cm="1">
        <f t="array" ref="J1054">IF(OR(AND(I1054=9,J$1&gt;YEAR($N1054))),9,_xlfn.IFNA(INDEX($D$2:$D$4001,_xlfn.XMATCH(J$1&amp;"-"&amp;$F1054,YEAR($B$2:$B$4001)&amp;"-"&amp;$A$2:$A$4001,0,-1)),I1054))</f>
        <v>4</v>
      </c>
      <c r="K1054" cm="1">
        <f t="array" ref="K1054">IF(OR(AND(J1054=9,K$1&gt;YEAR($N1054))),9,_xlfn.IFNA(INDEX($D$2:$D$4001,_xlfn.XMATCH(K$1&amp;"-"&amp;$F1054,YEAR($B$2:$B$4001)&amp;"-"&amp;$A$2:$A$4001,0,-1)),J1054))</f>
        <v>4</v>
      </c>
      <c r="L1054" cm="1">
        <f t="array" ref="L1054">IF(OR(AND(K1054=9,L$1&gt;YEAR($N1054))),9,_xlfn.IFNA(INDEX($D$2:$D$4001,_xlfn.XMATCH(L$1&amp;"-"&amp;$F1054,YEAR($B$2:$B$4001)&amp;"-"&amp;$A$2:$A$4001,0,-1)),K1054))</f>
        <v>4</v>
      </c>
      <c r="M1054" cm="1">
        <f t="array" ref="M1054">IF(OR(AND(L1054=9,M$1&gt;YEAR($N1054))),9,_xlfn.IFNA(INDEX($D$2:$D$4001,_xlfn.XMATCH(M$1&amp;"-"&amp;$F1054,YEAR($B$2:$B$4001)&amp;"-"&amp;$A$2:$A$4001,0,-1)),L1054))</f>
        <v>4</v>
      </c>
      <c r="N1054" s="1">
        <f t="shared" si="16"/>
        <v>37032</v>
      </c>
    </row>
    <row r="1055" spans="1:14" x14ac:dyDescent="0.35">
      <c r="A1055">
        <v>511</v>
      </c>
      <c r="B1055" s="2">
        <v>37762</v>
      </c>
      <c r="C1055">
        <v>4</v>
      </c>
      <c r="D1055">
        <v>4</v>
      </c>
      <c r="F1055">
        <v>1054</v>
      </c>
      <c r="G1055" cm="1">
        <f t="array" ref="G1055">_xlfn.IFNA(INDEX($D$2:$D$4001,_xlfn.XMATCH(G$1&amp;"-"&amp;$F1055,YEAR($B$2:$B$4001)&amp;"-"&amp;$A$2:$A$4001,0,-1)),9)</f>
        <v>9</v>
      </c>
      <c r="H1055" cm="1">
        <f t="array" ref="H1055">IF(OR(AND(G1055=9,H$1&gt;YEAR($N1055))),9,_xlfn.IFNA(INDEX($D$2:$D$4001,_xlfn.XMATCH(H$1&amp;"-"&amp;$F1055,YEAR($B$2:$B$4001)&amp;"-"&amp;$A$2:$A$4001,0,-1)),G1055))</f>
        <v>9</v>
      </c>
      <c r="I1055" cm="1">
        <f t="array" ref="I1055">IF(OR(AND(H1055=9,I$1&gt;YEAR($N1055))),9,_xlfn.IFNA(INDEX($D$2:$D$4001,_xlfn.XMATCH(I$1&amp;"-"&amp;$F1055,YEAR($B$2:$B$4001)&amp;"-"&amp;$A$2:$A$4001,0,-1)),H1055))</f>
        <v>3</v>
      </c>
      <c r="J1055" cm="1">
        <f t="array" ref="J1055">IF(OR(AND(I1055=9,J$1&gt;YEAR($N1055))),9,_xlfn.IFNA(INDEX($D$2:$D$4001,_xlfn.XMATCH(J$1&amp;"-"&amp;$F1055,YEAR($B$2:$B$4001)&amp;"-"&amp;$A$2:$A$4001,0,-1)),I1055))</f>
        <v>3</v>
      </c>
      <c r="K1055" cm="1">
        <f t="array" ref="K1055">IF(OR(AND(J1055=9,K$1&gt;YEAR($N1055))),9,_xlfn.IFNA(INDEX($D$2:$D$4001,_xlfn.XMATCH(K$1&amp;"-"&amp;$F1055,YEAR($B$2:$B$4001)&amp;"-"&amp;$A$2:$A$4001,0,-1)),J1055))</f>
        <v>3</v>
      </c>
      <c r="L1055" cm="1">
        <f t="array" ref="L1055">IF(OR(AND(K1055=9,L$1&gt;YEAR($N1055))),9,_xlfn.IFNA(INDEX($D$2:$D$4001,_xlfn.XMATCH(L$1&amp;"-"&amp;$F1055,YEAR($B$2:$B$4001)&amp;"-"&amp;$A$2:$A$4001,0,-1)),K1055))</f>
        <v>3</v>
      </c>
      <c r="M1055" cm="1">
        <f t="array" ref="M1055">IF(OR(AND(L1055=9,M$1&gt;YEAR($N1055))),9,_xlfn.IFNA(INDEX($D$2:$D$4001,_xlfn.XMATCH(M$1&amp;"-"&amp;$F1055,YEAR($B$2:$B$4001)&amp;"-"&amp;$A$2:$A$4001,0,-1)),L1055))</f>
        <v>3</v>
      </c>
      <c r="N1055" s="1">
        <f t="shared" si="16"/>
        <v>37032</v>
      </c>
    </row>
    <row r="1056" spans="1:14" x14ac:dyDescent="0.35">
      <c r="A1056">
        <v>512</v>
      </c>
      <c r="B1056" s="2">
        <v>37520</v>
      </c>
      <c r="C1056">
        <v>4</v>
      </c>
      <c r="D1056">
        <v>4</v>
      </c>
      <c r="F1056">
        <v>1055</v>
      </c>
      <c r="G1056" cm="1">
        <f t="array" ref="G1056">_xlfn.IFNA(INDEX($D$2:$D$4001,_xlfn.XMATCH(G$1&amp;"-"&amp;$F1056,YEAR($B$2:$B$4001)&amp;"-"&amp;$A$2:$A$4001,0,-1)),9)</f>
        <v>9</v>
      </c>
      <c r="H1056" cm="1">
        <f t="array" ref="H1056">IF(OR(AND(G1056=9,H$1&gt;YEAR($N1056))),9,_xlfn.IFNA(INDEX($D$2:$D$4001,_xlfn.XMATCH(H$1&amp;"-"&amp;$F1056,YEAR($B$2:$B$4001)&amp;"-"&amp;$A$2:$A$4001,0,-1)),G1056))</f>
        <v>9</v>
      </c>
      <c r="I1056" cm="1">
        <f t="array" ref="I1056">IF(OR(AND(H1056=9,I$1&gt;YEAR($N1056))),9,_xlfn.IFNA(INDEX($D$2:$D$4001,_xlfn.XMATCH(I$1&amp;"-"&amp;$F1056,YEAR($B$2:$B$4001)&amp;"-"&amp;$A$2:$A$4001,0,-1)),H1056))</f>
        <v>9</v>
      </c>
      <c r="J1056" cm="1">
        <f t="array" ref="J1056">IF(OR(AND(I1056=9,J$1&gt;YEAR($N1056))),9,_xlfn.IFNA(INDEX($D$2:$D$4001,_xlfn.XMATCH(J$1&amp;"-"&amp;$F1056,YEAR($B$2:$B$4001)&amp;"-"&amp;$A$2:$A$4001,0,-1)),I1056))</f>
        <v>9</v>
      </c>
      <c r="K1056" cm="1">
        <f t="array" ref="K1056">IF(OR(AND(J1056=9,K$1&gt;YEAR($N1056))),9,_xlfn.IFNA(INDEX($D$2:$D$4001,_xlfn.XMATCH(K$1&amp;"-"&amp;$F1056,YEAR($B$2:$B$4001)&amp;"-"&amp;$A$2:$A$4001,0,-1)),J1056))</f>
        <v>3</v>
      </c>
      <c r="L1056" cm="1">
        <f t="array" ref="L1056">IF(OR(AND(K1056=9,L$1&gt;YEAR($N1056))),9,_xlfn.IFNA(INDEX($D$2:$D$4001,_xlfn.XMATCH(L$1&amp;"-"&amp;$F1056,YEAR($B$2:$B$4001)&amp;"-"&amp;$A$2:$A$4001,0,-1)),K1056))</f>
        <v>3</v>
      </c>
      <c r="M1056" cm="1">
        <f t="array" ref="M1056">IF(OR(AND(L1056=9,M$1&gt;YEAR($N1056))),9,_xlfn.IFNA(INDEX($D$2:$D$4001,_xlfn.XMATCH(M$1&amp;"-"&amp;$F1056,YEAR($B$2:$B$4001)&amp;"-"&amp;$A$2:$A$4001,0,-1)),L1056))</f>
        <v>3</v>
      </c>
      <c r="N1056" s="1">
        <f t="shared" si="16"/>
        <v>37985</v>
      </c>
    </row>
    <row r="1057" spans="1:14" x14ac:dyDescent="0.35">
      <c r="A1057">
        <v>513</v>
      </c>
      <c r="B1057" s="2">
        <v>36667</v>
      </c>
      <c r="C1057">
        <v>4</v>
      </c>
      <c r="D1057">
        <v>4</v>
      </c>
      <c r="F1057">
        <v>1056</v>
      </c>
      <c r="G1057" cm="1">
        <f t="array" ref="G1057">_xlfn.IFNA(INDEX($D$2:$D$4001,_xlfn.XMATCH(G$1&amp;"-"&amp;$F1057,YEAR($B$2:$B$4001)&amp;"-"&amp;$A$2:$A$4001,0,-1)),9)</f>
        <v>9</v>
      </c>
      <c r="H1057" cm="1">
        <f t="array" ref="H1057">IF(OR(AND(G1057=9,H$1&gt;YEAR($N1057))),9,_xlfn.IFNA(INDEX($D$2:$D$4001,_xlfn.XMATCH(H$1&amp;"-"&amp;$F1057,YEAR($B$2:$B$4001)&amp;"-"&amp;$A$2:$A$4001,0,-1)),G1057))</f>
        <v>9</v>
      </c>
      <c r="I1057" cm="1">
        <f t="array" ref="I1057">IF(OR(AND(H1057=9,I$1&gt;YEAR($N1057))),9,_xlfn.IFNA(INDEX($D$2:$D$4001,_xlfn.XMATCH(I$1&amp;"-"&amp;$F1057,YEAR($B$2:$B$4001)&amp;"-"&amp;$A$2:$A$4001,0,-1)),H1057))</f>
        <v>3</v>
      </c>
      <c r="J1057" cm="1">
        <f t="array" ref="J1057">IF(OR(AND(I1057=9,J$1&gt;YEAR($N1057))),9,_xlfn.IFNA(INDEX($D$2:$D$4001,_xlfn.XMATCH(J$1&amp;"-"&amp;$F1057,YEAR($B$2:$B$4001)&amp;"-"&amp;$A$2:$A$4001,0,-1)),I1057))</f>
        <v>3</v>
      </c>
      <c r="K1057" cm="1">
        <f t="array" ref="K1057">IF(OR(AND(J1057=9,K$1&gt;YEAR($N1057))),9,_xlfn.IFNA(INDEX($D$2:$D$4001,_xlfn.XMATCH(K$1&amp;"-"&amp;$F1057,YEAR($B$2:$B$4001)&amp;"-"&amp;$A$2:$A$4001,0,-1)),J1057))</f>
        <v>4</v>
      </c>
      <c r="L1057" cm="1">
        <f t="array" ref="L1057">IF(OR(AND(K1057=9,L$1&gt;YEAR($N1057))),9,_xlfn.IFNA(INDEX($D$2:$D$4001,_xlfn.XMATCH(L$1&amp;"-"&amp;$F1057,YEAR($B$2:$B$4001)&amp;"-"&amp;$A$2:$A$4001,0,-1)),K1057))</f>
        <v>4</v>
      </c>
      <c r="M1057" cm="1">
        <f t="array" ref="M1057">IF(OR(AND(L1057=9,M$1&gt;YEAR($N1057))),9,_xlfn.IFNA(INDEX($D$2:$D$4001,_xlfn.XMATCH(M$1&amp;"-"&amp;$F1057,YEAR($B$2:$B$4001)&amp;"-"&amp;$A$2:$A$4001,0,-1)),L1057))</f>
        <v>4</v>
      </c>
      <c r="N1057" s="1">
        <f t="shared" si="16"/>
        <v>37041</v>
      </c>
    </row>
    <row r="1058" spans="1:14" x14ac:dyDescent="0.35">
      <c r="A1058">
        <v>513</v>
      </c>
      <c r="B1058" s="2">
        <v>37985</v>
      </c>
      <c r="C1058">
        <v>4</v>
      </c>
      <c r="D1058">
        <v>4</v>
      </c>
      <c r="F1058">
        <v>1057</v>
      </c>
      <c r="G1058" cm="1">
        <f t="array" ref="G1058">_xlfn.IFNA(INDEX($D$2:$D$4001,_xlfn.XMATCH(G$1&amp;"-"&amp;$F1058,YEAR($B$2:$B$4001)&amp;"-"&amp;$A$2:$A$4001,0,-1)),9)</f>
        <v>9</v>
      </c>
      <c r="H1058" cm="1">
        <f t="array" ref="H1058">IF(OR(AND(G1058=9,H$1&gt;YEAR($N1058))),9,_xlfn.IFNA(INDEX($D$2:$D$4001,_xlfn.XMATCH(H$1&amp;"-"&amp;$F1058,YEAR($B$2:$B$4001)&amp;"-"&amp;$A$2:$A$4001,0,-1)),G1058))</f>
        <v>4</v>
      </c>
      <c r="I1058" cm="1">
        <f t="array" ref="I1058">IF(OR(AND(H1058=9,I$1&gt;YEAR($N1058))),9,_xlfn.IFNA(INDEX($D$2:$D$4001,_xlfn.XMATCH(I$1&amp;"-"&amp;$F1058,YEAR($B$2:$B$4001)&amp;"-"&amp;$A$2:$A$4001,0,-1)),H1058))</f>
        <v>4</v>
      </c>
      <c r="J1058" cm="1">
        <f t="array" ref="J1058">IF(OR(AND(I1058=9,J$1&gt;YEAR($N1058))),9,_xlfn.IFNA(INDEX($D$2:$D$4001,_xlfn.XMATCH(J$1&amp;"-"&amp;$F1058,YEAR($B$2:$B$4001)&amp;"-"&amp;$A$2:$A$4001,0,-1)),I1058))</f>
        <v>4</v>
      </c>
      <c r="K1058" cm="1">
        <f t="array" ref="K1058">IF(OR(AND(J1058=9,K$1&gt;YEAR($N1058))),9,_xlfn.IFNA(INDEX($D$2:$D$4001,_xlfn.XMATCH(K$1&amp;"-"&amp;$F1058,YEAR($B$2:$B$4001)&amp;"-"&amp;$A$2:$A$4001,0,-1)),J1058))</f>
        <v>4</v>
      </c>
      <c r="L1058" cm="1">
        <f t="array" ref="L1058">IF(OR(AND(K1058=9,L$1&gt;YEAR($N1058))),9,_xlfn.IFNA(INDEX($D$2:$D$4001,_xlfn.XMATCH(L$1&amp;"-"&amp;$F1058,YEAR($B$2:$B$4001)&amp;"-"&amp;$A$2:$A$4001,0,-1)),K1058))</f>
        <v>4</v>
      </c>
      <c r="M1058" cm="1">
        <f t="array" ref="M1058">IF(OR(AND(L1058=9,M$1&gt;YEAR($N1058))),9,_xlfn.IFNA(INDEX($D$2:$D$4001,_xlfn.XMATCH(M$1&amp;"-"&amp;$F1058,YEAR($B$2:$B$4001)&amp;"-"&amp;$A$2:$A$4001,0,-1)),L1058))</f>
        <v>4</v>
      </c>
      <c r="N1058" s="1">
        <f t="shared" si="16"/>
        <v>36860</v>
      </c>
    </row>
    <row r="1059" spans="1:14" x14ac:dyDescent="0.35">
      <c r="A1059">
        <v>514</v>
      </c>
      <c r="B1059" s="2">
        <v>37762</v>
      </c>
      <c r="C1059">
        <v>2</v>
      </c>
      <c r="D1059">
        <v>2</v>
      </c>
      <c r="F1059">
        <v>1058</v>
      </c>
      <c r="G1059" cm="1">
        <f t="array" ref="G1059">_xlfn.IFNA(INDEX($D$2:$D$4001,_xlfn.XMATCH(G$1&amp;"-"&amp;$F1059,YEAR($B$2:$B$4001)&amp;"-"&amp;$A$2:$A$4001,0,-1)),9)</f>
        <v>9</v>
      </c>
      <c r="H1059" cm="1">
        <f t="array" ref="H1059">IF(OR(AND(G1059=9,H$1&gt;YEAR($N1059))),9,_xlfn.IFNA(INDEX($D$2:$D$4001,_xlfn.XMATCH(H$1&amp;"-"&amp;$F1059,YEAR($B$2:$B$4001)&amp;"-"&amp;$A$2:$A$4001,0,-1)),G1059))</f>
        <v>3</v>
      </c>
      <c r="I1059" cm="1">
        <f t="array" ref="I1059">IF(OR(AND(H1059=9,I$1&gt;YEAR($N1059))),9,_xlfn.IFNA(INDEX($D$2:$D$4001,_xlfn.XMATCH(I$1&amp;"-"&amp;$F1059,YEAR($B$2:$B$4001)&amp;"-"&amp;$A$2:$A$4001,0,-1)),H1059))</f>
        <v>3</v>
      </c>
      <c r="J1059" cm="1">
        <f t="array" ref="J1059">IF(OR(AND(I1059=9,J$1&gt;YEAR($N1059))),9,_xlfn.IFNA(INDEX($D$2:$D$4001,_xlfn.XMATCH(J$1&amp;"-"&amp;$F1059,YEAR($B$2:$B$4001)&amp;"-"&amp;$A$2:$A$4001,0,-1)),I1059))</f>
        <v>3</v>
      </c>
      <c r="K1059" cm="1">
        <f t="array" ref="K1059">IF(OR(AND(J1059=9,K$1&gt;YEAR($N1059))),9,_xlfn.IFNA(INDEX($D$2:$D$4001,_xlfn.XMATCH(K$1&amp;"-"&amp;$F1059,YEAR($B$2:$B$4001)&amp;"-"&amp;$A$2:$A$4001,0,-1)),J1059))</f>
        <v>3</v>
      </c>
      <c r="L1059" cm="1">
        <f t="array" ref="L1059">IF(OR(AND(K1059=9,L$1&gt;YEAR($N1059))),9,_xlfn.IFNA(INDEX($D$2:$D$4001,_xlfn.XMATCH(L$1&amp;"-"&amp;$F1059,YEAR($B$2:$B$4001)&amp;"-"&amp;$A$2:$A$4001,0,-1)),K1059))</f>
        <v>3</v>
      </c>
      <c r="M1059" cm="1">
        <f t="array" ref="M1059">IF(OR(AND(L1059=9,M$1&gt;YEAR($N1059))),9,_xlfn.IFNA(INDEX($D$2:$D$4001,_xlfn.XMATCH(M$1&amp;"-"&amp;$F1059,YEAR($B$2:$B$4001)&amp;"-"&amp;$A$2:$A$4001,0,-1)),L1059))</f>
        <v>3</v>
      </c>
      <c r="N1059" s="1">
        <f t="shared" si="16"/>
        <v>36667</v>
      </c>
    </row>
    <row r="1060" spans="1:14" x14ac:dyDescent="0.35">
      <c r="A1060">
        <v>515</v>
      </c>
      <c r="B1060" s="2">
        <v>36306</v>
      </c>
      <c r="C1060">
        <v>1</v>
      </c>
      <c r="D1060">
        <v>1</v>
      </c>
      <c r="F1060">
        <v>1059</v>
      </c>
      <c r="G1060" cm="1">
        <f t="array" ref="G1060">_xlfn.IFNA(INDEX($D$2:$D$4001,_xlfn.XMATCH(G$1&amp;"-"&amp;$F1060,YEAR($B$2:$B$4001)&amp;"-"&amp;$A$2:$A$4001,0,-1)),9)</f>
        <v>9</v>
      </c>
      <c r="H1060" cm="1">
        <f t="array" ref="H1060">IF(OR(AND(G1060=9,H$1&gt;YEAR($N1060))),9,_xlfn.IFNA(INDEX($D$2:$D$4001,_xlfn.XMATCH(H$1&amp;"-"&amp;$F1060,YEAR($B$2:$B$4001)&amp;"-"&amp;$A$2:$A$4001,0,-1)),G1060))</f>
        <v>2</v>
      </c>
      <c r="I1060" cm="1">
        <f t="array" ref="I1060">IF(OR(AND(H1060=9,I$1&gt;YEAR($N1060))),9,_xlfn.IFNA(INDEX($D$2:$D$4001,_xlfn.XMATCH(I$1&amp;"-"&amp;$F1060,YEAR($B$2:$B$4001)&amp;"-"&amp;$A$2:$A$4001,0,-1)),H1060))</f>
        <v>2</v>
      </c>
      <c r="J1060" cm="1">
        <f t="array" ref="J1060">IF(OR(AND(I1060=9,J$1&gt;YEAR($N1060))),9,_xlfn.IFNA(INDEX($D$2:$D$4001,_xlfn.XMATCH(J$1&amp;"-"&amp;$F1060,YEAR($B$2:$B$4001)&amp;"-"&amp;$A$2:$A$4001,0,-1)),I1060))</f>
        <v>2</v>
      </c>
      <c r="K1060" cm="1">
        <f t="array" ref="K1060">IF(OR(AND(J1060=9,K$1&gt;YEAR($N1060))),9,_xlfn.IFNA(INDEX($D$2:$D$4001,_xlfn.XMATCH(K$1&amp;"-"&amp;$F1060,YEAR($B$2:$B$4001)&amp;"-"&amp;$A$2:$A$4001,0,-1)),J1060))</f>
        <v>2</v>
      </c>
      <c r="L1060" cm="1">
        <f t="array" ref="L1060">IF(OR(AND(K1060=9,L$1&gt;YEAR($N1060))),9,_xlfn.IFNA(INDEX($D$2:$D$4001,_xlfn.XMATCH(L$1&amp;"-"&amp;$F1060,YEAR($B$2:$B$4001)&amp;"-"&amp;$A$2:$A$4001,0,-1)),K1060))</f>
        <v>2</v>
      </c>
      <c r="M1060" cm="1">
        <f t="array" ref="M1060">IF(OR(AND(L1060=9,M$1&gt;YEAR($N1060))),9,_xlfn.IFNA(INDEX($D$2:$D$4001,_xlfn.XMATCH(M$1&amp;"-"&amp;$F1060,YEAR($B$2:$B$4001)&amp;"-"&amp;$A$2:$A$4001,0,-1)),L1060))</f>
        <v>2</v>
      </c>
      <c r="N1060" s="1">
        <f t="shared" si="16"/>
        <v>36667</v>
      </c>
    </row>
    <row r="1061" spans="1:14" x14ac:dyDescent="0.35">
      <c r="A1061">
        <v>515</v>
      </c>
      <c r="B1061" s="2">
        <v>37133</v>
      </c>
      <c r="C1061">
        <v>0</v>
      </c>
      <c r="D1061">
        <v>0</v>
      </c>
      <c r="F1061">
        <v>1060</v>
      </c>
      <c r="G1061" cm="1">
        <f t="array" ref="G1061">_xlfn.IFNA(INDEX($D$2:$D$4001,_xlfn.XMATCH(G$1&amp;"-"&amp;$F1061,YEAR($B$2:$B$4001)&amp;"-"&amp;$A$2:$A$4001,0,-1)),9)</f>
        <v>5</v>
      </c>
      <c r="H1061" cm="1">
        <f t="array" ref="H1061">IF(OR(AND(G1061=9,H$1&gt;YEAR($N1061))),9,_xlfn.IFNA(INDEX($D$2:$D$4001,_xlfn.XMATCH(H$1&amp;"-"&amp;$F1061,YEAR($B$2:$B$4001)&amp;"-"&amp;$A$2:$A$4001,0,-1)),G1061))</f>
        <v>5</v>
      </c>
      <c r="I1061" cm="1">
        <f t="array" ref="I1061">IF(OR(AND(H1061=9,I$1&gt;YEAR($N1061))),9,_xlfn.IFNA(INDEX($D$2:$D$4001,_xlfn.XMATCH(I$1&amp;"-"&amp;$F1061,YEAR($B$2:$B$4001)&amp;"-"&amp;$A$2:$A$4001,0,-1)),H1061))</f>
        <v>5</v>
      </c>
      <c r="J1061" cm="1">
        <f t="array" ref="J1061">IF(OR(AND(I1061=9,J$1&gt;YEAR($N1061))),9,_xlfn.IFNA(INDEX($D$2:$D$4001,_xlfn.XMATCH(J$1&amp;"-"&amp;$F1061,YEAR($B$2:$B$4001)&amp;"-"&amp;$A$2:$A$4001,0,-1)),I1061))</f>
        <v>5</v>
      </c>
      <c r="K1061" cm="1">
        <f t="array" ref="K1061">IF(OR(AND(J1061=9,K$1&gt;YEAR($N1061))),9,_xlfn.IFNA(INDEX($D$2:$D$4001,_xlfn.XMATCH(K$1&amp;"-"&amp;$F1061,YEAR($B$2:$B$4001)&amp;"-"&amp;$A$2:$A$4001,0,-1)),J1061))</f>
        <v>5</v>
      </c>
      <c r="L1061" cm="1">
        <f t="array" ref="L1061">IF(OR(AND(K1061=9,L$1&gt;YEAR($N1061))),9,_xlfn.IFNA(INDEX($D$2:$D$4001,_xlfn.XMATCH(L$1&amp;"-"&amp;$F1061,YEAR($B$2:$B$4001)&amp;"-"&amp;$A$2:$A$4001,0,-1)),K1061))</f>
        <v>5</v>
      </c>
      <c r="M1061" cm="1">
        <f t="array" ref="M1061">IF(OR(AND(L1061=9,M$1&gt;YEAR($N1061))),9,_xlfn.IFNA(INDEX($D$2:$D$4001,_xlfn.XMATCH(M$1&amp;"-"&amp;$F1061,YEAR($B$2:$B$4001)&amp;"-"&amp;$A$2:$A$4001,0,-1)),L1061))</f>
        <v>5</v>
      </c>
      <c r="N1061" s="1">
        <f t="shared" si="16"/>
        <v>36301</v>
      </c>
    </row>
    <row r="1062" spans="1:14" x14ac:dyDescent="0.35">
      <c r="A1062">
        <v>516</v>
      </c>
      <c r="B1062" s="2">
        <v>37041</v>
      </c>
      <c r="C1062">
        <v>2</v>
      </c>
      <c r="D1062">
        <v>2</v>
      </c>
      <c r="F1062">
        <v>1061</v>
      </c>
      <c r="G1062" cm="1">
        <f t="array" ref="G1062">_xlfn.IFNA(INDEX($D$2:$D$4001,_xlfn.XMATCH(G$1&amp;"-"&amp;$F1062,YEAR($B$2:$B$4001)&amp;"-"&amp;$A$2:$A$4001,0,-1)),9)</f>
        <v>9</v>
      </c>
      <c r="H1062" cm="1">
        <f t="array" ref="H1062">IF(OR(AND(G1062=9,H$1&gt;YEAR($N1062))),9,_xlfn.IFNA(INDEX($D$2:$D$4001,_xlfn.XMATCH(H$1&amp;"-"&amp;$F1062,YEAR($B$2:$B$4001)&amp;"-"&amp;$A$2:$A$4001,0,-1)),G1062))</f>
        <v>9</v>
      </c>
      <c r="I1062" cm="1">
        <f t="array" ref="I1062">IF(OR(AND(H1062=9,I$1&gt;YEAR($N1062))),9,_xlfn.IFNA(INDEX($D$2:$D$4001,_xlfn.XMATCH(I$1&amp;"-"&amp;$F1062,YEAR($B$2:$B$4001)&amp;"-"&amp;$A$2:$A$4001,0,-1)),H1062))</f>
        <v>9</v>
      </c>
      <c r="J1062" cm="1">
        <f t="array" ref="J1062">IF(OR(AND(I1062=9,J$1&gt;YEAR($N1062))),9,_xlfn.IFNA(INDEX($D$2:$D$4001,_xlfn.XMATCH(J$1&amp;"-"&amp;$F1062,YEAR($B$2:$B$4001)&amp;"-"&amp;$A$2:$A$4001,0,-1)),I1062))</f>
        <v>2</v>
      </c>
      <c r="K1062" cm="1">
        <f t="array" ref="K1062">IF(OR(AND(J1062=9,K$1&gt;YEAR($N1062))),9,_xlfn.IFNA(INDEX($D$2:$D$4001,_xlfn.XMATCH(K$1&amp;"-"&amp;$F1062,YEAR($B$2:$B$4001)&amp;"-"&amp;$A$2:$A$4001,0,-1)),J1062))</f>
        <v>2</v>
      </c>
      <c r="L1062" cm="1">
        <f t="array" ref="L1062">IF(OR(AND(K1062=9,L$1&gt;YEAR($N1062))),9,_xlfn.IFNA(INDEX($D$2:$D$4001,_xlfn.XMATCH(L$1&amp;"-"&amp;$F1062,YEAR($B$2:$B$4001)&amp;"-"&amp;$A$2:$A$4001,0,-1)),K1062))</f>
        <v>2</v>
      </c>
      <c r="M1062" cm="1">
        <f t="array" ref="M1062">IF(OR(AND(L1062=9,M$1&gt;YEAR($N1062))),9,_xlfn.IFNA(INDEX($D$2:$D$4001,_xlfn.XMATCH(M$1&amp;"-"&amp;$F1062,YEAR($B$2:$B$4001)&amp;"-"&amp;$A$2:$A$4001,0,-1)),L1062))</f>
        <v>2</v>
      </c>
      <c r="N1062" s="1">
        <f t="shared" si="16"/>
        <v>37397</v>
      </c>
    </row>
    <row r="1063" spans="1:14" x14ac:dyDescent="0.35">
      <c r="A1063">
        <v>517</v>
      </c>
      <c r="B1063" s="2">
        <v>36310</v>
      </c>
      <c r="C1063">
        <v>4</v>
      </c>
      <c r="D1063">
        <v>4</v>
      </c>
      <c r="F1063">
        <v>1062</v>
      </c>
      <c r="G1063" cm="1">
        <f t="array" ref="G1063">_xlfn.IFNA(INDEX($D$2:$D$4001,_xlfn.XMATCH(G$1&amp;"-"&amp;$F1063,YEAR($B$2:$B$4001)&amp;"-"&amp;$A$2:$A$4001,0,-1)),9)</f>
        <v>9</v>
      </c>
      <c r="H1063" cm="1">
        <f t="array" ref="H1063">IF(OR(AND(G1063=9,H$1&gt;YEAR($N1063))),9,_xlfn.IFNA(INDEX($D$2:$D$4001,_xlfn.XMATCH(H$1&amp;"-"&amp;$F1063,YEAR($B$2:$B$4001)&amp;"-"&amp;$A$2:$A$4001,0,-1)),G1063))</f>
        <v>9</v>
      </c>
      <c r="I1063" cm="1">
        <f t="array" ref="I1063">IF(OR(AND(H1063=9,I$1&gt;YEAR($N1063))),9,_xlfn.IFNA(INDEX($D$2:$D$4001,_xlfn.XMATCH(I$1&amp;"-"&amp;$F1063,YEAR($B$2:$B$4001)&amp;"-"&amp;$A$2:$A$4001,0,-1)),H1063))</f>
        <v>9</v>
      </c>
      <c r="J1063" cm="1">
        <f t="array" ref="J1063">IF(OR(AND(I1063=9,J$1&gt;YEAR($N1063))),9,_xlfn.IFNA(INDEX($D$2:$D$4001,_xlfn.XMATCH(J$1&amp;"-"&amp;$F1063,YEAR($B$2:$B$4001)&amp;"-"&amp;$A$2:$A$4001,0,-1)),I1063))</f>
        <v>5</v>
      </c>
      <c r="K1063" cm="1">
        <f t="array" ref="K1063">IF(OR(AND(J1063=9,K$1&gt;YEAR($N1063))),9,_xlfn.IFNA(INDEX($D$2:$D$4001,_xlfn.XMATCH(K$1&amp;"-"&amp;$F1063,YEAR($B$2:$B$4001)&amp;"-"&amp;$A$2:$A$4001,0,-1)),J1063))</f>
        <v>5</v>
      </c>
      <c r="L1063" cm="1">
        <f t="array" ref="L1063">IF(OR(AND(K1063=9,L$1&gt;YEAR($N1063))),9,_xlfn.IFNA(INDEX($D$2:$D$4001,_xlfn.XMATCH(L$1&amp;"-"&amp;$F1063,YEAR($B$2:$B$4001)&amp;"-"&amp;$A$2:$A$4001,0,-1)),K1063))</f>
        <v>5</v>
      </c>
      <c r="M1063" cm="1">
        <f t="array" ref="M1063">IF(OR(AND(L1063=9,M$1&gt;YEAR($N1063))),9,_xlfn.IFNA(INDEX($D$2:$D$4001,_xlfn.XMATCH(M$1&amp;"-"&amp;$F1063,YEAR($B$2:$B$4001)&amp;"-"&amp;$A$2:$A$4001,0,-1)),L1063))</f>
        <v>5</v>
      </c>
      <c r="N1063" s="1">
        <f t="shared" si="16"/>
        <v>37620</v>
      </c>
    </row>
    <row r="1064" spans="1:14" x14ac:dyDescent="0.35">
      <c r="A1064">
        <v>518</v>
      </c>
      <c r="B1064" s="2">
        <v>37620</v>
      </c>
      <c r="C1064">
        <v>2</v>
      </c>
      <c r="D1064">
        <v>2</v>
      </c>
      <c r="F1064">
        <v>1063</v>
      </c>
      <c r="G1064" cm="1">
        <f t="array" ref="G1064">_xlfn.IFNA(INDEX($D$2:$D$4001,_xlfn.XMATCH(G$1&amp;"-"&amp;$F1064,YEAR($B$2:$B$4001)&amp;"-"&amp;$A$2:$A$4001,0,-1)),9)</f>
        <v>9</v>
      </c>
      <c r="H1064" cm="1">
        <f t="array" ref="H1064">IF(OR(AND(G1064=9,H$1&gt;YEAR($N1064))),9,_xlfn.IFNA(INDEX($D$2:$D$4001,_xlfn.XMATCH(H$1&amp;"-"&amp;$F1064,YEAR($B$2:$B$4001)&amp;"-"&amp;$A$2:$A$4001,0,-1)),G1064))</f>
        <v>9</v>
      </c>
      <c r="I1064" cm="1">
        <f t="array" ref="I1064">IF(OR(AND(H1064=9,I$1&gt;YEAR($N1064))),9,_xlfn.IFNA(INDEX($D$2:$D$4001,_xlfn.XMATCH(I$1&amp;"-"&amp;$F1064,YEAR($B$2:$B$4001)&amp;"-"&amp;$A$2:$A$4001,0,-1)),H1064))</f>
        <v>2</v>
      </c>
      <c r="J1064" cm="1">
        <f t="array" ref="J1064">IF(OR(AND(I1064=9,J$1&gt;YEAR($N1064))),9,_xlfn.IFNA(INDEX($D$2:$D$4001,_xlfn.XMATCH(J$1&amp;"-"&amp;$F1064,YEAR($B$2:$B$4001)&amp;"-"&amp;$A$2:$A$4001,0,-1)),I1064))</f>
        <v>3</v>
      </c>
      <c r="K1064" cm="1">
        <f t="array" ref="K1064">IF(OR(AND(J1064=9,K$1&gt;YEAR($N1064))),9,_xlfn.IFNA(INDEX($D$2:$D$4001,_xlfn.XMATCH(K$1&amp;"-"&amp;$F1064,YEAR($B$2:$B$4001)&amp;"-"&amp;$A$2:$A$4001,0,-1)),J1064))</f>
        <v>3</v>
      </c>
      <c r="L1064" cm="1">
        <f t="array" ref="L1064">IF(OR(AND(K1064=9,L$1&gt;YEAR($N1064))),9,_xlfn.IFNA(INDEX($D$2:$D$4001,_xlfn.XMATCH(L$1&amp;"-"&amp;$F1064,YEAR($B$2:$B$4001)&amp;"-"&amp;$A$2:$A$4001,0,-1)),K1064))</f>
        <v>3</v>
      </c>
      <c r="M1064" cm="1">
        <f t="array" ref="M1064">IF(OR(AND(L1064=9,M$1&gt;YEAR($N1064))),9,_xlfn.IFNA(INDEX($D$2:$D$4001,_xlfn.XMATCH(M$1&amp;"-"&amp;$F1064,YEAR($B$2:$B$4001)&amp;"-"&amp;$A$2:$A$4001,0,-1)),L1064))</f>
        <v>3</v>
      </c>
      <c r="N1064" s="1">
        <f t="shared" si="16"/>
        <v>37255</v>
      </c>
    </row>
    <row r="1065" spans="1:14" x14ac:dyDescent="0.35">
      <c r="A1065">
        <v>518</v>
      </c>
      <c r="B1065" s="2">
        <v>37762</v>
      </c>
      <c r="C1065">
        <v>0</v>
      </c>
      <c r="D1065">
        <v>0</v>
      </c>
      <c r="F1065">
        <v>1064</v>
      </c>
      <c r="G1065" cm="1">
        <f t="array" ref="G1065">_xlfn.IFNA(INDEX($D$2:$D$4001,_xlfn.XMATCH(G$1&amp;"-"&amp;$F1065,YEAR($B$2:$B$4001)&amp;"-"&amp;$A$2:$A$4001,0,-1)),9)</f>
        <v>9</v>
      </c>
      <c r="H1065" cm="1">
        <f t="array" ref="H1065">IF(OR(AND(G1065=9,H$1&gt;YEAR($N1065))),9,_xlfn.IFNA(INDEX($D$2:$D$4001,_xlfn.XMATCH(H$1&amp;"-"&amp;$F1065,YEAR($B$2:$B$4001)&amp;"-"&amp;$A$2:$A$4001,0,-1)),G1065))</f>
        <v>4</v>
      </c>
      <c r="I1065" cm="1">
        <f t="array" ref="I1065">IF(OR(AND(H1065=9,I$1&gt;YEAR($N1065))),9,_xlfn.IFNA(INDEX($D$2:$D$4001,_xlfn.XMATCH(I$1&amp;"-"&amp;$F1065,YEAR($B$2:$B$4001)&amp;"-"&amp;$A$2:$A$4001,0,-1)),H1065))</f>
        <v>4</v>
      </c>
      <c r="J1065" cm="1">
        <f t="array" ref="J1065">IF(OR(AND(I1065=9,J$1&gt;YEAR($N1065))),9,_xlfn.IFNA(INDEX($D$2:$D$4001,_xlfn.XMATCH(J$1&amp;"-"&amp;$F1065,YEAR($B$2:$B$4001)&amp;"-"&amp;$A$2:$A$4001,0,-1)),I1065))</f>
        <v>5</v>
      </c>
      <c r="K1065" cm="1">
        <f t="array" ref="K1065">IF(OR(AND(J1065=9,K$1&gt;YEAR($N1065))),9,_xlfn.IFNA(INDEX($D$2:$D$4001,_xlfn.XMATCH(K$1&amp;"-"&amp;$F1065,YEAR($B$2:$B$4001)&amp;"-"&amp;$A$2:$A$4001,0,-1)),J1065))</f>
        <v>5</v>
      </c>
      <c r="L1065" cm="1">
        <f t="array" ref="L1065">IF(OR(AND(K1065=9,L$1&gt;YEAR($N1065))),9,_xlfn.IFNA(INDEX($D$2:$D$4001,_xlfn.XMATCH(L$1&amp;"-"&amp;$F1065,YEAR($B$2:$B$4001)&amp;"-"&amp;$A$2:$A$4001,0,-1)),K1065))</f>
        <v>5</v>
      </c>
      <c r="M1065" cm="1">
        <f t="array" ref="M1065">IF(OR(AND(L1065=9,M$1&gt;YEAR($N1065))),9,_xlfn.IFNA(INDEX($D$2:$D$4001,_xlfn.XMATCH(M$1&amp;"-"&amp;$F1065,YEAR($B$2:$B$4001)&amp;"-"&amp;$A$2:$A$4001,0,-1)),L1065))</f>
        <v>5</v>
      </c>
      <c r="N1065" s="1">
        <f t="shared" si="16"/>
        <v>36790</v>
      </c>
    </row>
    <row r="1066" spans="1:14" x14ac:dyDescent="0.35">
      <c r="A1066">
        <v>519</v>
      </c>
      <c r="B1066" s="2">
        <v>36524</v>
      </c>
      <c r="C1066">
        <v>3</v>
      </c>
      <c r="D1066">
        <v>3</v>
      </c>
      <c r="F1066">
        <v>1065</v>
      </c>
      <c r="G1066" cm="1">
        <f t="array" ref="G1066">_xlfn.IFNA(INDEX($D$2:$D$4001,_xlfn.XMATCH(G$1&amp;"-"&amp;$F1066,YEAR($B$2:$B$4001)&amp;"-"&amp;$A$2:$A$4001,0,-1)),9)</f>
        <v>9</v>
      </c>
      <c r="H1066" cm="1">
        <f t="array" ref="H1066">IF(OR(AND(G1066=9,H$1&gt;YEAR($N1066))),9,_xlfn.IFNA(INDEX($D$2:$D$4001,_xlfn.XMATCH(H$1&amp;"-"&amp;$F1066,YEAR($B$2:$B$4001)&amp;"-"&amp;$A$2:$A$4001,0,-1)),G1066))</f>
        <v>9</v>
      </c>
      <c r="I1066" cm="1">
        <f t="array" ref="I1066">IF(OR(AND(H1066=9,I$1&gt;YEAR($N1066))),9,_xlfn.IFNA(INDEX($D$2:$D$4001,_xlfn.XMATCH(I$1&amp;"-"&amp;$F1066,YEAR($B$2:$B$4001)&amp;"-"&amp;$A$2:$A$4001,0,-1)),H1066))</f>
        <v>2</v>
      </c>
      <c r="J1066" cm="1">
        <f t="array" ref="J1066">IF(OR(AND(I1066=9,J$1&gt;YEAR($N1066))),9,_xlfn.IFNA(INDEX($D$2:$D$4001,_xlfn.XMATCH(J$1&amp;"-"&amp;$F1066,YEAR($B$2:$B$4001)&amp;"-"&amp;$A$2:$A$4001,0,-1)),I1066))</f>
        <v>3</v>
      </c>
      <c r="K1066" cm="1">
        <f t="array" ref="K1066">IF(OR(AND(J1066=9,K$1&gt;YEAR($N1066))),9,_xlfn.IFNA(INDEX($D$2:$D$4001,_xlfn.XMATCH(K$1&amp;"-"&amp;$F1066,YEAR($B$2:$B$4001)&amp;"-"&amp;$A$2:$A$4001,0,-1)),J1066))</f>
        <v>3</v>
      </c>
      <c r="L1066" cm="1">
        <f t="array" ref="L1066">IF(OR(AND(K1066=9,L$1&gt;YEAR($N1066))),9,_xlfn.IFNA(INDEX($D$2:$D$4001,_xlfn.XMATCH(L$1&amp;"-"&amp;$F1066,YEAR($B$2:$B$4001)&amp;"-"&amp;$A$2:$A$4001,0,-1)),K1066))</f>
        <v>3</v>
      </c>
      <c r="M1066" cm="1">
        <f t="array" ref="M1066">IF(OR(AND(L1066=9,M$1&gt;YEAR($N1066))),9,_xlfn.IFNA(INDEX($D$2:$D$4001,_xlfn.XMATCH(M$1&amp;"-"&amp;$F1066,YEAR($B$2:$B$4001)&amp;"-"&amp;$A$2:$A$4001,0,-1)),L1066))</f>
        <v>3</v>
      </c>
      <c r="N1066" s="1">
        <f t="shared" si="16"/>
        <v>37194</v>
      </c>
    </row>
    <row r="1067" spans="1:14" x14ac:dyDescent="0.35">
      <c r="A1067">
        <v>519</v>
      </c>
      <c r="B1067" s="2">
        <v>37397</v>
      </c>
      <c r="C1067">
        <v>0</v>
      </c>
      <c r="D1067">
        <v>0</v>
      </c>
      <c r="F1067">
        <v>1066</v>
      </c>
      <c r="G1067" cm="1">
        <f t="array" ref="G1067">_xlfn.IFNA(INDEX($D$2:$D$4001,_xlfn.XMATCH(G$1&amp;"-"&amp;$F1067,YEAR($B$2:$B$4001)&amp;"-"&amp;$A$2:$A$4001,0,-1)),9)</f>
        <v>3</v>
      </c>
      <c r="H1067" cm="1">
        <f t="array" ref="H1067">IF(OR(AND(G1067=9,H$1&gt;YEAR($N1067))),9,_xlfn.IFNA(INDEX($D$2:$D$4001,_xlfn.XMATCH(H$1&amp;"-"&amp;$F1067,YEAR($B$2:$B$4001)&amp;"-"&amp;$A$2:$A$4001,0,-1)),G1067))</f>
        <v>3</v>
      </c>
      <c r="I1067" cm="1">
        <f t="array" ref="I1067">IF(OR(AND(H1067=9,I$1&gt;YEAR($N1067))),9,_xlfn.IFNA(INDEX($D$2:$D$4001,_xlfn.XMATCH(I$1&amp;"-"&amp;$F1067,YEAR($B$2:$B$4001)&amp;"-"&amp;$A$2:$A$4001,0,-1)),H1067))</f>
        <v>3</v>
      </c>
      <c r="J1067" cm="1">
        <f t="array" ref="J1067">IF(OR(AND(I1067=9,J$1&gt;YEAR($N1067))),9,_xlfn.IFNA(INDEX($D$2:$D$4001,_xlfn.XMATCH(J$1&amp;"-"&amp;$F1067,YEAR($B$2:$B$4001)&amp;"-"&amp;$A$2:$A$4001,0,-1)),I1067))</f>
        <v>3</v>
      </c>
      <c r="K1067" cm="1">
        <f t="array" ref="K1067">IF(OR(AND(J1067=9,K$1&gt;YEAR($N1067))),9,_xlfn.IFNA(INDEX($D$2:$D$4001,_xlfn.XMATCH(K$1&amp;"-"&amp;$F1067,YEAR($B$2:$B$4001)&amp;"-"&amp;$A$2:$A$4001,0,-1)),J1067))</f>
        <v>3</v>
      </c>
      <c r="L1067" cm="1">
        <f t="array" ref="L1067">IF(OR(AND(K1067=9,L$1&gt;YEAR($N1067))),9,_xlfn.IFNA(INDEX($D$2:$D$4001,_xlfn.XMATCH(L$1&amp;"-"&amp;$F1067,YEAR($B$2:$B$4001)&amp;"-"&amp;$A$2:$A$4001,0,-1)),K1067))</f>
        <v>4</v>
      </c>
      <c r="M1067" cm="1">
        <f t="array" ref="M1067">IF(OR(AND(L1067=9,M$1&gt;YEAR($N1067))),9,_xlfn.IFNA(INDEX($D$2:$D$4001,_xlfn.XMATCH(M$1&amp;"-"&amp;$F1067,YEAR($B$2:$B$4001)&amp;"-"&amp;$A$2:$A$4001,0,-1)),L1067))</f>
        <v>4</v>
      </c>
      <c r="N1067" s="1">
        <f t="shared" si="16"/>
        <v>36524</v>
      </c>
    </row>
    <row r="1068" spans="1:14" x14ac:dyDescent="0.35">
      <c r="A1068">
        <v>520</v>
      </c>
      <c r="B1068" s="2">
        <v>37620</v>
      </c>
      <c r="C1068">
        <v>3</v>
      </c>
      <c r="D1068">
        <v>3</v>
      </c>
      <c r="F1068">
        <v>1067</v>
      </c>
      <c r="G1068" cm="1">
        <f t="array" ref="G1068">_xlfn.IFNA(INDEX($D$2:$D$4001,_xlfn.XMATCH(G$1&amp;"-"&amp;$F1068,YEAR($B$2:$B$4001)&amp;"-"&amp;$A$2:$A$4001,0,-1)),9)</f>
        <v>6</v>
      </c>
      <c r="H1068" cm="1">
        <f t="array" ref="H1068">IF(OR(AND(G1068=9,H$1&gt;YEAR($N1068))),9,_xlfn.IFNA(INDEX($D$2:$D$4001,_xlfn.XMATCH(H$1&amp;"-"&amp;$F1068,YEAR($B$2:$B$4001)&amp;"-"&amp;$A$2:$A$4001,0,-1)),G1068))</f>
        <v>0</v>
      </c>
      <c r="I1068" cm="1">
        <f t="array" ref="I1068">IF(OR(AND(H1068=9,I$1&gt;YEAR($N1068))),9,_xlfn.IFNA(INDEX($D$2:$D$4001,_xlfn.XMATCH(I$1&amp;"-"&amp;$F1068,YEAR($B$2:$B$4001)&amp;"-"&amp;$A$2:$A$4001,0,-1)),H1068))</f>
        <v>0</v>
      </c>
      <c r="J1068" cm="1">
        <f t="array" ref="J1068">IF(OR(AND(I1068=9,J$1&gt;YEAR($N1068))),9,_xlfn.IFNA(INDEX($D$2:$D$4001,_xlfn.XMATCH(J$1&amp;"-"&amp;$F1068,YEAR($B$2:$B$4001)&amp;"-"&amp;$A$2:$A$4001,0,-1)),I1068))</f>
        <v>0</v>
      </c>
      <c r="K1068" cm="1">
        <f t="array" ref="K1068">IF(OR(AND(J1068=9,K$1&gt;YEAR($N1068))),9,_xlfn.IFNA(INDEX($D$2:$D$4001,_xlfn.XMATCH(K$1&amp;"-"&amp;$F1068,YEAR($B$2:$B$4001)&amp;"-"&amp;$A$2:$A$4001,0,-1)),J1068))</f>
        <v>0</v>
      </c>
      <c r="L1068" cm="1">
        <f t="array" ref="L1068">IF(OR(AND(K1068=9,L$1&gt;YEAR($N1068))),9,_xlfn.IFNA(INDEX($D$2:$D$4001,_xlfn.XMATCH(L$1&amp;"-"&amp;$F1068,YEAR($B$2:$B$4001)&amp;"-"&amp;$A$2:$A$4001,0,-1)),K1068))</f>
        <v>0</v>
      </c>
      <c r="M1068" cm="1">
        <f t="array" ref="M1068">IF(OR(AND(L1068=9,M$1&gt;YEAR($N1068))),9,_xlfn.IFNA(INDEX($D$2:$D$4001,_xlfn.XMATCH(M$1&amp;"-"&amp;$F1068,YEAR($B$2:$B$4001)&amp;"-"&amp;$A$2:$A$4001,0,-1)),L1068))</f>
        <v>0</v>
      </c>
      <c r="N1068" s="1">
        <f t="shared" si="16"/>
        <v>36310</v>
      </c>
    </row>
    <row r="1069" spans="1:14" x14ac:dyDescent="0.35">
      <c r="A1069">
        <v>520</v>
      </c>
      <c r="B1069" s="2">
        <v>38128</v>
      </c>
      <c r="C1069">
        <v>3</v>
      </c>
      <c r="D1069">
        <v>3</v>
      </c>
      <c r="F1069">
        <v>1068</v>
      </c>
      <c r="G1069" cm="1">
        <f t="array" ref="G1069">_xlfn.IFNA(INDEX($D$2:$D$4001,_xlfn.XMATCH(G$1&amp;"-"&amp;$F1069,YEAR($B$2:$B$4001)&amp;"-"&amp;$A$2:$A$4001,0,-1)),9)</f>
        <v>2</v>
      </c>
      <c r="H1069" cm="1">
        <f t="array" ref="H1069">IF(OR(AND(G1069=9,H$1&gt;YEAR($N1069))),9,_xlfn.IFNA(INDEX($D$2:$D$4001,_xlfn.XMATCH(H$1&amp;"-"&amp;$F1069,YEAR($B$2:$B$4001)&amp;"-"&amp;$A$2:$A$4001,0,-1)),G1069))</f>
        <v>2</v>
      </c>
      <c r="I1069" cm="1">
        <f t="array" ref="I1069">IF(OR(AND(H1069=9,I$1&gt;YEAR($N1069))),9,_xlfn.IFNA(INDEX($D$2:$D$4001,_xlfn.XMATCH(I$1&amp;"-"&amp;$F1069,YEAR($B$2:$B$4001)&amp;"-"&amp;$A$2:$A$4001,0,-1)),H1069))</f>
        <v>2</v>
      </c>
      <c r="J1069" cm="1">
        <f t="array" ref="J1069">IF(OR(AND(I1069=9,J$1&gt;YEAR($N1069))),9,_xlfn.IFNA(INDEX($D$2:$D$4001,_xlfn.XMATCH(J$1&amp;"-"&amp;$F1069,YEAR($B$2:$B$4001)&amp;"-"&amp;$A$2:$A$4001,0,-1)),I1069))</f>
        <v>2</v>
      </c>
      <c r="K1069" cm="1">
        <f t="array" ref="K1069">IF(OR(AND(J1069=9,K$1&gt;YEAR($N1069))),9,_xlfn.IFNA(INDEX($D$2:$D$4001,_xlfn.XMATCH(K$1&amp;"-"&amp;$F1069,YEAR($B$2:$B$4001)&amp;"-"&amp;$A$2:$A$4001,0,-1)),J1069))</f>
        <v>2</v>
      </c>
      <c r="L1069" cm="1">
        <f t="array" ref="L1069">IF(OR(AND(K1069=9,L$1&gt;YEAR($N1069))),9,_xlfn.IFNA(INDEX($D$2:$D$4001,_xlfn.XMATCH(L$1&amp;"-"&amp;$F1069,YEAR($B$2:$B$4001)&amp;"-"&amp;$A$2:$A$4001,0,-1)),K1069))</f>
        <v>2</v>
      </c>
      <c r="M1069" cm="1">
        <f t="array" ref="M1069">IF(OR(AND(L1069=9,M$1&gt;YEAR($N1069))),9,_xlfn.IFNA(INDEX($D$2:$D$4001,_xlfn.XMATCH(M$1&amp;"-"&amp;$F1069,YEAR($B$2:$B$4001)&amp;"-"&amp;$A$2:$A$4001,0,-1)),L1069))</f>
        <v>2</v>
      </c>
      <c r="N1069" s="1">
        <f t="shared" si="16"/>
        <v>36301</v>
      </c>
    </row>
    <row r="1070" spans="1:14" x14ac:dyDescent="0.35">
      <c r="A1070">
        <v>521</v>
      </c>
      <c r="B1070" s="2">
        <v>37041</v>
      </c>
      <c r="C1070">
        <v>3</v>
      </c>
      <c r="D1070">
        <v>3</v>
      </c>
      <c r="F1070">
        <v>1069</v>
      </c>
      <c r="G1070" cm="1">
        <f t="array" ref="G1070">_xlfn.IFNA(INDEX($D$2:$D$4001,_xlfn.XMATCH(G$1&amp;"-"&amp;$F1070,YEAR($B$2:$B$4001)&amp;"-"&amp;$A$2:$A$4001,0,-1)),9)</f>
        <v>9</v>
      </c>
      <c r="H1070" cm="1">
        <f t="array" ref="H1070">IF(OR(AND(G1070=9,H$1&gt;YEAR($N1070))),9,_xlfn.IFNA(INDEX($D$2:$D$4001,_xlfn.XMATCH(H$1&amp;"-"&amp;$F1070,YEAR($B$2:$B$4001)&amp;"-"&amp;$A$2:$A$4001,0,-1)),G1070))</f>
        <v>9</v>
      </c>
      <c r="I1070" cm="1">
        <f t="array" ref="I1070">IF(OR(AND(H1070=9,I$1&gt;YEAR($N1070))),9,_xlfn.IFNA(INDEX($D$2:$D$4001,_xlfn.XMATCH(I$1&amp;"-"&amp;$F1070,YEAR($B$2:$B$4001)&amp;"-"&amp;$A$2:$A$4001,0,-1)),H1070))</f>
        <v>9</v>
      </c>
      <c r="J1070" cm="1">
        <f t="array" ref="J1070">IF(OR(AND(I1070=9,J$1&gt;YEAR($N1070))),9,_xlfn.IFNA(INDEX($D$2:$D$4001,_xlfn.XMATCH(J$1&amp;"-"&amp;$F1070,YEAR($B$2:$B$4001)&amp;"-"&amp;$A$2:$A$4001,0,-1)),I1070))</f>
        <v>9</v>
      </c>
      <c r="K1070" cm="1">
        <f t="array" ref="K1070">IF(OR(AND(J1070=9,K$1&gt;YEAR($N1070))),9,_xlfn.IFNA(INDEX($D$2:$D$4001,_xlfn.XMATCH(K$1&amp;"-"&amp;$F1070,YEAR($B$2:$B$4001)&amp;"-"&amp;$A$2:$A$4001,0,-1)),J1070))</f>
        <v>9</v>
      </c>
      <c r="L1070" cm="1">
        <f t="array" ref="L1070">IF(OR(AND(K1070=9,L$1&gt;YEAR($N1070))),9,_xlfn.IFNA(INDEX($D$2:$D$4001,_xlfn.XMATCH(L$1&amp;"-"&amp;$F1070,YEAR($B$2:$B$4001)&amp;"-"&amp;$A$2:$A$4001,0,-1)),K1070))</f>
        <v>1</v>
      </c>
      <c r="M1070" cm="1">
        <f t="array" ref="M1070">IF(OR(AND(L1070=9,M$1&gt;YEAR($N1070))),9,_xlfn.IFNA(INDEX($D$2:$D$4001,_xlfn.XMATCH(M$1&amp;"-"&amp;$F1070,YEAR($B$2:$B$4001)&amp;"-"&amp;$A$2:$A$4001,0,-1)),L1070))</f>
        <v>1</v>
      </c>
      <c r="N1070" s="1">
        <f t="shared" si="16"/>
        <v>38132</v>
      </c>
    </row>
    <row r="1071" spans="1:14" x14ac:dyDescent="0.35">
      <c r="A1071">
        <v>522</v>
      </c>
      <c r="B1071" s="2">
        <v>36676</v>
      </c>
      <c r="C1071">
        <v>3</v>
      </c>
      <c r="D1071">
        <v>3</v>
      </c>
      <c r="F1071">
        <v>1070</v>
      </c>
      <c r="G1071" cm="1">
        <f t="array" ref="G1071">_xlfn.IFNA(INDEX($D$2:$D$4001,_xlfn.XMATCH(G$1&amp;"-"&amp;$F1071,YEAR($B$2:$B$4001)&amp;"-"&amp;$A$2:$A$4001,0,-1)),9)</f>
        <v>9</v>
      </c>
      <c r="H1071" cm="1">
        <f t="array" ref="H1071">IF(OR(AND(G1071=9,H$1&gt;YEAR($N1071))),9,_xlfn.IFNA(INDEX($D$2:$D$4001,_xlfn.XMATCH(H$1&amp;"-"&amp;$F1071,YEAR($B$2:$B$4001)&amp;"-"&amp;$A$2:$A$4001,0,-1)),G1071))</f>
        <v>9</v>
      </c>
      <c r="I1071" cm="1">
        <f t="array" ref="I1071">IF(OR(AND(H1071=9,I$1&gt;YEAR($N1071))),9,_xlfn.IFNA(INDEX($D$2:$D$4001,_xlfn.XMATCH(I$1&amp;"-"&amp;$F1071,YEAR($B$2:$B$4001)&amp;"-"&amp;$A$2:$A$4001,0,-1)),H1071))</f>
        <v>2</v>
      </c>
      <c r="J1071" cm="1">
        <f t="array" ref="J1071">IF(OR(AND(I1071=9,J$1&gt;YEAR($N1071))),9,_xlfn.IFNA(INDEX($D$2:$D$4001,_xlfn.XMATCH(J$1&amp;"-"&amp;$F1071,YEAR($B$2:$B$4001)&amp;"-"&amp;$A$2:$A$4001,0,-1)),I1071))</f>
        <v>3</v>
      </c>
      <c r="K1071" cm="1">
        <f t="array" ref="K1071">IF(OR(AND(J1071=9,K$1&gt;YEAR($N1071))),9,_xlfn.IFNA(INDEX($D$2:$D$4001,_xlfn.XMATCH(K$1&amp;"-"&amp;$F1071,YEAR($B$2:$B$4001)&amp;"-"&amp;$A$2:$A$4001,0,-1)),J1071))</f>
        <v>3</v>
      </c>
      <c r="L1071" cm="1">
        <f t="array" ref="L1071">IF(OR(AND(K1071=9,L$1&gt;YEAR($N1071))),9,_xlfn.IFNA(INDEX($D$2:$D$4001,_xlfn.XMATCH(L$1&amp;"-"&amp;$F1071,YEAR($B$2:$B$4001)&amp;"-"&amp;$A$2:$A$4001,0,-1)),K1071))</f>
        <v>3</v>
      </c>
      <c r="M1071" cm="1">
        <f t="array" ref="M1071">IF(OR(AND(L1071=9,M$1&gt;YEAR($N1071))),9,_xlfn.IFNA(INDEX($D$2:$D$4001,_xlfn.XMATCH(M$1&amp;"-"&amp;$F1071,YEAR($B$2:$B$4001)&amp;"-"&amp;$A$2:$A$4001,0,-1)),L1071))</f>
        <v>3</v>
      </c>
      <c r="N1071" s="1">
        <f t="shared" si="16"/>
        <v>37035</v>
      </c>
    </row>
    <row r="1072" spans="1:14" x14ac:dyDescent="0.35">
      <c r="A1072">
        <v>522</v>
      </c>
      <c r="B1072" s="2">
        <v>37985</v>
      </c>
      <c r="C1072">
        <v>4</v>
      </c>
      <c r="D1072">
        <v>4</v>
      </c>
      <c r="F1072">
        <v>1071</v>
      </c>
      <c r="G1072" cm="1">
        <f t="array" ref="G1072">_xlfn.IFNA(INDEX($D$2:$D$4001,_xlfn.XMATCH(G$1&amp;"-"&amp;$F1072,YEAR($B$2:$B$4001)&amp;"-"&amp;$A$2:$A$4001,0,-1)),9)</f>
        <v>7</v>
      </c>
      <c r="H1072" cm="1">
        <f t="array" ref="H1072">IF(OR(AND(G1072=9,H$1&gt;YEAR($N1072))),9,_xlfn.IFNA(INDEX($D$2:$D$4001,_xlfn.XMATCH(H$1&amp;"-"&amp;$F1072,YEAR($B$2:$B$4001)&amp;"-"&amp;$A$2:$A$4001,0,-1)),G1072))</f>
        <v>0</v>
      </c>
      <c r="I1072" cm="1">
        <f t="array" ref="I1072">IF(OR(AND(H1072=9,I$1&gt;YEAR($N1072))),9,_xlfn.IFNA(INDEX($D$2:$D$4001,_xlfn.XMATCH(I$1&amp;"-"&amp;$F1072,YEAR($B$2:$B$4001)&amp;"-"&amp;$A$2:$A$4001,0,-1)),H1072))</f>
        <v>0</v>
      </c>
      <c r="J1072" cm="1">
        <f t="array" ref="J1072">IF(OR(AND(I1072=9,J$1&gt;YEAR($N1072))),9,_xlfn.IFNA(INDEX($D$2:$D$4001,_xlfn.XMATCH(J$1&amp;"-"&amp;$F1072,YEAR($B$2:$B$4001)&amp;"-"&amp;$A$2:$A$4001,0,-1)),I1072))</f>
        <v>0</v>
      </c>
      <c r="K1072" cm="1">
        <f t="array" ref="K1072">IF(OR(AND(J1072=9,K$1&gt;YEAR($N1072))),9,_xlfn.IFNA(INDEX($D$2:$D$4001,_xlfn.XMATCH(K$1&amp;"-"&amp;$F1072,YEAR($B$2:$B$4001)&amp;"-"&amp;$A$2:$A$4001,0,-1)),J1072))</f>
        <v>0</v>
      </c>
      <c r="L1072" cm="1">
        <f t="array" ref="L1072">IF(OR(AND(K1072=9,L$1&gt;YEAR($N1072))),9,_xlfn.IFNA(INDEX($D$2:$D$4001,_xlfn.XMATCH(L$1&amp;"-"&amp;$F1072,YEAR($B$2:$B$4001)&amp;"-"&amp;$A$2:$A$4001,0,-1)),K1072))</f>
        <v>0</v>
      </c>
      <c r="M1072" cm="1">
        <f t="array" ref="M1072">IF(OR(AND(L1072=9,M$1&gt;YEAR($N1072))),9,_xlfn.IFNA(INDEX($D$2:$D$4001,_xlfn.XMATCH(M$1&amp;"-"&amp;$F1072,YEAR($B$2:$B$4001)&amp;"-"&amp;$A$2:$A$4001,0,-1)),L1072))</f>
        <v>0</v>
      </c>
      <c r="N1072" s="1">
        <f t="shared" si="16"/>
        <v>36301</v>
      </c>
    </row>
    <row r="1073" spans="1:14" x14ac:dyDescent="0.35">
      <c r="A1073">
        <v>523</v>
      </c>
      <c r="B1073" s="2">
        <v>36301</v>
      </c>
      <c r="C1073">
        <v>5</v>
      </c>
      <c r="D1073">
        <v>5</v>
      </c>
      <c r="F1073">
        <v>1072</v>
      </c>
      <c r="G1073" cm="1">
        <f t="array" ref="G1073">_xlfn.IFNA(INDEX($D$2:$D$4001,_xlfn.XMATCH(G$1&amp;"-"&amp;$F1073,YEAR($B$2:$B$4001)&amp;"-"&amp;$A$2:$A$4001,0,-1)),9)</f>
        <v>9</v>
      </c>
      <c r="H1073" cm="1">
        <f t="array" ref="H1073">IF(OR(AND(G1073=9,H$1&gt;YEAR($N1073))),9,_xlfn.IFNA(INDEX($D$2:$D$4001,_xlfn.XMATCH(H$1&amp;"-"&amp;$F1073,YEAR($B$2:$B$4001)&amp;"-"&amp;$A$2:$A$4001,0,-1)),G1073))</f>
        <v>3</v>
      </c>
      <c r="I1073" cm="1">
        <f t="array" ref="I1073">IF(OR(AND(H1073=9,I$1&gt;YEAR($N1073))),9,_xlfn.IFNA(INDEX($D$2:$D$4001,_xlfn.XMATCH(I$1&amp;"-"&amp;$F1073,YEAR($B$2:$B$4001)&amp;"-"&amp;$A$2:$A$4001,0,-1)),H1073))</f>
        <v>3</v>
      </c>
      <c r="J1073" cm="1">
        <f t="array" ref="J1073">IF(OR(AND(I1073=9,J$1&gt;YEAR($N1073))),9,_xlfn.IFNA(INDEX($D$2:$D$4001,_xlfn.XMATCH(J$1&amp;"-"&amp;$F1073,YEAR($B$2:$B$4001)&amp;"-"&amp;$A$2:$A$4001,0,-1)),I1073))</f>
        <v>3</v>
      </c>
      <c r="K1073" cm="1">
        <f t="array" ref="K1073">IF(OR(AND(J1073=9,K$1&gt;YEAR($N1073))),9,_xlfn.IFNA(INDEX($D$2:$D$4001,_xlfn.XMATCH(K$1&amp;"-"&amp;$F1073,YEAR($B$2:$B$4001)&amp;"-"&amp;$A$2:$A$4001,0,-1)),J1073))</f>
        <v>3</v>
      </c>
      <c r="L1073" cm="1">
        <f t="array" ref="L1073">IF(OR(AND(K1073=9,L$1&gt;YEAR($N1073))),9,_xlfn.IFNA(INDEX($D$2:$D$4001,_xlfn.XMATCH(L$1&amp;"-"&amp;$F1073,YEAR($B$2:$B$4001)&amp;"-"&amp;$A$2:$A$4001,0,-1)),K1073))</f>
        <v>3</v>
      </c>
      <c r="M1073" cm="1">
        <f t="array" ref="M1073">IF(OR(AND(L1073=9,M$1&gt;YEAR($N1073))),9,_xlfn.IFNA(INDEX($D$2:$D$4001,_xlfn.XMATCH(M$1&amp;"-"&amp;$F1073,YEAR($B$2:$B$4001)&amp;"-"&amp;$A$2:$A$4001,0,-1)),L1073))</f>
        <v>3</v>
      </c>
      <c r="N1073" s="1">
        <f t="shared" si="16"/>
        <v>36829</v>
      </c>
    </row>
    <row r="1074" spans="1:14" x14ac:dyDescent="0.35">
      <c r="A1074">
        <v>523</v>
      </c>
      <c r="B1074" s="2">
        <v>37032</v>
      </c>
      <c r="C1074">
        <v>4</v>
      </c>
      <c r="D1074">
        <v>4</v>
      </c>
      <c r="F1074">
        <v>1073</v>
      </c>
      <c r="G1074" cm="1">
        <f t="array" ref="G1074">_xlfn.IFNA(INDEX($D$2:$D$4001,_xlfn.XMATCH(G$1&amp;"-"&amp;$F1074,YEAR($B$2:$B$4001)&amp;"-"&amp;$A$2:$A$4001,0,-1)),9)</f>
        <v>9</v>
      </c>
      <c r="H1074" cm="1">
        <f t="array" ref="H1074">IF(OR(AND(G1074=9,H$1&gt;YEAR($N1074))),9,_xlfn.IFNA(INDEX($D$2:$D$4001,_xlfn.XMATCH(H$1&amp;"-"&amp;$F1074,YEAR($B$2:$B$4001)&amp;"-"&amp;$A$2:$A$4001,0,-1)),G1074))</f>
        <v>9</v>
      </c>
      <c r="I1074" cm="1">
        <f t="array" ref="I1074">IF(OR(AND(H1074=9,I$1&gt;YEAR($N1074))),9,_xlfn.IFNA(INDEX($D$2:$D$4001,_xlfn.XMATCH(I$1&amp;"-"&amp;$F1074,YEAR($B$2:$B$4001)&amp;"-"&amp;$A$2:$A$4001,0,-1)),H1074))</f>
        <v>9</v>
      </c>
      <c r="J1074" cm="1">
        <f t="array" ref="J1074">IF(OR(AND(I1074=9,J$1&gt;YEAR($N1074))),9,_xlfn.IFNA(INDEX($D$2:$D$4001,_xlfn.XMATCH(J$1&amp;"-"&amp;$F1074,YEAR($B$2:$B$4001)&amp;"-"&amp;$A$2:$A$4001,0,-1)),I1074))</f>
        <v>3</v>
      </c>
      <c r="K1074" cm="1">
        <f t="array" ref="K1074">IF(OR(AND(J1074=9,K$1&gt;YEAR($N1074))),9,_xlfn.IFNA(INDEX($D$2:$D$4001,_xlfn.XMATCH(K$1&amp;"-"&amp;$F1074,YEAR($B$2:$B$4001)&amp;"-"&amp;$A$2:$A$4001,0,-1)),J1074))</f>
        <v>3</v>
      </c>
      <c r="L1074" cm="1">
        <f t="array" ref="L1074">IF(OR(AND(K1074=9,L$1&gt;YEAR($N1074))),9,_xlfn.IFNA(INDEX($D$2:$D$4001,_xlfn.XMATCH(L$1&amp;"-"&amp;$F1074,YEAR($B$2:$B$4001)&amp;"-"&amp;$A$2:$A$4001,0,-1)),K1074))</f>
        <v>3</v>
      </c>
      <c r="M1074" cm="1">
        <f t="array" ref="M1074">IF(OR(AND(L1074=9,M$1&gt;YEAR($N1074))),9,_xlfn.IFNA(INDEX($D$2:$D$4001,_xlfn.XMATCH(M$1&amp;"-"&amp;$F1074,YEAR($B$2:$B$4001)&amp;"-"&amp;$A$2:$A$4001,0,-1)),L1074))</f>
        <v>3</v>
      </c>
      <c r="N1074" s="1">
        <f t="shared" si="16"/>
        <v>37550</v>
      </c>
    </row>
    <row r="1075" spans="1:14" x14ac:dyDescent="0.35">
      <c r="A1075">
        <v>523</v>
      </c>
      <c r="B1075" s="2">
        <v>37041</v>
      </c>
      <c r="C1075">
        <v>0</v>
      </c>
      <c r="D1075">
        <v>0</v>
      </c>
      <c r="F1075">
        <v>1074</v>
      </c>
      <c r="G1075" cm="1">
        <f t="array" ref="G1075">_xlfn.IFNA(INDEX($D$2:$D$4001,_xlfn.XMATCH(G$1&amp;"-"&amp;$F1075,YEAR($B$2:$B$4001)&amp;"-"&amp;$A$2:$A$4001,0,-1)),9)</f>
        <v>9</v>
      </c>
      <c r="H1075" cm="1">
        <f t="array" ref="H1075">IF(OR(AND(G1075=9,H$1&gt;YEAR($N1075))),9,_xlfn.IFNA(INDEX($D$2:$D$4001,_xlfn.XMATCH(H$1&amp;"-"&amp;$F1075,YEAR($B$2:$B$4001)&amp;"-"&amp;$A$2:$A$4001,0,-1)),G1075))</f>
        <v>9</v>
      </c>
      <c r="I1075" cm="1">
        <f t="array" ref="I1075">IF(OR(AND(H1075=9,I$1&gt;YEAR($N1075))),9,_xlfn.IFNA(INDEX($D$2:$D$4001,_xlfn.XMATCH(I$1&amp;"-"&amp;$F1075,YEAR($B$2:$B$4001)&amp;"-"&amp;$A$2:$A$4001,0,-1)),H1075))</f>
        <v>9</v>
      </c>
      <c r="J1075" cm="1">
        <f t="array" ref="J1075">IF(OR(AND(I1075=9,J$1&gt;YEAR($N1075))),9,_xlfn.IFNA(INDEX($D$2:$D$4001,_xlfn.XMATCH(J$1&amp;"-"&amp;$F1075,YEAR($B$2:$B$4001)&amp;"-"&amp;$A$2:$A$4001,0,-1)),I1075))</f>
        <v>3</v>
      </c>
      <c r="K1075" cm="1">
        <f t="array" ref="K1075">IF(OR(AND(J1075=9,K$1&gt;YEAR($N1075))),9,_xlfn.IFNA(INDEX($D$2:$D$4001,_xlfn.XMATCH(K$1&amp;"-"&amp;$F1075,YEAR($B$2:$B$4001)&amp;"-"&amp;$A$2:$A$4001,0,-1)),J1075))</f>
        <v>3</v>
      </c>
      <c r="L1075" cm="1">
        <f t="array" ref="L1075">IF(OR(AND(K1075=9,L$1&gt;YEAR($N1075))),9,_xlfn.IFNA(INDEX($D$2:$D$4001,_xlfn.XMATCH(L$1&amp;"-"&amp;$F1075,YEAR($B$2:$B$4001)&amp;"-"&amp;$A$2:$A$4001,0,-1)),K1075))</f>
        <v>3</v>
      </c>
      <c r="M1075" cm="1">
        <f t="array" ref="M1075">IF(OR(AND(L1075=9,M$1&gt;YEAR($N1075))),9,_xlfn.IFNA(INDEX($D$2:$D$4001,_xlfn.XMATCH(M$1&amp;"-"&amp;$F1075,YEAR($B$2:$B$4001)&amp;"-"&amp;$A$2:$A$4001,0,-1)),L1075))</f>
        <v>3</v>
      </c>
      <c r="N1075" s="1">
        <f t="shared" si="16"/>
        <v>37550</v>
      </c>
    </row>
    <row r="1076" spans="1:14" x14ac:dyDescent="0.35">
      <c r="A1076">
        <v>524</v>
      </c>
      <c r="B1076" s="2">
        <v>36667</v>
      </c>
      <c r="C1076">
        <v>2</v>
      </c>
      <c r="D1076">
        <v>2</v>
      </c>
      <c r="F1076">
        <v>1075</v>
      </c>
      <c r="G1076" cm="1">
        <f t="array" ref="G1076">_xlfn.IFNA(INDEX($D$2:$D$4001,_xlfn.XMATCH(G$1&amp;"-"&amp;$F1076,YEAR($B$2:$B$4001)&amp;"-"&amp;$A$2:$A$4001,0,-1)),9)</f>
        <v>4</v>
      </c>
      <c r="H1076" cm="1">
        <f t="array" ref="H1076">IF(OR(AND(G1076=9,H$1&gt;YEAR($N1076))),9,_xlfn.IFNA(INDEX($D$2:$D$4001,_xlfn.XMATCH(H$1&amp;"-"&amp;$F1076,YEAR($B$2:$B$4001)&amp;"-"&amp;$A$2:$A$4001,0,-1)),G1076))</f>
        <v>4</v>
      </c>
      <c r="I1076" cm="1">
        <f t="array" ref="I1076">IF(OR(AND(H1076=9,I$1&gt;YEAR($N1076))),9,_xlfn.IFNA(INDEX($D$2:$D$4001,_xlfn.XMATCH(I$1&amp;"-"&amp;$F1076,YEAR($B$2:$B$4001)&amp;"-"&amp;$A$2:$A$4001,0,-1)),H1076))</f>
        <v>4</v>
      </c>
      <c r="J1076" cm="1">
        <f t="array" ref="J1076">IF(OR(AND(I1076=9,J$1&gt;YEAR($N1076))),9,_xlfn.IFNA(INDEX($D$2:$D$4001,_xlfn.XMATCH(J$1&amp;"-"&amp;$F1076,YEAR($B$2:$B$4001)&amp;"-"&amp;$A$2:$A$4001,0,-1)),I1076))</f>
        <v>4</v>
      </c>
      <c r="K1076" cm="1">
        <f t="array" ref="K1076">IF(OR(AND(J1076=9,K$1&gt;YEAR($N1076))),9,_xlfn.IFNA(INDEX($D$2:$D$4001,_xlfn.XMATCH(K$1&amp;"-"&amp;$F1076,YEAR($B$2:$B$4001)&amp;"-"&amp;$A$2:$A$4001,0,-1)),J1076))</f>
        <v>4</v>
      </c>
      <c r="L1076" cm="1">
        <f t="array" ref="L1076">IF(OR(AND(K1076=9,L$1&gt;YEAR($N1076))),9,_xlfn.IFNA(INDEX($D$2:$D$4001,_xlfn.XMATCH(L$1&amp;"-"&amp;$F1076,YEAR($B$2:$B$4001)&amp;"-"&amp;$A$2:$A$4001,0,-1)),K1076))</f>
        <v>4</v>
      </c>
      <c r="M1076" cm="1">
        <f t="array" ref="M1076">IF(OR(AND(L1076=9,M$1&gt;YEAR($N1076))),9,_xlfn.IFNA(INDEX($D$2:$D$4001,_xlfn.XMATCH(M$1&amp;"-"&amp;$F1076,YEAR($B$2:$B$4001)&amp;"-"&amp;$A$2:$A$4001,0,-1)),L1076))</f>
        <v>4</v>
      </c>
      <c r="N1076" s="1">
        <f t="shared" si="16"/>
        <v>36301</v>
      </c>
    </row>
    <row r="1077" spans="1:14" x14ac:dyDescent="0.35">
      <c r="A1077">
        <v>524</v>
      </c>
      <c r="B1077" s="2">
        <v>37406</v>
      </c>
      <c r="C1077">
        <v>1</v>
      </c>
      <c r="D1077">
        <v>1</v>
      </c>
      <c r="F1077">
        <v>1076</v>
      </c>
      <c r="G1077" cm="1">
        <f t="array" ref="G1077">_xlfn.IFNA(INDEX($D$2:$D$4001,_xlfn.XMATCH(G$1&amp;"-"&amp;$F1077,YEAR($B$2:$B$4001)&amp;"-"&amp;$A$2:$A$4001,0,-1)),9)</f>
        <v>9</v>
      </c>
      <c r="H1077" cm="1">
        <f t="array" ref="H1077">IF(OR(AND(G1077=9,H$1&gt;YEAR($N1077))),9,_xlfn.IFNA(INDEX($D$2:$D$4001,_xlfn.XMATCH(H$1&amp;"-"&amp;$F1077,YEAR($B$2:$B$4001)&amp;"-"&amp;$A$2:$A$4001,0,-1)),G1077))</f>
        <v>9</v>
      </c>
      <c r="I1077" cm="1">
        <f t="array" ref="I1077">IF(OR(AND(H1077=9,I$1&gt;YEAR($N1077))),9,_xlfn.IFNA(INDEX($D$2:$D$4001,_xlfn.XMATCH(I$1&amp;"-"&amp;$F1077,YEAR($B$2:$B$4001)&amp;"-"&amp;$A$2:$A$4001,0,-1)),H1077))</f>
        <v>9</v>
      </c>
      <c r="J1077" cm="1">
        <f t="array" ref="J1077">IF(OR(AND(I1077=9,J$1&gt;YEAR($N1077))),9,_xlfn.IFNA(INDEX($D$2:$D$4001,_xlfn.XMATCH(J$1&amp;"-"&amp;$F1077,YEAR($B$2:$B$4001)&amp;"-"&amp;$A$2:$A$4001,0,-1)),I1077))</f>
        <v>9</v>
      </c>
      <c r="K1077" cm="1">
        <f t="array" ref="K1077">IF(OR(AND(J1077=9,K$1&gt;YEAR($N1077))),9,_xlfn.IFNA(INDEX($D$2:$D$4001,_xlfn.XMATCH(K$1&amp;"-"&amp;$F1077,YEAR($B$2:$B$4001)&amp;"-"&amp;$A$2:$A$4001,0,-1)),J1077))</f>
        <v>6</v>
      </c>
      <c r="L1077" cm="1">
        <f t="array" ref="L1077">IF(OR(AND(K1077=9,L$1&gt;YEAR($N1077))),9,_xlfn.IFNA(INDEX($D$2:$D$4001,_xlfn.XMATCH(L$1&amp;"-"&amp;$F1077,YEAR($B$2:$B$4001)&amp;"-"&amp;$A$2:$A$4001,0,-1)),K1077))</f>
        <v>0</v>
      </c>
      <c r="M1077" cm="1">
        <f t="array" ref="M1077">IF(OR(AND(L1077=9,M$1&gt;YEAR($N1077))),9,_xlfn.IFNA(INDEX($D$2:$D$4001,_xlfn.XMATCH(M$1&amp;"-"&amp;$F1077,YEAR($B$2:$B$4001)&amp;"-"&amp;$A$2:$A$4001,0,-1)),L1077))</f>
        <v>0</v>
      </c>
      <c r="N1077" s="1">
        <f t="shared" si="16"/>
        <v>37854</v>
      </c>
    </row>
    <row r="1078" spans="1:14" x14ac:dyDescent="0.35">
      <c r="A1078">
        <v>525</v>
      </c>
      <c r="B1078" s="2">
        <v>37924</v>
      </c>
      <c r="C1078">
        <v>4</v>
      </c>
      <c r="D1078">
        <v>4</v>
      </c>
      <c r="F1078">
        <v>1077</v>
      </c>
      <c r="G1078" cm="1">
        <f t="array" ref="G1078">_xlfn.IFNA(INDEX($D$2:$D$4001,_xlfn.XMATCH(G$1&amp;"-"&amp;$F1078,YEAR($B$2:$B$4001)&amp;"-"&amp;$A$2:$A$4001,0,-1)),9)</f>
        <v>9</v>
      </c>
      <c r="H1078" cm="1">
        <f t="array" ref="H1078">IF(OR(AND(G1078=9,H$1&gt;YEAR($N1078))),9,_xlfn.IFNA(INDEX($D$2:$D$4001,_xlfn.XMATCH(H$1&amp;"-"&amp;$F1078,YEAR($B$2:$B$4001)&amp;"-"&amp;$A$2:$A$4001,0,-1)),G1078))</f>
        <v>9</v>
      </c>
      <c r="I1078" cm="1">
        <f t="array" ref="I1078">IF(OR(AND(H1078=9,I$1&gt;YEAR($N1078))),9,_xlfn.IFNA(INDEX($D$2:$D$4001,_xlfn.XMATCH(I$1&amp;"-"&amp;$F1078,YEAR($B$2:$B$4001)&amp;"-"&amp;$A$2:$A$4001,0,-1)),H1078))</f>
        <v>0</v>
      </c>
      <c r="J1078" cm="1">
        <f t="array" ref="J1078">IF(OR(AND(I1078=9,J$1&gt;YEAR($N1078))),9,_xlfn.IFNA(INDEX($D$2:$D$4001,_xlfn.XMATCH(J$1&amp;"-"&amp;$F1078,YEAR($B$2:$B$4001)&amp;"-"&amp;$A$2:$A$4001,0,-1)),I1078))</f>
        <v>0</v>
      </c>
      <c r="K1078" cm="1">
        <f t="array" ref="K1078">IF(OR(AND(J1078=9,K$1&gt;YEAR($N1078))),9,_xlfn.IFNA(INDEX($D$2:$D$4001,_xlfn.XMATCH(K$1&amp;"-"&amp;$F1078,YEAR($B$2:$B$4001)&amp;"-"&amp;$A$2:$A$4001,0,-1)),J1078))</f>
        <v>0</v>
      </c>
      <c r="L1078" cm="1">
        <f t="array" ref="L1078">IF(OR(AND(K1078=9,L$1&gt;YEAR($N1078))),9,_xlfn.IFNA(INDEX($D$2:$D$4001,_xlfn.XMATCH(L$1&amp;"-"&amp;$F1078,YEAR($B$2:$B$4001)&amp;"-"&amp;$A$2:$A$4001,0,-1)),K1078))</f>
        <v>0</v>
      </c>
      <c r="M1078" cm="1">
        <f t="array" ref="M1078">IF(OR(AND(L1078=9,M$1&gt;YEAR($N1078))),9,_xlfn.IFNA(INDEX($D$2:$D$4001,_xlfn.XMATCH(M$1&amp;"-"&amp;$F1078,YEAR($B$2:$B$4001)&amp;"-"&amp;$A$2:$A$4001,0,-1)),L1078))</f>
        <v>0</v>
      </c>
      <c r="N1078" s="1">
        <f t="shared" si="16"/>
        <v>37037</v>
      </c>
    </row>
    <row r="1079" spans="1:14" x14ac:dyDescent="0.35">
      <c r="A1079">
        <v>526</v>
      </c>
      <c r="B1079" s="2">
        <v>37550</v>
      </c>
      <c r="C1079">
        <v>3</v>
      </c>
      <c r="D1079">
        <v>3</v>
      </c>
      <c r="F1079">
        <v>1078</v>
      </c>
      <c r="G1079" cm="1">
        <f t="array" ref="G1079">_xlfn.IFNA(INDEX($D$2:$D$4001,_xlfn.XMATCH(G$1&amp;"-"&amp;$F1079,YEAR($B$2:$B$4001)&amp;"-"&amp;$A$2:$A$4001,0,-1)),9)</f>
        <v>6</v>
      </c>
      <c r="H1079" cm="1">
        <f t="array" ref="H1079">IF(OR(AND(G1079=9,H$1&gt;YEAR($N1079))),9,_xlfn.IFNA(INDEX($D$2:$D$4001,_xlfn.XMATCH(H$1&amp;"-"&amp;$F1079,YEAR($B$2:$B$4001)&amp;"-"&amp;$A$2:$A$4001,0,-1)),G1079))</f>
        <v>6</v>
      </c>
      <c r="I1079" cm="1">
        <f t="array" ref="I1079">IF(OR(AND(H1079=9,I$1&gt;YEAR($N1079))),9,_xlfn.IFNA(INDEX($D$2:$D$4001,_xlfn.XMATCH(I$1&amp;"-"&amp;$F1079,YEAR($B$2:$B$4001)&amp;"-"&amp;$A$2:$A$4001,0,-1)),H1079))</f>
        <v>6</v>
      </c>
      <c r="J1079" cm="1">
        <f t="array" ref="J1079">IF(OR(AND(I1079=9,J$1&gt;YEAR($N1079))),9,_xlfn.IFNA(INDEX($D$2:$D$4001,_xlfn.XMATCH(J$1&amp;"-"&amp;$F1079,YEAR($B$2:$B$4001)&amp;"-"&amp;$A$2:$A$4001,0,-1)),I1079))</f>
        <v>6</v>
      </c>
      <c r="K1079" cm="1">
        <f t="array" ref="K1079">IF(OR(AND(J1079=9,K$1&gt;YEAR($N1079))),9,_xlfn.IFNA(INDEX($D$2:$D$4001,_xlfn.XMATCH(K$1&amp;"-"&amp;$F1079,YEAR($B$2:$B$4001)&amp;"-"&amp;$A$2:$A$4001,0,-1)),J1079))</f>
        <v>6</v>
      </c>
      <c r="L1079" cm="1">
        <f t="array" ref="L1079">IF(OR(AND(K1079=9,L$1&gt;YEAR($N1079))),9,_xlfn.IFNA(INDEX($D$2:$D$4001,_xlfn.XMATCH(L$1&amp;"-"&amp;$F1079,YEAR($B$2:$B$4001)&amp;"-"&amp;$A$2:$A$4001,0,-1)),K1079))</f>
        <v>6</v>
      </c>
      <c r="M1079" cm="1">
        <f t="array" ref="M1079">IF(OR(AND(L1079=9,M$1&gt;YEAR($N1079))),9,_xlfn.IFNA(INDEX($D$2:$D$4001,_xlfn.XMATCH(M$1&amp;"-"&amp;$F1079,YEAR($B$2:$B$4001)&amp;"-"&amp;$A$2:$A$4001,0,-1)),L1079))</f>
        <v>0</v>
      </c>
      <c r="N1079" s="1">
        <f t="shared" si="16"/>
        <v>36454</v>
      </c>
    </row>
    <row r="1080" spans="1:14" x14ac:dyDescent="0.35">
      <c r="A1080">
        <v>526</v>
      </c>
      <c r="B1080" s="2">
        <v>38351</v>
      </c>
      <c r="C1080">
        <v>3</v>
      </c>
      <c r="D1080">
        <v>3</v>
      </c>
      <c r="F1080">
        <v>1079</v>
      </c>
      <c r="G1080" cm="1">
        <f t="array" ref="G1080">_xlfn.IFNA(INDEX($D$2:$D$4001,_xlfn.XMATCH(G$1&amp;"-"&amp;$F1080,YEAR($B$2:$B$4001)&amp;"-"&amp;$A$2:$A$4001,0,-1)),9)</f>
        <v>9</v>
      </c>
      <c r="H1080" cm="1">
        <f t="array" ref="H1080">IF(OR(AND(G1080=9,H$1&gt;YEAR($N1080))),9,_xlfn.IFNA(INDEX($D$2:$D$4001,_xlfn.XMATCH(H$1&amp;"-"&amp;$F1080,YEAR($B$2:$B$4001)&amp;"-"&amp;$A$2:$A$4001,0,-1)),G1080))</f>
        <v>9</v>
      </c>
      <c r="I1080" cm="1">
        <f t="array" ref="I1080">IF(OR(AND(H1080=9,I$1&gt;YEAR($N1080))),9,_xlfn.IFNA(INDEX($D$2:$D$4001,_xlfn.XMATCH(I$1&amp;"-"&amp;$F1080,YEAR($B$2:$B$4001)&amp;"-"&amp;$A$2:$A$4001,0,-1)),H1080))</f>
        <v>9</v>
      </c>
      <c r="J1080" cm="1">
        <f t="array" ref="J1080">IF(OR(AND(I1080=9,J$1&gt;YEAR($N1080))),9,_xlfn.IFNA(INDEX($D$2:$D$4001,_xlfn.XMATCH(J$1&amp;"-"&amp;$F1080,YEAR($B$2:$B$4001)&amp;"-"&amp;$A$2:$A$4001,0,-1)),I1080))</f>
        <v>9</v>
      </c>
      <c r="K1080" cm="1">
        <f t="array" ref="K1080">IF(OR(AND(J1080=9,K$1&gt;YEAR($N1080))),9,_xlfn.IFNA(INDEX($D$2:$D$4001,_xlfn.XMATCH(K$1&amp;"-"&amp;$F1080,YEAR($B$2:$B$4001)&amp;"-"&amp;$A$2:$A$4001,0,-1)),J1080))</f>
        <v>0</v>
      </c>
      <c r="L1080" cm="1">
        <f t="array" ref="L1080">IF(OR(AND(K1080=9,L$1&gt;YEAR($N1080))),9,_xlfn.IFNA(INDEX($D$2:$D$4001,_xlfn.XMATCH(L$1&amp;"-"&amp;$F1080,YEAR($B$2:$B$4001)&amp;"-"&amp;$A$2:$A$4001,0,-1)),K1080))</f>
        <v>0</v>
      </c>
      <c r="M1080" cm="1">
        <f t="array" ref="M1080">IF(OR(AND(L1080=9,M$1&gt;YEAR($N1080))),9,_xlfn.IFNA(INDEX($D$2:$D$4001,_xlfn.XMATCH(M$1&amp;"-"&amp;$F1080,YEAR($B$2:$B$4001)&amp;"-"&amp;$A$2:$A$4001,0,-1)),L1080))</f>
        <v>0</v>
      </c>
      <c r="N1080" s="1">
        <f t="shared" si="16"/>
        <v>37762</v>
      </c>
    </row>
    <row r="1081" spans="1:14" x14ac:dyDescent="0.35">
      <c r="A1081">
        <v>527</v>
      </c>
      <c r="B1081" s="2">
        <v>38162</v>
      </c>
      <c r="C1081">
        <v>3</v>
      </c>
      <c r="D1081">
        <v>3</v>
      </c>
      <c r="F1081">
        <v>1080</v>
      </c>
      <c r="G1081" cm="1">
        <f t="array" ref="G1081">_xlfn.IFNA(INDEX($D$2:$D$4001,_xlfn.XMATCH(G$1&amp;"-"&amp;$F1081,YEAR($B$2:$B$4001)&amp;"-"&amp;$A$2:$A$4001,0,-1)),9)</f>
        <v>5</v>
      </c>
      <c r="H1081" cm="1">
        <f t="array" ref="H1081">IF(OR(AND(G1081=9,H$1&gt;YEAR($N1081))),9,_xlfn.IFNA(INDEX($D$2:$D$4001,_xlfn.XMATCH(H$1&amp;"-"&amp;$F1081,YEAR($B$2:$B$4001)&amp;"-"&amp;$A$2:$A$4001,0,-1)),G1081))</f>
        <v>4</v>
      </c>
      <c r="I1081" cm="1">
        <f t="array" ref="I1081">IF(OR(AND(H1081=9,I$1&gt;YEAR($N1081))),9,_xlfn.IFNA(INDEX($D$2:$D$4001,_xlfn.XMATCH(I$1&amp;"-"&amp;$F1081,YEAR($B$2:$B$4001)&amp;"-"&amp;$A$2:$A$4001,0,-1)),H1081))</f>
        <v>4</v>
      </c>
      <c r="J1081" cm="1">
        <f t="array" ref="J1081">IF(OR(AND(I1081=9,J$1&gt;YEAR($N1081))),9,_xlfn.IFNA(INDEX($D$2:$D$4001,_xlfn.XMATCH(J$1&amp;"-"&amp;$F1081,YEAR($B$2:$B$4001)&amp;"-"&amp;$A$2:$A$4001,0,-1)),I1081))</f>
        <v>8</v>
      </c>
      <c r="K1081" cm="1">
        <f t="array" ref="K1081">IF(OR(AND(J1081=9,K$1&gt;YEAR($N1081))),9,_xlfn.IFNA(INDEX($D$2:$D$4001,_xlfn.XMATCH(K$1&amp;"-"&amp;$F1081,YEAR($B$2:$B$4001)&amp;"-"&amp;$A$2:$A$4001,0,-1)),J1081))</f>
        <v>8</v>
      </c>
      <c r="L1081" cm="1">
        <f t="array" ref="L1081">IF(OR(AND(K1081=9,L$1&gt;YEAR($N1081))),9,_xlfn.IFNA(INDEX($D$2:$D$4001,_xlfn.XMATCH(L$1&amp;"-"&amp;$F1081,YEAR($B$2:$B$4001)&amp;"-"&amp;$A$2:$A$4001,0,-1)),K1081))</f>
        <v>8</v>
      </c>
      <c r="M1081" cm="1">
        <f t="array" ref="M1081">IF(OR(AND(L1081=9,M$1&gt;YEAR($N1081))),9,_xlfn.IFNA(INDEX($D$2:$D$4001,_xlfn.XMATCH(M$1&amp;"-"&amp;$F1081,YEAR($B$2:$B$4001)&amp;"-"&amp;$A$2:$A$4001,0,-1)),L1081))</f>
        <v>8</v>
      </c>
      <c r="N1081" s="1">
        <f t="shared" si="16"/>
        <v>36301</v>
      </c>
    </row>
    <row r="1082" spans="1:14" x14ac:dyDescent="0.35">
      <c r="A1082">
        <v>527</v>
      </c>
      <c r="B1082" s="2">
        <v>38351</v>
      </c>
      <c r="C1082">
        <v>4</v>
      </c>
      <c r="D1082">
        <v>4</v>
      </c>
      <c r="F1082">
        <v>1081</v>
      </c>
      <c r="G1082" cm="1">
        <f t="array" ref="G1082">_xlfn.IFNA(INDEX($D$2:$D$4001,_xlfn.XMATCH(G$1&amp;"-"&amp;$F1082,YEAR($B$2:$B$4001)&amp;"-"&amp;$A$2:$A$4001,0,-1)),9)</f>
        <v>9</v>
      </c>
      <c r="H1082" cm="1">
        <f t="array" ref="H1082">IF(OR(AND(G1082=9,H$1&gt;YEAR($N1082))),9,_xlfn.IFNA(INDEX($D$2:$D$4001,_xlfn.XMATCH(H$1&amp;"-"&amp;$F1082,YEAR($B$2:$B$4001)&amp;"-"&amp;$A$2:$A$4001,0,-1)),G1082))</f>
        <v>6</v>
      </c>
      <c r="I1082" cm="1">
        <f t="array" ref="I1082">IF(OR(AND(H1082=9,I$1&gt;YEAR($N1082))),9,_xlfn.IFNA(INDEX($D$2:$D$4001,_xlfn.XMATCH(I$1&amp;"-"&amp;$F1082,YEAR($B$2:$B$4001)&amp;"-"&amp;$A$2:$A$4001,0,-1)),H1082))</f>
        <v>6</v>
      </c>
      <c r="J1082" cm="1">
        <f t="array" ref="J1082">IF(OR(AND(I1082=9,J$1&gt;YEAR($N1082))),9,_xlfn.IFNA(INDEX($D$2:$D$4001,_xlfn.XMATCH(J$1&amp;"-"&amp;$F1082,YEAR($B$2:$B$4001)&amp;"-"&amp;$A$2:$A$4001,0,-1)),I1082))</f>
        <v>7</v>
      </c>
      <c r="K1082" cm="1">
        <f t="array" ref="K1082">IF(OR(AND(J1082=9,K$1&gt;YEAR($N1082))),9,_xlfn.IFNA(INDEX($D$2:$D$4001,_xlfn.XMATCH(K$1&amp;"-"&amp;$F1082,YEAR($B$2:$B$4001)&amp;"-"&amp;$A$2:$A$4001,0,-1)),J1082))</f>
        <v>7</v>
      </c>
      <c r="L1082" cm="1">
        <f t="array" ref="L1082">IF(OR(AND(K1082=9,L$1&gt;YEAR($N1082))),9,_xlfn.IFNA(INDEX($D$2:$D$4001,_xlfn.XMATCH(L$1&amp;"-"&amp;$F1082,YEAR($B$2:$B$4001)&amp;"-"&amp;$A$2:$A$4001,0,-1)),K1082))</f>
        <v>7</v>
      </c>
      <c r="M1082" cm="1">
        <f t="array" ref="M1082">IF(OR(AND(L1082=9,M$1&gt;YEAR($N1082))),9,_xlfn.IFNA(INDEX($D$2:$D$4001,_xlfn.XMATCH(M$1&amp;"-"&amp;$F1082,YEAR($B$2:$B$4001)&amp;"-"&amp;$A$2:$A$4001,0,-1)),L1082))</f>
        <v>7</v>
      </c>
      <c r="N1082" s="1">
        <f t="shared" si="16"/>
        <v>36820</v>
      </c>
    </row>
    <row r="1083" spans="1:14" x14ac:dyDescent="0.35">
      <c r="A1083">
        <v>528</v>
      </c>
      <c r="B1083" s="2">
        <v>36674</v>
      </c>
      <c r="C1083">
        <v>5</v>
      </c>
      <c r="D1083">
        <v>5</v>
      </c>
      <c r="F1083">
        <v>1082</v>
      </c>
      <c r="G1083" cm="1">
        <f t="array" ref="G1083">_xlfn.IFNA(INDEX($D$2:$D$4001,_xlfn.XMATCH(G$1&amp;"-"&amp;$F1083,YEAR($B$2:$B$4001)&amp;"-"&amp;$A$2:$A$4001,0,-1)),9)</f>
        <v>3</v>
      </c>
      <c r="H1083" cm="1">
        <f t="array" ref="H1083">IF(OR(AND(G1083=9,H$1&gt;YEAR($N1083))),9,_xlfn.IFNA(INDEX($D$2:$D$4001,_xlfn.XMATCH(H$1&amp;"-"&amp;$F1083,YEAR($B$2:$B$4001)&amp;"-"&amp;$A$2:$A$4001,0,-1)),G1083))</f>
        <v>3</v>
      </c>
      <c r="I1083" cm="1">
        <f t="array" ref="I1083">IF(OR(AND(H1083=9,I$1&gt;YEAR($N1083))),9,_xlfn.IFNA(INDEX($D$2:$D$4001,_xlfn.XMATCH(I$1&amp;"-"&amp;$F1083,YEAR($B$2:$B$4001)&amp;"-"&amp;$A$2:$A$4001,0,-1)),H1083))</f>
        <v>3</v>
      </c>
      <c r="J1083" cm="1">
        <f t="array" ref="J1083">IF(OR(AND(I1083=9,J$1&gt;YEAR($N1083))),9,_xlfn.IFNA(INDEX($D$2:$D$4001,_xlfn.XMATCH(J$1&amp;"-"&amp;$F1083,YEAR($B$2:$B$4001)&amp;"-"&amp;$A$2:$A$4001,0,-1)),I1083))</f>
        <v>0</v>
      </c>
      <c r="K1083" cm="1">
        <f t="array" ref="K1083">IF(OR(AND(J1083=9,K$1&gt;YEAR($N1083))),9,_xlfn.IFNA(INDEX($D$2:$D$4001,_xlfn.XMATCH(K$1&amp;"-"&amp;$F1083,YEAR($B$2:$B$4001)&amp;"-"&amp;$A$2:$A$4001,0,-1)),J1083))</f>
        <v>0</v>
      </c>
      <c r="L1083" cm="1">
        <f t="array" ref="L1083">IF(OR(AND(K1083=9,L$1&gt;YEAR($N1083))),9,_xlfn.IFNA(INDEX($D$2:$D$4001,_xlfn.XMATCH(L$1&amp;"-"&amp;$F1083,YEAR($B$2:$B$4001)&amp;"-"&amp;$A$2:$A$4001,0,-1)),K1083))</f>
        <v>0</v>
      </c>
      <c r="M1083" cm="1">
        <f t="array" ref="M1083">IF(OR(AND(L1083=9,M$1&gt;YEAR($N1083))),9,_xlfn.IFNA(INDEX($D$2:$D$4001,_xlfn.XMATCH(M$1&amp;"-"&amp;$F1083,YEAR($B$2:$B$4001)&amp;"-"&amp;$A$2:$A$4001,0,-1)),L1083))</f>
        <v>0</v>
      </c>
      <c r="N1083" s="1">
        <f t="shared" si="16"/>
        <v>36402</v>
      </c>
    </row>
    <row r="1084" spans="1:14" x14ac:dyDescent="0.35">
      <c r="A1084">
        <v>528</v>
      </c>
      <c r="B1084" s="2">
        <v>36890</v>
      </c>
      <c r="C1084">
        <v>4</v>
      </c>
      <c r="D1084">
        <v>4</v>
      </c>
      <c r="F1084">
        <v>1083</v>
      </c>
      <c r="G1084" cm="1">
        <f t="array" ref="G1084">_xlfn.IFNA(INDEX($D$2:$D$4001,_xlfn.XMATCH(G$1&amp;"-"&amp;$F1084,YEAR($B$2:$B$4001)&amp;"-"&amp;$A$2:$A$4001,0,-1)),9)</f>
        <v>0</v>
      </c>
      <c r="H1084" cm="1">
        <f t="array" ref="H1084">IF(OR(AND(G1084=9,H$1&gt;YEAR($N1084))),9,_xlfn.IFNA(INDEX($D$2:$D$4001,_xlfn.XMATCH(H$1&amp;"-"&amp;$F1084,YEAR($B$2:$B$4001)&amp;"-"&amp;$A$2:$A$4001,0,-1)),G1084))</f>
        <v>0</v>
      </c>
      <c r="I1084" cm="1">
        <f t="array" ref="I1084">IF(OR(AND(H1084=9,I$1&gt;YEAR($N1084))),9,_xlfn.IFNA(INDEX($D$2:$D$4001,_xlfn.XMATCH(I$1&amp;"-"&amp;$F1084,YEAR($B$2:$B$4001)&amp;"-"&amp;$A$2:$A$4001,0,-1)),H1084))</f>
        <v>0</v>
      </c>
      <c r="J1084" cm="1">
        <f t="array" ref="J1084">IF(OR(AND(I1084=9,J$1&gt;YEAR($N1084))),9,_xlfn.IFNA(INDEX($D$2:$D$4001,_xlfn.XMATCH(J$1&amp;"-"&amp;$F1084,YEAR($B$2:$B$4001)&amp;"-"&amp;$A$2:$A$4001,0,-1)),I1084))</f>
        <v>0</v>
      </c>
      <c r="K1084" cm="1">
        <f t="array" ref="K1084">IF(OR(AND(J1084=9,K$1&gt;YEAR($N1084))),9,_xlfn.IFNA(INDEX($D$2:$D$4001,_xlfn.XMATCH(K$1&amp;"-"&amp;$F1084,YEAR($B$2:$B$4001)&amp;"-"&amp;$A$2:$A$4001,0,-1)),J1084))</f>
        <v>0</v>
      </c>
      <c r="L1084" cm="1">
        <f t="array" ref="L1084">IF(OR(AND(K1084=9,L$1&gt;YEAR($N1084))),9,_xlfn.IFNA(INDEX($D$2:$D$4001,_xlfn.XMATCH(L$1&amp;"-"&amp;$F1084,YEAR($B$2:$B$4001)&amp;"-"&amp;$A$2:$A$4001,0,-1)),K1084))</f>
        <v>0</v>
      </c>
      <c r="M1084" cm="1">
        <f t="array" ref="M1084">IF(OR(AND(L1084=9,M$1&gt;YEAR($N1084))),9,_xlfn.IFNA(INDEX($D$2:$D$4001,_xlfn.XMATCH(M$1&amp;"-"&amp;$F1084,YEAR($B$2:$B$4001)&amp;"-"&amp;$A$2:$A$4001,0,-1)),L1084))</f>
        <v>0</v>
      </c>
      <c r="N1084" s="1">
        <f t="shared" si="16"/>
        <v>36332</v>
      </c>
    </row>
    <row r="1085" spans="1:14" x14ac:dyDescent="0.35">
      <c r="A1085">
        <v>528</v>
      </c>
      <c r="B1085" s="2">
        <v>37529</v>
      </c>
      <c r="C1085">
        <v>0</v>
      </c>
      <c r="D1085">
        <v>0</v>
      </c>
      <c r="F1085">
        <v>1084</v>
      </c>
      <c r="G1085" cm="1">
        <f t="array" ref="G1085">_xlfn.IFNA(INDEX($D$2:$D$4001,_xlfn.XMATCH(G$1&amp;"-"&amp;$F1085,YEAR($B$2:$B$4001)&amp;"-"&amp;$A$2:$A$4001,0,-1)),9)</f>
        <v>3</v>
      </c>
      <c r="H1085" cm="1">
        <f t="array" ref="H1085">IF(OR(AND(G1085=9,H$1&gt;YEAR($N1085))),9,_xlfn.IFNA(INDEX($D$2:$D$4001,_xlfn.XMATCH(H$1&amp;"-"&amp;$F1085,YEAR($B$2:$B$4001)&amp;"-"&amp;$A$2:$A$4001,0,-1)),G1085))</f>
        <v>2</v>
      </c>
      <c r="I1085" cm="1">
        <f t="array" ref="I1085">IF(OR(AND(H1085=9,I$1&gt;YEAR($N1085))),9,_xlfn.IFNA(INDEX($D$2:$D$4001,_xlfn.XMATCH(I$1&amp;"-"&amp;$F1085,YEAR($B$2:$B$4001)&amp;"-"&amp;$A$2:$A$4001,0,-1)),H1085))</f>
        <v>2</v>
      </c>
      <c r="J1085" cm="1">
        <f t="array" ref="J1085">IF(OR(AND(I1085=9,J$1&gt;YEAR($N1085))),9,_xlfn.IFNA(INDEX($D$2:$D$4001,_xlfn.XMATCH(J$1&amp;"-"&amp;$F1085,YEAR($B$2:$B$4001)&amp;"-"&amp;$A$2:$A$4001,0,-1)),I1085))</f>
        <v>0</v>
      </c>
      <c r="K1085" cm="1">
        <f t="array" ref="K1085">IF(OR(AND(J1085=9,K$1&gt;YEAR($N1085))),9,_xlfn.IFNA(INDEX($D$2:$D$4001,_xlfn.XMATCH(K$1&amp;"-"&amp;$F1085,YEAR($B$2:$B$4001)&amp;"-"&amp;$A$2:$A$4001,0,-1)),J1085))</f>
        <v>0</v>
      </c>
      <c r="L1085" cm="1">
        <f t="array" ref="L1085">IF(OR(AND(K1085=9,L$1&gt;YEAR($N1085))),9,_xlfn.IFNA(INDEX($D$2:$D$4001,_xlfn.XMATCH(L$1&amp;"-"&amp;$F1085,YEAR($B$2:$B$4001)&amp;"-"&amp;$A$2:$A$4001,0,-1)),K1085))</f>
        <v>0</v>
      </c>
      <c r="M1085" cm="1">
        <f t="array" ref="M1085">IF(OR(AND(L1085=9,M$1&gt;YEAR($N1085))),9,_xlfn.IFNA(INDEX($D$2:$D$4001,_xlfn.XMATCH(M$1&amp;"-"&amp;$F1085,YEAR($B$2:$B$4001)&amp;"-"&amp;$A$2:$A$4001,0,-1)),L1085))</f>
        <v>0</v>
      </c>
      <c r="N1085" s="1">
        <f t="shared" si="16"/>
        <v>36301</v>
      </c>
    </row>
    <row r="1086" spans="1:14" x14ac:dyDescent="0.35">
      <c r="A1086">
        <v>529</v>
      </c>
      <c r="B1086" s="2">
        <v>38351</v>
      </c>
      <c r="C1086">
        <v>3</v>
      </c>
      <c r="D1086">
        <v>3</v>
      </c>
      <c r="F1086">
        <v>1085</v>
      </c>
      <c r="G1086" cm="1">
        <f t="array" ref="G1086">_xlfn.IFNA(INDEX($D$2:$D$4001,_xlfn.XMATCH(G$1&amp;"-"&amp;$F1086,YEAR($B$2:$B$4001)&amp;"-"&amp;$A$2:$A$4001,0,-1)),9)</f>
        <v>2</v>
      </c>
      <c r="H1086" cm="1">
        <f t="array" ref="H1086">IF(OR(AND(G1086=9,H$1&gt;YEAR($N1086))),9,_xlfn.IFNA(INDEX($D$2:$D$4001,_xlfn.XMATCH(H$1&amp;"-"&amp;$F1086,YEAR($B$2:$B$4001)&amp;"-"&amp;$A$2:$A$4001,0,-1)),G1086))</f>
        <v>2</v>
      </c>
      <c r="I1086" cm="1">
        <f t="array" ref="I1086">IF(OR(AND(H1086=9,I$1&gt;YEAR($N1086))),9,_xlfn.IFNA(INDEX($D$2:$D$4001,_xlfn.XMATCH(I$1&amp;"-"&amp;$F1086,YEAR($B$2:$B$4001)&amp;"-"&amp;$A$2:$A$4001,0,-1)),H1086))</f>
        <v>2</v>
      </c>
      <c r="J1086" cm="1">
        <f t="array" ref="J1086">IF(OR(AND(I1086=9,J$1&gt;YEAR($N1086))),9,_xlfn.IFNA(INDEX($D$2:$D$4001,_xlfn.XMATCH(J$1&amp;"-"&amp;$F1086,YEAR($B$2:$B$4001)&amp;"-"&amp;$A$2:$A$4001,0,-1)),I1086))</f>
        <v>2</v>
      </c>
      <c r="K1086" cm="1">
        <f t="array" ref="K1086">IF(OR(AND(J1086=9,K$1&gt;YEAR($N1086))),9,_xlfn.IFNA(INDEX($D$2:$D$4001,_xlfn.XMATCH(K$1&amp;"-"&amp;$F1086,YEAR($B$2:$B$4001)&amp;"-"&amp;$A$2:$A$4001,0,-1)),J1086))</f>
        <v>2</v>
      </c>
      <c r="L1086" cm="1">
        <f t="array" ref="L1086">IF(OR(AND(K1086=9,L$1&gt;YEAR($N1086))),9,_xlfn.IFNA(INDEX($D$2:$D$4001,_xlfn.XMATCH(L$1&amp;"-"&amp;$F1086,YEAR($B$2:$B$4001)&amp;"-"&amp;$A$2:$A$4001,0,-1)),K1086))</f>
        <v>2</v>
      </c>
      <c r="M1086" cm="1">
        <f t="array" ref="M1086">IF(OR(AND(L1086=9,M$1&gt;YEAR($N1086))),9,_xlfn.IFNA(INDEX($D$2:$D$4001,_xlfn.XMATCH(M$1&amp;"-"&amp;$F1086,YEAR($B$2:$B$4001)&amp;"-"&amp;$A$2:$A$4001,0,-1)),L1086))</f>
        <v>2</v>
      </c>
      <c r="N1086" s="1">
        <f t="shared" si="16"/>
        <v>36310</v>
      </c>
    </row>
    <row r="1087" spans="1:14" x14ac:dyDescent="0.35">
      <c r="A1087">
        <v>530</v>
      </c>
      <c r="B1087" s="2">
        <v>36332</v>
      </c>
      <c r="C1087">
        <v>6</v>
      </c>
      <c r="D1087">
        <v>6</v>
      </c>
      <c r="F1087">
        <v>1086</v>
      </c>
      <c r="G1087" cm="1">
        <f t="array" ref="G1087">_xlfn.IFNA(INDEX($D$2:$D$4001,_xlfn.XMATCH(G$1&amp;"-"&amp;$F1087,YEAR($B$2:$B$4001)&amp;"-"&amp;$A$2:$A$4001,0,-1)),9)</f>
        <v>9</v>
      </c>
      <c r="H1087" cm="1">
        <f t="array" ref="H1087">IF(OR(AND(G1087=9,H$1&gt;YEAR($N1087))),9,_xlfn.IFNA(INDEX($D$2:$D$4001,_xlfn.XMATCH(H$1&amp;"-"&amp;$F1087,YEAR($B$2:$B$4001)&amp;"-"&amp;$A$2:$A$4001,0,-1)),G1087))</f>
        <v>9</v>
      </c>
      <c r="I1087" cm="1">
        <f t="array" ref="I1087">IF(OR(AND(H1087=9,I$1&gt;YEAR($N1087))),9,_xlfn.IFNA(INDEX($D$2:$D$4001,_xlfn.XMATCH(I$1&amp;"-"&amp;$F1087,YEAR($B$2:$B$4001)&amp;"-"&amp;$A$2:$A$4001,0,-1)),H1087))</f>
        <v>9</v>
      </c>
      <c r="J1087" cm="1">
        <f t="array" ref="J1087">IF(OR(AND(I1087=9,J$1&gt;YEAR($N1087))),9,_xlfn.IFNA(INDEX($D$2:$D$4001,_xlfn.XMATCH(J$1&amp;"-"&amp;$F1087,YEAR($B$2:$B$4001)&amp;"-"&amp;$A$2:$A$4001,0,-1)),I1087))</f>
        <v>9</v>
      </c>
      <c r="K1087" cm="1">
        <f t="array" ref="K1087">IF(OR(AND(J1087=9,K$1&gt;YEAR($N1087))),9,_xlfn.IFNA(INDEX($D$2:$D$4001,_xlfn.XMATCH(K$1&amp;"-"&amp;$F1087,YEAR($B$2:$B$4001)&amp;"-"&amp;$A$2:$A$4001,0,-1)),J1087))</f>
        <v>3</v>
      </c>
      <c r="L1087" cm="1">
        <f t="array" ref="L1087">IF(OR(AND(K1087=9,L$1&gt;YEAR($N1087))),9,_xlfn.IFNA(INDEX($D$2:$D$4001,_xlfn.XMATCH(L$1&amp;"-"&amp;$F1087,YEAR($B$2:$B$4001)&amp;"-"&amp;$A$2:$A$4001,0,-1)),K1087))</f>
        <v>3</v>
      </c>
      <c r="M1087" cm="1">
        <f t="array" ref="M1087">IF(OR(AND(L1087=9,M$1&gt;YEAR($N1087))),9,_xlfn.IFNA(INDEX($D$2:$D$4001,_xlfn.XMATCH(M$1&amp;"-"&amp;$F1087,YEAR($B$2:$B$4001)&amp;"-"&amp;$A$2:$A$4001,0,-1)),L1087))</f>
        <v>3</v>
      </c>
      <c r="N1087" s="1">
        <f t="shared" si="16"/>
        <v>37985</v>
      </c>
    </row>
    <row r="1088" spans="1:14" x14ac:dyDescent="0.35">
      <c r="A1088">
        <v>530</v>
      </c>
      <c r="B1088" s="2">
        <v>36371</v>
      </c>
      <c r="C1088">
        <v>5</v>
      </c>
      <c r="D1088">
        <v>5</v>
      </c>
      <c r="F1088">
        <v>1087</v>
      </c>
      <c r="G1088" cm="1">
        <f t="array" ref="G1088">_xlfn.IFNA(INDEX($D$2:$D$4001,_xlfn.XMATCH(G$1&amp;"-"&amp;$F1088,YEAR($B$2:$B$4001)&amp;"-"&amp;$A$2:$A$4001,0,-1)),9)</f>
        <v>9</v>
      </c>
      <c r="H1088" cm="1">
        <f t="array" ref="H1088">IF(OR(AND(G1088=9,H$1&gt;YEAR($N1088))),9,_xlfn.IFNA(INDEX($D$2:$D$4001,_xlfn.XMATCH(H$1&amp;"-"&amp;$F1088,YEAR($B$2:$B$4001)&amp;"-"&amp;$A$2:$A$4001,0,-1)),G1088))</f>
        <v>0</v>
      </c>
      <c r="I1088" cm="1">
        <f t="array" ref="I1088">IF(OR(AND(H1088=9,I$1&gt;YEAR($N1088))),9,_xlfn.IFNA(INDEX($D$2:$D$4001,_xlfn.XMATCH(I$1&amp;"-"&amp;$F1088,YEAR($B$2:$B$4001)&amp;"-"&amp;$A$2:$A$4001,0,-1)),H1088))</f>
        <v>0</v>
      </c>
      <c r="J1088" cm="1">
        <f t="array" ref="J1088">IF(OR(AND(I1088=9,J$1&gt;YEAR($N1088))),9,_xlfn.IFNA(INDEX($D$2:$D$4001,_xlfn.XMATCH(J$1&amp;"-"&amp;$F1088,YEAR($B$2:$B$4001)&amp;"-"&amp;$A$2:$A$4001,0,-1)),I1088))</f>
        <v>0</v>
      </c>
      <c r="K1088" cm="1">
        <f t="array" ref="K1088">IF(OR(AND(J1088=9,K$1&gt;YEAR($N1088))),9,_xlfn.IFNA(INDEX($D$2:$D$4001,_xlfn.XMATCH(K$1&amp;"-"&amp;$F1088,YEAR($B$2:$B$4001)&amp;"-"&amp;$A$2:$A$4001,0,-1)),J1088))</f>
        <v>0</v>
      </c>
      <c r="L1088" cm="1">
        <f t="array" ref="L1088">IF(OR(AND(K1088=9,L$1&gt;YEAR($N1088))),9,_xlfn.IFNA(INDEX($D$2:$D$4001,_xlfn.XMATCH(L$1&amp;"-"&amp;$F1088,YEAR($B$2:$B$4001)&amp;"-"&amp;$A$2:$A$4001,0,-1)),K1088))</f>
        <v>6</v>
      </c>
      <c r="M1088" cm="1">
        <f t="array" ref="M1088">IF(OR(AND(L1088=9,M$1&gt;YEAR($N1088))),9,_xlfn.IFNA(INDEX($D$2:$D$4001,_xlfn.XMATCH(M$1&amp;"-"&amp;$F1088,YEAR($B$2:$B$4001)&amp;"-"&amp;$A$2:$A$4001,0,-1)),L1088))</f>
        <v>6</v>
      </c>
      <c r="N1088" s="1">
        <f t="shared" si="16"/>
        <v>36667</v>
      </c>
    </row>
    <row r="1089" spans="1:14" x14ac:dyDescent="0.35">
      <c r="A1089">
        <v>530</v>
      </c>
      <c r="B1089" s="2">
        <v>36676</v>
      </c>
      <c r="C1089">
        <v>7</v>
      </c>
      <c r="D1089">
        <v>7</v>
      </c>
      <c r="F1089">
        <v>1088</v>
      </c>
      <c r="G1089" cm="1">
        <f t="array" ref="G1089">_xlfn.IFNA(INDEX($D$2:$D$4001,_xlfn.XMATCH(G$1&amp;"-"&amp;$F1089,YEAR($B$2:$B$4001)&amp;"-"&amp;$A$2:$A$4001,0,-1)),9)</f>
        <v>9</v>
      </c>
      <c r="H1089" cm="1">
        <f t="array" ref="H1089">IF(OR(AND(G1089=9,H$1&gt;YEAR($N1089))),9,_xlfn.IFNA(INDEX($D$2:$D$4001,_xlfn.XMATCH(H$1&amp;"-"&amp;$F1089,YEAR($B$2:$B$4001)&amp;"-"&amp;$A$2:$A$4001,0,-1)),G1089))</f>
        <v>5</v>
      </c>
      <c r="I1089" cm="1">
        <f t="array" ref="I1089">IF(OR(AND(H1089=9,I$1&gt;YEAR($N1089))),9,_xlfn.IFNA(INDEX($D$2:$D$4001,_xlfn.XMATCH(I$1&amp;"-"&amp;$F1089,YEAR($B$2:$B$4001)&amp;"-"&amp;$A$2:$A$4001,0,-1)),H1089))</f>
        <v>5</v>
      </c>
      <c r="J1089" cm="1">
        <f t="array" ref="J1089">IF(OR(AND(I1089=9,J$1&gt;YEAR($N1089))),9,_xlfn.IFNA(INDEX($D$2:$D$4001,_xlfn.XMATCH(J$1&amp;"-"&amp;$F1089,YEAR($B$2:$B$4001)&amp;"-"&amp;$A$2:$A$4001,0,-1)),I1089))</f>
        <v>5</v>
      </c>
      <c r="K1089" cm="1">
        <f t="array" ref="K1089">IF(OR(AND(J1089=9,K$1&gt;YEAR($N1089))),9,_xlfn.IFNA(INDEX($D$2:$D$4001,_xlfn.XMATCH(K$1&amp;"-"&amp;$F1089,YEAR($B$2:$B$4001)&amp;"-"&amp;$A$2:$A$4001,0,-1)),J1089))</f>
        <v>5</v>
      </c>
      <c r="L1089" cm="1">
        <f t="array" ref="L1089">IF(OR(AND(K1089=9,L$1&gt;YEAR($N1089))),9,_xlfn.IFNA(INDEX($D$2:$D$4001,_xlfn.XMATCH(L$1&amp;"-"&amp;$F1089,YEAR($B$2:$B$4001)&amp;"-"&amp;$A$2:$A$4001,0,-1)),K1089))</f>
        <v>6</v>
      </c>
      <c r="M1089" cm="1">
        <f t="array" ref="M1089">IF(OR(AND(L1089=9,M$1&gt;YEAR($N1089))),9,_xlfn.IFNA(INDEX($D$2:$D$4001,_xlfn.XMATCH(M$1&amp;"-"&amp;$F1089,YEAR($B$2:$B$4001)&amp;"-"&amp;$A$2:$A$4001,0,-1)),L1089))</f>
        <v>6</v>
      </c>
      <c r="N1089" s="1">
        <f t="shared" si="16"/>
        <v>36860</v>
      </c>
    </row>
    <row r="1090" spans="1:14" x14ac:dyDescent="0.35">
      <c r="A1090">
        <v>530</v>
      </c>
      <c r="B1090" s="2">
        <v>36759</v>
      </c>
      <c r="C1090">
        <v>8</v>
      </c>
      <c r="D1090">
        <v>8</v>
      </c>
      <c r="F1090">
        <v>1089</v>
      </c>
      <c r="G1090" cm="1">
        <f t="array" ref="G1090">_xlfn.IFNA(INDEX($D$2:$D$4001,_xlfn.XMATCH(G$1&amp;"-"&amp;$F1090,YEAR($B$2:$B$4001)&amp;"-"&amp;$A$2:$A$4001,0,-1)),9)</f>
        <v>9</v>
      </c>
      <c r="H1090" cm="1">
        <f t="array" ref="H1090">IF(OR(AND(G1090=9,H$1&gt;YEAR($N1090))),9,_xlfn.IFNA(INDEX($D$2:$D$4001,_xlfn.XMATCH(H$1&amp;"-"&amp;$F1090,YEAR($B$2:$B$4001)&amp;"-"&amp;$A$2:$A$4001,0,-1)),G1090))</f>
        <v>5</v>
      </c>
      <c r="I1090" cm="1">
        <f t="array" ref="I1090">IF(OR(AND(H1090=9,I$1&gt;YEAR($N1090))),9,_xlfn.IFNA(INDEX($D$2:$D$4001,_xlfn.XMATCH(I$1&amp;"-"&amp;$F1090,YEAR($B$2:$B$4001)&amp;"-"&amp;$A$2:$A$4001,0,-1)),H1090))</f>
        <v>5</v>
      </c>
      <c r="J1090" cm="1">
        <f t="array" ref="J1090">IF(OR(AND(I1090=9,J$1&gt;YEAR($N1090))),9,_xlfn.IFNA(INDEX($D$2:$D$4001,_xlfn.XMATCH(J$1&amp;"-"&amp;$F1090,YEAR($B$2:$B$4001)&amp;"-"&amp;$A$2:$A$4001,0,-1)),I1090))</f>
        <v>5</v>
      </c>
      <c r="K1090" cm="1">
        <f t="array" ref="K1090">IF(OR(AND(J1090=9,K$1&gt;YEAR($N1090))),9,_xlfn.IFNA(INDEX($D$2:$D$4001,_xlfn.XMATCH(K$1&amp;"-"&amp;$F1090,YEAR($B$2:$B$4001)&amp;"-"&amp;$A$2:$A$4001,0,-1)),J1090))</f>
        <v>5</v>
      </c>
      <c r="L1090" cm="1">
        <f t="array" ref="L1090">IF(OR(AND(K1090=9,L$1&gt;YEAR($N1090))),9,_xlfn.IFNA(INDEX($D$2:$D$4001,_xlfn.XMATCH(L$1&amp;"-"&amp;$F1090,YEAR($B$2:$B$4001)&amp;"-"&amp;$A$2:$A$4001,0,-1)),K1090))</f>
        <v>5</v>
      </c>
      <c r="M1090" cm="1">
        <f t="array" ref="M1090">IF(OR(AND(L1090=9,M$1&gt;YEAR($N1090))),9,_xlfn.IFNA(INDEX($D$2:$D$4001,_xlfn.XMATCH(M$1&amp;"-"&amp;$F1090,YEAR($B$2:$B$4001)&amp;"-"&amp;$A$2:$A$4001,0,-1)),L1090))</f>
        <v>5</v>
      </c>
      <c r="N1090" s="1">
        <f t="shared" si="16"/>
        <v>36737</v>
      </c>
    </row>
    <row r="1091" spans="1:14" x14ac:dyDescent="0.35">
      <c r="A1091">
        <v>530</v>
      </c>
      <c r="B1091" s="2">
        <v>37032</v>
      </c>
      <c r="C1091">
        <v>0</v>
      </c>
      <c r="D1091">
        <v>8</v>
      </c>
      <c r="F1091">
        <v>1090</v>
      </c>
      <c r="G1091" cm="1">
        <f t="array" ref="G1091">_xlfn.IFNA(INDEX($D$2:$D$4001,_xlfn.XMATCH(G$1&amp;"-"&amp;$F1091,YEAR($B$2:$B$4001)&amp;"-"&amp;$A$2:$A$4001,0,-1)),9)</f>
        <v>9</v>
      </c>
      <c r="H1091" cm="1">
        <f t="array" ref="H1091">IF(OR(AND(G1091=9,H$1&gt;YEAR($N1091))),9,_xlfn.IFNA(INDEX($D$2:$D$4001,_xlfn.XMATCH(H$1&amp;"-"&amp;$F1091,YEAR($B$2:$B$4001)&amp;"-"&amp;$A$2:$A$4001,0,-1)),G1091))</f>
        <v>5</v>
      </c>
      <c r="I1091" cm="1">
        <f t="array" ref="I1091">IF(OR(AND(H1091=9,I$1&gt;YEAR($N1091))),9,_xlfn.IFNA(INDEX($D$2:$D$4001,_xlfn.XMATCH(I$1&amp;"-"&amp;$F1091,YEAR($B$2:$B$4001)&amp;"-"&amp;$A$2:$A$4001,0,-1)),H1091))</f>
        <v>5</v>
      </c>
      <c r="J1091" cm="1">
        <f t="array" ref="J1091">IF(OR(AND(I1091=9,J$1&gt;YEAR($N1091))),9,_xlfn.IFNA(INDEX($D$2:$D$4001,_xlfn.XMATCH(J$1&amp;"-"&amp;$F1091,YEAR($B$2:$B$4001)&amp;"-"&amp;$A$2:$A$4001,0,-1)),I1091))</f>
        <v>5</v>
      </c>
      <c r="K1091" cm="1">
        <f t="array" ref="K1091">IF(OR(AND(J1091=9,K$1&gt;YEAR($N1091))),9,_xlfn.IFNA(INDEX($D$2:$D$4001,_xlfn.XMATCH(K$1&amp;"-"&amp;$F1091,YEAR($B$2:$B$4001)&amp;"-"&amp;$A$2:$A$4001,0,-1)),J1091))</f>
        <v>5</v>
      </c>
      <c r="L1091" cm="1">
        <f t="array" ref="L1091">IF(OR(AND(K1091=9,L$1&gt;YEAR($N1091))),9,_xlfn.IFNA(INDEX($D$2:$D$4001,_xlfn.XMATCH(L$1&amp;"-"&amp;$F1091,YEAR($B$2:$B$4001)&amp;"-"&amp;$A$2:$A$4001,0,-1)),K1091))</f>
        <v>5</v>
      </c>
      <c r="M1091" cm="1">
        <f t="array" ref="M1091">IF(OR(AND(L1091=9,M$1&gt;YEAR($N1091))),9,_xlfn.IFNA(INDEX($D$2:$D$4001,_xlfn.XMATCH(M$1&amp;"-"&amp;$F1091,YEAR($B$2:$B$4001)&amp;"-"&amp;$A$2:$A$4001,0,-1)),L1091))</f>
        <v>5</v>
      </c>
      <c r="N1091" s="1">
        <f t="shared" ref="N1091:N1154" si="17">_xlfn.MINIFS($B$2:$B$4001,$A$2:$A$4001,F1091)</f>
        <v>36860</v>
      </c>
    </row>
    <row r="1092" spans="1:14" x14ac:dyDescent="0.35">
      <c r="A1092">
        <v>530</v>
      </c>
      <c r="B1092" s="2">
        <v>37762</v>
      </c>
      <c r="C1092">
        <v>7</v>
      </c>
      <c r="D1092">
        <v>8</v>
      </c>
      <c r="F1092">
        <v>1091</v>
      </c>
      <c r="G1092" cm="1">
        <f t="array" ref="G1092">_xlfn.IFNA(INDEX($D$2:$D$4001,_xlfn.XMATCH(G$1&amp;"-"&amp;$F1092,YEAR($B$2:$B$4001)&amp;"-"&amp;$A$2:$A$4001,0,-1)),9)</f>
        <v>9</v>
      </c>
      <c r="H1092" cm="1">
        <f t="array" ref="H1092">IF(OR(AND(G1092=9,H$1&gt;YEAR($N1092))),9,_xlfn.IFNA(INDEX($D$2:$D$4001,_xlfn.XMATCH(H$1&amp;"-"&amp;$F1092,YEAR($B$2:$B$4001)&amp;"-"&amp;$A$2:$A$4001,0,-1)),G1092))</f>
        <v>9</v>
      </c>
      <c r="I1092" cm="1">
        <f t="array" ref="I1092">IF(OR(AND(H1092=9,I$1&gt;YEAR($N1092))),9,_xlfn.IFNA(INDEX($D$2:$D$4001,_xlfn.XMATCH(I$1&amp;"-"&amp;$F1092,YEAR($B$2:$B$4001)&amp;"-"&amp;$A$2:$A$4001,0,-1)),H1092))</f>
        <v>9</v>
      </c>
      <c r="J1092" cm="1">
        <f t="array" ref="J1092">IF(OR(AND(I1092=9,J$1&gt;YEAR($N1092))),9,_xlfn.IFNA(INDEX($D$2:$D$4001,_xlfn.XMATCH(J$1&amp;"-"&amp;$F1092,YEAR($B$2:$B$4001)&amp;"-"&amp;$A$2:$A$4001,0,-1)),I1092))</f>
        <v>9</v>
      </c>
      <c r="K1092" cm="1">
        <f t="array" ref="K1092">IF(OR(AND(J1092=9,K$1&gt;YEAR($N1092))),9,_xlfn.IFNA(INDEX($D$2:$D$4001,_xlfn.XMATCH(K$1&amp;"-"&amp;$F1092,YEAR($B$2:$B$4001)&amp;"-"&amp;$A$2:$A$4001,0,-1)),J1092))</f>
        <v>9</v>
      </c>
      <c r="L1092" cm="1">
        <f t="array" ref="L1092">IF(OR(AND(K1092=9,L$1&gt;YEAR($N1092))),9,_xlfn.IFNA(INDEX($D$2:$D$4001,_xlfn.XMATCH(L$1&amp;"-"&amp;$F1092,YEAR($B$2:$B$4001)&amp;"-"&amp;$A$2:$A$4001,0,-1)),K1092))</f>
        <v>0</v>
      </c>
      <c r="M1092" cm="1">
        <f t="array" ref="M1092">IF(OR(AND(L1092=9,M$1&gt;YEAR($N1092))),9,_xlfn.IFNA(INDEX($D$2:$D$4001,_xlfn.XMATCH(M$1&amp;"-"&amp;$F1092,YEAR($B$2:$B$4001)&amp;"-"&amp;$A$2:$A$4001,0,-1)),L1092))</f>
        <v>0</v>
      </c>
      <c r="N1092" s="1">
        <f t="shared" si="17"/>
        <v>38128</v>
      </c>
    </row>
    <row r="1093" spans="1:14" x14ac:dyDescent="0.35">
      <c r="A1093">
        <v>530</v>
      </c>
      <c r="B1093" s="2">
        <v>38260</v>
      </c>
      <c r="C1093">
        <v>6</v>
      </c>
      <c r="D1093">
        <v>8</v>
      </c>
      <c r="F1093">
        <v>1092</v>
      </c>
      <c r="G1093" cm="1">
        <f t="array" ref="G1093">_xlfn.IFNA(INDEX($D$2:$D$4001,_xlfn.XMATCH(G$1&amp;"-"&amp;$F1093,YEAR($B$2:$B$4001)&amp;"-"&amp;$A$2:$A$4001,0,-1)),9)</f>
        <v>9</v>
      </c>
      <c r="H1093" cm="1">
        <f t="array" ref="H1093">IF(OR(AND(G1093=9,H$1&gt;YEAR($N1093))),9,_xlfn.IFNA(INDEX($D$2:$D$4001,_xlfn.XMATCH(H$1&amp;"-"&amp;$F1093,YEAR($B$2:$B$4001)&amp;"-"&amp;$A$2:$A$4001,0,-1)),G1093))</f>
        <v>9</v>
      </c>
      <c r="I1093" cm="1">
        <f t="array" ref="I1093">IF(OR(AND(H1093=9,I$1&gt;YEAR($N1093))),9,_xlfn.IFNA(INDEX($D$2:$D$4001,_xlfn.XMATCH(I$1&amp;"-"&amp;$F1093,YEAR($B$2:$B$4001)&amp;"-"&amp;$A$2:$A$4001,0,-1)),H1093))</f>
        <v>9</v>
      </c>
      <c r="J1093" cm="1">
        <f t="array" ref="J1093">IF(OR(AND(I1093=9,J$1&gt;YEAR($N1093))),9,_xlfn.IFNA(INDEX($D$2:$D$4001,_xlfn.XMATCH(J$1&amp;"-"&amp;$F1093,YEAR($B$2:$B$4001)&amp;"-"&amp;$A$2:$A$4001,0,-1)),I1093))</f>
        <v>9</v>
      </c>
      <c r="K1093" cm="1">
        <f t="array" ref="K1093">IF(OR(AND(J1093=9,K$1&gt;YEAR($N1093))),9,_xlfn.IFNA(INDEX($D$2:$D$4001,_xlfn.XMATCH(K$1&amp;"-"&amp;$F1093,YEAR($B$2:$B$4001)&amp;"-"&amp;$A$2:$A$4001,0,-1)),J1093))</f>
        <v>9</v>
      </c>
      <c r="L1093" cm="1">
        <f t="array" ref="L1093">IF(OR(AND(K1093=9,L$1&gt;YEAR($N1093))),9,_xlfn.IFNA(INDEX($D$2:$D$4001,_xlfn.XMATCH(L$1&amp;"-"&amp;$F1093,YEAR($B$2:$B$4001)&amp;"-"&amp;$A$2:$A$4001,0,-1)),K1093))</f>
        <v>4</v>
      </c>
      <c r="M1093" cm="1">
        <f t="array" ref="M1093">IF(OR(AND(L1093=9,M$1&gt;YEAR($N1093))),9,_xlfn.IFNA(INDEX($D$2:$D$4001,_xlfn.XMATCH(M$1&amp;"-"&amp;$F1093,YEAR($B$2:$B$4001)&amp;"-"&amp;$A$2:$A$4001,0,-1)),L1093))</f>
        <v>4</v>
      </c>
      <c r="N1093" s="1">
        <f t="shared" si="17"/>
        <v>38351</v>
      </c>
    </row>
    <row r="1094" spans="1:14" x14ac:dyDescent="0.35">
      <c r="A1094">
        <v>531</v>
      </c>
      <c r="B1094" s="2">
        <v>37985</v>
      </c>
      <c r="C1094">
        <v>2</v>
      </c>
      <c r="D1094">
        <v>2</v>
      </c>
      <c r="F1094">
        <v>1093</v>
      </c>
      <c r="G1094" cm="1">
        <f t="array" ref="G1094">_xlfn.IFNA(INDEX($D$2:$D$4001,_xlfn.XMATCH(G$1&amp;"-"&amp;$F1094,YEAR($B$2:$B$4001)&amp;"-"&amp;$A$2:$A$4001,0,-1)),9)</f>
        <v>9</v>
      </c>
      <c r="H1094" cm="1">
        <f t="array" ref="H1094">IF(OR(AND(G1094=9,H$1&gt;YEAR($N1094))),9,_xlfn.IFNA(INDEX($D$2:$D$4001,_xlfn.XMATCH(H$1&amp;"-"&amp;$F1094,YEAR($B$2:$B$4001)&amp;"-"&amp;$A$2:$A$4001,0,-1)),G1094))</f>
        <v>4</v>
      </c>
      <c r="I1094" cm="1">
        <f t="array" ref="I1094">IF(OR(AND(H1094=9,I$1&gt;YEAR($N1094))),9,_xlfn.IFNA(INDEX($D$2:$D$4001,_xlfn.XMATCH(I$1&amp;"-"&amp;$F1094,YEAR($B$2:$B$4001)&amp;"-"&amp;$A$2:$A$4001,0,-1)),H1094))</f>
        <v>4</v>
      </c>
      <c r="J1094" cm="1">
        <f t="array" ref="J1094">IF(OR(AND(I1094=9,J$1&gt;YEAR($N1094))),9,_xlfn.IFNA(INDEX($D$2:$D$4001,_xlfn.XMATCH(J$1&amp;"-"&amp;$F1094,YEAR($B$2:$B$4001)&amp;"-"&amp;$A$2:$A$4001,0,-1)),I1094))</f>
        <v>4</v>
      </c>
      <c r="K1094" cm="1">
        <f t="array" ref="K1094">IF(OR(AND(J1094=9,K$1&gt;YEAR($N1094))),9,_xlfn.IFNA(INDEX($D$2:$D$4001,_xlfn.XMATCH(K$1&amp;"-"&amp;$F1094,YEAR($B$2:$B$4001)&amp;"-"&amp;$A$2:$A$4001,0,-1)),J1094))</f>
        <v>4</v>
      </c>
      <c r="L1094" cm="1">
        <f t="array" ref="L1094">IF(OR(AND(K1094=9,L$1&gt;YEAR($N1094))),9,_xlfn.IFNA(INDEX($D$2:$D$4001,_xlfn.XMATCH(L$1&amp;"-"&amp;$F1094,YEAR($B$2:$B$4001)&amp;"-"&amp;$A$2:$A$4001,0,-1)),K1094))</f>
        <v>4</v>
      </c>
      <c r="M1094" cm="1">
        <f t="array" ref="M1094">IF(OR(AND(L1094=9,M$1&gt;YEAR($N1094))),9,_xlfn.IFNA(INDEX($D$2:$D$4001,_xlfn.XMATCH(M$1&amp;"-"&amp;$F1094,YEAR($B$2:$B$4001)&amp;"-"&amp;$A$2:$A$4001,0,-1)),L1094))</f>
        <v>4</v>
      </c>
      <c r="N1094" s="1">
        <f t="shared" si="17"/>
        <v>36890</v>
      </c>
    </row>
    <row r="1095" spans="1:14" x14ac:dyDescent="0.35">
      <c r="A1095">
        <v>531</v>
      </c>
      <c r="B1095" s="2">
        <v>38312</v>
      </c>
      <c r="C1095">
        <v>2</v>
      </c>
      <c r="D1095">
        <v>2</v>
      </c>
      <c r="F1095">
        <v>1094</v>
      </c>
      <c r="G1095" cm="1">
        <f t="array" ref="G1095">_xlfn.IFNA(INDEX($D$2:$D$4001,_xlfn.XMATCH(G$1&amp;"-"&amp;$F1095,YEAR($B$2:$B$4001)&amp;"-"&amp;$A$2:$A$4001,0,-1)),9)</f>
        <v>0</v>
      </c>
      <c r="H1095" cm="1">
        <f t="array" ref="H1095">IF(OR(AND(G1095=9,H$1&gt;YEAR($N1095))),9,_xlfn.IFNA(INDEX($D$2:$D$4001,_xlfn.XMATCH(H$1&amp;"-"&amp;$F1095,YEAR($B$2:$B$4001)&amp;"-"&amp;$A$2:$A$4001,0,-1)),G1095))</f>
        <v>0</v>
      </c>
      <c r="I1095" cm="1">
        <f t="array" ref="I1095">IF(OR(AND(H1095=9,I$1&gt;YEAR($N1095))),9,_xlfn.IFNA(INDEX($D$2:$D$4001,_xlfn.XMATCH(I$1&amp;"-"&amp;$F1095,YEAR($B$2:$B$4001)&amp;"-"&amp;$A$2:$A$4001,0,-1)),H1095))</f>
        <v>0</v>
      </c>
      <c r="J1095" cm="1">
        <f t="array" ref="J1095">IF(OR(AND(I1095=9,J$1&gt;YEAR($N1095))),9,_xlfn.IFNA(INDEX($D$2:$D$4001,_xlfn.XMATCH(J$1&amp;"-"&amp;$F1095,YEAR($B$2:$B$4001)&amp;"-"&amp;$A$2:$A$4001,0,-1)),I1095))</f>
        <v>4</v>
      </c>
      <c r="K1095" cm="1">
        <f t="array" ref="K1095">IF(OR(AND(J1095=9,K$1&gt;YEAR($N1095))),9,_xlfn.IFNA(INDEX($D$2:$D$4001,_xlfn.XMATCH(K$1&amp;"-"&amp;$F1095,YEAR($B$2:$B$4001)&amp;"-"&amp;$A$2:$A$4001,0,-1)),J1095))</f>
        <v>4</v>
      </c>
      <c r="L1095" cm="1">
        <f t="array" ref="L1095">IF(OR(AND(K1095=9,L$1&gt;YEAR($N1095))),9,_xlfn.IFNA(INDEX($D$2:$D$4001,_xlfn.XMATCH(L$1&amp;"-"&amp;$F1095,YEAR($B$2:$B$4001)&amp;"-"&amp;$A$2:$A$4001,0,-1)),K1095))</f>
        <v>4</v>
      </c>
      <c r="M1095" cm="1">
        <f t="array" ref="M1095">IF(OR(AND(L1095=9,M$1&gt;YEAR($N1095))),9,_xlfn.IFNA(INDEX($D$2:$D$4001,_xlfn.XMATCH(M$1&amp;"-"&amp;$F1095,YEAR($B$2:$B$4001)&amp;"-"&amp;$A$2:$A$4001,0,-1)),L1095))</f>
        <v>4</v>
      </c>
      <c r="N1095" s="1">
        <f t="shared" si="17"/>
        <v>36515</v>
      </c>
    </row>
    <row r="1096" spans="1:14" x14ac:dyDescent="0.35">
      <c r="A1096">
        <v>532</v>
      </c>
      <c r="B1096" s="2">
        <v>37620</v>
      </c>
      <c r="C1096">
        <v>3</v>
      </c>
      <c r="D1096">
        <v>3</v>
      </c>
      <c r="F1096">
        <v>1095</v>
      </c>
      <c r="G1096" cm="1">
        <f t="array" ref="G1096">_xlfn.IFNA(INDEX($D$2:$D$4001,_xlfn.XMATCH(G$1&amp;"-"&amp;$F1096,YEAR($B$2:$B$4001)&amp;"-"&amp;$A$2:$A$4001,0,-1)),9)</f>
        <v>9</v>
      </c>
      <c r="H1096" cm="1">
        <f t="array" ref="H1096">IF(OR(AND(G1096=9,H$1&gt;YEAR($N1096))),9,_xlfn.IFNA(INDEX($D$2:$D$4001,_xlfn.XMATCH(H$1&amp;"-"&amp;$F1096,YEAR($B$2:$B$4001)&amp;"-"&amp;$A$2:$A$4001,0,-1)),G1096))</f>
        <v>9</v>
      </c>
      <c r="I1096" cm="1">
        <f t="array" ref="I1096">IF(OR(AND(H1096=9,I$1&gt;YEAR($N1096))),9,_xlfn.IFNA(INDEX($D$2:$D$4001,_xlfn.XMATCH(I$1&amp;"-"&amp;$F1096,YEAR($B$2:$B$4001)&amp;"-"&amp;$A$2:$A$4001,0,-1)),H1096))</f>
        <v>4</v>
      </c>
      <c r="J1096" cm="1">
        <f t="array" ref="J1096">IF(OR(AND(I1096=9,J$1&gt;YEAR($N1096))),9,_xlfn.IFNA(INDEX($D$2:$D$4001,_xlfn.XMATCH(J$1&amp;"-"&amp;$F1096,YEAR($B$2:$B$4001)&amp;"-"&amp;$A$2:$A$4001,0,-1)),I1096))</f>
        <v>4</v>
      </c>
      <c r="K1096" cm="1">
        <f t="array" ref="K1096">IF(OR(AND(J1096=9,K$1&gt;YEAR($N1096))),9,_xlfn.IFNA(INDEX($D$2:$D$4001,_xlfn.XMATCH(K$1&amp;"-"&amp;$F1096,YEAR($B$2:$B$4001)&amp;"-"&amp;$A$2:$A$4001,0,-1)),J1096))</f>
        <v>4</v>
      </c>
      <c r="L1096" cm="1">
        <f t="array" ref="L1096">IF(OR(AND(K1096=9,L$1&gt;YEAR($N1096))),9,_xlfn.IFNA(INDEX($D$2:$D$4001,_xlfn.XMATCH(L$1&amp;"-"&amp;$F1096,YEAR($B$2:$B$4001)&amp;"-"&amp;$A$2:$A$4001,0,-1)),K1096))</f>
        <v>4</v>
      </c>
      <c r="M1096" cm="1">
        <f t="array" ref="M1096">IF(OR(AND(L1096=9,M$1&gt;YEAR($N1096))),9,_xlfn.IFNA(INDEX($D$2:$D$4001,_xlfn.XMATCH(M$1&amp;"-"&amp;$F1096,YEAR($B$2:$B$4001)&amp;"-"&amp;$A$2:$A$4001,0,-1)),L1096))</f>
        <v>4</v>
      </c>
      <c r="N1096" s="1">
        <f t="shared" si="17"/>
        <v>37164</v>
      </c>
    </row>
    <row r="1097" spans="1:14" x14ac:dyDescent="0.35">
      <c r="A1097">
        <v>533</v>
      </c>
      <c r="B1097" s="2">
        <v>36890</v>
      </c>
      <c r="C1097">
        <v>4</v>
      </c>
      <c r="D1097">
        <v>4</v>
      </c>
      <c r="F1097">
        <v>1096</v>
      </c>
      <c r="G1097" cm="1">
        <f t="array" ref="G1097">_xlfn.IFNA(INDEX($D$2:$D$4001,_xlfn.XMATCH(G$1&amp;"-"&amp;$F1097,YEAR($B$2:$B$4001)&amp;"-"&amp;$A$2:$A$4001,0,-1)),9)</f>
        <v>9</v>
      </c>
      <c r="H1097" cm="1">
        <f t="array" ref="H1097">IF(OR(AND(G1097=9,H$1&gt;YEAR($N1097))),9,_xlfn.IFNA(INDEX($D$2:$D$4001,_xlfn.XMATCH(H$1&amp;"-"&amp;$F1097,YEAR($B$2:$B$4001)&amp;"-"&amp;$A$2:$A$4001,0,-1)),G1097))</f>
        <v>9</v>
      </c>
      <c r="I1097" cm="1">
        <f t="array" ref="I1097">IF(OR(AND(H1097=9,I$1&gt;YEAR($N1097))),9,_xlfn.IFNA(INDEX($D$2:$D$4001,_xlfn.XMATCH(I$1&amp;"-"&amp;$F1097,YEAR($B$2:$B$4001)&amp;"-"&amp;$A$2:$A$4001,0,-1)),H1097))</f>
        <v>9</v>
      </c>
      <c r="J1097" cm="1">
        <f t="array" ref="J1097">IF(OR(AND(I1097=9,J$1&gt;YEAR($N1097))),9,_xlfn.IFNA(INDEX($D$2:$D$4001,_xlfn.XMATCH(J$1&amp;"-"&amp;$F1097,YEAR($B$2:$B$4001)&amp;"-"&amp;$A$2:$A$4001,0,-1)),I1097))</f>
        <v>5</v>
      </c>
      <c r="K1097" cm="1">
        <f t="array" ref="K1097">IF(OR(AND(J1097=9,K$1&gt;YEAR($N1097))),9,_xlfn.IFNA(INDEX($D$2:$D$4001,_xlfn.XMATCH(K$1&amp;"-"&amp;$F1097,YEAR($B$2:$B$4001)&amp;"-"&amp;$A$2:$A$4001,0,-1)),J1097))</f>
        <v>5</v>
      </c>
      <c r="L1097" cm="1">
        <f t="array" ref="L1097">IF(OR(AND(K1097=9,L$1&gt;YEAR($N1097))),9,_xlfn.IFNA(INDEX($D$2:$D$4001,_xlfn.XMATCH(L$1&amp;"-"&amp;$F1097,YEAR($B$2:$B$4001)&amp;"-"&amp;$A$2:$A$4001,0,-1)),K1097))</f>
        <v>5</v>
      </c>
      <c r="M1097" cm="1">
        <f t="array" ref="M1097">IF(OR(AND(L1097=9,M$1&gt;YEAR($N1097))),9,_xlfn.IFNA(INDEX($D$2:$D$4001,_xlfn.XMATCH(M$1&amp;"-"&amp;$F1097,YEAR($B$2:$B$4001)&amp;"-"&amp;$A$2:$A$4001,0,-1)),L1097))</f>
        <v>5</v>
      </c>
      <c r="N1097" s="1">
        <f t="shared" si="17"/>
        <v>37399</v>
      </c>
    </row>
    <row r="1098" spans="1:14" x14ac:dyDescent="0.35">
      <c r="A1098">
        <v>534</v>
      </c>
      <c r="B1098" s="2">
        <v>37559</v>
      </c>
      <c r="C1098">
        <v>3</v>
      </c>
      <c r="D1098">
        <v>3</v>
      </c>
      <c r="F1098">
        <v>1097</v>
      </c>
      <c r="G1098" cm="1">
        <f t="array" ref="G1098">_xlfn.IFNA(INDEX($D$2:$D$4001,_xlfn.XMATCH(G$1&amp;"-"&amp;$F1098,YEAR($B$2:$B$4001)&amp;"-"&amp;$A$2:$A$4001,0,-1)),9)</f>
        <v>9</v>
      </c>
      <c r="H1098" cm="1">
        <f t="array" ref="H1098">IF(OR(AND(G1098=9,H$1&gt;YEAR($N1098))),9,_xlfn.IFNA(INDEX($D$2:$D$4001,_xlfn.XMATCH(H$1&amp;"-"&amp;$F1098,YEAR($B$2:$B$4001)&amp;"-"&amp;$A$2:$A$4001,0,-1)),G1098))</f>
        <v>9</v>
      </c>
      <c r="I1098" cm="1">
        <f t="array" ref="I1098">IF(OR(AND(H1098=9,I$1&gt;YEAR($N1098))),9,_xlfn.IFNA(INDEX($D$2:$D$4001,_xlfn.XMATCH(I$1&amp;"-"&amp;$F1098,YEAR($B$2:$B$4001)&amp;"-"&amp;$A$2:$A$4001,0,-1)),H1098))</f>
        <v>9</v>
      </c>
      <c r="J1098" cm="1">
        <f t="array" ref="J1098">IF(OR(AND(I1098=9,J$1&gt;YEAR($N1098))),9,_xlfn.IFNA(INDEX($D$2:$D$4001,_xlfn.XMATCH(J$1&amp;"-"&amp;$F1098,YEAR($B$2:$B$4001)&amp;"-"&amp;$A$2:$A$4001,0,-1)),I1098))</f>
        <v>3</v>
      </c>
      <c r="K1098" cm="1">
        <f t="array" ref="K1098">IF(OR(AND(J1098=9,K$1&gt;YEAR($N1098))),9,_xlfn.IFNA(INDEX($D$2:$D$4001,_xlfn.XMATCH(K$1&amp;"-"&amp;$F1098,YEAR($B$2:$B$4001)&amp;"-"&amp;$A$2:$A$4001,0,-1)),J1098))</f>
        <v>4</v>
      </c>
      <c r="L1098" cm="1">
        <f t="array" ref="L1098">IF(OR(AND(K1098=9,L$1&gt;YEAR($N1098))),9,_xlfn.IFNA(INDEX($D$2:$D$4001,_xlfn.XMATCH(L$1&amp;"-"&amp;$F1098,YEAR($B$2:$B$4001)&amp;"-"&amp;$A$2:$A$4001,0,-1)),K1098))</f>
        <v>3</v>
      </c>
      <c r="M1098" cm="1">
        <f t="array" ref="M1098">IF(OR(AND(L1098=9,M$1&gt;YEAR($N1098))),9,_xlfn.IFNA(INDEX($D$2:$D$4001,_xlfn.XMATCH(M$1&amp;"-"&amp;$F1098,YEAR($B$2:$B$4001)&amp;"-"&amp;$A$2:$A$4001,0,-1)),L1098))</f>
        <v>3</v>
      </c>
      <c r="N1098" s="1">
        <f t="shared" si="17"/>
        <v>37397</v>
      </c>
    </row>
    <row r="1099" spans="1:14" x14ac:dyDescent="0.35">
      <c r="A1099">
        <v>535</v>
      </c>
      <c r="B1099" s="2">
        <v>36890</v>
      </c>
      <c r="C1099">
        <v>4</v>
      </c>
      <c r="D1099">
        <v>4</v>
      </c>
      <c r="F1099">
        <v>1098</v>
      </c>
      <c r="G1099" cm="1">
        <f t="array" ref="G1099">_xlfn.IFNA(INDEX($D$2:$D$4001,_xlfn.XMATCH(G$1&amp;"-"&amp;$F1099,YEAR($B$2:$B$4001)&amp;"-"&amp;$A$2:$A$4001,0,-1)),9)</f>
        <v>3</v>
      </c>
      <c r="H1099" cm="1">
        <f t="array" ref="H1099">IF(OR(AND(G1099=9,H$1&gt;YEAR($N1099))),9,_xlfn.IFNA(INDEX($D$2:$D$4001,_xlfn.XMATCH(H$1&amp;"-"&amp;$F1099,YEAR($B$2:$B$4001)&amp;"-"&amp;$A$2:$A$4001,0,-1)),G1099))</f>
        <v>3</v>
      </c>
      <c r="I1099" cm="1">
        <f t="array" ref="I1099">IF(OR(AND(H1099=9,I$1&gt;YEAR($N1099))),9,_xlfn.IFNA(INDEX($D$2:$D$4001,_xlfn.XMATCH(I$1&amp;"-"&amp;$F1099,YEAR($B$2:$B$4001)&amp;"-"&amp;$A$2:$A$4001,0,-1)),H1099))</f>
        <v>3</v>
      </c>
      <c r="J1099" cm="1">
        <f t="array" ref="J1099">IF(OR(AND(I1099=9,J$1&gt;YEAR($N1099))),9,_xlfn.IFNA(INDEX($D$2:$D$4001,_xlfn.XMATCH(J$1&amp;"-"&amp;$F1099,YEAR($B$2:$B$4001)&amp;"-"&amp;$A$2:$A$4001,0,-1)),I1099))</f>
        <v>3</v>
      </c>
      <c r="K1099" cm="1">
        <f t="array" ref="K1099">IF(OR(AND(J1099=9,K$1&gt;YEAR($N1099))),9,_xlfn.IFNA(INDEX($D$2:$D$4001,_xlfn.XMATCH(K$1&amp;"-"&amp;$F1099,YEAR($B$2:$B$4001)&amp;"-"&amp;$A$2:$A$4001,0,-1)),J1099))</f>
        <v>3</v>
      </c>
      <c r="L1099" cm="1">
        <f t="array" ref="L1099">IF(OR(AND(K1099=9,L$1&gt;YEAR($N1099))),9,_xlfn.IFNA(INDEX($D$2:$D$4001,_xlfn.XMATCH(L$1&amp;"-"&amp;$F1099,YEAR($B$2:$B$4001)&amp;"-"&amp;$A$2:$A$4001,0,-1)),K1099))</f>
        <v>3</v>
      </c>
      <c r="M1099" cm="1">
        <f t="array" ref="M1099">IF(OR(AND(L1099=9,M$1&gt;YEAR($N1099))),9,_xlfn.IFNA(INDEX($D$2:$D$4001,_xlfn.XMATCH(M$1&amp;"-"&amp;$F1099,YEAR($B$2:$B$4001)&amp;"-"&amp;$A$2:$A$4001,0,-1)),L1099))</f>
        <v>3</v>
      </c>
      <c r="N1099" s="1">
        <f t="shared" si="17"/>
        <v>36310</v>
      </c>
    </row>
    <row r="1100" spans="1:14" x14ac:dyDescent="0.35">
      <c r="A1100">
        <v>535</v>
      </c>
      <c r="B1100" s="2">
        <v>37406</v>
      </c>
      <c r="C1100">
        <v>4</v>
      </c>
      <c r="D1100">
        <v>4</v>
      </c>
      <c r="F1100">
        <v>1099</v>
      </c>
      <c r="G1100" cm="1">
        <f t="array" ref="G1100">_xlfn.IFNA(INDEX($D$2:$D$4001,_xlfn.XMATCH(G$1&amp;"-"&amp;$F1100,YEAR($B$2:$B$4001)&amp;"-"&amp;$A$2:$A$4001,0,-1)),9)</f>
        <v>9</v>
      </c>
      <c r="H1100" cm="1">
        <f t="array" ref="H1100">IF(OR(AND(G1100=9,H$1&gt;YEAR($N1100))),9,_xlfn.IFNA(INDEX($D$2:$D$4001,_xlfn.XMATCH(H$1&amp;"-"&amp;$F1100,YEAR($B$2:$B$4001)&amp;"-"&amp;$A$2:$A$4001,0,-1)),G1100))</f>
        <v>3</v>
      </c>
      <c r="I1100" cm="1">
        <f t="array" ref="I1100">IF(OR(AND(H1100=9,I$1&gt;YEAR($N1100))),9,_xlfn.IFNA(INDEX($D$2:$D$4001,_xlfn.XMATCH(I$1&amp;"-"&amp;$F1100,YEAR($B$2:$B$4001)&amp;"-"&amp;$A$2:$A$4001,0,-1)),H1100))</f>
        <v>3</v>
      </c>
      <c r="J1100" cm="1">
        <f t="array" ref="J1100">IF(OR(AND(I1100=9,J$1&gt;YEAR($N1100))),9,_xlfn.IFNA(INDEX($D$2:$D$4001,_xlfn.XMATCH(J$1&amp;"-"&amp;$F1100,YEAR($B$2:$B$4001)&amp;"-"&amp;$A$2:$A$4001,0,-1)),I1100))</f>
        <v>3</v>
      </c>
      <c r="K1100" cm="1">
        <f t="array" ref="K1100">IF(OR(AND(J1100=9,K$1&gt;YEAR($N1100))),9,_xlfn.IFNA(INDEX($D$2:$D$4001,_xlfn.XMATCH(K$1&amp;"-"&amp;$F1100,YEAR($B$2:$B$4001)&amp;"-"&amp;$A$2:$A$4001,0,-1)),J1100))</f>
        <v>3</v>
      </c>
      <c r="L1100" cm="1">
        <f t="array" ref="L1100">IF(OR(AND(K1100=9,L$1&gt;YEAR($N1100))),9,_xlfn.IFNA(INDEX($D$2:$D$4001,_xlfn.XMATCH(L$1&amp;"-"&amp;$F1100,YEAR($B$2:$B$4001)&amp;"-"&amp;$A$2:$A$4001,0,-1)),K1100))</f>
        <v>3</v>
      </c>
      <c r="M1100" cm="1">
        <f t="array" ref="M1100">IF(OR(AND(L1100=9,M$1&gt;YEAR($N1100))),9,_xlfn.IFNA(INDEX($D$2:$D$4001,_xlfn.XMATCH(M$1&amp;"-"&amp;$F1100,YEAR($B$2:$B$4001)&amp;"-"&amp;$A$2:$A$4001,0,-1)),L1100))</f>
        <v>3</v>
      </c>
      <c r="N1100" s="1">
        <f t="shared" si="17"/>
        <v>36667</v>
      </c>
    </row>
    <row r="1101" spans="1:14" x14ac:dyDescent="0.35">
      <c r="A1101">
        <v>536</v>
      </c>
      <c r="B1101" s="2">
        <v>36301</v>
      </c>
      <c r="C1101">
        <v>3</v>
      </c>
      <c r="D1101">
        <v>3</v>
      </c>
      <c r="F1101">
        <v>1100</v>
      </c>
      <c r="G1101" cm="1">
        <f t="array" ref="G1101">_xlfn.IFNA(INDEX($D$2:$D$4001,_xlfn.XMATCH(G$1&amp;"-"&amp;$F1101,YEAR($B$2:$B$4001)&amp;"-"&amp;$A$2:$A$4001,0,-1)),9)</f>
        <v>9</v>
      </c>
      <c r="H1101" cm="1">
        <f t="array" ref="H1101">IF(OR(AND(G1101=9,H$1&gt;YEAR($N1101))),9,_xlfn.IFNA(INDEX($D$2:$D$4001,_xlfn.XMATCH(H$1&amp;"-"&amp;$F1101,YEAR($B$2:$B$4001)&amp;"-"&amp;$A$2:$A$4001,0,-1)),G1101))</f>
        <v>9</v>
      </c>
      <c r="I1101" cm="1">
        <f t="array" ref="I1101">IF(OR(AND(H1101=9,I$1&gt;YEAR($N1101))),9,_xlfn.IFNA(INDEX($D$2:$D$4001,_xlfn.XMATCH(I$1&amp;"-"&amp;$F1101,YEAR($B$2:$B$4001)&amp;"-"&amp;$A$2:$A$4001,0,-1)),H1101))</f>
        <v>9</v>
      </c>
      <c r="J1101" cm="1">
        <f t="array" ref="J1101">IF(OR(AND(I1101=9,J$1&gt;YEAR($N1101))),9,_xlfn.IFNA(INDEX($D$2:$D$4001,_xlfn.XMATCH(J$1&amp;"-"&amp;$F1101,YEAR($B$2:$B$4001)&amp;"-"&amp;$A$2:$A$4001,0,-1)),I1101))</f>
        <v>9</v>
      </c>
      <c r="K1101" cm="1">
        <f t="array" ref="K1101">IF(OR(AND(J1101=9,K$1&gt;YEAR($N1101))),9,_xlfn.IFNA(INDEX($D$2:$D$4001,_xlfn.XMATCH(K$1&amp;"-"&amp;$F1101,YEAR($B$2:$B$4001)&amp;"-"&amp;$A$2:$A$4001,0,-1)),J1101))</f>
        <v>2</v>
      </c>
      <c r="L1101" cm="1">
        <f t="array" ref="L1101">IF(OR(AND(K1101=9,L$1&gt;YEAR($N1101))),9,_xlfn.IFNA(INDEX($D$2:$D$4001,_xlfn.XMATCH(L$1&amp;"-"&amp;$F1101,YEAR($B$2:$B$4001)&amp;"-"&amp;$A$2:$A$4001,0,-1)),K1101))</f>
        <v>2</v>
      </c>
      <c r="M1101" cm="1">
        <f t="array" ref="M1101">IF(OR(AND(L1101=9,M$1&gt;YEAR($N1101))),9,_xlfn.IFNA(INDEX($D$2:$D$4001,_xlfn.XMATCH(M$1&amp;"-"&amp;$F1101,YEAR($B$2:$B$4001)&amp;"-"&amp;$A$2:$A$4001,0,-1)),L1101))</f>
        <v>2</v>
      </c>
      <c r="N1101" s="1">
        <f t="shared" si="17"/>
        <v>37762</v>
      </c>
    </row>
    <row r="1102" spans="1:14" x14ac:dyDescent="0.35">
      <c r="A1102">
        <v>536</v>
      </c>
      <c r="B1102" s="2">
        <v>37032</v>
      </c>
      <c r="C1102">
        <v>2</v>
      </c>
      <c r="D1102">
        <v>2</v>
      </c>
      <c r="F1102">
        <v>1101</v>
      </c>
      <c r="G1102" cm="1">
        <f t="array" ref="G1102">_xlfn.IFNA(INDEX($D$2:$D$4001,_xlfn.XMATCH(G$1&amp;"-"&amp;$F1102,YEAR($B$2:$B$4001)&amp;"-"&amp;$A$2:$A$4001,0,-1)),9)</f>
        <v>4</v>
      </c>
      <c r="H1102" cm="1">
        <f t="array" ref="H1102">IF(OR(AND(G1102=9,H$1&gt;YEAR($N1102))),9,_xlfn.IFNA(INDEX($D$2:$D$4001,_xlfn.XMATCH(H$1&amp;"-"&amp;$F1102,YEAR($B$2:$B$4001)&amp;"-"&amp;$A$2:$A$4001,0,-1)),G1102))</f>
        <v>4</v>
      </c>
      <c r="I1102" cm="1">
        <f t="array" ref="I1102">IF(OR(AND(H1102=9,I$1&gt;YEAR($N1102))),9,_xlfn.IFNA(INDEX($D$2:$D$4001,_xlfn.XMATCH(I$1&amp;"-"&amp;$F1102,YEAR($B$2:$B$4001)&amp;"-"&amp;$A$2:$A$4001,0,-1)),H1102))</f>
        <v>4</v>
      </c>
      <c r="J1102" cm="1">
        <f t="array" ref="J1102">IF(OR(AND(I1102=9,J$1&gt;YEAR($N1102))),9,_xlfn.IFNA(INDEX($D$2:$D$4001,_xlfn.XMATCH(J$1&amp;"-"&amp;$F1102,YEAR($B$2:$B$4001)&amp;"-"&amp;$A$2:$A$4001,0,-1)),I1102))</f>
        <v>4</v>
      </c>
      <c r="K1102" cm="1">
        <f t="array" ref="K1102">IF(OR(AND(J1102=9,K$1&gt;YEAR($N1102))),9,_xlfn.IFNA(INDEX($D$2:$D$4001,_xlfn.XMATCH(K$1&amp;"-"&amp;$F1102,YEAR($B$2:$B$4001)&amp;"-"&amp;$A$2:$A$4001,0,-1)),J1102))</f>
        <v>4</v>
      </c>
      <c r="L1102" cm="1">
        <f t="array" ref="L1102">IF(OR(AND(K1102=9,L$1&gt;YEAR($N1102))),9,_xlfn.IFNA(INDEX($D$2:$D$4001,_xlfn.XMATCH(L$1&amp;"-"&amp;$F1102,YEAR($B$2:$B$4001)&amp;"-"&amp;$A$2:$A$4001,0,-1)),K1102))</f>
        <v>4</v>
      </c>
      <c r="M1102" cm="1">
        <f t="array" ref="M1102">IF(OR(AND(L1102=9,M$1&gt;YEAR($N1102))),9,_xlfn.IFNA(INDEX($D$2:$D$4001,_xlfn.XMATCH(M$1&amp;"-"&amp;$F1102,YEAR($B$2:$B$4001)&amp;"-"&amp;$A$2:$A$4001,0,-1)),L1102))</f>
        <v>5</v>
      </c>
      <c r="N1102" s="1">
        <f t="shared" si="17"/>
        <v>36301</v>
      </c>
    </row>
    <row r="1103" spans="1:14" x14ac:dyDescent="0.35">
      <c r="A1103">
        <v>536</v>
      </c>
      <c r="B1103" s="2">
        <v>38128</v>
      </c>
      <c r="C1103">
        <v>2</v>
      </c>
      <c r="D1103">
        <v>2</v>
      </c>
      <c r="F1103">
        <v>1102</v>
      </c>
      <c r="G1103" cm="1">
        <f t="array" ref="G1103">_xlfn.IFNA(INDEX($D$2:$D$4001,_xlfn.XMATCH(G$1&amp;"-"&amp;$F1103,YEAR($B$2:$B$4001)&amp;"-"&amp;$A$2:$A$4001,0,-1)),9)</f>
        <v>9</v>
      </c>
      <c r="H1103" cm="1">
        <f t="array" ref="H1103">IF(OR(AND(G1103=9,H$1&gt;YEAR($N1103))),9,_xlfn.IFNA(INDEX($D$2:$D$4001,_xlfn.XMATCH(H$1&amp;"-"&amp;$F1103,YEAR($B$2:$B$4001)&amp;"-"&amp;$A$2:$A$4001,0,-1)),G1103))</f>
        <v>9</v>
      </c>
      <c r="I1103" cm="1">
        <f t="array" ref="I1103">IF(OR(AND(H1103=9,I$1&gt;YEAR($N1103))),9,_xlfn.IFNA(INDEX($D$2:$D$4001,_xlfn.XMATCH(I$1&amp;"-"&amp;$F1103,YEAR($B$2:$B$4001)&amp;"-"&amp;$A$2:$A$4001,0,-1)),H1103))</f>
        <v>9</v>
      </c>
      <c r="J1103" cm="1">
        <f t="array" ref="J1103">IF(OR(AND(I1103=9,J$1&gt;YEAR($N1103))),9,_xlfn.IFNA(INDEX($D$2:$D$4001,_xlfn.XMATCH(J$1&amp;"-"&amp;$F1103,YEAR($B$2:$B$4001)&amp;"-"&amp;$A$2:$A$4001,0,-1)),I1103))</f>
        <v>9</v>
      </c>
      <c r="K1103" cm="1">
        <f t="array" ref="K1103">IF(OR(AND(J1103=9,K$1&gt;YEAR($N1103))),9,_xlfn.IFNA(INDEX($D$2:$D$4001,_xlfn.XMATCH(K$1&amp;"-"&amp;$F1103,YEAR($B$2:$B$4001)&amp;"-"&amp;$A$2:$A$4001,0,-1)),J1103))</f>
        <v>6</v>
      </c>
      <c r="L1103" cm="1">
        <f t="array" ref="L1103">IF(OR(AND(K1103=9,L$1&gt;YEAR($N1103))),9,_xlfn.IFNA(INDEX($D$2:$D$4001,_xlfn.XMATCH(L$1&amp;"-"&amp;$F1103,YEAR($B$2:$B$4001)&amp;"-"&amp;$A$2:$A$4001,0,-1)),K1103))</f>
        <v>6</v>
      </c>
      <c r="M1103" cm="1">
        <f t="array" ref="M1103">IF(OR(AND(L1103=9,M$1&gt;YEAR($N1103))),9,_xlfn.IFNA(INDEX($D$2:$D$4001,_xlfn.XMATCH(M$1&amp;"-"&amp;$F1103,YEAR($B$2:$B$4001)&amp;"-"&amp;$A$2:$A$4001,0,-1)),L1103))</f>
        <v>6</v>
      </c>
      <c r="N1103" s="1">
        <f t="shared" si="17"/>
        <v>37985</v>
      </c>
    </row>
    <row r="1104" spans="1:14" x14ac:dyDescent="0.35">
      <c r="A1104">
        <v>537</v>
      </c>
      <c r="B1104" s="2">
        <v>37063</v>
      </c>
      <c r="C1104">
        <v>0</v>
      </c>
      <c r="D1104">
        <v>0</v>
      </c>
      <c r="F1104">
        <v>1103</v>
      </c>
      <c r="G1104" cm="1">
        <f t="array" ref="G1104">_xlfn.IFNA(INDEX($D$2:$D$4001,_xlfn.XMATCH(G$1&amp;"-"&amp;$F1104,YEAR($B$2:$B$4001)&amp;"-"&amp;$A$2:$A$4001,0,-1)),9)</f>
        <v>9</v>
      </c>
      <c r="H1104" cm="1">
        <f t="array" ref="H1104">IF(OR(AND(G1104=9,H$1&gt;YEAR($N1104))),9,_xlfn.IFNA(INDEX($D$2:$D$4001,_xlfn.XMATCH(H$1&amp;"-"&amp;$F1104,YEAR($B$2:$B$4001)&amp;"-"&amp;$A$2:$A$4001,0,-1)),G1104))</f>
        <v>7</v>
      </c>
      <c r="I1104" cm="1">
        <f t="array" ref="I1104">IF(OR(AND(H1104=9,I$1&gt;YEAR($N1104))),9,_xlfn.IFNA(INDEX($D$2:$D$4001,_xlfn.XMATCH(I$1&amp;"-"&amp;$F1104,YEAR($B$2:$B$4001)&amp;"-"&amp;$A$2:$A$4001,0,-1)),H1104))</f>
        <v>8</v>
      </c>
      <c r="J1104" cm="1">
        <f t="array" ref="J1104">IF(OR(AND(I1104=9,J$1&gt;YEAR($N1104))),9,_xlfn.IFNA(INDEX($D$2:$D$4001,_xlfn.XMATCH(J$1&amp;"-"&amp;$F1104,YEAR($B$2:$B$4001)&amp;"-"&amp;$A$2:$A$4001,0,-1)),I1104))</f>
        <v>8</v>
      </c>
      <c r="K1104" cm="1">
        <f t="array" ref="K1104">IF(OR(AND(J1104=9,K$1&gt;YEAR($N1104))),9,_xlfn.IFNA(INDEX($D$2:$D$4001,_xlfn.XMATCH(K$1&amp;"-"&amp;$F1104,YEAR($B$2:$B$4001)&amp;"-"&amp;$A$2:$A$4001,0,-1)),J1104))</f>
        <v>8</v>
      </c>
      <c r="L1104" cm="1">
        <f t="array" ref="L1104">IF(OR(AND(K1104=9,L$1&gt;YEAR($N1104))),9,_xlfn.IFNA(INDEX($D$2:$D$4001,_xlfn.XMATCH(L$1&amp;"-"&amp;$F1104,YEAR($B$2:$B$4001)&amp;"-"&amp;$A$2:$A$4001,0,-1)),K1104))</f>
        <v>8</v>
      </c>
      <c r="M1104" cm="1">
        <f t="array" ref="M1104">IF(OR(AND(L1104=9,M$1&gt;YEAR($N1104))),9,_xlfn.IFNA(INDEX($D$2:$D$4001,_xlfn.XMATCH(M$1&amp;"-"&amp;$F1104,YEAR($B$2:$B$4001)&amp;"-"&amp;$A$2:$A$4001,0,-1)),L1104))</f>
        <v>8</v>
      </c>
      <c r="N1104" s="1">
        <f t="shared" si="17"/>
        <v>36792</v>
      </c>
    </row>
    <row r="1105" spans="1:14" x14ac:dyDescent="0.35">
      <c r="A1105">
        <v>538</v>
      </c>
      <c r="B1105" s="2">
        <v>36332</v>
      </c>
      <c r="C1105">
        <v>4</v>
      </c>
      <c r="D1105">
        <v>4</v>
      </c>
      <c r="F1105">
        <v>1104</v>
      </c>
      <c r="G1105" cm="1">
        <f t="array" ref="G1105">_xlfn.IFNA(INDEX($D$2:$D$4001,_xlfn.XMATCH(G$1&amp;"-"&amp;$F1105,YEAR($B$2:$B$4001)&amp;"-"&amp;$A$2:$A$4001,0,-1)),9)</f>
        <v>9</v>
      </c>
      <c r="H1105" cm="1">
        <f t="array" ref="H1105">IF(OR(AND(G1105=9,H$1&gt;YEAR($N1105))),9,_xlfn.IFNA(INDEX($D$2:$D$4001,_xlfn.XMATCH(H$1&amp;"-"&amp;$F1105,YEAR($B$2:$B$4001)&amp;"-"&amp;$A$2:$A$4001,0,-1)),G1105))</f>
        <v>9</v>
      </c>
      <c r="I1105" cm="1">
        <f t="array" ref="I1105">IF(OR(AND(H1105=9,I$1&gt;YEAR($N1105))),9,_xlfn.IFNA(INDEX($D$2:$D$4001,_xlfn.XMATCH(I$1&amp;"-"&amp;$F1105,YEAR($B$2:$B$4001)&amp;"-"&amp;$A$2:$A$4001,0,-1)),H1105))</f>
        <v>2</v>
      </c>
      <c r="J1105" cm="1">
        <f t="array" ref="J1105">IF(OR(AND(I1105=9,J$1&gt;YEAR($N1105))),9,_xlfn.IFNA(INDEX($D$2:$D$4001,_xlfn.XMATCH(J$1&amp;"-"&amp;$F1105,YEAR($B$2:$B$4001)&amp;"-"&amp;$A$2:$A$4001,0,-1)),I1105))</f>
        <v>2</v>
      </c>
      <c r="K1105" cm="1">
        <f t="array" ref="K1105">IF(OR(AND(J1105=9,K$1&gt;YEAR($N1105))),9,_xlfn.IFNA(INDEX($D$2:$D$4001,_xlfn.XMATCH(K$1&amp;"-"&amp;$F1105,YEAR($B$2:$B$4001)&amp;"-"&amp;$A$2:$A$4001,0,-1)),J1105))</f>
        <v>2</v>
      </c>
      <c r="L1105" cm="1">
        <f t="array" ref="L1105">IF(OR(AND(K1105=9,L$1&gt;YEAR($N1105))),9,_xlfn.IFNA(INDEX($D$2:$D$4001,_xlfn.XMATCH(L$1&amp;"-"&amp;$F1105,YEAR($B$2:$B$4001)&amp;"-"&amp;$A$2:$A$4001,0,-1)),K1105))</f>
        <v>2</v>
      </c>
      <c r="M1105" cm="1">
        <f t="array" ref="M1105">IF(OR(AND(L1105=9,M$1&gt;YEAR($N1105))),9,_xlfn.IFNA(INDEX($D$2:$D$4001,_xlfn.XMATCH(M$1&amp;"-"&amp;$F1105,YEAR($B$2:$B$4001)&amp;"-"&amp;$A$2:$A$4001,0,-1)),L1105))</f>
        <v>2</v>
      </c>
      <c r="N1105" s="1">
        <f t="shared" si="17"/>
        <v>37255</v>
      </c>
    </row>
    <row r="1106" spans="1:14" x14ac:dyDescent="0.35">
      <c r="A1106">
        <v>538</v>
      </c>
      <c r="B1106" s="2">
        <v>36737</v>
      </c>
      <c r="C1106">
        <v>4</v>
      </c>
      <c r="D1106">
        <v>4</v>
      </c>
      <c r="F1106">
        <v>1105</v>
      </c>
      <c r="G1106" cm="1">
        <f t="array" ref="G1106">_xlfn.IFNA(INDEX($D$2:$D$4001,_xlfn.XMATCH(G$1&amp;"-"&amp;$F1106,YEAR($B$2:$B$4001)&amp;"-"&amp;$A$2:$A$4001,0,-1)),9)</f>
        <v>9</v>
      </c>
      <c r="H1106" cm="1">
        <f t="array" ref="H1106">IF(OR(AND(G1106=9,H$1&gt;YEAR($N1106))),9,_xlfn.IFNA(INDEX($D$2:$D$4001,_xlfn.XMATCH(H$1&amp;"-"&amp;$F1106,YEAR($B$2:$B$4001)&amp;"-"&amp;$A$2:$A$4001,0,-1)),G1106))</f>
        <v>3</v>
      </c>
      <c r="I1106" cm="1">
        <f t="array" ref="I1106">IF(OR(AND(H1106=9,I$1&gt;YEAR($N1106))),9,_xlfn.IFNA(INDEX($D$2:$D$4001,_xlfn.XMATCH(I$1&amp;"-"&amp;$F1106,YEAR($B$2:$B$4001)&amp;"-"&amp;$A$2:$A$4001,0,-1)),H1106))</f>
        <v>3</v>
      </c>
      <c r="J1106" cm="1">
        <f t="array" ref="J1106">IF(OR(AND(I1106=9,J$1&gt;YEAR($N1106))),9,_xlfn.IFNA(INDEX($D$2:$D$4001,_xlfn.XMATCH(J$1&amp;"-"&amp;$F1106,YEAR($B$2:$B$4001)&amp;"-"&amp;$A$2:$A$4001,0,-1)),I1106))</f>
        <v>3</v>
      </c>
      <c r="K1106" cm="1">
        <f t="array" ref="K1106">IF(OR(AND(J1106=9,K$1&gt;YEAR($N1106))),9,_xlfn.IFNA(INDEX($D$2:$D$4001,_xlfn.XMATCH(K$1&amp;"-"&amp;$F1106,YEAR($B$2:$B$4001)&amp;"-"&amp;$A$2:$A$4001,0,-1)),J1106))</f>
        <v>3</v>
      </c>
      <c r="L1106" cm="1">
        <f t="array" ref="L1106">IF(OR(AND(K1106=9,L$1&gt;YEAR($N1106))),9,_xlfn.IFNA(INDEX($D$2:$D$4001,_xlfn.XMATCH(L$1&amp;"-"&amp;$F1106,YEAR($B$2:$B$4001)&amp;"-"&amp;$A$2:$A$4001,0,-1)),K1106))</f>
        <v>3</v>
      </c>
      <c r="M1106" cm="1">
        <f t="array" ref="M1106">IF(OR(AND(L1106=9,M$1&gt;YEAR($N1106))),9,_xlfn.IFNA(INDEX($D$2:$D$4001,_xlfn.XMATCH(M$1&amp;"-"&amp;$F1106,YEAR($B$2:$B$4001)&amp;"-"&amp;$A$2:$A$4001,0,-1)),L1106))</f>
        <v>3</v>
      </c>
      <c r="N1106" s="1">
        <f t="shared" si="17"/>
        <v>36667</v>
      </c>
    </row>
    <row r="1107" spans="1:14" x14ac:dyDescent="0.35">
      <c r="A1107">
        <v>538</v>
      </c>
      <c r="B1107" s="2">
        <v>37133</v>
      </c>
      <c r="C1107">
        <v>4</v>
      </c>
      <c r="D1107">
        <v>4</v>
      </c>
      <c r="F1107">
        <v>1106</v>
      </c>
      <c r="G1107" cm="1">
        <f t="array" ref="G1107">_xlfn.IFNA(INDEX($D$2:$D$4001,_xlfn.XMATCH(G$1&amp;"-"&amp;$F1107,YEAR($B$2:$B$4001)&amp;"-"&amp;$A$2:$A$4001,0,-1)),9)</f>
        <v>5</v>
      </c>
      <c r="H1107" cm="1">
        <f t="array" ref="H1107">IF(OR(AND(G1107=9,H$1&gt;YEAR($N1107))),9,_xlfn.IFNA(INDEX($D$2:$D$4001,_xlfn.XMATCH(H$1&amp;"-"&amp;$F1107,YEAR($B$2:$B$4001)&amp;"-"&amp;$A$2:$A$4001,0,-1)),G1107))</f>
        <v>5</v>
      </c>
      <c r="I1107" cm="1">
        <f t="array" ref="I1107">IF(OR(AND(H1107=9,I$1&gt;YEAR($N1107))),9,_xlfn.IFNA(INDEX($D$2:$D$4001,_xlfn.XMATCH(I$1&amp;"-"&amp;$F1107,YEAR($B$2:$B$4001)&amp;"-"&amp;$A$2:$A$4001,0,-1)),H1107))</f>
        <v>5</v>
      </c>
      <c r="J1107" cm="1">
        <f t="array" ref="J1107">IF(OR(AND(I1107=9,J$1&gt;YEAR($N1107))),9,_xlfn.IFNA(INDEX($D$2:$D$4001,_xlfn.XMATCH(J$1&amp;"-"&amp;$F1107,YEAR($B$2:$B$4001)&amp;"-"&amp;$A$2:$A$4001,0,-1)),I1107))</f>
        <v>6</v>
      </c>
      <c r="K1107" cm="1">
        <f t="array" ref="K1107">IF(OR(AND(J1107=9,K$1&gt;YEAR($N1107))),9,_xlfn.IFNA(INDEX($D$2:$D$4001,_xlfn.XMATCH(K$1&amp;"-"&amp;$F1107,YEAR($B$2:$B$4001)&amp;"-"&amp;$A$2:$A$4001,0,-1)),J1107))</f>
        <v>6</v>
      </c>
      <c r="L1107" cm="1">
        <f t="array" ref="L1107">IF(OR(AND(K1107=9,L$1&gt;YEAR($N1107))),9,_xlfn.IFNA(INDEX($D$2:$D$4001,_xlfn.XMATCH(L$1&amp;"-"&amp;$F1107,YEAR($B$2:$B$4001)&amp;"-"&amp;$A$2:$A$4001,0,-1)),K1107))</f>
        <v>6</v>
      </c>
      <c r="M1107" cm="1">
        <f t="array" ref="M1107">IF(OR(AND(L1107=9,M$1&gt;YEAR($N1107))),9,_xlfn.IFNA(INDEX($D$2:$D$4001,_xlfn.XMATCH(M$1&amp;"-"&amp;$F1107,YEAR($B$2:$B$4001)&amp;"-"&amp;$A$2:$A$4001,0,-1)),L1107))</f>
        <v>6</v>
      </c>
      <c r="N1107" s="1">
        <f t="shared" si="17"/>
        <v>36433</v>
      </c>
    </row>
    <row r="1108" spans="1:14" x14ac:dyDescent="0.35">
      <c r="A1108">
        <v>538</v>
      </c>
      <c r="B1108" s="2">
        <v>38189</v>
      </c>
      <c r="C1108">
        <v>4</v>
      </c>
      <c r="D1108">
        <v>4</v>
      </c>
      <c r="F1108">
        <v>1107</v>
      </c>
      <c r="G1108" cm="1">
        <f t="array" ref="G1108">_xlfn.IFNA(INDEX($D$2:$D$4001,_xlfn.XMATCH(G$1&amp;"-"&amp;$F1108,YEAR($B$2:$B$4001)&amp;"-"&amp;$A$2:$A$4001,0,-1)),9)</f>
        <v>6</v>
      </c>
      <c r="H1108" cm="1">
        <f t="array" ref="H1108">IF(OR(AND(G1108=9,H$1&gt;YEAR($N1108))),9,_xlfn.IFNA(INDEX($D$2:$D$4001,_xlfn.XMATCH(H$1&amp;"-"&amp;$F1108,YEAR($B$2:$B$4001)&amp;"-"&amp;$A$2:$A$4001,0,-1)),G1108))</f>
        <v>0</v>
      </c>
      <c r="I1108" cm="1">
        <f t="array" ref="I1108">IF(OR(AND(H1108=9,I$1&gt;YEAR($N1108))),9,_xlfn.IFNA(INDEX($D$2:$D$4001,_xlfn.XMATCH(I$1&amp;"-"&amp;$F1108,YEAR($B$2:$B$4001)&amp;"-"&amp;$A$2:$A$4001,0,-1)),H1108))</f>
        <v>0</v>
      </c>
      <c r="J1108" cm="1">
        <f t="array" ref="J1108">IF(OR(AND(I1108=9,J$1&gt;YEAR($N1108))),9,_xlfn.IFNA(INDEX($D$2:$D$4001,_xlfn.XMATCH(J$1&amp;"-"&amp;$F1108,YEAR($B$2:$B$4001)&amp;"-"&amp;$A$2:$A$4001,0,-1)),I1108))</f>
        <v>0</v>
      </c>
      <c r="K1108" cm="1">
        <f t="array" ref="K1108">IF(OR(AND(J1108=9,K$1&gt;YEAR($N1108))),9,_xlfn.IFNA(INDEX($D$2:$D$4001,_xlfn.XMATCH(K$1&amp;"-"&amp;$F1108,YEAR($B$2:$B$4001)&amp;"-"&amp;$A$2:$A$4001,0,-1)),J1108))</f>
        <v>0</v>
      </c>
      <c r="L1108" cm="1">
        <f t="array" ref="L1108">IF(OR(AND(K1108=9,L$1&gt;YEAR($N1108))),9,_xlfn.IFNA(INDEX($D$2:$D$4001,_xlfn.XMATCH(L$1&amp;"-"&amp;$F1108,YEAR($B$2:$B$4001)&amp;"-"&amp;$A$2:$A$4001,0,-1)),K1108))</f>
        <v>0</v>
      </c>
      <c r="M1108" cm="1">
        <f t="array" ref="M1108">IF(OR(AND(L1108=9,M$1&gt;YEAR($N1108))),9,_xlfn.IFNA(INDEX($D$2:$D$4001,_xlfn.XMATCH(M$1&amp;"-"&amp;$F1108,YEAR($B$2:$B$4001)&amp;"-"&amp;$A$2:$A$4001,0,-1)),L1108))</f>
        <v>0</v>
      </c>
      <c r="N1108" s="1">
        <f t="shared" si="17"/>
        <v>36458</v>
      </c>
    </row>
    <row r="1109" spans="1:14" x14ac:dyDescent="0.35">
      <c r="A1109">
        <v>539</v>
      </c>
      <c r="B1109" s="2">
        <v>37397</v>
      </c>
      <c r="C1109">
        <v>4</v>
      </c>
      <c r="D1109">
        <v>4</v>
      </c>
      <c r="F1109">
        <v>1108</v>
      </c>
      <c r="G1109" cm="1">
        <f t="array" ref="G1109">_xlfn.IFNA(INDEX($D$2:$D$4001,_xlfn.XMATCH(G$1&amp;"-"&amp;$F1109,YEAR($B$2:$B$4001)&amp;"-"&amp;$A$2:$A$4001,0,-1)),9)</f>
        <v>4</v>
      </c>
      <c r="H1109" cm="1">
        <f t="array" ref="H1109">IF(OR(AND(G1109=9,H$1&gt;YEAR($N1109))),9,_xlfn.IFNA(INDEX($D$2:$D$4001,_xlfn.XMATCH(H$1&amp;"-"&amp;$F1109,YEAR($B$2:$B$4001)&amp;"-"&amp;$A$2:$A$4001,0,-1)),G1109))</f>
        <v>4</v>
      </c>
      <c r="I1109" cm="1">
        <f t="array" ref="I1109">IF(OR(AND(H1109=9,I$1&gt;YEAR($N1109))),9,_xlfn.IFNA(INDEX($D$2:$D$4001,_xlfn.XMATCH(I$1&amp;"-"&amp;$F1109,YEAR($B$2:$B$4001)&amp;"-"&amp;$A$2:$A$4001,0,-1)),H1109))</f>
        <v>4</v>
      </c>
      <c r="J1109" cm="1">
        <f t="array" ref="J1109">IF(OR(AND(I1109=9,J$1&gt;YEAR($N1109))),9,_xlfn.IFNA(INDEX($D$2:$D$4001,_xlfn.XMATCH(J$1&amp;"-"&amp;$F1109,YEAR($B$2:$B$4001)&amp;"-"&amp;$A$2:$A$4001,0,-1)),I1109))</f>
        <v>3</v>
      </c>
      <c r="K1109" cm="1">
        <f t="array" ref="K1109">IF(OR(AND(J1109=9,K$1&gt;YEAR($N1109))),9,_xlfn.IFNA(INDEX($D$2:$D$4001,_xlfn.XMATCH(K$1&amp;"-"&amp;$F1109,YEAR($B$2:$B$4001)&amp;"-"&amp;$A$2:$A$4001,0,-1)),J1109))</f>
        <v>3</v>
      </c>
      <c r="L1109" cm="1">
        <f t="array" ref="L1109">IF(OR(AND(K1109=9,L$1&gt;YEAR($N1109))),9,_xlfn.IFNA(INDEX($D$2:$D$4001,_xlfn.XMATCH(L$1&amp;"-"&amp;$F1109,YEAR($B$2:$B$4001)&amp;"-"&amp;$A$2:$A$4001,0,-1)),K1109))</f>
        <v>3</v>
      </c>
      <c r="M1109" cm="1">
        <f t="array" ref="M1109">IF(OR(AND(L1109=9,M$1&gt;YEAR($N1109))),9,_xlfn.IFNA(INDEX($D$2:$D$4001,_xlfn.XMATCH(M$1&amp;"-"&amp;$F1109,YEAR($B$2:$B$4001)&amp;"-"&amp;$A$2:$A$4001,0,-1)),L1109))</f>
        <v>3</v>
      </c>
      <c r="N1109" s="1">
        <f t="shared" si="17"/>
        <v>36424</v>
      </c>
    </row>
    <row r="1110" spans="1:14" x14ac:dyDescent="0.35">
      <c r="A1110">
        <v>539</v>
      </c>
      <c r="B1110" s="2">
        <v>38351</v>
      </c>
      <c r="C1110">
        <v>4</v>
      </c>
      <c r="D1110">
        <v>4</v>
      </c>
      <c r="F1110">
        <v>1109</v>
      </c>
      <c r="G1110" cm="1">
        <f t="array" ref="G1110">_xlfn.IFNA(INDEX($D$2:$D$4001,_xlfn.XMATCH(G$1&amp;"-"&amp;$F1110,YEAR($B$2:$B$4001)&amp;"-"&amp;$A$2:$A$4001,0,-1)),9)</f>
        <v>4</v>
      </c>
      <c r="H1110" cm="1">
        <f t="array" ref="H1110">IF(OR(AND(G1110=9,H$1&gt;YEAR($N1110))),9,_xlfn.IFNA(INDEX($D$2:$D$4001,_xlfn.XMATCH(H$1&amp;"-"&amp;$F1110,YEAR($B$2:$B$4001)&amp;"-"&amp;$A$2:$A$4001,0,-1)),G1110))</f>
        <v>4</v>
      </c>
      <c r="I1110" cm="1">
        <f t="array" ref="I1110">IF(OR(AND(H1110=9,I$1&gt;YEAR($N1110))),9,_xlfn.IFNA(INDEX($D$2:$D$4001,_xlfn.XMATCH(I$1&amp;"-"&amp;$F1110,YEAR($B$2:$B$4001)&amp;"-"&amp;$A$2:$A$4001,0,-1)),H1110))</f>
        <v>4</v>
      </c>
      <c r="J1110" cm="1">
        <f t="array" ref="J1110">IF(OR(AND(I1110=9,J$1&gt;YEAR($N1110))),9,_xlfn.IFNA(INDEX($D$2:$D$4001,_xlfn.XMATCH(J$1&amp;"-"&amp;$F1110,YEAR($B$2:$B$4001)&amp;"-"&amp;$A$2:$A$4001,0,-1)),I1110))</f>
        <v>3</v>
      </c>
      <c r="K1110" cm="1">
        <f t="array" ref="K1110">IF(OR(AND(J1110=9,K$1&gt;YEAR($N1110))),9,_xlfn.IFNA(INDEX($D$2:$D$4001,_xlfn.XMATCH(K$1&amp;"-"&amp;$F1110,YEAR($B$2:$B$4001)&amp;"-"&amp;$A$2:$A$4001,0,-1)),J1110))</f>
        <v>3</v>
      </c>
      <c r="L1110" cm="1">
        <f t="array" ref="L1110">IF(OR(AND(K1110=9,L$1&gt;YEAR($N1110))),9,_xlfn.IFNA(INDEX($D$2:$D$4001,_xlfn.XMATCH(L$1&amp;"-"&amp;$F1110,YEAR($B$2:$B$4001)&amp;"-"&amp;$A$2:$A$4001,0,-1)),K1110))</f>
        <v>3</v>
      </c>
      <c r="M1110" cm="1">
        <f t="array" ref="M1110">IF(OR(AND(L1110=9,M$1&gt;YEAR($N1110))),9,_xlfn.IFNA(INDEX($D$2:$D$4001,_xlfn.XMATCH(M$1&amp;"-"&amp;$F1110,YEAR($B$2:$B$4001)&amp;"-"&amp;$A$2:$A$4001,0,-1)),L1110))</f>
        <v>3</v>
      </c>
      <c r="N1110" s="1">
        <f t="shared" si="17"/>
        <v>36371</v>
      </c>
    </row>
    <row r="1111" spans="1:14" x14ac:dyDescent="0.35">
      <c r="A1111">
        <v>540</v>
      </c>
      <c r="B1111" s="2">
        <v>37985</v>
      </c>
      <c r="C1111">
        <v>3</v>
      </c>
      <c r="D1111">
        <v>3</v>
      </c>
      <c r="F1111">
        <v>1110</v>
      </c>
      <c r="G1111" cm="1">
        <f t="array" ref="G1111">_xlfn.IFNA(INDEX($D$2:$D$4001,_xlfn.XMATCH(G$1&amp;"-"&amp;$F1111,YEAR($B$2:$B$4001)&amp;"-"&amp;$A$2:$A$4001,0,-1)),9)</f>
        <v>9</v>
      </c>
      <c r="H1111" cm="1">
        <f t="array" ref="H1111">IF(OR(AND(G1111=9,H$1&gt;YEAR($N1111))),9,_xlfn.IFNA(INDEX($D$2:$D$4001,_xlfn.XMATCH(H$1&amp;"-"&amp;$F1111,YEAR($B$2:$B$4001)&amp;"-"&amp;$A$2:$A$4001,0,-1)),G1111))</f>
        <v>0</v>
      </c>
      <c r="I1111" cm="1">
        <f t="array" ref="I1111">IF(OR(AND(H1111=9,I$1&gt;YEAR($N1111))),9,_xlfn.IFNA(INDEX($D$2:$D$4001,_xlfn.XMATCH(I$1&amp;"-"&amp;$F1111,YEAR($B$2:$B$4001)&amp;"-"&amp;$A$2:$A$4001,0,-1)),H1111))</f>
        <v>0</v>
      </c>
      <c r="J1111" cm="1">
        <f t="array" ref="J1111">IF(OR(AND(I1111=9,J$1&gt;YEAR($N1111))),9,_xlfn.IFNA(INDEX($D$2:$D$4001,_xlfn.XMATCH(J$1&amp;"-"&amp;$F1111,YEAR($B$2:$B$4001)&amp;"-"&amp;$A$2:$A$4001,0,-1)),I1111))</f>
        <v>0</v>
      </c>
      <c r="K1111" cm="1">
        <f t="array" ref="K1111">IF(OR(AND(J1111=9,K$1&gt;YEAR($N1111))),9,_xlfn.IFNA(INDEX($D$2:$D$4001,_xlfn.XMATCH(K$1&amp;"-"&amp;$F1111,YEAR($B$2:$B$4001)&amp;"-"&amp;$A$2:$A$4001,0,-1)),J1111))</f>
        <v>0</v>
      </c>
      <c r="L1111" cm="1">
        <f t="array" ref="L1111">IF(OR(AND(K1111=9,L$1&gt;YEAR($N1111))),9,_xlfn.IFNA(INDEX($D$2:$D$4001,_xlfn.XMATCH(L$1&amp;"-"&amp;$F1111,YEAR($B$2:$B$4001)&amp;"-"&amp;$A$2:$A$4001,0,-1)),K1111))</f>
        <v>0</v>
      </c>
      <c r="M1111" cm="1">
        <f t="array" ref="M1111">IF(OR(AND(L1111=9,M$1&gt;YEAR($N1111))),9,_xlfn.IFNA(INDEX($D$2:$D$4001,_xlfn.XMATCH(M$1&amp;"-"&amp;$F1111,YEAR($B$2:$B$4001)&amp;"-"&amp;$A$2:$A$4001,0,-1)),L1111))</f>
        <v>0</v>
      </c>
      <c r="N1111" s="1">
        <f t="shared" si="17"/>
        <v>36667</v>
      </c>
    </row>
    <row r="1112" spans="1:14" x14ac:dyDescent="0.35">
      <c r="A1112">
        <v>540</v>
      </c>
      <c r="B1112" s="2">
        <v>38137</v>
      </c>
      <c r="C1112">
        <v>3</v>
      </c>
      <c r="D1112">
        <v>3</v>
      </c>
      <c r="F1112">
        <v>1111</v>
      </c>
      <c r="G1112" cm="1">
        <f t="array" ref="G1112">_xlfn.IFNA(INDEX($D$2:$D$4001,_xlfn.XMATCH(G$1&amp;"-"&amp;$F1112,YEAR($B$2:$B$4001)&amp;"-"&amp;$A$2:$A$4001,0,-1)),9)</f>
        <v>9</v>
      </c>
      <c r="H1112" cm="1">
        <f t="array" ref="H1112">IF(OR(AND(G1112=9,H$1&gt;YEAR($N1112))),9,_xlfn.IFNA(INDEX($D$2:$D$4001,_xlfn.XMATCH(H$1&amp;"-"&amp;$F1112,YEAR($B$2:$B$4001)&amp;"-"&amp;$A$2:$A$4001,0,-1)),G1112))</f>
        <v>9</v>
      </c>
      <c r="I1112" cm="1">
        <f t="array" ref="I1112">IF(OR(AND(H1112=9,I$1&gt;YEAR($N1112))),9,_xlfn.IFNA(INDEX($D$2:$D$4001,_xlfn.XMATCH(I$1&amp;"-"&amp;$F1112,YEAR($B$2:$B$4001)&amp;"-"&amp;$A$2:$A$4001,0,-1)),H1112))</f>
        <v>9</v>
      </c>
      <c r="J1112" cm="1">
        <f t="array" ref="J1112">IF(OR(AND(I1112=9,J$1&gt;YEAR($N1112))),9,_xlfn.IFNA(INDEX($D$2:$D$4001,_xlfn.XMATCH(J$1&amp;"-"&amp;$F1112,YEAR($B$2:$B$4001)&amp;"-"&amp;$A$2:$A$4001,0,-1)),I1112))</f>
        <v>9</v>
      </c>
      <c r="K1112" cm="1">
        <f t="array" ref="K1112">IF(OR(AND(J1112=9,K$1&gt;YEAR($N1112))),9,_xlfn.IFNA(INDEX($D$2:$D$4001,_xlfn.XMATCH(K$1&amp;"-"&amp;$F1112,YEAR($B$2:$B$4001)&amp;"-"&amp;$A$2:$A$4001,0,-1)),J1112))</f>
        <v>9</v>
      </c>
      <c r="L1112" cm="1">
        <f t="array" ref="L1112">IF(OR(AND(K1112=9,L$1&gt;YEAR($N1112))),9,_xlfn.IFNA(INDEX($D$2:$D$4001,_xlfn.XMATCH(L$1&amp;"-"&amp;$F1112,YEAR($B$2:$B$4001)&amp;"-"&amp;$A$2:$A$4001,0,-1)),K1112))</f>
        <v>4</v>
      </c>
      <c r="M1112" cm="1">
        <f t="array" ref="M1112">IF(OR(AND(L1112=9,M$1&gt;YEAR($N1112))),9,_xlfn.IFNA(INDEX($D$2:$D$4001,_xlfn.XMATCH(M$1&amp;"-"&amp;$F1112,YEAR($B$2:$B$4001)&amp;"-"&amp;$A$2:$A$4001,0,-1)),L1112))</f>
        <v>4</v>
      </c>
      <c r="N1112" s="1">
        <f t="shared" si="17"/>
        <v>38137</v>
      </c>
    </row>
    <row r="1113" spans="1:14" x14ac:dyDescent="0.35">
      <c r="A1113">
        <v>541</v>
      </c>
      <c r="B1113" s="2">
        <v>37255</v>
      </c>
      <c r="C1113">
        <v>5</v>
      </c>
      <c r="D1113">
        <v>5</v>
      </c>
      <c r="F1113">
        <v>1112</v>
      </c>
      <c r="G1113" cm="1">
        <f t="array" ref="G1113">_xlfn.IFNA(INDEX($D$2:$D$4001,_xlfn.XMATCH(G$1&amp;"-"&amp;$F1113,YEAR($B$2:$B$4001)&amp;"-"&amp;$A$2:$A$4001,0,-1)),9)</f>
        <v>9</v>
      </c>
      <c r="H1113" cm="1">
        <f t="array" ref="H1113">IF(OR(AND(G1113=9,H$1&gt;YEAR($N1113))),9,_xlfn.IFNA(INDEX($D$2:$D$4001,_xlfn.XMATCH(H$1&amp;"-"&amp;$F1113,YEAR($B$2:$B$4001)&amp;"-"&amp;$A$2:$A$4001,0,-1)),G1113))</f>
        <v>9</v>
      </c>
      <c r="I1113" cm="1">
        <f t="array" ref="I1113">IF(OR(AND(H1113=9,I$1&gt;YEAR($N1113))),9,_xlfn.IFNA(INDEX($D$2:$D$4001,_xlfn.XMATCH(I$1&amp;"-"&amp;$F1113,YEAR($B$2:$B$4001)&amp;"-"&amp;$A$2:$A$4001,0,-1)),H1113))</f>
        <v>9</v>
      </c>
      <c r="J1113" cm="1">
        <f t="array" ref="J1113">IF(OR(AND(I1113=9,J$1&gt;YEAR($N1113))),9,_xlfn.IFNA(INDEX($D$2:$D$4001,_xlfn.XMATCH(J$1&amp;"-"&amp;$F1113,YEAR($B$2:$B$4001)&amp;"-"&amp;$A$2:$A$4001,0,-1)),I1113))</f>
        <v>9</v>
      </c>
      <c r="K1113" cm="1">
        <f t="array" ref="K1113">IF(OR(AND(J1113=9,K$1&gt;YEAR($N1113))),9,_xlfn.IFNA(INDEX($D$2:$D$4001,_xlfn.XMATCH(K$1&amp;"-"&amp;$F1113,YEAR($B$2:$B$4001)&amp;"-"&amp;$A$2:$A$4001,0,-1)),J1113))</f>
        <v>9</v>
      </c>
      <c r="L1113" cm="1">
        <f t="array" ref="L1113">IF(OR(AND(K1113=9,L$1&gt;YEAR($N1113))),9,_xlfn.IFNA(INDEX($D$2:$D$4001,_xlfn.XMATCH(L$1&amp;"-"&amp;$F1113,YEAR($B$2:$B$4001)&amp;"-"&amp;$A$2:$A$4001,0,-1)),K1113))</f>
        <v>0</v>
      </c>
      <c r="M1113" cm="1">
        <f t="array" ref="M1113">IF(OR(AND(L1113=9,M$1&gt;YEAR($N1113))),9,_xlfn.IFNA(INDEX($D$2:$D$4001,_xlfn.XMATCH(M$1&amp;"-"&amp;$F1113,YEAR($B$2:$B$4001)&amp;"-"&amp;$A$2:$A$4001,0,-1)),L1113))</f>
        <v>0</v>
      </c>
      <c r="N1113" s="1">
        <f t="shared" si="17"/>
        <v>38131</v>
      </c>
    </row>
    <row r="1114" spans="1:14" x14ac:dyDescent="0.35">
      <c r="A1114">
        <v>541</v>
      </c>
      <c r="B1114" s="2">
        <v>37762</v>
      </c>
      <c r="C1114">
        <v>6</v>
      </c>
      <c r="D1114">
        <v>6</v>
      </c>
      <c r="F1114">
        <v>1113</v>
      </c>
      <c r="G1114" cm="1">
        <f t="array" ref="G1114">_xlfn.IFNA(INDEX($D$2:$D$4001,_xlfn.XMATCH(G$1&amp;"-"&amp;$F1114,YEAR($B$2:$B$4001)&amp;"-"&amp;$A$2:$A$4001,0,-1)),9)</f>
        <v>7</v>
      </c>
      <c r="H1114" cm="1">
        <f t="array" ref="H1114">IF(OR(AND(G1114=9,H$1&gt;YEAR($N1114))),9,_xlfn.IFNA(INDEX($D$2:$D$4001,_xlfn.XMATCH(H$1&amp;"-"&amp;$F1114,YEAR($B$2:$B$4001)&amp;"-"&amp;$A$2:$A$4001,0,-1)),G1114))</f>
        <v>7</v>
      </c>
      <c r="I1114" cm="1">
        <f t="array" ref="I1114">IF(OR(AND(H1114=9,I$1&gt;YEAR($N1114))),9,_xlfn.IFNA(INDEX($D$2:$D$4001,_xlfn.XMATCH(I$1&amp;"-"&amp;$F1114,YEAR($B$2:$B$4001)&amp;"-"&amp;$A$2:$A$4001,0,-1)),H1114))</f>
        <v>7</v>
      </c>
      <c r="J1114" cm="1">
        <f t="array" ref="J1114">IF(OR(AND(I1114=9,J$1&gt;YEAR($N1114))),9,_xlfn.IFNA(INDEX($D$2:$D$4001,_xlfn.XMATCH(J$1&amp;"-"&amp;$F1114,YEAR($B$2:$B$4001)&amp;"-"&amp;$A$2:$A$4001,0,-1)),I1114))</f>
        <v>7</v>
      </c>
      <c r="K1114" cm="1">
        <f t="array" ref="K1114">IF(OR(AND(J1114=9,K$1&gt;YEAR($N1114))),9,_xlfn.IFNA(INDEX($D$2:$D$4001,_xlfn.XMATCH(K$1&amp;"-"&amp;$F1114,YEAR($B$2:$B$4001)&amp;"-"&amp;$A$2:$A$4001,0,-1)),J1114))</f>
        <v>7</v>
      </c>
      <c r="L1114" cm="1">
        <f t="array" ref="L1114">IF(OR(AND(K1114=9,L$1&gt;YEAR($N1114))),9,_xlfn.IFNA(INDEX($D$2:$D$4001,_xlfn.XMATCH(L$1&amp;"-"&amp;$F1114,YEAR($B$2:$B$4001)&amp;"-"&amp;$A$2:$A$4001,0,-1)),K1114))</f>
        <v>7</v>
      </c>
      <c r="M1114" cm="1">
        <f t="array" ref="M1114">IF(OR(AND(L1114=9,M$1&gt;YEAR($N1114))),9,_xlfn.IFNA(INDEX($D$2:$D$4001,_xlfn.XMATCH(M$1&amp;"-"&amp;$F1114,YEAR($B$2:$B$4001)&amp;"-"&amp;$A$2:$A$4001,0,-1)),L1114))</f>
        <v>7</v>
      </c>
      <c r="N1114" s="1">
        <f t="shared" si="17"/>
        <v>36524</v>
      </c>
    </row>
    <row r="1115" spans="1:14" x14ac:dyDescent="0.35">
      <c r="A1115">
        <v>542</v>
      </c>
      <c r="B1115" s="2">
        <v>37041</v>
      </c>
      <c r="C1115">
        <v>3</v>
      </c>
      <c r="D1115">
        <v>3</v>
      </c>
      <c r="F1115">
        <v>1114</v>
      </c>
      <c r="G1115" cm="1">
        <f t="array" ref="G1115">_xlfn.IFNA(INDEX($D$2:$D$4001,_xlfn.XMATCH(G$1&amp;"-"&amp;$F1115,YEAR($B$2:$B$4001)&amp;"-"&amp;$A$2:$A$4001,0,-1)),9)</f>
        <v>6</v>
      </c>
      <c r="H1115" cm="1">
        <f t="array" ref="H1115">IF(OR(AND(G1115=9,H$1&gt;YEAR($N1115))),9,_xlfn.IFNA(INDEX($D$2:$D$4001,_xlfn.XMATCH(H$1&amp;"-"&amp;$F1115,YEAR($B$2:$B$4001)&amp;"-"&amp;$A$2:$A$4001,0,-1)),G1115))</f>
        <v>8</v>
      </c>
      <c r="I1115" cm="1">
        <f t="array" ref="I1115">IF(OR(AND(H1115=9,I$1&gt;YEAR($N1115))),9,_xlfn.IFNA(INDEX($D$2:$D$4001,_xlfn.XMATCH(I$1&amp;"-"&amp;$F1115,YEAR($B$2:$B$4001)&amp;"-"&amp;$A$2:$A$4001,0,-1)),H1115))</f>
        <v>8</v>
      </c>
      <c r="J1115" cm="1">
        <f t="array" ref="J1115">IF(OR(AND(I1115=9,J$1&gt;YEAR($N1115))),9,_xlfn.IFNA(INDEX($D$2:$D$4001,_xlfn.XMATCH(J$1&amp;"-"&amp;$F1115,YEAR($B$2:$B$4001)&amp;"-"&amp;$A$2:$A$4001,0,-1)),I1115))</f>
        <v>8</v>
      </c>
      <c r="K1115" cm="1">
        <f t="array" ref="K1115">IF(OR(AND(J1115=9,K$1&gt;YEAR($N1115))),9,_xlfn.IFNA(INDEX($D$2:$D$4001,_xlfn.XMATCH(K$1&amp;"-"&amp;$F1115,YEAR($B$2:$B$4001)&amp;"-"&amp;$A$2:$A$4001,0,-1)),J1115))</f>
        <v>8</v>
      </c>
      <c r="L1115" cm="1">
        <f t="array" ref="L1115">IF(OR(AND(K1115=9,L$1&gt;YEAR($N1115))),9,_xlfn.IFNA(INDEX($D$2:$D$4001,_xlfn.XMATCH(L$1&amp;"-"&amp;$F1115,YEAR($B$2:$B$4001)&amp;"-"&amp;$A$2:$A$4001,0,-1)),K1115))</f>
        <v>8</v>
      </c>
      <c r="M1115" cm="1">
        <f t="array" ref="M1115">IF(OR(AND(L1115=9,M$1&gt;YEAR($N1115))),9,_xlfn.IFNA(INDEX($D$2:$D$4001,_xlfn.XMATCH(M$1&amp;"-"&amp;$F1115,YEAR($B$2:$B$4001)&amp;"-"&amp;$A$2:$A$4001,0,-1)),L1115))</f>
        <v>8</v>
      </c>
      <c r="N1115" s="1">
        <f t="shared" si="17"/>
        <v>36424</v>
      </c>
    </row>
    <row r="1116" spans="1:14" x14ac:dyDescent="0.35">
      <c r="A1116">
        <v>542</v>
      </c>
      <c r="B1116" s="2">
        <v>37620</v>
      </c>
      <c r="C1116">
        <v>3</v>
      </c>
      <c r="D1116">
        <v>3</v>
      </c>
      <c r="F1116">
        <v>1115</v>
      </c>
      <c r="G1116" cm="1">
        <f t="array" ref="G1116">_xlfn.IFNA(INDEX($D$2:$D$4001,_xlfn.XMATCH(G$1&amp;"-"&amp;$F1116,YEAR($B$2:$B$4001)&amp;"-"&amp;$A$2:$A$4001,0,-1)),9)</f>
        <v>5</v>
      </c>
      <c r="H1116" cm="1">
        <f t="array" ref="H1116">IF(OR(AND(G1116=9,H$1&gt;YEAR($N1116))),9,_xlfn.IFNA(INDEX($D$2:$D$4001,_xlfn.XMATCH(H$1&amp;"-"&amp;$F1116,YEAR($B$2:$B$4001)&amp;"-"&amp;$A$2:$A$4001,0,-1)),G1116))</f>
        <v>6</v>
      </c>
      <c r="I1116" cm="1">
        <f t="array" ref="I1116">IF(OR(AND(H1116=9,I$1&gt;YEAR($N1116))),9,_xlfn.IFNA(INDEX($D$2:$D$4001,_xlfn.XMATCH(I$1&amp;"-"&amp;$F1116,YEAR($B$2:$B$4001)&amp;"-"&amp;$A$2:$A$4001,0,-1)),H1116))</f>
        <v>5</v>
      </c>
      <c r="J1116" cm="1">
        <f t="array" ref="J1116">IF(OR(AND(I1116=9,J$1&gt;YEAR($N1116))),9,_xlfn.IFNA(INDEX($D$2:$D$4001,_xlfn.XMATCH(J$1&amp;"-"&amp;$F1116,YEAR($B$2:$B$4001)&amp;"-"&amp;$A$2:$A$4001,0,-1)),I1116))</f>
        <v>5</v>
      </c>
      <c r="K1116" cm="1">
        <f t="array" ref="K1116">IF(OR(AND(J1116=9,K$1&gt;YEAR($N1116))),9,_xlfn.IFNA(INDEX($D$2:$D$4001,_xlfn.XMATCH(K$1&amp;"-"&amp;$F1116,YEAR($B$2:$B$4001)&amp;"-"&amp;$A$2:$A$4001,0,-1)),J1116))</f>
        <v>5</v>
      </c>
      <c r="L1116" cm="1">
        <f t="array" ref="L1116">IF(OR(AND(K1116=9,L$1&gt;YEAR($N1116))),9,_xlfn.IFNA(INDEX($D$2:$D$4001,_xlfn.XMATCH(L$1&amp;"-"&amp;$F1116,YEAR($B$2:$B$4001)&amp;"-"&amp;$A$2:$A$4001,0,-1)),K1116))</f>
        <v>5</v>
      </c>
      <c r="M1116" cm="1">
        <f t="array" ref="M1116">IF(OR(AND(L1116=9,M$1&gt;YEAR($N1116))),9,_xlfn.IFNA(INDEX($D$2:$D$4001,_xlfn.XMATCH(M$1&amp;"-"&amp;$F1116,YEAR($B$2:$B$4001)&amp;"-"&amp;$A$2:$A$4001,0,-1)),L1116))</f>
        <v>5</v>
      </c>
      <c r="N1116" s="1">
        <f t="shared" si="17"/>
        <v>36524</v>
      </c>
    </row>
    <row r="1117" spans="1:14" x14ac:dyDescent="0.35">
      <c r="A1117">
        <v>543</v>
      </c>
      <c r="B1117" s="2">
        <v>36362</v>
      </c>
      <c r="C1117">
        <v>0</v>
      </c>
      <c r="D1117">
        <v>0</v>
      </c>
      <c r="F1117">
        <v>1116</v>
      </c>
      <c r="G1117" cm="1">
        <f t="array" ref="G1117">_xlfn.IFNA(INDEX($D$2:$D$4001,_xlfn.XMATCH(G$1&amp;"-"&amp;$F1117,YEAR($B$2:$B$4001)&amp;"-"&amp;$A$2:$A$4001,0,-1)),9)</f>
        <v>9</v>
      </c>
      <c r="H1117" cm="1">
        <f t="array" ref="H1117">IF(OR(AND(G1117=9,H$1&gt;YEAR($N1117))),9,_xlfn.IFNA(INDEX($D$2:$D$4001,_xlfn.XMATCH(H$1&amp;"-"&amp;$F1117,YEAR($B$2:$B$4001)&amp;"-"&amp;$A$2:$A$4001,0,-1)),G1117))</f>
        <v>9</v>
      </c>
      <c r="I1117" cm="1">
        <f t="array" ref="I1117">IF(OR(AND(H1117=9,I$1&gt;YEAR($N1117))),9,_xlfn.IFNA(INDEX($D$2:$D$4001,_xlfn.XMATCH(I$1&amp;"-"&amp;$F1117,YEAR($B$2:$B$4001)&amp;"-"&amp;$A$2:$A$4001,0,-1)),H1117))</f>
        <v>9</v>
      </c>
      <c r="J1117" cm="1">
        <f t="array" ref="J1117">IF(OR(AND(I1117=9,J$1&gt;YEAR($N1117))),9,_xlfn.IFNA(INDEX($D$2:$D$4001,_xlfn.XMATCH(J$1&amp;"-"&amp;$F1117,YEAR($B$2:$B$4001)&amp;"-"&amp;$A$2:$A$4001,0,-1)),I1117))</f>
        <v>9</v>
      </c>
      <c r="K1117" cm="1">
        <f t="array" ref="K1117">IF(OR(AND(J1117=9,K$1&gt;YEAR($N1117))),9,_xlfn.IFNA(INDEX($D$2:$D$4001,_xlfn.XMATCH(K$1&amp;"-"&amp;$F1117,YEAR($B$2:$B$4001)&amp;"-"&amp;$A$2:$A$4001,0,-1)),J1117))</f>
        <v>9</v>
      </c>
      <c r="L1117" cm="1">
        <f t="array" ref="L1117">IF(OR(AND(K1117=9,L$1&gt;YEAR($N1117))),9,_xlfn.IFNA(INDEX($D$2:$D$4001,_xlfn.XMATCH(L$1&amp;"-"&amp;$F1117,YEAR($B$2:$B$4001)&amp;"-"&amp;$A$2:$A$4001,0,-1)),K1117))</f>
        <v>4</v>
      </c>
      <c r="M1117" cm="1">
        <f t="array" ref="M1117">IF(OR(AND(L1117=9,M$1&gt;YEAR($N1117))),9,_xlfn.IFNA(INDEX($D$2:$D$4001,_xlfn.XMATCH(M$1&amp;"-"&amp;$F1117,YEAR($B$2:$B$4001)&amp;"-"&amp;$A$2:$A$4001,0,-1)),L1117))</f>
        <v>4</v>
      </c>
      <c r="N1117" s="1">
        <f t="shared" si="17"/>
        <v>38128</v>
      </c>
    </row>
    <row r="1118" spans="1:14" x14ac:dyDescent="0.35">
      <c r="A1118">
        <v>543</v>
      </c>
      <c r="B1118" s="2">
        <v>36433</v>
      </c>
      <c r="C1118">
        <v>5</v>
      </c>
      <c r="D1118">
        <v>5</v>
      </c>
      <c r="F1118">
        <v>1117</v>
      </c>
      <c r="G1118" cm="1">
        <f t="array" ref="G1118">_xlfn.IFNA(INDEX($D$2:$D$4001,_xlfn.XMATCH(G$1&amp;"-"&amp;$F1118,YEAR($B$2:$B$4001)&amp;"-"&amp;$A$2:$A$4001,0,-1)),9)</f>
        <v>6</v>
      </c>
      <c r="H1118" cm="1">
        <f t="array" ref="H1118">IF(OR(AND(G1118=9,H$1&gt;YEAR($N1118))),9,_xlfn.IFNA(INDEX($D$2:$D$4001,_xlfn.XMATCH(H$1&amp;"-"&amp;$F1118,YEAR($B$2:$B$4001)&amp;"-"&amp;$A$2:$A$4001,0,-1)),G1118))</f>
        <v>0</v>
      </c>
      <c r="I1118" cm="1">
        <f t="array" ref="I1118">IF(OR(AND(H1118=9,I$1&gt;YEAR($N1118))),9,_xlfn.IFNA(INDEX($D$2:$D$4001,_xlfn.XMATCH(I$1&amp;"-"&amp;$F1118,YEAR($B$2:$B$4001)&amp;"-"&amp;$A$2:$A$4001,0,-1)),H1118))</f>
        <v>0</v>
      </c>
      <c r="J1118" cm="1">
        <f t="array" ref="J1118">IF(OR(AND(I1118=9,J$1&gt;YEAR($N1118))),9,_xlfn.IFNA(INDEX($D$2:$D$4001,_xlfn.XMATCH(J$1&amp;"-"&amp;$F1118,YEAR($B$2:$B$4001)&amp;"-"&amp;$A$2:$A$4001,0,-1)),I1118))</f>
        <v>0</v>
      </c>
      <c r="K1118" cm="1">
        <f t="array" ref="K1118">IF(OR(AND(J1118=9,K$1&gt;YEAR($N1118))),9,_xlfn.IFNA(INDEX($D$2:$D$4001,_xlfn.XMATCH(K$1&amp;"-"&amp;$F1118,YEAR($B$2:$B$4001)&amp;"-"&amp;$A$2:$A$4001,0,-1)),J1118))</f>
        <v>0</v>
      </c>
      <c r="L1118" cm="1">
        <f t="array" ref="L1118">IF(OR(AND(K1118=9,L$1&gt;YEAR($N1118))),9,_xlfn.IFNA(INDEX($D$2:$D$4001,_xlfn.XMATCH(L$1&amp;"-"&amp;$F1118,YEAR($B$2:$B$4001)&amp;"-"&amp;$A$2:$A$4001,0,-1)),K1118))</f>
        <v>0</v>
      </c>
      <c r="M1118" cm="1">
        <f t="array" ref="M1118">IF(OR(AND(L1118=9,M$1&gt;YEAR($N1118))),9,_xlfn.IFNA(INDEX($D$2:$D$4001,_xlfn.XMATCH(M$1&amp;"-"&amp;$F1118,YEAR($B$2:$B$4001)&amp;"-"&amp;$A$2:$A$4001,0,-1)),L1118))</f>
        <v>0</v>
      </c>
      <c r="N1118" s="1">
        <f t="shared" si="17"/>
        <v>36310</v>
      </c>
    </row>
    <row r="1119" spans="1:14" x14ac:dyDescent="0.35">
      <c r="A1119">
        <v>544</v>
      </c>
      <c r="B1119" s="2">
        <v>36853</v>
      </c>
      <c r="C1119">
        <v>3</v>
      </c>
      <c r="D1119">
        <v>3</v>
      </c>
      <c r="F1119">
        <v>1118</v>
      </c>
      <c r="G1119" cm="1">
        <f t="array" ref="G1119">_xlfn.IFNA(INDEX($D$2:$D$4001,_xlfn.XMATCH(G$1&amp;"-"&amp;$F1119,YEAR($B$2:$B$4001)&amp;"-"&amp;$A$2:$A$4001,0,-1)),9)</f>
        <v>4</v>
      </c>
      <c r="H1119" cm="1">
        <f t="array" ref="H1119">IF(OR(AND(G1119=9,H$1&gt;YEAR($N1119))),9,_xlfn.IFNA(INDEX($D$2:$D$4001,_xlfn.XMATCH(H$1&amp;"-"&amp;$F1119,YEAR($B$2:$B$4001)&amp;"-"&amp;$A$2:$A$4001,0,-1)),G1119))</f>
        <v>4</v>
      </c>
      <c r="I1119" cm="1">
        <f t="array" ref="I1119">IF(OR(AND(H1119=9,I$1&gt;YEAR($N1119))),9,_xlfn.IFNA(INDEX($D$2:$D$4001,_xlfn.XMATCH(I$1&amp;"-"&amp;$F1119,YEAR($B$2:$B$4001)&amp;"-"&amp;$A$2:$A$4001,0,-1)),H1119))</f>
        <v>4</v>
      </c>
      <c r="J1119" cm="1">
        <f t="array" ref="J1119">IF(OR(AND(I1119=9,J$1&gt;YEAR($N1119))),9,_xlfn.IFNA(INDEX($D$2:$D$4001,_xlfn.XMATCH(J$1&amp;"-"&amp;$F1119,YEAR($B$2:$B$4001)&amp;"-"&amp;$A$2:$A$4001,0,-1)),I1119))</f>
        <v>4</v>
      </c>
      <c r="K1119" cm="1">
        <f t="array" ref="K1119">IF(OR(AND(J1119=9,K$1&gt;YEAR($N1119))),9,_xlfn.IFNA(INDEX($D$2:$D$4001,_xlfn.XMATCH(K$1&amp;"-"&amp;$F1119,YEAR($B$2:$B$4001)&amp;"-"&amp;$A$2:$A$4001,0,-1)),J1119))</f>
        <v>4</v>
      </c>
      <c r="L1119" cm="1">
        <f t="array" ref="L1119">IF(OR(AND(K1119=9,L$1&gt;YEAR($N1119))),9,_xlfn.IFNA(INDEX($D$2:$D$4001,_xlfn.XMATCH(L$1&amp;"-"&amp;$F1119,YEAR($B$2:$B$4001)&amp;"-"&amp;$A$2:$A$4001,0,-1)),K1119))</f>
        <v>4</v>
      </c>
      <c r="M1119" cm="1">
        <f t="array" ref="M1119">IF(OR(AND(L1119=9,M$1&gt;YEAR($N1119))),9,_xlfn.IFNA(INDEX($D$2:$D$4001,_xlfn.XMATCH(M$1&amp;"-"&amp;$F1119,YEAR($B$2:$B$4001)&amp;"-"&amp;$A$2:$A$4001,0,-1)),L1119))</f>
        <v>3</v>
      </c>
      <c r="N1119" s="1">
        <f t="shared" si="17"/>
        <v>36310</v>
      </c>
    </row>
    <row r="1120" spans="1:14" x14ac:dyDescent="0.35">
      <c r="A1120">
        <v>544</v>
      </c>
      <c r="B1120" s="2">
        <v>37550</v>
      </c>
      <c r="C1120">
        <v>0</v>
      </c>
      <c r="D1120">
        <v>0</v>
      </c>
      <c r="F1120">
        <v>1119</v>
      </c>
      <c r="G1120" cm="1">
        <f t="array" ref="G1120">_xlfn.IFNA(INDEX($D$2:$D$4001,_xlfn.XMATCH(G$1&amp;"-"&amp;$F1120,YEAR($B$2:$B$4001)&amp;"-"&amp;$A$2:$A$4001,0,-1)),9)</f>
        <v>9</v>
      </c>
      <c r="H1120" cm="1">
        <f t="array" ref="H1120">IF(OR(AND(G1120=9,H$1&gt;YEAR($N1120))),9,_xlfn.IFNA(INDEX($D$2:$D$4001,_xlfn.XMATCH(H$1&amp;"-"&amp;$F1120,YEAR($B$2:$B$4001)&amp;"-"&amp;$A$2:$A$4001,0,-1)),G1120))</f>
        <v>9</v>
      </c>
      <c r="I1120" cm="1">
        <f t="array" ref="I1120">IF(OR(AND(H1120=9,I$1&gt;YEAR($N1120))),9,_xlfn.IFNA(INDEX($D$2:$D$4001,_xlfn.XMATCH(I$1&amp;"-"&amp;$F1120,YEAR($B$2:$B$4001)&amp;"-"&amp;$A$2:$A$4001,0,-1)),H1120))</f>
        <v>3</v>
      </c>
      <c r="J1120" cm="1">
        <f t="array" ref="J1120">IF(OR(AND(I1120=9,J$1&gt;YEAR($N1120))),9,_xlfn.IFNA(INDEX($D$2:$D$4001,_xlfn.XMATCH(J$1&amp;"-"&amp;$F1120,YEAR($B$2:$B$4001)&amp;"-"&amp;$A$2:$A$4001,0,-1)),I1120))</f>
        <v>3</v>
      </c>
      <c r="K1120" cm="1">
        <f t="array" ref="K1120">IF(OR(AND(J1120=9,K$1&gt;YEAR($N1120))),9,_xlfn.IFNA(INDEX($D$2:$D$4001,_xlfn.XMATCH(K$1&amp;"-"&amp;$F1120,YEAR($B$2:$B$4001)&amp;"-"&amp;$A$2:$A$4001,0,-1)),J1120))</f>
        <v>4</v>
      </c>
      <c r="L1120" cm="1">
        <f t="array" ref="L1120">IF(OR(AND(K1120=9,L$1&gt;YEAR($N1120))),9,_xlfn.IFNA(INDEX($D$2:$D$4001,_xlfn.XMATCH(L$1&amp;"-"&amp;$F1120,YEAR($B$2:$B$4001)&amp;"-"&amp;$A$2:$A$4001,0,-1)),K1120))</f>
        <v>3</v>
      </c>
      <c r="M1120" cm="1">
        <f t="array" ref="M1120">IF(OR(AND(L1120=9,M$1&gt;YEAR($N1120))),9,_xlfn.IFNA(INDEX($D$2:$D$4001,_xlfn.XMATCH(M$1&amp;"-"&amp;$F1120,YEAR($B$2:$B$4001)&amp;"-"&amp;$A$2:$A$4001,0,-1)),L1120))</f>
        <v>3</v>
      </c>
      <c r="N1120" s="1">
        <f t="shared" si="17"/>
        <v>37032</v>
      </c>
    </row>
    <row r="1121" spans="1:14" x14ac:dyDescent="0.35">
      <c r="A1121">
        <v>545</v>
      </c>
      <c r="B1121" s="2">
        <v>37590</v>
      </c>
      <c r="C1121">
        <v>3</v>
      </c>
      <c r="D1121">
        <v>3</v>
      </c>
      <c r="F1121">
        <v>1120</v>
      </c>
      <c r="G1121" cm="1">
        <f t="array" ref="G1121">_xlfn.IFNA(INDEX($D$2:$D$4001,_xlfn.XMATCH(G$1&amp;"-"&amp;$F1121,YEAR($B$2:$B$4001)&amp;"-"&amp;$A$2:$A$4001,0,-1)),9)</f>
        <v>4</v>
      </c>
      <c r="H1121" cm="1">
        <f t="array" ref="H1121">IF(OR(AND(G1121=9,H$1&gt;YEAR($N1121))),9,_xlfn.IFNA(INDEX($D$2:$D$4001,_xlfn.XMATCH(H$1&amp;"-"&amp;$F1121,YEAR($B$2:$B$4001)&amp;"-"&amp;$A$2:$A$4001,0,-1)),G1121))</f>
        <v>4</v>
      </c>
      <c r="I1121" cm="1">
        <f t="array" ref="I1121">IF(OR(AND(H1121=9,I$1&gt;YEAR($N1121))),9,_xlfn.IFNA(INDEX($D$2:$D$4001,_xlfn.XMATCH(I$1&amp;"-"&amp;$F1121,YEAR($B$2:$B$4001)&amp;"-"&amp;$A$2:$A$4001,0,-1)),H1121))</f>
        <v>4</v>
      </c>
      <c r="J1121" cm="1">
        <f t="array" ref="J1121">IF(OR(AND(I1121=9,J$1&gt;YEAR($N1121))),9,_xlfn.IFNA(INDEX($D$2:$D$4001,_xlfn.XMATCH(J$1&amp;"-"&amp;$F1121,YEAR($B$2:$B$4001)&amp;"-"&amp;$A$2:$A$4001,0,-1)),I1121))</f>
        <v>4</v>
      </c>
      <c r="K1121" cm="1">
        <f t="array" ref="K1121">IF(OR(AND(J1121=9,K$1&gt;YEAR($N1121))),9,_xlfn.IFNA(INDEX($D$2:$D$4001,_xlfn.XMATCH(K$1&amp;"-"&amp;$F1121,YEAR($B$2:$B$4001)&amp;"-"&amp;$A$2:$A$4001,0,-1)),J1121))</f>
        <v>4</v>
      </c>
      <c r="L1121" cm="1">
        <f t="array" ref="L1121">IF(OR(AND(K1121=9,L$1&gt;YEAR($N1121))),9,_xlfn.IFNA(INDEX($D$2:$D$4001,_xlfn.XMATCH(L$1&amp;"-"&amp;$F1121,YEAR($B$2:$B$4001)&amp;"-"&amp;$A$2:$A$4001,0,-1)),K1121))</f>
        <v>4</v>
      </c>
      <c r="M1121" cm="1">
        <f t="array" ref="M1121">IF(OR(AND(L1121=9,M$1&gt;YEAR($N1121))),9,_xlfn.IFNA(INDEX($D$2:$D$4001,_xlfn.XMATCH(M$1&amp;"-"&amp;$F1121,YEAR($B$2:$B$4001)&amp;"-"&amp;$A$2:$A$4001,0,-1)),L1121))</f>
        <v>4</v>
      </c>
      <c r="N1121" s="1">
        <f t="shared" si="17"/>
        <v>36310</v>
      </c>
    </row>
    <row r="1122" spans="1:14" x14ac:dyDescent="0.35">
      <c r="A1122">
        <v>546</v>
      </c>
      <c r="B1122" s="2">
        <v>37102</v>
      </c>
      <c r="C1122">
        <v>4</v>
      </c>
      <c r="D1122">
        <v>4</v>
      </c>
      <c r="F1122">
        <v>1121</v>
      </c>
      <c r="G1122" cm="1">
        <f t="array" ref="G1122">_xlfn.IFNA(INDEX($D$2:$D$4001,_xlfn.XMATCH(G$1&amp;"-"&amp;$F1122,YEAR($B$2:$B$4001)&amp;"-"&amp;$A$2:$A$4001,0,-1)),9)</f>
        <v>4</v>
      </c>
      <c r="H1122" cm="1">
        <f t="array" ref="H1122">IF(OR(AND(G1122=9,H$1&gt;YEAR($N1122))),9,_xlfn.IFNA(INDEX($D$2:$D$4001,_xlfn.XMATCH(H$1&amp;"-"&amp;$F1122,YEAR($B$2:$B$4001)&amp;"-"&amp;$A$2:$A$4001,0,-1)),G1122))</f>
        <v>4</v>
      </c>
      <c r="I1122" cm="1">
        <f t="array" ref="I1122">IF(OR(AND(H1122=9,I$1&gt;YEAR($N1122))),9,_xlfn.IFNA(INDEX($D$2:$D$4001,_xlfn.XMATCH(I$1&amp;"-"&amp;$F1122,YEAR($B$2:$B$4001)&amp;"-"&amp;$A$2:$A$4001,0,-1)),H1122))</f>
        <v>4</v>
      </c>
      <c r="J1122" cm="1">
        <f t="array" ref="J1122">IF(OR(AND(I1122=9,J$1&gt;YEAR($N1122))),9,_xlfn.IFNA(INDEX($D$2:$D$4001,_xlfn.XMATCH(J$1&amp;"-"&amp;$F1122,YEAR($B$2:$B$4001)&amp;"-"&amp;$A$2:$A$4001,0,-1)),I1122))</f>
        <v>4</v>
      </c>
      <c r="K1122" cm="1">
        <f t="array" ref="K1122">IF(OR(AND(J1122=9,K$1&gt;YEAR($N1122))),9,_xlfn.IFNA(INDEX($D$2:$D$4001,_xlfn.XMATCH(K$1&amp;"-"&amp;$F1122,YEAR($B$2:$B$4001)&amp;"-"&amp;$A$2:$A$4001,0,-1)),J1122))</f>
        <v>4</v>
      </c>
      <c r="L1122" cm="1">
        <f t="array" ref="L1122">IF(OR(AND(K1122=9,L$1&gt;YEAR($N1122))),9,_xlfn.IFNA(INDEX($D$2:$D$4001,_xlfn.XMATCH(L$1&amp;"-"&amp;$F1122,YEAR($B$2:$B$4001)&amp;"-"&amp;$A$2:$A$4001,0,-1)),K1122))</f>
        <v>4</v>
      </c>
      <c r="M1122" cm="1">
        <f t="array" ref="M1122">IF(OR(AND(L1122=9,M$1&gt;YEAR($N1122))),9,_xlfn.IFNA(INDEX($D$2:$D$4001,_xlfn.XMATCH(M$1&amp;"-"&amp;$F1122,YEAR($B$2:$B$4001)&amp;"-"&amp;$A$2:$A$4001,0,-1)),L1122))</f>
        <v>4</v>
      </c>
      <c r="N1122" s="1">
        <f t="shared" si="17"/>
        <v>36310</v>
      </c>
    </row>
    <row r="1123" spans="1:14" x14ac:dyDescent="0.35">
      <c r="A1123">
        <v>546</v>
      </c>
      <c r="B1123" s="2">
        <v>38351</v>
      </c>
      <c r="C1123">
        <v>4</v>
      </c>
      <c r="D1123">
        <v>4</v>
      </c>
      <c r="F1123">
        <v>1122</v>
      </c>
      <c r="G1123" cm="1">
        <f t="array" ref="G1123">_xlfn.IFNA(INDEX($D$2:$D$4001,_xlfn.XMATCH(G$1&amp;"-"&amp;$F1123,YEAR($B$2:$B$4001)&amp;"-"&amp;$A$2:$A$4001,0,-1)),9)</f>
        <v>9</v>
      </c>
      <c r="H1123" cm="1">
        <f t="array" ref="H1123">IF(OR(AND(G1123=9,H$1&gt;YEAR($N1123))),9,_xlfn.IFNA(INDEX($D$2:$D$4001,_xlfn.XMATCH(H$1&amp;"-"&amp;$F1123,YEAR($B$2:$B$4001)&amp;"-"&amp;$A$2:$A$4001,0,-1)),G1123))</f>
        <v>9</v>
      </c>
      <c r="I1123" cm="1">
        <f t="array" ref="I1123">IF(OR(AND(H1123=9,I$1&gt;YEAR($N1123))),9,_xlfn.IFNA(INDEX($D$2:$D$4001,_xlfn.XMATCH(I$1&amp;"-"&amp;$F1123,YEAR($B$2:$B$4001)&amp;"-"&amp;$A$2:$A$4001,0,-1)),H1123))</f>
        <v>9</v>
      </c>
      <c r="J1123" cm="1">
        <f t="array" ref="J1123">IF(OR(AND(I1123=9,J$1&gt;YEAR($N1123))),9,_xlfn.IFNA(INDEX($D$2:$D$4001,_xlfn.XMATCH(J$1&amp;"-"&amp;$F1123,YEAR($B$2:$B$4001)&amp;"-"&amp;$A$2:$A$4001,0,-1)),I1123))</f>
        <v>3</v>
      </c>
      <c r="K1123" cm="1">
        <f t="array" ref="K1123">IF(OR(AND(J1123=9,K$1&gt;YEAR($N1123))),9,_xlfn.IFNA(INDEX($D$2:$D$4001,_xlfn.XMATCH(K$1&amp;"-"&amp;$F1123,YEAR($B$2:$B$4001)&amp;"-"&amp;$A$2:$A$4001,0,-1)),J1123))</f>
        <v>4</v>
      </c>
      <c r="L1123" cm="1">
        <f t="array" ref="L1123">IF(OR(AND(K1123=9,L$1&gt;YEAR($N1123))),9,_xlfn.IFNA(INDEX($D$2:$D$4001,_xlfn.XMATCH(L$1&amp;"-"&amp;$F1123,YEAR($B$2:$B$4001)&amp;"-"&amp;$A$2:$A$4001,0,-1)),K1123))</f>
        <v>4</v>
      </c>
      <c r="M1123" cm="1">
        <f t="array" ref="M1123">IF(OR(AND(L1123=9,M$1&gt;YEAR($N1123))),9,_xlfn.IFNA(INDEX($D$2:$D$4001,_xlfn.XMATCH(M$1&amp;"-"&amp;$F1123,YEAR($B$2:$B$4001)&amp;"-"&amp;$A$2:$A$4001,0,-1)),L1123))</f>
        <v>4</v>
      </c>
      <c r="N1123" s="1">
        <f t="shared" si="17"/>
        <v>37406</v>
      </c>
    </row>
    <row r="1124" spans="1:14" x14ac:dyDescent="0.35">
      <c r="A1124">
        <v>547</v>
      </c>
      <c r="B1124" s="2">
        <v>37041</v>
      </c>
      <c r="C1124">
        <v>6</v>
      </c>
      <c r="D1124">
        <v>6</v>
      </c>
      <c r="F1124">
        <v>1123</v>
      </c>
      <c r="G1124" cm="1">
        <f t="array" ref="G1124">_xlfn.IFNA(INDEX($D$2:$D$4001,_xlfn.XMATCH(G$1&amp;"-"&amp;$F1124,YEAR($B$2:$B$4001)&amp;"-"&amp;$A$2:$A$4001,0,-1)),9)</f>
        <v>9</v>
      </c>
      <c r="H1124" cm="1">
        <f t="array" ref="H1124">IF(OR(AND(G1124=9,H$1&gt;YEAR($N1124))),9,_xlfn.IFNA(INDEX($D$2:$D$4001,_xlfn.XMATCH(H$1&amp;"-"&amp;$F1124,YEAR($B$2:$B$4001)&amp;"-"&amp;$A$2:$A$4001,0,-1)),G1124))</f>
        <v>4</v>
      </c>
      <c r="I1124" cm="1">
        <f t="array" ref="I1124">IF(OR(AND(H1124=9,I$1&gt;YEAR($N1124))),9,_xlfn.IFNA(INDEX($D$2:$D$4001,_xlfn.XMATCH(I$1&amp;"-"&amp;$F1124,YEAR($B$2:$B$4001)&amp;"-"&amp;$A$2:$A$4001,0,-1)),H1124))</f>
        <v>4</v>
      </c>
      <c r="J1124" cm="1">
        <f t="array" ref="J1124">IF(OR(AND(I1124=9,J$1&gt;YEAR($N1124))),9,_xlfn.IFNA(INDEX($D$2:$D$4001,_xlfn.XMATCH(J$1&amp;"-"&amp;$F1124,YEAR($B$2:$B$4001)&amp;"-"&amp;$A$2:$A$4001,0,-1)),I1124))</f>
        <v>4</v>
      </c>
      <c r="K1124" cm="1">
        <f t="array" ref="K1124">IF(OR(AND(J1124=9,K$1&gt;YEAR($N1124))),9,_xlfn.IFNA(INDEX($D$2:$D$4001,_xlfn.XMATCH(K$1&amp;"-"&amp;$F1124,YEAR($B$2:$B$4001)&amp;"-"&amp;$A$2:$A$4001,0,-1)),J1124))</f>
        <v>4</v>
      </c>
      <c r="L1124" cm="1">
        <f t="array" ref="L1124">IF(OR(AND(K1124=9,L$1&gt;YEAR($N1124))),9,_xlfn.IFNA(INDEX($D$2:$D$4001,_xlfn.XMATCH(L$1&amp;"-"&amp;$F1124,YEAR($B$2:$B$4001)&amp;"-"&amp;$A$2:$A$4001,0,-1)),K1124))</f>
        <v>4</v>
      </c>
      <c r="M1124" cm="1">
        <f t="array" ref="M1124">IF(OR(AND(L1124=9,M$1&gt;YEAR($N1124))),9,_xlfn.IFNA(INDEX($D$2:$D$4001,_xlfn.XMATCH(M$1&amp;"-"&amp;$F1124,YEAR($B$2:$B$4001)&amp;"-"&amp;$A$2:$A$4001,0,-1)),L1124))</f>
        <v>4</v>
      </c>
      <c r="N1124" s="1">
        <f t="shared" si="17"/>
        <v>36671</v>
      </c>
    </row>
    <row r="1125" spans="1:14" x14ac:dyDescent="0.35">
      <c r="A1125">
        <v>547</v>
      </c>
      <c r="B1125" s="2">
        <v>37255</v>
      </c>
      <c r="C1125">
        <v>6</v>
      </c>
      <c r="D1125">
        <v>6</v>
      </c>
      <c r="F1125">
        <v>1124</v>
      </c>
      <c r="G1125" cm="1">
        <f t="array" ref="G1125">_xlfn.IFNA(INDEX($D$2:$D$4001,_xlfn.XMATCH(G$1&amp;"-"&amp;$F1125,YEAR($B$2:$B$4001)&amp;"-"&amp;$A$2:$A$4001,0,-1)),9)</f>
        <v>9</v>
      </c>
      <c r="H1125" cm="1">
        <f t="array" ref="H1125">IF(OR(AND(G1125=9,H$1&gt;YEAR($N1125))),9,_xlfn.IFNA(INDEX($D$2:$D$4001,_xlfn.XMATCH(H$1&amp;"-"&amp;$F1125,YEAR($B$2:$B$4001)&amp;"-"&amp;$A$2:$A$4001,0,-1)),G1125))</f>
        <v>9</v>
      </c>
      <c r="I1125" cm="1">
        <f t="array" ref="I1125">IF(OR(AND(H1125=9,I$1&gt;YEAR($N1125))),9,_xlfn.IFNA(INDEX($D$2:$D$4001,_xlfn.XMATCH(I$1&amp;"-"&amp;$F1125,YEAR($B$2:$B$4001)&amp;"-"&amp;$A$2:$A$4001,0,-1)),H1125))</f>
        <v>9</v>
      </c>
      <c r="J1125" cm="1">
        <f t="array" ref="J1125">IF(OR(AND(I1125=9,J$1&gt;YEAR($N1125))),9,_xlfn.IFNA(INDEX($D$2:$D$4001,_xlfn.XMATCH(J$1&amp;"-"&amp;$F1125,YEAR($B$2:$B$4001)&amp;"-"&amp;$A$2:$A$4001,0,-1)),I1125))</f>
        <v>9</v>
      </c>
      <c r="K1125" cm="1">
        <f t="array" ref="K1125">IF(OR(AND(J1125=9,K$1&gt;YEAR($N1125))),9,_xlfn.IFNA(INDEX($D$2:$D$4001,_xlfn.XMATCH(K$1&amp;"-"&amp;$F1125,YEAR($B$2:$B$4001)&amp;"-"&amp;$A$2:$A$4001,0,-1)),J1125))</f>
        <v>9</v>
      </c>
      <c r="L1125" cm="1">
        <f t="array" ref="L1125">IF(OR(AND(K1125=9,L$1&gt;YEAR($N1125))),9,_xlfn.IFNA(INDEX($D$2:$D$4001,_xlfn.XMATCH(L$1&amp;"-"&amp;$F1125,YEAR($B$2:$B$4001)&amp;"-"&amp;$A$2:$A$4001,0,-1)),K1125))</f>
        <v>4</v>
      </c>
      <c r="M1125" cm="1">
        <f t="array" ref="M1125">IF(OR(AND(L1125=9,M$1&gt;YEAR($N1125))),9,_xlfn.IFNA(INDEX($D$2:$D$4001,_xlfn.XMATCH(M$1&amp;"-"&amp;$F1125,YEAR($B$2:$B$4001)&amp;"-"&amp;$A$2:$A$4001,0,-1)),L1125))</f>
        <v>4</v>
      </c>
      <c r="N1125" s="1">
        <f t="shared" si="17"/>
        <v>38351</v>
      </c>
    </row>
    <row r="1126" spans="1:14" x14ac:dyDescent="0.35">
      <c r="A1126">
        <v>547</v>
      </c>
      <c r="B1126" s="2">
        <v>37771</v>
      </c>
      <c r="C1126">
        <v>0</v>
      </c>
      <c r="D1126">
        <v>0</v>
      </c>
      <c r="F1126">
        <v>1125</v>
      </c>
      <c r="G1126" cm="1">
        <f t="array" ref="G1126">_xlfn.IFNA(INDEX($D$2:$D$4001,_xlfn.XMATCH(G$1&amp;"-"&amp;$F1126,YEAR($B$2:$B$4001)&amp;"-"&amp;$A$2:$A$4001,0,-1)),9)</f>
        <v>9</v>
      </c>
      <c r="H1126" cm="1">
        <f t="array" ref="H1126">IF(OR(AND(G1126=9,H$1&gt;YEAR($N1126))),9,_xlfn.IFNA(INDEX($D$2:$D$4001,_xlfn.XMATCH(H$1&amp;"-"&amp;$F1126,YEAR($B$2:$B$4001)&amp;"-"&amp;$A$2:$A$4001,0,-1)),G1126))</f>
        <v>9</v>
      </c>
      <c r="I1126" cm="1">
        <f t="array" ref="I1126">IF(OR(AND(H1126=9,I$1&gt;YEAR($N1126))),9,_xlfn.IFNA(INDEX($D$2:$D$4001,_xlfn.XMATCH(I$1&amp;"-"&amp;$F1126,YEAR($B$2:$B$4001)&amp;"-"&amp;$A$2:$A$4001,0,-1)),H1126))</f>
        <v>9</v>
      </c>
      <c r="J1126" cm="1">
        <f t="array" ref="J1126">IF(OR(AND(I1126=9,J$1&gt;YEAR($N1126))),9,_xlfn.IFNA(INDEX($D$2:$D$4001,_xlfn.XMATCH(J$1&amp;"-"&amp;$F1126,YEAR($B$2:$B$4001)&amp;"-"&amp;$A$2:$A$4001,0,-1)),I1126))</f>
        <v>4</v>
      </c>
      <c r="K1126" cm="1">
        <f t="array" ref="K1126">IF(OR(AND(J1126=9,K$1&gt;YEAR($N1126))),9,_xlfn.IFNA(INDEX($D$2:$D$4001,_xlfn.XMATCH(K$1&amp;"-"&amp;$F1126,YEAR($B$2:$B$4001)&amp;"-"&amp;$A$2:$A$4001,0,-1)),J1126))</f>
        <v>4</v>
      </c>
      <c r="L1126" cm="1">
        <f t="array" ref="L1126">IF(OR(AND(K1126=9,L$1&gt;YEAR($N1126))),9,_xlfn.IFNA(INDEX($D$2:$D$4001,_xlfn.XMATCH(L$1&amp;"-"&amp;$F1126,YEAR($B$2:$B$4001)&amp;"-"&amp;$A$2:$A$4001,0,-1)),K1126))</f>
        <v>4</v>
      </c>
      <c r="M1126" cm="1">
        <f t="array" ref="M1126">IF(OR(AND(L1126=9,M$1&gt;YEAR($N1126))),9,_xlfn.IFNA(INDEX($D$2:$D$4001,_xlfn.XMATCH(M$1&amp;"-"&amp;$F1126,YEAR($B$2:$B$4001)&amp;"-"&amp;$A$2:$A$4001,0,-1)),L1126))</f>
        <v>4</v>
      </c>
      <c r="N1126" s="1">
        <f t="shared" si="17"/>
        <v>37620</v>
      </c>
    </row>
    <row r="1127" spans="1:14" x14ac:dyDescent="0.35">
      <c r="A1127">
        <v>547</v>
      </c>
      <c r="B1127" s="2">
        <v>37955</v>
      </c>
      <c r="C1127">
        <v>8</v>
      </c>
      <c r="D1127">
        <v>8</v>
      </c>
      <c r="F1127">
        <v>1126</v>
      </c>
      <c r="G1127" cm="1">
        <f t="array" ref="G1127">_xlfn.IFNA(INDEX($D$2:$D$4001,_xlfn.XMATCH(G$1&amp;"-"&amp;$F1127,YEAR($B$2:$B$4001)&amp;"-"&amp;$A$2:$A$4001,0,-1)),9)</f>
        <v>4</v>
      </c>
      <c r="H1127" cm="1">
        <f t="array" ref="H1127">IF(OR(AND(G1127=9,H$1&gt;YEAR($N1127))),9,_xlfn.IFNA(INDEX($D$2:$D$4001,_xlfn.XMATCH(H$1&amp;"-"&amp;$F1127,YEAR($B$2:$B$4001)&amp;"-"&amp;$A$2:$A$4001,0,-1)),G1127))</f>
        <v>4</v>
      </c>
      <c r="I1127" cm="1">
        <f t="array" ref="I1127">IF(OR(AND(H1127=9,I$1&gt;YEAR($N1127))),9,_xlfn.IFNA(INDEX($D$2:$D$4001,_xlfn.XMATCH(I$1&amp;"-"&amp;$F1127,YEAR($B$2:$B$4001)&amp;"-"&amp;$A$2:$A$4001,0,-1)),H1127))</f>
        <v>5</v>
      </c>
      <c r="J1127" cm="1">
        <f t="array" ref="J1127">IF(OR(AND(I1127=9,J$1&gt;YEAR($N1127))),9,_xlfn.IFNA(INDEX($D$2:$D$4001,_xlfn.XMATCH(J$1&amp;"-"&amp;$F1127,YEAR($B$2:$B$4001)&amp;"-"&amp;$A$2:$A$4001,0,-1)),I1127))</f>
        <v>6</v>
      </c>
      <c r="K1127" cm="1">
        <f t="array" ref="K1127">IF(OR(AND(J1127=9,K$1&gt;YEAR($N1127))),9,_xlfn.IFNA(INDEX($D$2:$D$4001,_xlfn.XMATCH(K$1&amp;"-"&amp;$F1127,YEAR($B$2:$B$4001)&amp;"-"&amp;$A$2:$A$4001,0,-1)),J1127))</f>
        <v>6</v>
      </c>
      <c r="L1127" cm="1">
        <f t="array" ref="L1127">IF(OR(AND(K1127=9,L$1&gt;YEAR($N1127))),9,_xlfn.IFNA(INDEX($D$2:$D$4001,_xlfn.XMATCH(L$1&amp;"-"&amp;$F1127,YEAR($B$2:$B$4001)&amp;"-"&amp;$A$2:$A$4001,0,-1)),K1127))</f>
        <v>6</v>
      </c>
      <c r="M1127" cm="1">
        <f t="array" ref="M1127">IF(OR(AND(L1127=9,M$1&gt;YEAR($N1127))),9,_xlfn.IFNA(INDEX($D$2:$D$4001,_xlfn.XMATCH(M$1&amp;"-"&amp;$F1127,YEAR($B$2:$B$4001)&amp;"-"&amp;$A$2:$A$4001,0,-1)),L1127))</f>
        <v>6</v>
      </c>
      <c r="N1127" s="1">
        <f t="shared" si="17"/>
        <v>36524</v>
      </c>
    </row>
    <row r="1128" spans="1:14" x14ac:dyDescent="0.35">
      <c r="A1128">
        <v>548</v>
      </c>
      <c r="B1128" s="2">
        <v>36890</v>
      </c>
      <c r="C1128">
        <v>3</v>
      </c>
      <c r="D1128">
        <v>3</v>
      </c>
      <c r="F1128">
        <v>1127</v>
      </c>
      <c r="G1128" cm="1">
        <f t="array" ref="G1128">_xlfn.IFNA(INDEX($D$2:$D$4001,_xlfn.XMATCH(G$1&amp;"-"&amp;$F1128,YEAR($B$2:$B$4001)&amp;"-"&amp;$A$2:$A$4001,0,-1)),9)</f>
        <v>9</v>
      </c>
      <c r="H1128" cm="1">
        <f t="array" ref="H1128">IF(OR(AND(G1128=9,H$1&gt;YEAR($N1128))),9,_xlfn.IFNA(INDEX($D$2:$D$4001,_xlfn.XMATCH(H$1&amp;"-"&amp;$F1128,YEAR($B$2:$B$4001)&amp;"-"&amp;$A$2:$A$4001,0,-1)),G1128))</f>
        <v>9</v>
      </c>
      <c r="I1128" cm="1">
        <f t="array" ref="I1128">IF(OR(AND(H1128=9,I$1&gt;YEAR($N1128))),9,_xlfn.IFNA(INDEX($D$2:$D$4001,_xlfn.XMATCH(I$1&amp;"-"&amp;$F1128,YEAR($B$2:$B$4001)&amp;"-"&amp;$A$2:$A$4001,0,-1)),H1128))</f>
        <v>9</v>
      </c>
      <c r="J1128" cm="1">
        <f t="array" ref="J1128">IF(OR(AND(I1128=9,J$1&gt;YEAR($N1128))),9,_xlfn.IFNA(INDEX($D$2:$D$4001,_xlfn.XMATCH(J$1&amp;"-"&amp;$F1128,YEAR($B$2:$B$4001)&amp;"-"&amp;$A$2:$A$4001,0,-1)),I1128))</f>
        <v>2</v>
      </c>
      <c r="K1128" cm="1">
        <f t="array" ref="K1128">IF(OR(AND(J1128=9,K$1&gt;YEAR($N1128))),9,_xlfn.IFNA(INDEX($D$2:$D$4001,_xlfn.XMATCH(K$1&amp;"-"&amp;$F1128,YEAR($B$2:$B$4001)&amp;"-"&amp;$A$2:$A$4001,0,-1)),J1128))</f>
        <v>2</v>
      </c>
      <c r="L1128" cm="1">
        <f t="array" ref="L1128">IF(OR(AND(K1128=9,L$1&gt;YEAR($N1128))),9,_xlfn.IFNA(INDEX($D$2:$D$4001,_xlfn.XMATCH(L$1&amp;"-"&amp;$F1128,YEAR($B$2:$B$4001)&amp;"-"&amp;$A$2:$A$4001,0,-1)),K1128))</f>
        <v>2</v>
      </c>
      <c r="M1128" cm="1">
        <f t="array" ref="M1128">IF(OR(AND(L1128=9,M$1&gt;YEAR($N1128))),9,_xlfn.IFNA(INDEX($D$2:$D$4001,_xlfn.XMATCH(M$1&amp;"-"&amp;$F1128,YEAR($B$2:$B$4001)&amp;"-"&amp;$A$2:$A$4001,0,-1)),L1128))</f>
        <v>2</v>
      </c>
      <c r="N1128" s="1">
        <f t="shared" si="17"/>
        <v>37458</v>
      </c>
    </row>
    <row r="1129" spans="1:14" x14ac:dyDescent="0.35">
      <c r="A1129">
        <v>549</v>
      </c>
      <c r="B1129" s="2">
        <v>37955</v>
      </c>
      <c r="C1129">
        <v>3</v>
      </c>
      <c r="D1129">
        <v>3</v>
      </c>
      <c r="F1129">
        <v>1128</v>
      </c>
      <c r="G1129" cm="1">
        <f t="array" ref="G1129">_xlfn.IFNA(INDEX($D$2:$D$4001,_xlfn.XMATCH(G$1&amp;"-"&amp;$F1129,YEAR($B$2:$B$4001)&amp;"-"&amp;$A$2:$A$4001,0,-1)),9)</f>
        <v>9</v>
      </c>
      <c r="H1129" cm="1">
        <f t="array" ref="H1129">IF(OR(AND(G1129=9,H$1&gt;YEAR($N1129))),9,_xlfn.IFNA(INDEX($D$2:$D$4001,_xlfn.XMATCH(H$1&amp;"-"&amp;$F1129,YEAR($B$2:$B$4001)&amp;"-"&amp;$A$2:$A$4001,0,-1)),G1129))</f>
        <v>9</v>
      </c>
      <c r="I1129" cm="1">
        <f t="array" ref="I1129">IF(OR(AND(H1129=9,I$1&gt;YEAR($N1129))),9,_xlfn.IFNA(INDEX($D$2:$D$4001,_xlfn.XMATCH(I$1&amp;"-"&amp;$F1129,YEAR($B$2:$B$4001)&amp;"-"&amp;$A$2:$A$4001,0,-1)),H1129))</f>
        <v>9</v>
      </c>
      <c r="J1129" cm="1">
        <f t="array" ref="J1129">IF(OR(AND(I1129=9,J$1&gt;YEAR($N1129))),9,_xlfn.IFNA(INDEX($D$2:$D$4001,_xlfn.XMATCH(J$1&amp;"-"&amp;$F1129,YEAR($B$2:$B$4001)&amp;"-"&amp;$A$2:$A$4001,0,-1)),I1129))</f>
        <v>9</v>
      </c>
      <c r="K1129" cm="1">
        <f t="array" ref="K1129">IF(OR(AND(J1129=9,K$1&gt;YEAR($N1129))),9,_xlfn.IFNA(INDEX($D$2:$D$4001,_xlfn.XMATCH(K$1&amp;"-"&amp;$F1129,YEAR($B$2:$B$4001)&amp;"-"&amp;$A$2:$A$4001,0,-1)),J1129))</f>
        <v>9</v>
      </c>
      <c r="L1129" cm="1">
        <f t="array" ref="L1129">IF(OR(AND(K1129=9,L$1&gt;YEAR($N1129))),9,_xlfn.IFNA(INDEX($D$2:$D$4001,_xlfn.XMATCH(L$1&amp;"-"&amp;$F1129,YEAR($B$2:$B$4001)&amp;"-"&amp;$A$2:$A$4001,0,-1)),K1129))</f>
        <v>2</v>
      </c>
      <c r="M1129" cm="1">
        <f t="array" ref="M1129">IF(OR(AND(L1129=9,M$1&gt;YEAR($N1129))),9,_xlfn.IFNA(INDEX($D$2:$D$4001,_xlfn.XMATCH(M$1&amp;"-"&amp;$F1129,YEAR($B$2:$B$4001)&amp;"-"&amp;$A$2:$A$4001,0,-1)),L1129))</f>
        <v>2</v>
      </c>
      <c r="N1129" s="1">
        <f t="shared" si="17"/>
        <v>38351</v>
      </c>
    </row>
    <row r="1130" spans="1:14" x14ac:dyDescent="0.35">
      <c r="A1130">
        <v>550</v>
      </c>
      <c r="B1130" s="2">
        <v>36310</v>
      </c>
      <c r="C1130">
        <v>3</v>
      </c>
      <c r="D1130">
        <v>3</v>
      </c>
      <c r="F1130">
        <v>1129</v>
      </c>
      <c r="G1130" cm="1">
        <f t="array" ref="G1130">_xlfn.IFNA(INDEX($D$2:$D$4001,_xlfn.XMATCH(G$1&amp;"-"&amp;$F1130,YEAR($B$2:$B$4001)&amp;"-"&amp;$A$2:$A$4001,0,-1)),9)</f>
        <v>9</v>
      </c>
      <c r="H1130" cm="1">
        <f t="array" ref="H1130">IF(OR(AND(G1130=9,H$1&gt;YEAR($N1130))),9,_xlfn.IFNA(INDEX($D$2:$D$4001,_xlfn.XMATCH(H$1&amp;"-"&amp;$F1130,YEAR($B$2:$B$4001)&amp;"-"&amp;$A$2:$A$4001,0,-1)),G1130))</f>
        <v>9</v>
      </c>
      <c r="I1130" cm="1">
        <f t="array" ref="I1130">IF(OR(AND(H1130=9,I$1&gt;YEAR($N1130))),9,_xlfn.IFNA(INDEX($D$2:$D$4001,_xlfn.XMATCH(I$1&amp;"-"&amp;$F1130,YEAR($B$2:$B$4001)&amp;"-"&amp;$A$2:$A$4001,0,-1)),H1130))</f>
        <v>9</v>
      </c>
      <c r="J1130" cm="1">
        <f t="array" ref="J1130">IF(OR(AND(I1130=9,J$1&gt;YEAR($N1130))),9,_xlfn.IFNA(INDEX($D$2:$D$4001,_xlfn.XMATCH(J$1&amp;"-"&amp;$F1130,YEAR($B$2:$B$4001)&amp;"-"&amp;$A$2:$A$4001,0,-1)),I1130))</f>
        <v>0</v>
      </c>
      <c r="K1130" cm="1">
        <f t="array" ref="K1130">IF(OR(AND(J1130=9,K$1&gt;YEAR($N1130))),9,_xlfn.IFNA(INDEX($D$2:$D$4001,_xlfn.XMATCH(K$1&amp;"-"&amp;$F1130,YEAR($B$2:$B$4001)&amp;"-"&amp;$A$2:$A$4001,0,-1)),J1130))</f>
        <v>0</v>
      </c>
      <c r="L1130" cm="1">
        <f t="array" ref="L1130">IF(OR(AND(K1130=9,L$1&gt;YEAR($N1130))),9,_xlfn.IFNA(INDEX($D$2:$D$4001,_xlfn.XMATCH(L$1&amp;"-"&amp;$F1130,YEAR($B$2:$B$4001)&amp;"-"&amp;$A$2:$A$4001,0,-1)),K1130))</f>
        <v>0</v>
      </c>
      <c r="M1130" cm="1">
        <f t="array" ref="M1130">IF(OR(AND(L1130=9,M$1&gt;YEAR($N1130))),9,_xlfn.IFNA(INDEX($D$2:$D$4001,_xlfn.XMATCH(M$1&amp;"-"&amp;$F1130,YEAR($B$2:$B$4001)&amp;"-"&amp;$A$2:$A$4001,0,-1)),L1130))</f>
        <v>0</v>
      </c>
      <c r="N1130" s="1">
        <f t="shared" si="17"/>
        <v>37406</v>
      </c>
    </row>
    <row r="1131" spans="1:14" x14ac:dyDescent="0.35">
      <c r="A1131">
        <v>550</v>
      </c>
      <c r="B1131" s="2">
        <v>37620</v>
      </c>
      <c r="C1131">
        <v>0</v>
      </c>
      <c r="D1131">
        <v>0</v>
      </c>
      <c r="F1131">
        <v>1130</v>
      </c>
      <c r="G1131" cm="1">
        <f t="array" ref="G1131">_xlfn.IFNA(INDEX($D$2:$D$4001,_xlfn.XMATCH(G$1&amp;"-"&amp;$F1131,YEAR($B$2:$B$4001)&amp;"-"&amp;$A$2:$A$4001,0,-1)),9)</f>
        <v>9</v>
      </c>
      <c r="H1131" cm="1">
        <f t="array" ref="H1131">IF(OR(AND(G1131=9,H$1&gt;YEAR($N1131))),9,_xlfn.IFNA(INDEX($D$2:$D$4001,_xlfn.XMATCH(H$1&amp;"-"&amp;$F1131,YEAR($B$2:$B$4001)&amp;"-"&amp;$A$2:$A$4001,0,-1)),G1131))</f>
        <v>9</v>
      </c>
      <c r="I1131" cm="1">
        <f t="array" ref="I1131">IF(OR(AND(H1131=9,I$1&gt;YEAR($N1131))),9,_xlfn.IFNA(INDEX($D$2:$D$4001,_xlfn.XMATCH(I$1&amp;"-"&amp;$F1131,YEAR($B$2:$B$4001)&amp;"-"&amp;$A$2:$A$4001,0,-1)),H1131))</f>
        <v>9</v>
      </c>
      <c r="J1131" cm="1">
        <f t="array" ref="J1131">IF(OR(AND(I1131=9,J$1&gt;YEAR($N1131))),9,_xlfn.IFNA(INDEX($D$2:$D$4001,_xlfn.XMATCH(J$1&amp;"-"&amp;$F1131,YEAR($B$2:$B$4001)&amp;"-"&amp;$A$2:$A$4001,0,-1)),I1131))</f>
        <v>9</v>
      </c>
      <c r="K1131" cm="1">
        <f t="array" ref="K1131">IF(OR(AND(J1131=9,K$1&gt;YEAR($N1131))),9,_xlfn.IFNA(INDEX($D$2:$D$4001,_xlfn.XMATCH(K$1&amp;"-"&amp;$F1131,YEAR($B$2:$B$4001)&amp;"-"&amp;$A$2:$A$4001,0,-1)),J1131))</f>
        <v>9</v>
      </c>
      <c r="L1131" cm="1">
        <f t="array" ref="L1131">IF(OR(AND(K1131=9,L$1&gt;YEAR($N1131))),9,_xlfn.IFNA(INDEX($D$2:$D$4001,_xlfn.XMATCH(L$1&amp;"-"&amp;$F1131,YEAR($B$2:$B$4001)&amp;"-"&amp;$A$2:$A$4001,0,-1)),K1131))</f>
        <v>5</v>
      </c>
      <c r="M1131" cm="1">
        <f t="array" ref="M1131">IF(OR(AND(L1131=9,M$1&gt;YEAR($N1131))),9,_xlfn.IFNA(INDEX($D$2:$D$4001,_xlfn.XMATCH(M$1&amp;"-"&amp;$F1131,YEAR($B$2:$B$4001)&amp;"-"&amp;$A$2:$A$4001,0,-1)),L1131))</f>
        <v>5</v>
      </c>
      <c r="N1131" s="1">
        <f t="shared" si="17"/>
        <v>38128</v>
      </c>
    </row>
    <row r="1132" spans="1:14" x14ac:dyDescent="0.35">
      <c r="A1132">
        <v>551</v>
      </c>
      <c r="B1132" s="2">
        <v>36728</v>
      </c>
      <c r="C1132">
        <v>0</v>
      </c>
      <c r="D1132">
        <v>0</v>
      </c>
      <c r="F1132">
        <v>1131</v>
      </c>
      <c r="G1132" cm="1">
        <f t="array" ref="G1132">_xlfn.IFNA(INDEX($D$2:$D$4001,_xlfn.XMATCH(G$1&amp;"-"&amp;$F1132,YEAR($B$2:$B$4001)&amp;"-"&amp;$A$2:$A$4001,0,-1)),9)</f>
        <v>9</v>
      </c>
      <c r="H1132" cm="1">
        <f t="array" ref="H1132">IF(OR(AND(G1132=9,H$1&gt;YEAR($N1132))),9,_xlfn.IFNA(INDEX($D$2:$D$4001,_xlfn.XMATCH(H$1&amp;"-"&amp;$F1132,YEAR($B$2:$B$4001)&amp;"-"&amp;$A$2:$A$4001,0,-1)),G1132))</f>
        <v>9</v>
      </c>
      <c r="I1132" cm="1">
        <f t="array" ref="I1132">IF(OR(AND(H1132=9,I$1&gt;YEAR($N1132))),9,_xlfn.IFNA(INDEX($D$2:$D$4001,_xlfn.XMATCH(I$1&amp;"-"&amp;$F1132,YEAR($B$2:$B$4001)&amp;"-"&amp;$A$2:$A$4001,0,-1)),H1132))</f>
        <v>9</v>
      </c>
      <c r="J1132" cm="1">
        <f t="array" ref="J1132">IF(OR(AND(I1132=9,J$1&gt;YEAR($N1132))),9,_xlfn.IFNA(INDEX($D$2:$D$4001,_xlfn.XMATCH(J$1&amp;"-"&amp;$F1132,YEAR($B$2:$B$4001)&amp;"-"&amp;$A$2:$A$4001,0,-1)),I1132))</f>
        <v>3</v>
      </c>
      <c r="K1132" cm="1">
        <f t="array" ref="K1132">IF(OR(AND(J1132=9,K$1&gt;YEAR($N1132))),9,_xlfn.IFNA(INDEX($D$2:$D$4001,_xlfn.XMATCH(K$1&amp;"-"&amp;$F1132,YEAR($B$2:$B$4001)&amp;"-"&amp;$A$2:$A$4001,0,-1)),J1132))</f>
        <v>3</v>
      </c>
      <c r="L1132" cm="1">
        <f t="array" ref="L1132">IF(OR(AND(K1132=9,L$1&gt;YEAR($N1132))),9,_xlfn.IFNA(INDEX($D$2:$D$4001,_xlfn.XMATCH(L$1&amp;"-"&amp;$F1132,YEAR($B$2:$B$4001)&amp;"-"&amp;$A$2:$A$4001,0,-1)),K1132))</f>
        <v>3</v>
      </c>
      <c r="M1132" cm="1">
        <f t="array" ref="M1132">IF(OR(AND(L1132=9,M$1&gt;YEAR($N1132))),9,_xlfn.IFNA(INDEX($D$2:$D$4001,_xlfn.XMATCH(M$1&amp;"-"&amp;$F1132,YEAR($B$2:$B$4001)&amp;"-"&amp;$A$2:$A$4001,0,-1)),L1132))</f>
        <v>3</v>
      </c>
      <c r="N1132" s="1">
        <f t="shared" si="17"/>
        <v>37550</v>
      </c>
    </row>
    <row r="1133" spans="1:14" x14ac:dyDescent="0.35">
      <c r="A1133">
        <v>551</v>
      </c>
      <c r="B1133" s="2">
        <v>37428</v>
      </c>
      <c r="C1133">
        <v>3</v>
      </c>
      <c r="D1133">
        <v>3</v>
      </c>
      <c r="F1133">
        <v>1132</v>
      </c>
      <c r="G1133" cm="1">
        <f t="array" ref="G1133">_xlfn.IFNA(INDEX($D$2:$D$4001,_xlfn.XMATCH(G$1&amp;"-"&amp;$F1133,YEAR($B$2:$B$4001)&amp;"-"&amp;$A$2:$A$4001,0,-1)),9)</f>
        <v>9</v>
      </c>
      <c r="H1133" cm="1">
        <f t="array" ref="H1133">IF(OR(AND(G1133=9,H$1&gt;YEAR($N1133))),9,_xlfn.IFNA(INDEX($D$2:$D$4001,_xlfn.XMATCH(H$1&amp;"-"&amp;$F1133,YEAR($B$2:$B$4001)&amp;"-"&amp;$A$2:$A$4001,0,-1)),G1133))</f>
        <v>3</v>
      </c>
      <c r="I1133" cm="1">
        <f t="array" ref="I1133">IF(OR(AND(H1133=9,I$1&gt;YEAR($N1133))),9,_xlfn.IFNA(INDEX($D$2:$D$4001,_xlfn.XMATCH(I$1&amp;"-"&amp;$F1133,YEAR($B$2:$B$4001)&amp;"-"&amp;$A$2:$A$4001,0,-1)),H1133))</f>
        <v>3</v>
      </c>
      <c r="J1133" cm="1">
        <f t="array" ref="J1133">IF(OR(AND(I1133=9,J$1&gt;YEAR($N1133))),9,_xlfn.IFNA(INDEX($D$2:$D$4001,_xlfn.XMATCH(J$1&amp;"-"&amp;$F1133,YEAR($B$2:$B$4001)&amp;"-"&amp;$A$2:$A$4001,0,-1)),I1133))</f>
        <v>5</v>
      </c>
      <c r="K1133" cm="1">
        <f t="array" ref="K1133">IF(OR(AND(J1133=9,K$1&gt;YEAR($N1133))),9,_xlfn.IFNA(INDEX($D$2:$D$4001,_xlfn.XMATCH(K$1&amp;"-"&amp;$F1133,YEAR($B$2:$B$4001)&amp;"-"&amp;$A$2:$A$4001,0,-1)),J1133))</f>
        <v>5</v>
      </c>
      <c r="L1133" cm="1">
        <f t="array" ref="L1133">IF(OR(AND(K1133=9,L$1&gt;YEAR($N1133))),9,_xlfn.IFNA(INDEX($D$2:$D$4001,_xlfn.XMATCH(L$1&amp;"-"&amp;$F1133,YEAR($B$2:$B$4001)&amp;"-"&amp;$A$2:$A$4001,0,-1)),K1133))</f>
        <v>5</v>
      </c>
      <c r="M1133" cm="1">
        <f t="array" ref="M1133">IF(OR(AND(L1133=9,M$1&gt;YEAR($N1133))),9,_xlfn.IFNA(INDEX($D$2:$D$4001,_xlfn.XMATCH(M$1&amp;"-"&amp;$F1133,YEAR($B$2:$B$4001)&amp;"-"&amp;$A$2:$A$4001,0,-1)),L1133))</f>
        <v>5</v>
      </c>
      <c r="N1133" s="1">
        <f t="shared" si="17"/>
        <v>36676</v>
      </c>
    </row>
    <row r="1134" spans="1:14" x14ac:dyDescent="0.35">
      <c r="A1134">
        <v>551</v>
      </c>
      <c r="B1134" s="2">
        <v>37985</v>
      </c>
      <c r="C1134">
        <v>2</v>
      </c>
      <c r="D1134">
        <v>2</v>
      </c>
      <c r="F1134">
        <v>1133</v>
      </c>
      <c r="G1134" cm="1">
        <f t="array" ref="G1134">_xlfn.IFNA(INDEX($D$2:$D$4001,_xlfn.XMATCH(G$1&amp;"-"&amp;$F1134,YEAR($B$2:$B$4001)&amp;"-"&amp;$A$2:$A$4001,0,-1)),9)</f>
        <v>9</v>
      </c>
      <c r="H1134" cm="1">
        <f t="array" ref="H1134">IF(OR(AND(G1134=9,H$1&gt;YEAR($N1134))),9,_xlfn.IFNA(INDEX($D$2:$D$4001,_xlfn.XMATCH(H$1&amp;"-"&amp;$F1134,YEAR($B$2:$B$4001)&amp;"-"&amp;$A$2:$A$4001,0,-1)),G1134))</f>
        <v>9</v>
      </c>
      <c r="I1134" cm="1">
        <f t="array" ref="I1134">IF(OR(AND(H1134=9,I$1&gt;YEAR($N1134))),9,_xlfn.IFNA(INDEX($D$2:$D$4001,_xlfn.XMATCH(I$1&amp;"-"&amp;$F1134,YEAR($B$2:$B$4001)&amp;"-"&amp;$A$2:$A$4001,0,-1)),H1134))</f>
        <v>9</v>
      </c>
      <c r="J1134" cm="1">
        <f t="array" ref="J1134">IF(OR(AND(I1134=9,J$1&gt;YEAR($N1134))),9,_xlfn.IFNA(INDEX($D$2:$D$4001,_xlfn.XMATCH(J$1&amp;"-"&amp;$F1134,YEAR($B$2:$B$4001)&amp;"-"&amp;$A$2:$A$4001,0,-1)),I1134))</f>
        <v>9</v>
      </c>
      <c r="K1134" cm="1">
        <f t="array" ref="K1134">IF(OR(AND(J1134=9,K$1&gt;YEAR($N1134))),9,_xlfn.IFNA(INDEX($D$2:$D$4001,_xlfn.XMATCH(K$1&amp;"-"&amp;$F1134,YEAR($B$2:$B$4001)&amp;"-"&amp;$A$2:$A$4001,0,-1)),J1134))</f>
        <v>4</v>
      </c>
      <c r="L1134" cm="1">
        <f t="array" ref="L1134">IF(OR(AND(K1134=9,L$1&gt;YEAR($N1134))),9,_xlfn.IFNA(INDEX($D$2:$D$4001,_xlfn.XMATCH(L$1&amp;"-"&amp;$F1134,YEAR($B$2:$B$4001)&amp;"-"&amp;$A$2:$A$4001,0,-1)),K1134))</f>
        <v>4</v>
      </c>
      <c r="M1134" cm="1">
        <f t="array" ref="M1134">IF(OR(AND(L1134=9,M$1&gt;YEAR($N1134))),9,_xlfn.IFNA(INDEX($D$2:$D$4001,_xlfn.XMATCH(M$1&amp;"-"&amp;$F1134,YEAR($B$2:$B$4001)&amp;"-"&amp;$A$2:$A$4001,0,-1)),L1134))</f>
        <v>4</v>
      </c>
      <c r="N1134" s="1">
        <f t="shared" si="17"/>
        <v>37762</v>
      </c>
    </row>
    <row r="1135" spans="1:14" x14ac:dyDescent="0.35">
      <c r="A1135">
        <v>552</v>
      </c>
      <c r="B1135" s="2">
        <v>37406</v>
      </c>
      <c r="C1135">
        <v>4</v>
      </c>
      <c r="D1135">
        <v>4</v>
      </c>
      <c r="F1135">
        <v>1134</v>
      </c>
      <c r="G1135" cm="1">
        <f t="array" ref="G1135">_xlfn.IFNA(INDEX($D$2:$D$4001,_xlfn.XMATCH(G$1&amp;"-"&amp;$F1135,YEAR($B$2:$B$4001)&amp;"-"&amp;$A$2:$A$4001,0,-1)),9)</f>
        <v>9</v>
      </c>
      <c r="H1135" cm="1">
        <f t="array" ref="H1135">IF(OR(AND(G1135=9,H$1&gt;YEAR($N1135))),9,_xlfn.IFNA(INDEX($D$2:$D$4001,_xlfn.XMATCH(H$1&amp;"-"&amp;$F1135,YEAR($B$2:$B$4001)&amp;"-"&amp;$A$2:$A$4001,0,-1)),G1135))</f>
        <v>4</v>
      </c>
      <c r="I1135" cm="1">
        <f t="array" ref="I1135">IF(OR(AND(H1135=9,I$1&gt;YEAR($N1135))),9,_xlfn.IFNA(INDEX($D$2:$D$4001,_xlfn.XMATCH(I$1&amp;"-"&amp;$F1135,YEAR($B$2:$B$4001)&amp;"-"&amp;$A$2:$A$4001,0,-1)),H1135))</f>
        <v>4</v>
      </c>
      <c r="J1135" cm="1">
        <f t="array" ref="J1135">IF(OR(AND(I1135=9,J$1&gt;YEAR($N1135))),9,_xlfn.IFNA(INDEX($D$2:$D$4001,_xlfn.XMATCH(J$1&amp;"-"&amp;$F1135,YEAR($B$2:$B$4001)&amp;"-"&amp;$A$2:$A$4001,0,-1)),I1135))</f>
        <v>3</v>
      </c>
      <c r="K1135" cm="1">
        <f t="array" ref="K1135">IF(OR(AND(J1135=9,K$1&gt;YEAR($N1135))),9,_xlfn.IFNA(INDEX($D$2:$D$4001,_xlfn.XMATCH(K$1&amp;"-"&amp;$F1135,YEAR($B$2:$B$4001)&amp;"-"&amp;$A$2:$A$4001,0,-1)),J1135))</f>
        <v>3</v>
      </c>
      <c r="L1135" cm="1">
        <f t="array" ref="L1135">IF(OR(AND(K1135=9,L$1&gt;YEAR($N1135))),9,_xlfn.IFNA(INDEX($D$2:$D$4001,_xlfn.XMATCH(L$1&amp;"-"&amp;$F1135,YEAR($B$2:$B$4001)&amp;"-"&amp;$A$2:$A$4001,0,-1)),K1135))</f>
        <v>3</v>
      </c>
      <c r="M1135" cm="1">
        <f t="array" ref="M1135">IF(OR(AND(L1135=9,M$1&gt;YEAR($N1135))),9,_xlfn.IFNA(INDEX($D$2:$D$4001,_xlfn.XMATCH(M$1&amp;"-"&amp;$F1135,YEAR($B$2:$B$4001)&amp;"-"&amp;$A$2:$A$4001,0,-1)),L1135))</f>
        <v>3</v>
      </c>
      <c r="N1135" s="1">
        <f t="shared" si="17"/>
        <v>36890</v>
      </c>
    </row>
    <row r="1136" spans="1:14" x14ac:dyDescent="0.35">
      <c r="A1136">
        <v>552</v>
      </c>
      <c r="B1136" s="2">
        <v>37467</v>
      </c>
      <c r="C1136">
        <v>3</v>
      </c>
      <c r="D1136">
        <v>3</v>
      </c>
      <c r="F1136">
        <v>1135</v>
      </c>
      <c r="G1136" cm="1">
        <f t="array" ref="G1136">_xlfn.IFNA(INDEX($D$2:$D$4001,_xlfn.XMATCH(G$1&amp;"-"&amp;$F1136,YEAR($B$2:$B$4001)&amp;"-"&amp;$A$2:$A$4001,0,-1)),9)</f>
        <v>5</v>
      </c>
      <c r="H1136" cm="1">
        <f t="array" ref="H1136">IF(OR(AND(G1136=9,H$1&gt;YEAR($N1136))),9,_xlfn.IFNA(INDEX($D$2:$D$4001,_xlfn.XMATCH(H$1&amp;"-"&amp;$F1136,YEAR($B$2:$B$4001)&amp;"-"&amp;$A$2:$A$4001,0,-1)),G1136))</f>
        <v>5</v>
      </c>
      <c r="I1136" cm="1">
        <f t="array" ref="I1136">IF(OR(AND(H1136=9,I$1&gt;YEAR($N1136))),9,_xlfn.IFNA(INDEX($D$2:$D$4001,_xlfn.XMATCH(I$1&amp;"-"&amp;$F1136,YEAR($B$2:$B$4001)&amp;"-"&amp;$A$2:$A$4001,0,-1)),H1136))</f>
        <v>6</v>
      </c>
      <c r="J1136" cm="1">
        <f t="array" ref="J1136">IF(OR(AND(I1136=9,J$1&gt;YEAR($N1136))),9,_xlfn.IFNA(INDEX($D$2:$D$4001,_xlfn.XMATCH(J$1&amp;"-"&amp;$F1136,YEAR($B$2:$B$4001)&amp;"-"&amp;$A$2:$A$4001,0,-1)),I1136))</f>
        <v>7</v>
      </c>
      <c r="K1136" cm="1">
        <f t="array" ref="K1136">IF(OR(AND(J1136=9,K$1&gt;YEAR($N1136))),9,_xlfn.IFNA(INDEX($D$2:$D$4001,_xlfn.XMATCH(K$1&amp;"-"&amp;$F1136,YEAR($B$2:$B$4001)&amp;"-"&amp;$A$2:$A$4001,0,-1)),J1136))</f>
        <v>8</v>
      </c>
      <c r="L1136" cm="1">
        <f t="array" ref="L1136">IF(OR(AND(K1136=9,L$1&gt;YEAR($N1136))),9,_xlfn.IFNA(INDEX($D$2:$D$4001,_xlfn.XMATCH(L$1&amp;"-"&amp;$F1136,YEAR($B$2:$B$4001)&amp;"-"&amp;$A$2:$A$4001,0,-1)),K1136))</f>
        <v>8</v>
      </c>
      <c r="M1136" cm="1">
        <f t="array" ref="M1136">IF(OR(AND(L1136=9,M$1&gt;YEAR($N1136))),9,_xlfn.IFNA(INDEX($D$2:$D$4001,_xlfn.XMATCH(M$1&amp;"-"&amp;$F1136,YEAR($B$2:$B$4001)&amp;"-"&amp;$A$2:$A$4001,0,-1)),L1136))</f>
        <v>8</v>
      </c>
      <c r="N1136" s="1">
        <f t="shared" si="17"/>
        <v>36332</v>
      </c>
    </row>
    <row r="1137" spans="1:14" x14ac:dyDescent="0.35">
      <c r="A1137">
        <v>553</v>
      </c>
      <c r="B1137" s="2">
        <v>36667</v>
      </c>
      <c r="C1137">
        <v>6</v>
      </c>
      <c r="D1137">
        <v>6</v>
      </c>
      <c r="F1137">
        <v>1136</v>
      </c>
      <c r="G1137" cm="1">
        <f t="array" ref="G1137">_xlfn.IFNA(INDEX($D$2:$D$4001,_xlfn.XMATCH(G$1&amp;"-"&amp;$F1137,YEAR($B$2:$B$4001)&amp;"-"&amp;$A$2:$A$4001,0,-1)),9)</f>
        <v>9</v>
      </c>
      <c r="H1137" cm="1">
        <f t="array" ref="H1137">IF(OR(AND(G1137=9,H$1&gt;YEAR($N1137))),9,_xlfn.IFNA(INDEX($D$2:$D$4001,_xlfn.XMATCH(H$1&amp;"-"&amp;$F1137,YEAR($B$2:$B$4001)&amp;"-"&amp;$A$2:$A$4001,0,-1)),G1137))</f>
        <v>9</v>
      </c>
      <c r="I1137" cm="1">
        <f t="array" ref="I1137">IF(OR(AND(H1137=9,I$1&gt;YEAR($N1137))),9,_xlfn.IFNA(INDEX($D$2:$D$4001,_xlfn.XMATCH(I$1&amp;"-"&amp;$F1137,YEAR($B$2:$B$4001)&amp;"-"&amp;$A$2:$A$4001,0,-1)),H1137))</f>
        <v>3</v>
      </c>
      <c r="J1137" cm="1">
        <f t="array" ref="J1137">IF(OR(AND(I1137=9,J$1&gt;YEAR($N1137))),9,_xlfn.IFNA(INDEX($D$2:$D$4001,_xlfn.XMATCH(J$1&amp;"-"&amp;$F1137,YEAR($B$2:$B$4001)&amp;"-"&amp;$A$2:$A$4001,0,-1)),I1137))</f>
        <v>4</v>
      </c>
      <c r="K1137" cm="1">
        <f t="array" ref="K1137">IF(OR(AND(J1137=9,K$1&gt;YEAR($N1137))),9,_xlfn.IFNA(INDEX($D$2:$D$4001,_xlfn.XMATCH(K$1&amp;"-"&amp;$F1137,YEAR($B$2:$B$4001)&amp;"-"&amp;$A$2:$A$4001,0,-1)),J1137))</f>
        <v>4</v>
      </c>
      <c r="L1137" cm="1">
        <f t="array" ref="L1137">IF(OR(AND(K1137=9,L$1&gt;YEAR($N1137))),9,_xlfn.IFNA(INDEX($D$2:$D$4001,_xlfn.XMATCH(L$1&amp;"-"&amp;$F1137,YEAR($B$2:$B$4001)&amp;"-"&amp;$A$2:$A$4001,0,-1)),K1137))</f>
        <v>4</v>
      </c>
      <c r="M1137" cm="1">
        <f t="array" ref="M1137">IF(OR(AND(L1137=9,M$1&gt;YEAR($N1137))),9,_xlfn.IFNA(INDEX($D$2:$D$4001,_xlfn.XMATCH(M$1&amp;"-"&amp;$F1137,YEAR($B$2:$B$4001)&amp;"-"&amp;$A$2:$A$4001,0,-1)),L1137))</f>
        <v>4</v>
      </c>
      <c r="N1137" s="1">
        <f t="shared" si="17"/>
        <v>37124</v>
      </c>
    </row>
    <row r="1138" spans="1:14" x14ac:dyDescent="0.35">
      <c r="A1138">
        <v>553</v>
      </c>
      <c r="B1138" s="2">
        <v>37403</v>
      </c>
      <c r="C1138">
        <v>8</v>
      </c>
      <c r="D1138">
        <v>8</v>
      </c>
      <c r="F1138">
        <v>1137</v>
      </c>
      <c r="G1138" cm="1">
        <f t="array" ref="G1138">_xlfn.IFNA(INDEX($D$2:$D$4001,_xlfn.XMATCH(G$1&amp;"-"&amp;$F1138,YEAR($B$2:$B$4001)&amp;"-"&amp;$A$2:$A$4001,0,-1)),9)</f>
        <v>3</v>
      </c>
      <c r="H1138" cm="1">
        <f t="array" ref="H1138">IF(OR(AND(G1138=9,H$1&gt;YEAR($N1138))),9,_xlfn.IFNA(INDEX($D$2:$D$4001,_xlfn.XMATCH(H$1&amp;"-"&amp;$F1138,YEAR($B$2:$B$4001)&amp;"-"&amp;$A$2:$A$4001,0,-1)),G1138))</f>
        <v>3</v>
      </c>
      <c r="I1138" cm="1">
        <f t="array" ref="I1138">IF(OR(AND(H1138=9,I$1&gt;YEAR($N1138))),9,_xlfn.IFNA(INDEX($D$2:$D$4001,_xlfn.XMATCH(I$1&amp;"-"&amp;$F1138,YEAR($B$2:$B$4001)&amp;"-"&amp;$A$2:$A$4001,0,-1)),H1138))</f>
        <v>3</v>
      </c>
      <c r="J1138" cm="1">
        <f t="array" ref="J1138">IF(OR(AND(I1138=9,J$1&gt;YEAR($N1138))),9,_xlfn.IFNA(INDEX($D$2:$D$4001,_xlfn.XMATCH(J$1&amp;"-"&amp;$F1138,YEAR($B$2:$B$4001)&amp;"-"&amp;$A$2:$A$4001,0,-1)),I1138))</f>
        <v>3</v>
      </c>
      <c r="K1138" cm="1">
        <f t="array" ref="K1138">IF(OR(AND(J1138=9,K$1&gt;YEAR($N1138))),9,_xlfn.IFNA(INDEX($D$2:$D$4001,_xlfn.XMATCH(K$1&amp;"-"&amp;$F1138,YEAR($B$2:$B$4001)&amp;"-"&amp;$A$2:$A$4001,0,-1)),J1138))</f>
        <v>3</v>
      </c>
      <c r="L1138" cm="1">
        <f t="array" ref="L1138">IF(OR(AND(K1138=9,L$1&gt;YEAR($N1138))),9,_xlfn.IFNA(INDEX($D$2:$D$4001,_xlfn.XMATCH(L$1&amp;"-"&amp;$F1138,YEAR($B$2:$B$4001)&amp;"-"&amp;$A$2:$A$4001,0,-1)),K1138))</f>
        <v>3</v>
      </c>
      <c r="M1138" cm="1">
        <f t="array" ref="M1138">IF(OR(AND(L1138=9,M$1&gt;YEAR($N1138))),9,_xlfn.IFNA(INDEX($D$2:$D$4001,_xlfn.XMATCH(M$1&amp;"-"&amp;$F1138,YEAR($B$2:$B$4001)&amp;"-"&amp;$A$2:$A$4001,0,-1)),L1138))</f>
        <v>3</v>
      </c>
      <c r="N1138" s="1">
        <f t="shared" si="17"/>
        <v>36454</v>
      </c>
    </row>
    <row r="1139" spans="1:14" x14ac:dyDescent="0.35">
      <c r="A1139">
        <v>553</v>
      </c>
      <c r="B1139" s="2">
        <v>37406</v>
      </c>
      <c r="C1139">
        <v>0</v>
      </c>
      <c r="D1139">
        <v>8</v>
      </c>
      <c r="F1139">
        <v>1138</v>
      </c>
      <c r="G1139" cm="1">
        <f t="array" ref="G1139">_xlfn.IFNA(INDEX($D$2:$D$4001,_xlfn.XMATCH(G$1&amp;"-"&amp;$F1139,YEAR($B$2:$B$4001)&amp;"-"&amp;$A$2:$A$4001,0,-1)),9)</f>
        <v>9</v>
      </c>
      <c r="H1139" cm="1">
        <f t="array" ref="H1139">IF(OR(AND(G1139=9,H$1&gt;YEAR($N1139))),9,_xlfn.IFNA(INDEX($D$2:$D$4001,_xlfn.XMATCH(H$1&amp;"-"&amp;$F1139,YEAR($B$2:$B$4001)&amp;"-"&amp;$A$2:$A$4001,0,-1)),G1139))</f>
        <v>2</v>
      </c>
      <c r="I1139" cm="1">
        <f t="array" ref="I1139">IF(OR(AND(H1139=9,I$1&gt;YEAR($N1139))),9,_xlfn.IFNA(INDEX($D$2:$D$4001,_xlfn.XMATCH(I$1&amp;"-"&amp;$F1139,YEAR($B$2:$B$4001)&amp;"-"&amp;$A$2:$A$4001,0,-1)),H1139))</f>
        <v>2</v>
      </c>
      <c r="J1139" cm="1">
        <f t="array" ref="J1139">IF(OR(AND(I1139=9,J$1&gt;YEAR($N1139))),9,_xlfn.IFNA(INDEX($D$2:$D$4001,_xlfn.XMATCH(J$1&amp;"-"&amp;$F1139,YEAR($B$2:$B$4001)&amp;"-"&amp;$A$2:$A$4001,0,-1)),I1139))</f>
        <v>2</v>
      </c>
      <c r="K1139" cm="1">
        <f t="array" ref="K1139">IF(OR(AND(J1139=9,K$1&gt;YEAR($N1139))),9,_xlfn.IFNA(INDEX($D$2:$D$4001,_xlfn.XMATCH(K$1&amp;"-"&amp;$F1139,YEAR($B$2:$B$4001)&amp;"-"&amp;$A$2:$A$4001,0,-1)),J1139))</f>
        <v>2</v>
      </c>
      <c r="L1139" cm="1">
        <f t="array" ref="L1139">IF(OR(AND(K1139=9,L$1&gt;YEAR($N1139))),9,_xlfn.IFNA(INDEX($D$2:$D$4001,_xlfn.XMATCH(L$1&amp;"-"&amp;$F1139,YEAR($B$2:$B$4001)&amp;"-"&amp;$A$2:$A$4001,0,-1)),K1139))</f>
        <v>2</v>
      </c>
      <c r="M1139" cm="1">
        <f t="array" ref="M1139">IF(OR(AND(L1139=9,M$1&gt;YEAR($N1139))),9,_xlfn.IFNA(INDEX($D$2:$D$4001,_xlfn.XMATCH(M$1&amp;"-"&amp;$F1139,YEAR($B$2:$B$4001)&amp;"-"&amp;$A$2:$A$4001,0,-1)),L1139))</f>
        <v>2</v>
      </c>
      <c r="N1139" s="1">
        <f t="shared" si="17"/>
        <v>36799</v>
      </c>
    </row>
    <row r="1140" spans="1:14" x14ac:dyDescent="0.35">
      <c r="A1140">
        <v>553</v>
      </c>
      <c r="B1140" s="2">
        <v>37529</v>
      </c>
      <c r="C1140">
        <v>7</v>
      </c>
      <c r="D1140">
        <v>8</v>
      </c>
      <c r="F1140">
        <v>1139</v>
      </c>
      <c r="G1140" cm="1">
        <f t="array" ref="G1140">_xlfn.IFNA(INDEX($D$2:$D$4001,_xlfn.XMATCH(G$1&amp;"-"&amp;$F1140,YEAR($B$2:$B$4001)&amp;"-"&amp;$A$2:$A$4001,0,-1)),9)</f>
        <v>7</v>
      </c>
      <c r="H1140" cm="1">
        <f t="array" ref="H1140">IF(OR(AND(G1140=9,H$1&gt;YEAR($N1140))),9,_xlfn.IFNA(INDEX($D$2:$D$4001,_xlfn.XMATCH(H$1&amp;"-"&amp;$F1140,YEAR($B$2:$B$4001)&amp;"-"&amp;$A$2:$A$4001,0,-1)),G1140))</f>
        <v>7</v>
      </c>
      <c r="I1140" cm="1">
        <f t="array" ref="I1140">IF(OR(AND(H1140=9,I$1&gt;YEAR($N1140))),9,_xlfn.IFNA(INDEX($D$2:$D$4001,_xlfn.XMATCH(I$1&amp;"-"&amp;$F1140,YEAR($B$2:$B$4001)&amp;"-"&amp;$A$2:$A$4001,0,-1)),H1140))</f>
        <v>7</v>
      </c>
      <c r="J1140" cm="1">
        <f t="array" ref="J1140">IF(OR(AND(I1140=9,J$1&gt;YEAR($N1140))),9,_xlfn.IFNA(INDEX($D$2:$D$4001,_xlfn.XMATCH(J$1&amp;"-"&amp;$F1140,YEAR($B$2:$B$4001)&amp;"-"&amp;$A$2:$A$4001,0,-1)),I1140))</f>
        <v>7</v>
      </c>
      <c r="K1140" cm="1">
        <f t="array" ref="K1140">IF(OR(AND(J1140=9,K$1&gt;YEAR($N1140))),9,_xlfn.IFNA(INDEX($D$2:$D$4001,_xlfn.XMATCH(K$1&amp;"-"&amp;$F1140,YEAR($B$2:$B$4001)&amp;"-"&amp;$A$2:$A$4001,0,-1)),J1140))</f>
        <v>8</v>
      </c>
      <c r="L1140" cm="1">
        <f t="array" ref="L1140">IF(OR(AND(K1140=9,L$1&gt;YEAR($N1140))),9,_xlfn.IFNA(INDEX($D$2:$D$4001,_xlfn.XMATCH(L$1&amp;"-"&amp;$F1140,YEAR($B$2:$B$4001)&amp;"-"&amp;$A$2:$A$4001,0,-1)),K1140))</f>
        <v>8</v>
      </c>
      <c r="M1140" cm="1">
        <f t="array" ref="M1140">IF(OR(AND(L1140=9,M$1&gt;YEAR($N1140))),9,_xlfn.IFNA(INDEX($D$2:$D$4001,_xlfn.XMATCH(M$1&amp;"-"&amp;$F1140,YEAR($B$2:$B$4001)&amp;"-"&amp;$A$2:$A$4001,0,-1)),L1140))</f>
        <v>8</v>
      </c>
      <c r="N1140" s="1">
        <f t="shared" si="17"/>
        <v>36524</v>
      </c>
    </row>
    <row r="1141" spans="1:14" x14ac:dyDescent="0.35">
      <c r="A1141">
        <v>553</v>
      </c>
      <c r="B1141" s="2">
        <v>37620</v>
      </c>
      <c r="C1141">
        <v>6</v>
      </c>
      <c r="D1141">
        <v>8</v>
      </c>
      <c r="F1141">
        <v>1140</v>
      </c>
      <c r="G1141" cm="1">
        <f t="array" ref="G1141">_xlfn.IFNA(INDEX($D$2:$D$4001,_xlfn.XMATCH(G$1&amp;"-"&amp;$F1141,YEAR($B$2:$B$4001)&amp;"-"&amp;$A$2:$A$4001,0,-1)),9)</f>
        <v>9</v>
      </c>
      <c r="H1141" cm="1">
        <f t="array" ref="H1141">IF(OR(AND(G1141=9,H$1&gt;YEAR($N1141))),9,_xlfn.IFNA(INDEX($D$2:$D$4001,_xlfn.XMATCH(H$1&amp;"-"&amp;$F1141,YEAR($B$2:$B$4001)&amp;"-"&amp;$A$2:$A$4001,0,-1)),G1141))</f>
        <v>9</v>
      </c>
      <c r="I1141" cm="1">
        <f t="array" ref="I1141">IF(OR(AND(H1141=9,I$1&gt;YEAR($N1141))),9,_xlfn.IFNA(INDEX($D$2:$D$4001,_xlfn.XMATCH(I$1&amp;"-"&amp;$F1141,YEAR($B$2:$B$4001)&amp;"-"&amp;$A$2:$A$4001,0,-1)),H1141))</f>
        <v>2</v>
      </c>
      <c r="J1141" cm="1">
        <f t="array" ref="J1141">IF(OR(AND(I1141=9,J$1&gt;YEAR($N1141))),9,_xlfn.IFNA(INDEX($D$2:$D$4001,_xlfn.XMATCH(J$1&amp;"-"&amp;$F1141,YEAR($B$2:$B$4001)&amp;"-"&amp;$A$2:$A$4001,0,-1)),I1141))</f>
        <v>3</v>
      </c>
      <c r="K1141" cm="1">
        <f t="array" ref="K1141">IF(OR(AND(J1141=9,K$1&gt;YEAR($N1141))),9,_xlfn.IFNA(INDEX($D$2:$D$4001,_xlfn.XMATCH(K$1&amp;"-"&amp;$F1141,YEAR($B$2:$B$4001)&amp;"-"&amp;$A$2:$A$4001,0,-1)),J1141))</f>
        <v>3</v>
      </c>
      <c r="L1141" cm="1">
        <f t="array" ref="L1141">IF(OR(AND(K1141=9,L$1&gt;YEAR($N1141))),9,_xlfn.IFNA(INDEX($D$2:$D$4001,_xlfn.XMATCH(L$1&amp;"-"&amp;$F1141,YEAR($B$2:$B$4001)&amp;"-"&amp;$A$2:$A$4001,0,-1)),K1141))</f>
        <v>3</v>
      </c>
      <c r="M1141" cm="1">
        <f t="array" ref="M1141">IF(OR(AND(L1141=9,M$1&gt;YEAR($N1141))),9,_xlfn.IFNA(INDEX($D$2:$D$4001,_xlfn.XMATCH(M$1&amp;"-"&amp;$F1141,YEAR($B$2:$B$4001)&amp;"-"&amp;$A$2:$A$4001,0,-1)),L1141))</f>
        <v>3</v>
      </c>
      <c r="N1141" s="1">
        <f t="shared" si="17"/>
        <v>37072</v>
      </c>
    </row>
    <row r="1142" spans="1:14" x14ac:dyDescent="0.35">
      <c r="A1142">
        <v>554</v>
      </c>
      <c r="B1142" s="2">
        <v>36728</v>
      </c>
      <c r="C1142">
        <v>4</v>
      </c>
      <c r="D1142">
        <v>4</v>
      </c>
      <c r="F1142">
        <v>1141</v>
      </c>
      <c r="G1142" cm="1">
        <f t="array" ref="G1142">_xlfn.IFNA(INDEX($D$2:$D$4001,_xlfn.XMATCH(G$1&amp;"-"&amp;$F1142,YEAR($B$2:$B$4001)&amp;"-"&amp;$A$2:$A$4001,0,-1)),9)</f>
        <v>9</v>
      </c>
      <c r="H1142" cm="1">
        <f t="array" ref="H1142">IF(OR(AND(G1142=9,H$1&gt;YEAR($N1142))),9,_xlfn.IFNA(INDEX($D$2:$D$4001,_xlfn.XMATCH(H$1&amp;"-"&amp;$F1142,YEAR($B$2:$B$4001)&amp;"-"&amp;$A$2:$A$4001,0,-1)),G1142))</f>
        <v>4</v>
      </c>
      <c r="I1142" cm="1">
        <f t="array" ref="I1142">IF(OR(AND(H1142=9,I$1&gt;YEAR($N1142))),9,_xlfn.IFNA(INDEX($D$2:$D$4001,_xlfn.XMATCH(I$1&amp;"-"&amp;$F1142,YEAR($B$2:$B$4001)&amp;"-"&amp;$A$2:$A$4001,0,-1)),H1142))</f>
        <v>4</v>
      </c>
      <c r="J1142" cm="1">
        <f t="array" ref="J1142">IF(OR(AND(I1142=9,J$1&gt;YEAR($N1142))),9,_xlfn.IFNA(INDEX($D$2:$D$4001,_xlfn.XMATCH(J$1&amp;"-"&amp;$F1142,YEAR($B$2:$B$4001)&amp;"-"&amp;$A$2:$A$4001,0,-1)),I1142))</f>
        <v>4</v>
      </c>
      <c r="K1142" cm="1">
        <f t="array" ref="K1142">IF(OR(AND(J1142=9,K$1&gt;YEAR($N1142))),9,_xlfn.IFNA(INDEX($D$2:$D$4001,_xlfn.XMATCH(K$1&amp;"-"&amp;$F1142,YEAR($B$2:$B$4001)&amp;"-"&amp;$A$2:$A$4001,0,-1)),J1142))</f>
        <v>4</v>
      </c>
      <c r="L1142" cm="1">
        <f t="array" ref="L1142">IF(OR(AND(K1142=9,L$1&gt;YEAR($N1142))),9,_xlfn.IFNA(INDEX($D$2:$D$4001,_xlfn.XMATCH(L$1&amp;"-"&amp;$F1142,YEAR($B$2:$B$4001)&amp;"-"&amp;$A$2:$A$4001,0,-1)),K1142))</f>
        <v>4</v>
      </c>
      <c r="M1142" cm="1">
        <f t="array" ref="M1142">IF(OR(AND(L1142=9,M$1&gt;YEAR($N1142))),9,_xlfn.IFNA(INDEX($D$2:$D$4001,_xlfn.XMATCH(M$1&amp;"-"&amp;$F1142,YEAR($B$2:$B$4001)&amp;"-"&amp;$A$2:$A$4001,0,-1)),L1142))</f>
        <v>4</v>
      </c>
      <c r="N1142" s="1">
        <f t="shared" si="17"/>
        <v>36890</v>
      </c>
    </row>
    <row r="1143" spans="1:14" x14ac:dyDescent="0.35">
      <c r="A1143">
        <v>555</v>
      </c>
      <c r="B1143" s="2">
        <v>37032</v>
      </c>
      <c r="C1143">
        <v>5</v>
      </c>
      <c r="D1143">
        <v>5</v>
      </c>
      <c r="F1143">
        <v>1142</v>
      </c>
      <c r="G1143" cm="1">
        <f t="array" ref="G1143">_xlfn.IFNA(INDEX($D$2:$D$4001,_xlfn.XMATCH(G$1&amp;"-"&amp;$F1143,YEAR($B$2:$B$4001)&amp;"-"&amp;$A$2:$A$4001,0,-1)),9)</f>
        <v>9</v>
      </c>
      <c r="H1143" cm="1">
        <f t="array" ref="H1143">IF(OR(AND(G1143=9,H$1&gt;YEAR($N1143))),9,_xlfn.IFNA(INDEX($D$2:$D$4001,_xlfn.XMATCH(H$1&amp;"-"&amp;$F1143,YEAR($B$2:$B$4001)&amp;"-"&amp;$A$2:$A$4001,0,-1)),G1143))</f>
        <v>9</v>
      </c>
      <c r="I1143" cm="1">
        <f t="array" ref="I1143">IF(OR(AND(H1143=9,I$1&gt;YEAR($N1143))),9,_xlfn.IFNA(INDEX($D$2:$D$4001,_xlfn.XMATCH(I$1&amp;"-"&amp;$F1143,YEAR($B$2:$B$4001)&amp;"-"&amp;$A$2:$A$4001,0,-1)),H1143))</f>
        <v>2</v>
      </c>
      <c r="J1143" cm="1">
        <f t="array" ref="J1143">IF(OR(AND(I1143=9,J$1&gt;YEAR($N1143))),9,_xlfn.IFNA(INDEX($D$2:$D$4001,_xlfn.XMATCH(J$1&amp;"-"&amp;$F1143,YEAR($B$2:$B$4001)&amp;"-"&amp;$A$2:$A$4001,0,-1)),I1143))</f>
        <v>2</v>
      </c>
      <c r="K1143" cm="1">
        <f t="array" ref="K1143">IF(OR(AND(J1143=9,K$1&gt;YEAR($N1143))),9,_xlfn.IFNA(INDEX($D$2:$D$4001,_xlfn.XMATCH(K$1&amp;"-"&amp;$F1143,YEAR($B$2:$B$4001)&amp;"-"&amp;$A$2:$A$4001,0,-1)),J1143))</f>
        <v>2</v>
      </c>
      <c r="L1143" cm="1">
        <f t="array" ref="L1143">IF(OR(AND(K1143=9,L$1&gt;YEAR($N1143))),9,_xlfn.IFNA(INDEX($D$2:$D$4001,_xlfn.XMATCH(L$1&amp;"-"&amp;$F1143,YEAR($B$2:$B$4001)&amp;"-"&amp;$A$2:$A$4001,0,-1)),K1143))</f>
        <v>2</v>
      </c>
      <c r="M1143" cm="1">
        <f t="array" ref="M1143">IF(OR(AND(L1143=9,M$1&gt;YEAR($N1143))),9,_xlfn.IFNA(INDEX($D$2:$D$4001,_xlfn.XMATCH(M$1&amp;"-"&amp;$F1143,YEAR($B$2:$B$4001)&amp;"-"&amp;$A$2:$A$4001,0,-1)),L1143))</f>
        <v>2</v>
      </c>
      <c r="N1143" s="1">
        <f t="shared" si="17"/>
        <v>37032</v>
      </c>
    </row>
    <row r="1144" spans="1:14" x14ac:dyDescent="0.35">
      <c r="A1144">
        <v>555</v>
      </c>
      <c r="B1144" s="2">
        <v>37255</v>
      </c>
      <c r="C1144">
        <v>6</v>
      </c>
      <c r="D1144">
        <v>6</v>
      </c>
      <c r="F1144">
        <v>1143</v>
      </c>
      <c r="G1144" cm="1">
        <f t="array" ref="G1144">_xlfn.IFNA(INDEX($D$2:$D$4001,_xlfn.XMATCH(G$1&amp;"-"&amp;$F1144,YEAR($B$2:$B$4001)&amp;"-"&amp;$A$2:$A$4001,0,-1)),9)</f>
        <v>9</v>
      </c>
      <c r="H1144" cm="1">
        <f t="array" ref="H1144">IF(OR(AND(G1144=9,H$1&gt;YEAR($N1144))),9,_xlfn.IFNA(INDEX($D$2:$D$4001,_xlfn.XMATCH(H$1&amp;"-"&amp;$F1144,YEAR($B$2:$B$4001)&amp;"-"&amp;$A$2:$A$4001,0,-1)),G1144))</f>
        <v>9</v>
      </c>
      <c r="I1144" cm="1">
        <f t="array" ref="I1144">IF(OR(AND(H1144=9,I$1&gt;YEAR($N1144))),9,_xlfn.IFNA(INDEX($D$2:$D$4001,_xlfn.XMATCH(I$1&amp;"-"&amp;$F1144,YEAR($B$2:$B$4001)&amp;"-"&amp;$A$2:$A$4001,0,-1)),H1144))</f>
        <v>4</v>
      </c>
      <c r="J1144" cm="1">
        <f t="array" ref="J1144">IF(OR(AND(I1144=9,J$1&gt;YEAR($N1144))),9,_xlfn.IFNA(INDEX($D$2:$D$4001,_xlfn.XMATCH(J$1&amp;"-"&amp;$F1144,YEAR($B$2:$B$4001)&amp;"-"&amp;$A$2:$A$4001,0,-1)),I1144))</f>
        <v>4</v>
      </c>
      <c r="K1144" cm="1">
        <f t="array" ref="K1144">IF(OR(AND(J1144=9,K$1&gt;YEAR($N1144))),9,_xlfn.IFNA(INDEX($D$2:$D$4001,_xlfn.XMATCH(K$1&amp;"-"&amp;$F1144,YEAR($B$2:$B$4001)&amp;"-"&amp;$A$2:$A$4001,0,-1)),J1144))</f>
        <v>4</v>
      </c>
      <c r="L1144" cm="1">
        <f t="array" ref="L1144">IF(OR(AND(K1144=9,L$1&gt;YEAR($N1144))),9,_xlfn.IFNA(INDEX($D$2:$D$4001,_xlfn.XMATCH(L$1&amp;"-"&amp;$F1144,YEAR($B$2:$B$4001)&amp;"-"&amp;$A$2:$A$4001,0,-1)),K1144))</f>
        <v>4</v>
      </c>
      <c r="M1144" cm="1">
        <f t="array" ref="M1144">IF(OR(AND(L1144=9,M$1&gt;YEAR($N1144))),9,_xlfn.IFNA(INDEX($D$2:$D$4001,_xlfn.XMATCH(M$1&amp;"-"&amp;$F1144,YEAR($B$2:$B$4001)&amp;"-"&amp;$A$2:$A$4001,0,-1)),L1144))</f>
        <v>4</v>
      </c>
      <c r="N1144" s="1">
        <f t="shared" si="17"/>
        <v>37194</v>
      </c>
    </row>
    <row r="1145" spans="1:14" x14ac:dyDescent="0.35">
      <c r="A1145">
        <v>555</v>
      </c>
      <c r="B1145" s="2">
        <v>37985</v>
      </c>
      <c r="C1145">
        <v>7</v>
      </c>
      <c r="D1145">
        <v>7</v>
      </c>
      <c r="F1145">
        <v>1144</v>
      </c>
      <c r="G1145" cm="1">
        <f t="array" ref="G1145">_xlfn.IFNA(INDEX($D$2:$D$4001,_xlfn.XMATCH(G$1&amp;"-"&amp;$F1145,YEAR($B$2:$B$4001)&amp;"-"&amp;$A$2:$A$4001,0,-1)),9)</f>
        <v>9</v>
      </c>
      <c r="H1145" cm="1">
        <f t="array" ref="H1145">IF(OR(AND(G1145=9,H$1&gt;YEAR($N1145))),9,_xlfn.IFNA(INDEX($D$2:$D$4001,_xlfn.XMATCH(H$1&amp;"-"&amp;$F1145,YEAR($B$2:$B$4001)&amp;"-"&amp;$A$2:$A$4001,0,-1)),G1145))</f>
        <v>9</v>
      </c>
      <c r="I1145" cm="1">
        <f t="array" ref="I1145">IF(OR(AND(H1145=9,I$1&gt;YEAR($N1145))),9,_xlfn.IFNA(INDEX($D$2:$D$4001,_xlfn.XMATCH(I$1&amp;"-"&amp;$F1145,YEAR($B$2:$B$4001)&amp;"-"&amp;$A$2:$A$4001,0,-1)),H1145))</f>
        <v>4</v>
      </c>
      <c r="J1145" cm="1">
        <f t="array" ref="J1145">IF(OR(AND(I1145=9,J$1&gt;YEAR($N1145))),9,_xlfn.IFNA(INDEX($D$2:$D$4001,_xlfn.XMATCH(J$1&amp;"-"&amp;$F1145,YEAR($B$2:$B$4001)&amp;"-"&amp;$A$2:$A$4001,0,-1)),I1145))</f>
        <v>0</v>
      </c>
      <c r="K1145" cm="1">
        <f t="array" ref="K1145">IF(OR(AND(J1145=9,K$1&gt;YEAR($N1145))),9,_xlfn.IFNA(INDEX($D$2:$D$4001,_xlfn.XMATCH(K$1&amp;"-"&amp;$F1145,YEAR($B$2:$B$4001)&amp;"-"&amp;$A$2:$A$4001,0,-1)),J1145))</f>
        <v>0</v>
      </c>
      <c r="L1145" cm="1">
        <f t="array" ref="L1145">IF(OR(AND(K1145=9,L$1&gt;YEAR($N1145))),9,_xlfn.IFNA(INDEX($D$2:$D$4001,_xlfn.XMATCH(L$1&amp;"-"&amp;$F1145,YEAR($B$2:$B$4001)&amp;"-"&amp;$A$2:$A$4001,0,-1)),K1145))</f>
        <v>0</v>
      </c>
      <c r="M1145" cm="1">
        <f t="array" ref="M1145">IF(OR(AND(L1145=9,M$1&gt;YEAR($N1145))),9,_xlfn.IFNA(INDEX($D$2:$D$4001,_xlfn.XMATCH(M$1&amp;"-"&amp;$F1145,YEAR($B$2:$B$4001)&amp;"-"&amp;$A$2:$A$4001,0,-1)),L1145))</f>
        <v>0</v>
      </c>
      <c r="N1145" s="1">
        <f t="shared" si="17"/>
        <v>37255</v>
      </c>
    </row>
    <row r="1146" spans="1:14" x14ac:dyDescent="0.35">
      <c r="A1146">
        <v>556</v>
      </c>
      <c r="B1146" s="2">
        <v>37255</v>
      </c>
      <c r="C1146">
        <v>5</v>
      </c>
      <c r="D1146">
        <v>5</v>
      </c>
      <c r="F1146">
        <v>1145</v>
      </c>
      <c r="G1146" cm="1">
        <f t="array" ref="G1146">_xlfn.IFNA(INDEX($D$2:$D$4001,_xlfn.XMATCH(G$1&amp;"-"&amp;$F1146,YEAR($B$2:$B$4001)&amp;"-"&amp;$A$2:$A$4001,0,-1)),9)</f>
        <v>2</v>
      </c>
      <c r="H1146" cm="1">
        <f t="array" ref="H1146">IF(OR(AND(G1146=9,H$1&gt;YEAR($N1146))),9,_xlfn.IFNA(INDEX($D$2:$D$4001,_xlfn.XMATCH(H$1&amp;"-"&amp;$F1146,YEAR($B$2:$B$4001)&amp;"-"&amp;$A$2:$A$4001,0,-1)),G1146))</f>
        <v>2</v>
      </c>
      <c r="I1146" cm="1">
        <f t="array" ref="I1146">IF(OR(AND(H1146=9,I$1&gt;YEAR($N1146))),9,_xlfn.IFNA(INDEX($D$2:$D$4001,_xlfn.XMATCH(I$1&amp;"-"&amp;$F1146,YEAR($B$2:$B$4001)&amp;"-"&amp;$A$2:$A$4001,0,-1)),H1146))</f>
        <v>2</v>
      </c>
      <c r="J1146" cm="1">
        <f t="array" ref="J1146">IF(OR(AND(I1146=9,J$1&gt;YEAR($N1146))),9,_xlfn.IFNA(INDEX($D$2:$D$4001,_xlfn.XMATCH(J$1&amp;"-"&amp;$F1146,YEAR($B$2:$B$4001)&amp;"-"&amp;$A$2:$A$4001,0,-1)),I1146))</f>
        <v>3</v>
      </c>
      <c r="K1146" cm="1">
        <f t="array" ref="K1146">IF(OR(AND(J1146=9,K$1&gt;YEAR($N1146))),9,_xlfn.IFNA(INDEX($D$2:$D$4001,_xlfn.XMATCH(K$1&amp;"-"&amp;$F1146,YEAR($B$2:$B$4001)&amp;"-"&amp;$A$2:$A$4001,0,-1)),J1146))</f>
        <v>3</v>
      </c>
      <c r="L1146" cm="1">
        <f t="array" ref="L1146">IF(OR(AND(K1146=9,L$1&gt;YEAR($N1146))),9,_xlfn.IFNA(INDEX($D$2:$D$4001,_xlfn.XMATCH(L$1&amp;"-"&amp;$F1146,YEAR($B$2:$B$4001)&amp;"-"&amp;$A$2:$A$4001,0,-1)),K1146))</f>
        <v>3</v>
      </c>
      <c r="M1146" cm="1">
        <f t="array" ref="M1146">IF(OR(AND(L1146=9,M$1&gt;YEAR($N1146))),9,_xlfn.IFNA(INDEX($D$2:$D$4001,_xlfn.XMATCH(M$1&amp;"-"&amp;$F1146,YEAR($B$2:$B$4001)&amp;"-"&amp;$A$2:$A$4001,0,-1)),L1146))</f>
        <v>3</v>
      </c>
      <c r="N1146" s="1">
        <f t="shared" si="17"/>
        <v>36310</v>
      </c>
    </row>
    <row r="1147" spans="1:14" x14ac:dyDescent="0.35">
      <c r="A1147">
        <v>556</v>
      </c>
      <c r="B1147" s="2">
        <v>38502</v>
      </c>
      <c r="C1147">
        <v>6</v>
      </c>
      <c r="D1147">
        <v>6</v>
      </c>
      <c r="F1147">
        <v>1146</v>
      </c>
      <c r="G1147" cm="1">
        <f t="array" ref="G1147">_xlfn.IFNA(INDEX($D$2:$D$4001,_xlfn.XMATCH(G$1&amp;"-"&amp;$F1147,YEAR($B$2:$B$4001)&amp;"-"&amp;$A$2:$A$4001,0,-1)),9)</f>
        <v>4</v>
      </c>
      <c r="H1147" cm="1">
        <f t="array" ref="H1147">IF(OR(AND(G1147=9,H$1&gt;YEAR($N1147))),9,_xlfn.IFNA(INDEX($D$2:$D$4001,_xlfn.XMATCH(H$1&amp;"-"&amp;$F1147,YEAR($B$2:$B$4001)&amp;"-"&amp;$A$2:$A$4001,0,-1)),G1147))</f>
        <v>0</v>
      </c>
      <c r="I1147" cm="1">
        <f t="array" ref="I1147">IF(OR(AND(H1147=9,I$1&gt;YEAR($N1147))),9,_xlfn.IFNA(INDEX($D$2:$D$4001,_xlfn.XMATCH(I$1&amp;"-"&amp;$F1147,YEAR($B$2:$B$4001)&amp;"-"&amp;$A$2:$A$4001,0,-1)),H1147))</f>
        <v>0</v>
      </c>
      <c r="J1147" cm="1">
        <f t="array" ref="J1147">IF(OR(AND(I1147=9,J$1&gt;YEAR($N1147))),9,_xlfn.IFNA(INDEX($D$2:$D$4001,_xlfn.XMATCH(J$1&amp;"-"&amp;$F1147,YEAR($B$2:$B$4001)&amp;"-"&amp;$A$2:$A$4001,0,-1)),I1147))</f>
        <v>0</v>
      </c>
      <c r="K1147" cm="1">
        <f t="array" ref="K1147">IF(OR(AND(J1147=9,K$1&gt;YEAR($N1147))),9,_xlfn.IFNA(INDEX($D$2:$D$4001,_xlfn.XMATCH(K$1&amp;"-"&amp;$F1147,YEAR($B$2:$B$4001)&amp;"-"&amp;$A$2:$A$4001,0,-1)),J1147))</f>
        <v>0</v>
      </c>
      <c r="L1147" cm="1">
        <f t="array" ref="L1147">IF(OR(AND(K1147=9,L$1&gt;YEAR($N1147))),9,_xlfn.IFNA(INDEX($D$2:$D$4001,_xlfn.XMATCH(L$1&amp;"-"&amp;$F1147,YEAR($B$2:$B$4001)&amp;"-"&amp;$A$2:$A$4001,0,-1)),K1147))</f>
        <v>0</v>
      </c>
      <c r="M1147" cm="1">
        <f t="array" ref="M1147">IF(OR(AND(L1147=9,M$1&gt;YEAR($N1147))),9,_xlfn.IFNA(INDEX($D$2:$D$4001,_xlfn.XMATCH(M$1&amp;"-"&amp;$F1147,YEAR($B$2:$B$4001)&amp;"-"&amp;$A$2:$A$4001,0,-1)),L1147))</f>
        <v>0</v>
      </c>
      <c r="N1147" s="1">
        <f t="shared" si="17"/>
        <v>36310</v>
      </c>
    </row>
    <row r="1148" spans="1:14" x14ac:dyDescent="0.35">
      <c r="A1148">
        <v>557</v>
      </c>
      <c r="B1148" s="2">
        <v>37157</v>
      </c>
      <c r="C1148">
        <v>3</v>
      </c>
      <c r="D1148">
        <v>3</v>
      </c>
      <c r="F1148">
        <v>1147</v>
      </c>
      <c r="G1148" cm="1">
        <f t="array" ref="G1148">_xlfn.IFNA(INDEX($D$2:$D$4001,_xlfn.XMATCH(G$1&amp;"-"&amp;$F1148,YEAR($B$2:$B$4001)&amp;"-"&amp;$A$2:$A$4001,0,-1)),9)</f>
        <v>9</v>
      </c>
      <c r="H1148" cm="1">
        <f t="array" ref="H1148">IF(OR(AND(G1148=9,H$1&gt;YEAR($N1148))),9,_xlfn.IFNA(INDEX($D$2:$D$4001,_xlfn.XMATCH(H$1&amp;"-"&amp;$F1148,YEAR($B$2:$B$4001)&amp;"-"&amp;$A$2:$A$4001,0,-1)),G1148))</f>
        <v>3</v>
      </c>
      <c r="I1148" cm="1">
        <f t="array" ref="I1148">IF(OR(AND(H1148=9,I$1&gt;YEAR($N1148))),9,_xlfn.IFNA(INDEX($D$2:$D$4001,_xlfn.XMATCH(I$1&amp;"-"&amp;$F1148,YEAR($B$2:$B$4001)&amp;"-"&amp;$A$2:$A$4001,0,-1)),H1148))</f>
        <v>3</v>
      </c>
      <c r="J1148" cm="1">
        <f t="array" ref="J1148">IF(OR(AND(I1148=9,J$1&gt;YEAR($N1148))),9,_xlfn.IFNA(INDEX($D$2:$D$4001,_xlfn.XMATCH(J$1&amp;"-"&amp;$F1148,YEAR($B$2:$B$4001)&amp;"-"&amp;$A$2:$A$4001,0,-1)),I1148))</f>
        <v>4</v>
      </c>
      <c r="K1148" cm="1">
        <f t="array" ref="K1148">IF(OR(AND(J1148=9,K$1&gt;YEAR($N1148))),9,_xlfn.IFNA(INDEX($D$2:$D$4001,_xlfn.XMATCH(K$1&amp;"-"&amp;$F1148,YEAR($B$2:$B$4001)&amp;"-"&amp;$A$2:$A$4001,0,-1)),J1148))</f>
        <v>4</v>
      </c>
      <c r="L1148" cm="1">
        <f t="array" ref="L1148">IF(OR(AND(K1148=9,L$1&gt;YEAR($N1148))),9,_xlfn.IFNA(INDEX($D$2:$D$4001,_xlfn.XMATCH(L$1&amp;"-"&amp;$F1148,YEAR($B$2:$B$4001)&amp;"-"&amp;$A$2:$A$4001,0,-1)),K1148))</f>
        <v>4</v>
      </c>
      <c r="M1148" cm="1">
        <f t="array" ref="M1148">IF(OR(AND(L1148=9,M$1&gt;YEAR($N1148))),9,_xlfn.IFNA(INDEX($D$2:$D$4001,_xlfn.XMATCH(M$1&amp;"-"&amp;$F1148,YEAR($B$2:$B$4001)&amp;"-"&amp;$A$2:$A$4001,0,-1)),L1148))</f>
        <v>4</v>
      </c>
      <c r="N1148" s="1">
        <f t="shared" si="17"/>
        <v>36737</v>
      </c>
    </row>
    <row r="1149" spans="1:14" x14ac:dyDescent="0.35">
      <c r="A1149">
        <v>557</v>
      </c>
      <c r="B1149" s="2">
        <v>37985</v>
      </c>
      <c r="C1149">
        <v>3</v>
      </c>
      <c r="D1149">
        <v>3</v>
      </c>
      <c r="F1149">
        <v>1148</v>
      </c>
      <c r="G1149" cm="1">
        <f t="array" ref="G1149">_xlfn.IFNA(INDEX($D$2:$D$4001,_xlfn.XMATCH(G$1&amp;"-"&amp;$F1149,YEAR($B$2:$B$4001)&amp;"-"&amp;$A$2:$A$4001,0,-1)),9)</f>
        <v>4</v>
      </c>
      <c r="H1149" cm="1">
        <f t="array" ref="H1149">IF(OR(AND(G1149=9,H$1&gt;YEAR($N1149))),9,_xlfn.IFNA(INDEX($D$2:$D$4001,_xlfn.XMATCH(H$1&amp;"-"&amp;$F1149,YEAR($B$2:$B$4001)&amp;"-"&amp;$A$2:$A$4001,0,-1)),G1149))</f>
        <v>4</v>
      </c>
      <c r="I1149" cm="1">
        <f t="array" ref="I1149">IF(OR(AND(H1149=9,I$1&gt;YEAR($N1149))),9,_xlfn.IFNA(INDEX($D$2:$D$4001,_xlfn.XMATCH(I$1&amp;"-"&amp;$F1149,YEAR($B$2:$B$4001)&amp;"-"&amp;$A$2:$A$4001,0,-1)),H1149))</f>
        <v>4</v>
      </c>
      <c r="J1149" cm="1">
        <f t="array" ref="J1149">IF(OR(AND(I1149=9,J$1&gt;YEAR($N1149))),9,_xlfn.IFNA(INDEX($D$2:$D$4001,_xlfn.XMATCH(J$1&amp;"-"&amp;$F1149,YEAR($B$2:$B$4001)&amp;"-"&amp;$A$2:$A$4001,0,-1)),I1149))</f>
        <v>4</v>
      </c>
      <c r="K1149" cm="1">
        <f t="array" ref="K1149">IF(OR(AND(J1149=9,K$1&gt;YEAR($N1149))),9,_xlfn.IFNA(INDEX($D$2:$D$4001,_xlfn.XMATCH(K$1&amp;"-"&amp;$F1149,YEAR($B$2:$B$4001)&amp;"-"&amp;$A$2:$A$4001,0,-1)),J1149))</f>
        <v>4</v>
      </c>
      <c r="L1149" cm="1">
        <f t="array" ref="L1149">IF(OR(AND(K1149=9,L$1&gt;YEAR($N1149))),9,_xlfn.IFNA(INDEX($D$2:$D$4001,_xlfn.XMATCH(L$1&amp;"-"&amp;$F1149,YEAR($B$2:$B$4001)&amp;"-"&amp;$A$2:$A$4001,0,-1)),K1149))</f>
        <v>4</v>
      </c>
      <c r="M1149" cm="1">
        <f t="array" ref="M1149">IF(OR(AND(L1149=9,M$1&gt;YEAR($N1149))),9,_xlfn.IFNA(INDEX($D$2:$D$4001,_xlfn.XMATCH(M$1&amp;"-"&amp;$F1149,YEAR($B$2:$B$4001)&amp;"-"&amp;$A$2:$A$4001,0,-1)),L1149))</f>
        <v>4</v>
      </c>
      <c r="N1149" s="1">
        <f t="shared" si="17"/>
        <v>36341</v>
      </c>
    </row>
    <row r="1150" spans="1:14" x14ac:dyDescent="0.35">
      <c r="A1150">
        <v>558</v>
      </c>
      <c r="B1150" s="2">
        <v>36524</v>
      </c>
      <c r="C1150">
        <v>6</v>
      </c>
      <c r="D1150">
        <v>6</v>
      </c>
      <c r="F1150">
        <v>1149</v>
      </c>
      <c r="G1150" cm="1">
        <f t="array" ref="G1150">_xlfn.IFNA(INDEX($D$2:$D$4001,_xlfn.XMATCH(G$1&amp;"-"&amp;$F1150,YEAR($B$2:$B$4001)&amp;"-"&amp;$A$2:$A$4001,0,-1)),9)</f>
        <v>4</v>
      </c>
      <c r="H1150" cm="1">
        <f t="array" ref="H1150">IF(OR(AND(G1150=9,H$1&gt;YEAR($N1150))),9,_xlfn.IFNA(INDEX($D$2:$D$4001,_xlfn.XMATCH(H$1&amp;"-"&amp;$F1150,YEAR($B$2:$B$4001)&amp;"-"&amp;$A$2:$A$4001,0,-1)),G1150))</f>
        <v>4</v>
      </c>
      <c r="I1150" cm="1">
        <f t="array" ref="I1150">IF(OR(AND(H1150=9,I$1&gt;YEAR($N1150))),9,_xlfn.IFNA(INDEX($D$2:$D$4001,_xlfn.XMATCH(I$1&amp;"-"&amp;$F1150,YEAR($B$2:$B$4001)&amp;"-"&amp;$A$2:$A$4001,0,-1)),H1150))</f>
        <v>4</v>
      </c>
      <c r="J1150" cm="1">
        <f t="array" ref="J1150">IF(OR(AND(I1150=9,J$1&gt;YEAR($N1150))),9,_xlfn.IFNA(INDEX($D$2:$D$4001,_xlfn.XMATCH(J$1&amp;"-"&amp;$F1150,YEAR($B$2:$B$4001)&amp;"-"&amp;$A$2:$A$4001,0,-1)),I1150))</f>
        <v>4</v>
      </c>
      <c r="K1150" cm="1">
        <f t="array" ref="K1150">IF(OR(AND(J1150=9,K$1&gt;YEAR($N1150))),9,_xlfn.IFNA(INDEX($D$2:$D$4001,_xlfn.XMATCH(K$1&amp;"-"&amp;$F1150,YEAR($B$2:$B$4001)&amp;"-"&amp;$A$2:$A$4001,0,-1)),J1150))</f>
        <v>4</v>
      </c>
      <c r="L1150" cm="1">
        <f t="array" ref="L1150">IF(OR(AND(K1150=9,L$1&gt;YEAR($N1150))),9,_xlfn.IFNA(INDEX($D$2:$D$4001,_xlfn.XMATCH(L$1&amp;"-"&amp;$F1150,YEAR($B$2:$B$4001)&amp;"-"&amp;$A$2:$A$4001,0,-1)),K1150))</f>
        <v>4</v>
      </c>
      <c r="M1150" cm="1">
        <f t="array" ref="M1150">IF(OR(AND(L1150=9,M$1&gt;YEAR($N1150))),9,_xlfn.IFNA(INDEX($D$2:$D$4001,_xlfn.XMATCH(M$1&amp;"-"&amp;$F1150,YEAR($B$2:$B$4001)&amp;"-"&amp;$A$2:$A$4001,0,-1)),L1150))</f>
        <v>4</v>
      </c>
      <c r="N1150" s="1">
        <f t="shared" si="17"/>
        <v>36310</v>
      </c>
    </row>
    <row r="1151" spans="1:14" x14ac:dyDescent="0.35">
      <c r="A1151">
        <v>558</v>
      </c>
      <c r="B1151" s="2">
        <v>37397</v>
      </c>
      <c r="C1151">
        <v>6</v>
      </c>
      <c r="D1151">
        <v>6</v>
      </c>
      <c r="F1151">
        <v>1150</v>
      </c>
      <c r="G1151" cm="1">
        <f t="array" ref="G1151">_xlfn.IFNA(INDEX($D$2:$D$4001,_xlfn.XMATCH(G$1&amp;"-"&amp;$F1151,YEAR($B$2:$B$4001)&amp;"-"&amp;$A$2:$A$4001,0,-1)),9)</f>
        <v>4</v>
      </c>
      <c r="H1151" cm="1">
        <f t="array" ref="H1151">IF(OR(AND(G1151=9,H$1&gt;YEAR($N1151))),9,_xlfn.IFNA(INDEX($D$2:$D$4001,_xlfn.XMATCH(H$1&amp;"-"&amp;$F1151,YEAR($B$2:$B$4001)&amp;"-"&amp;$A$2:$A$4001,0,-1)),G1151))</f>
        <v>4</v>
      </c>
      <c r="I1151" cm="1">
        <f t="array" ref="I1151">IF(OR(AND(H1151=9,I$1&gt;YEAR($N1151))),9,_xlfn.IFNA(INDEX($D$2:$D$4001,_xlfn.XMATCH(I$1&amp;"-"&amp;$F1151,YEAR($B$2:$B$4001)&amp;"-"&amp;$A$2:$A$4001,0,-1)),H1151))</f>
        <v>4</v>
      </c>
      <c r="J1151" cm="1">
        <f t="array" ref="J1151">IF(OR(AND(I1151=9,J$1&gt;YEAR($N1151))),9,_xlfn.IFNA(INDEX($D$2:$D$4001,_xlfn.XMATCH(J$1&amp;"-"&amp;$F1151,YEAR($B$2:$B$4001)&amp;"-"&amp;$A$2:$A$4001,0,-1)),I1151))</f>
        <v>4</v>
      </c>
      <c r="K1151" cm="1">
        <f t="array" ref="K1151">IF(OR(AND(J1151=9,K$1&gt;YEAR($N1151))),9,_xlfn.IFNA(INDEX($D$2:$D$4001,_xlfn.XMATCH(K$1&amp;"-"&amp;$F1151,YEAR($B$2:$B$4001)&amp;"-"&amp;$A$2:$A$4001,0,-1)),J1151))</f>
        <v>4</v>
      </c>
      <c r="L1151" cm="1">
        <f t="array" ref="L1151">IF(OR(AND(K1151=9,L$1&gt;YEAR($N1151))),9,_xlfn.IFNA(INDEX($D$2:$D$4001,_xlfn.XMATCH(L$1&amp;"-"&amp;$F1151,YEAR($B$2:$B$4001)&amp;"-"&amp;$A$2:$A$4001,0,-1)),K1151))</f>
        <v>4</v>
      </c>
      <c r="M1151" cm="1">
        <f t="array" ref="M1151">IF(OR(AND(L1151=9,M$1&gt;YEAR($N1151))),9,_xlfn.IFNA(INDEX($D$2:$D$4001,_xlfn.XMATCH(M$1&amp;"-"&amp;$F1151,YEAR($B$2:$B$4001)&amp;"-"&amp;$A$2:$A$4001,0,-1)),L1151))</f>
        <v>4</v>
      </c>
      <c r="N1151" s="1">
        <f t="shared" si="17"/>
        <v>36301</v>
      </c>
    </row>
    <row r="1152" spans="1:14" x14ac:dyDescent="0.35">
      <c r="A1152">
        <v>559</v>
      </c>
      <c r="B1152" s="2">
        <v>36463</v>
      </c>
      <c r="C1152">
        <v>6</v>
      </c>
      <c r="D1152">
        <v>6</v>
      </c>
      <c r="F1152">
        <v>1151</v>
      </c>
      <c r="G1152" cm="1">
        <f t="array" ref="G1152">_xlfn.IFNA(INDEX($D$2:$D$4001,_xlfn.XMATCH(G$1&amp;"-"&amp;$F1152,YEAR($B$2:$B$4001)&amp;"-"&amp;$A$2:$A$4001,0,-1)),9)</f>
        <v>9</v>
      </c>
      <c r="H1152" cm="1">
        <f t="array" ref="H1152">IF(OR(AND(G1152=9,H$1&gt;YEAR($N1152))),9,_xlfn.IFNA(INDEX($D$2:$D$4001,_xlfn.XMATCH(H$1&amp;"-"&amp;$F1152,YEAR($B$2:$B$4001)&amp;"-"&amp;$A$2:$A$4001,0,-1)),G1152))</f>
        <v>9</v>
      </c>
      <c r="I1152" cm="1">
        <f t="array" ref="I1152">IF(OR(AND(H1152=9,I$1&gt;YEAR($N1152))),9,_xlfn.IFNA(INDEX($D$2:$D$4001,_xlfn.XMATCH(I$1&amp;"-"&amp;$F1152,YEAR($B$2:$B$4001)&amp;"-"&amp;$A$2:$A$4001,0,-1)),H1152))</f>
        <v>9</v>
      </c>
      <c r="J1152" cm="1">
        <f t="array" ref="J1152">IF(OR(AND(I1152=9,J$1&gt;YEAR($N1152))),9,_xlfn.IFNA(INDEX($D$2:$D$4001,_xlfn.XMATCH(J$1&amp;"-"&amp;$F1152,YEAR($B$2:$B$4001)&amp;"-"&amp;$A$2:$A$4001,0,-1)),I1152))</f>
        <v>9</v>
      </c>
      <c r="K1152" cm="1">
        <f t="array" ref="K1152">IF(OR(AND(J1152=9,K$1&gt;YEAR($N1152))),9,_xlfn.IFNA(INDEX($D$2:$D$4001,_xlfn.XMATCH(K$1&amp;"-"&amp;$F1152,YEAR($B$2:$B$4001)&amp;"-"&amp;$A$2:$A$4001,0,-1)),J1152))</f>
        <v>9</v>
      </c>
      <c r="L1152" cm="1">
        <f t="array" ref="L1152">IF(OR(AND(K1152=9,L$1&gt;YEAR($N1152))),9,_xlfn.IFNA(INDEX($D$2:$D$4001,_xlfn.XMATCH(L$1&amp;"-"&amp;$F1152,YEAR($B$2:$B$4001)&amp;"-"&amp;$A$2:$A$4001,0,-1)),K1152))</f>
        <v>4</v>
      </c>
      <c r="M1152" cm="1">
        <f t="array" ref="M1152">IF(OR(AND(L1152=9,M$1&gt;YEAR($N1152))),9,_xlfn.IFNA(INDEX($D$2:$D$4001,_xlfn.XMATCH(M$1&amp;"-"&amp;$F1152,YEAR($B$2:$B$4001)&amp;"-"&amp;$A$2:$A$4001,0,-1)),L1152))</f>
        <v>4</v>
      </c>
      <c r="N1152" s="1">
        <f t="shared" si="17"/>
        <v>38128</v>
      </c>
    </row>
    <row r="1153" spans="1:14" x14ac:dyDescent="0.35">
      <c r="A1153">
        <v>559</v>
      </c>
      <c r="B1153" s="2">
        <v>36524</v>
      </c>
      <c r="C1153">
        <v>6</v>
      </c>
      <c r="D1153">
        <v>6</v>
      </c>
      <c r="F1153">
        <v>1152</v>
      </c>
      <c r="G1153" cm="1">
        <f t="array" ref="G1153">_xlfn.IFNA(INDEX($D$2:$D$4001,_xlfn.XMATCH(G$1&amp;"-"&amp;$F1153,YEAR($B$2:$B$4001)&amp;"-"&amp;$A$2:$A$4001,0,-1)),9)</f>
        <v>9</v>
      </c>
      <c r="H1153" cm="1">
        <f t="array" ref="H1153">IF(OR(AND(G1153=9,H$1&gt;YEAR($N1153))),9,_xlfn.IFNA(INDEX($D$2:$D$4001,_xlfn.XMATCH(H$1&amp;"-"&amp;$F1153,YEAR($B$2:$B$4001)&amp;"-"&amp;$A$2:$A$4001,0,-1)),G1153))</f>
        <v>2</v>
      </c>
      <c r="I1153" cm="1">
        <f t="array" ref="I1153">IF(OR(AND(H1153=9,I$1&gt;YEAR($N1153))),9,_xlfn.IFNA(INDEX($D$2:$D$4001,_xlfn.XMATCH(I$1&amp;"-"&amp;$F1153,YEAR($B$2:$B$4001)&amp;"-"&amp;$A$2:$A$4001,0,-1)),H1153))</f>
        <v>2</v>
      </c>
      <c r="J1153" cm="1">
        <f t="array" ref="J1153">IF(OR(AND(I1153=9,J$1&gt;YEAR($N1153))),9,_xlfn.IFNA(INDEX($D$2:$D$4001,_xlfn.XMATCH(J$1&amp;"-"&amp;$F1153,YEAR($B$2:$B$4001)&amp;"-"&amp;$A$2:$A$4001,0,-1)),I1153))</f>
        <v>2</v>
      </c>
      <c r="K1153" cm="1">
        <f t="array" ref="K1153">IF(OR(AND(J1153=9,K$1&gt;YEAR($N1153))),9,_xlfn.IFNA(INDEX($D$2:$D$4001,_xlfn.XMATCH(K$1&amp;"-"&amp;$F1153,YEAR($B$2:$B$4001)&amp;"-"&amp;$A$2:$A$4001,0,-1)),J1153))</f>
        <v>3</v>
      </c>
      <c r="L1153" cm="1">
        <f t="array" ref="L1153">IF(OR(AND(K1153=9,L$1&gt;YEAR($N1153))),9,_xlfn.IFNA(INDEX($D$2:$D$4001,_xlfn.XMATCH(L$1&amp;"-"&amp;$F1153,YEAR($B$2:$B$4001)&amp;"-"&amp;$A$2:$A$4001,0,-1)),K1153))</f>
        <v>3</v>
      </c>
      <c r="M1153" cm="1">
        <f t="array" ref="M1153">IF(OR(AND(L1153=9,M$1&gt;YEAR($N1153))),9,_xlfn.IFNA(INDEX($D$2:$D$4001,_xlfn.XMATCH(M$1&amp;"-"&amp;$F1153,YEAR($B$2:$B$4001)&amp;"-"&amp;$A$2:$A$4001,0,-1)),L1153))</f>
        <v>3</v>
      </c>
      <c r="N1153" s="1">
        <f t="shared" si="17"/>
        <v>36667</v>
      </c>
    </row>
    <row r="1154" spans="1:14" x14ac:dyDescent="0.35">
      <c r="A1154">
        <v>559</v>
      </c>
      <c r="B1154" s="2">
        <v>37032</v>
      </c>
      <c r="C1154">
        <v>6</v>
      </c>
      <c r="D1154">
        <v>6</v>
      </c>
      <c r="F1154">
        <v>1153</v>
      </c>
      <c r="G1154" cm="1">
        <f t="array" ref="G1154">_xlfn.IFNA(INDEX($D$2:$D$4001,_xlfn.XMATCH(G$1&amp;"-"&amp;$F1154,YEAR($B$2:$B$4001)&amp;"-"&amp;$A$2:$A$4001,0,-1)),9)</f>
        <v>9</v>
      </c>
      <c r="H1154" cm="1">
        <f t="array" ref="H1154">IF(OR(AND(G1154=9,H$1&gt;YEAR($N1154))),9,_xlfn.IFNA(INDEX($D$2:$D$4001,_xlfn.XMATCH(H$1&amp;"-"&amp;$F1154,YEAR($B$2:$B$4001)&amp;"-"&amp;$A$2:$A$4001,0,-1)),G1154))</f>
        <v>4</v>
      </c>
      <c r="I1154" cm="1">
        <f t="array" ref="I1154">IF(OR(AND(H1154=9,I$1&gt;YEAR($N1154))),9,_xlfn.IFNA(INDEX($D$2:$D$4001,_xlfn.XMATCH(I$1&amp;"-"&amp;$F1154,YEAR($B$2:$B$4001)&amp;"-"&amp;$A$2:$A$4001,0,-1)),H1154))</f>
        <v>5</v>
      </c>
      <c r="J1154" cm="1">
        <f t="array" ref="J1154">IF(OR(AND(I1154=9,J$1&gt;YEAR($N1154))),9,_xlfn.IFNA(INDEX($D$2:$D$4001,_xlfn.XMATCH(J$1&amp;"-"&amp;$F1154,YEAR($B$2:$B$4001)&amp;"-"&amp;$A$2:$A$4001,0,-1)),I1154))</f>
        <v>5</v>
      </c>
      <c r="K1154" cm="1">
        <f t="array" ref="K1154">IF(OR(AND(J1154=9,K$1&gt;YEAR($N1154))),9,_xlfn.IFNA(INDEX($D$2:$D$4001,_xlfn.XMATCH(K$1&amp;"-"&amp;$F1154,YEAR($B$2:$B$4001)&amp;"-"&amp;$A$2:$A$4001,0,-1)),J1154))</f>
        <v>5</v>
      </c>
      <c r="L1154" cm="1">
        <f t="array" ref="L1154">IF(OR(AND(K1154=9,L$1&gt;YEAR($N1154))),9,_xlfn.IFNA(INDEX($D$2:$D$4001,_xlfn.XMATCH(L$1&amp;"-"&amp;$F1154,YEAR($B$2:$B$4001)&amp;"-"&amp;$A$2:$A$4001,0,-1)),K1154))</f>
        <v>4</v>
      </c>
      <c r="M1154" cm="1">
        <f t="array" ref="M1154">IF(OR(AND(L1154=9,M$1&gt;YEAR($N1154))),9,_xlfn.IFNA(INDEX($D$2:$D$4001,_xlfn.XMATCH(M$1&amp;"-"&amp;$F1154,YEAR($B$2:$B$4001)&amp;"-"&amp;$A$2:$A$4001,0,-1)),L1154))</f>
        <v>4</v>
      </c>
      <c r="N1154" s="1">
        <f t="shared" si="17"/>
        <v>36670</v>
      </c>
    </row>
    <row r="1155" spans="1:14" x14ac:dyDescent="0.35">
      <c r="A1155">
        <v>559</v>
      </c>
      <c r="B1155" s="2">
        <v>37489</v>
      </c>
      <c r="C1155">
        <v>7</v>
      </c>
      <c r="D1155">
        <v>7</v>
      </c>
      <c r="F1155">
        <v>1154</v>
      </c>
      <c r="G1155" cm="1">
        <f t="array" ref="G1155">_xlfn.IFNA(INDEX($D$2:$D$4001,_xlfn.XMATCH(G$1&amp;"-"&amp;$F1155,YEAR($B$2:$B$4001)&amp;"-"&amp;$A$2:$A$4001,0,-1)),9)</f>
        <v>3</v>
      </c>
      <c r="H1155" cm="1">
        <f t="array" ref="H1155">IF(OR(AND(G1155=9,H$1&gt;YEAR($N1155))),9,_xlfn.IFNA(INDEX($D$2:$D$4001,_xlfn.XMATCH(H$1&amp;"-"&amp;$F1155,YEAR($B$2:$B$4001)&amp;"-"&amp;$A$2:$A$4001,0,-1)),G1155))</f>
        <v>3</v>
      </c>
      <c r="I1155" cm="1">
        <f t="array" ref="I1155">IF(OR(AND(H1155=9,I$1&gt;YEAR($N1155))),9,_xlfn.IFNA(INDEX($D$2:$D$4001,_xlfn.XMATCH(I$1&amp;"-"&amp;$F1155,YEAR($B$2:$B$4001)&amp;"-"&amp;$A$2:$A$4001,0,-1)),H1155))</f>
        <v>3</v>
      </c>
      <c r="J1155" cm="1">
        <f t="array" ref="J1155">IF(OR(AND(I1155=9,J$1&gt;YEAR($N1155))),9,_xlfn.IFNA(INDEX($D$2:$D$4001,_xlfn.XMATCH(J$1&amp;"-"&amp;$F1155,YEAR($B$2:$B$4001)&amp;"-"&amp;$A$2:$A$4001,0,-1)),I1155))</f>
        <v>3</v>
      </c>
      <c r="K1155" cm="1">
        <f t="array" ref="K1155">IF(OR(AND(J1155=9,K$1&gt;YEAR($N1155))),9,_xlfn.IFNA(INDEX($D$2:$D$4001,_xlfn.XMATCH(K$1&amp;"-"&amp;$F1155,YEAR($B$2:$B$4001)&amp;"-"&amp;$A$2:$A$4001,0,-1)),J1155))</f>
        <v>3</v>
      </c>
      <c r="L1155" cm="1">
        <f t="array" ref="L1155">IF(OR(AND(K1155=9,L$1&gt;YEAR($N1155))),9,_xlfn.IFNA(INDEX($D$2:$D$4001,_xlfn.XMATCH(L$1&amp;"-"&amp;$F1155,YEAR($B$2:$B$4001)&amp;"-"&amp;$A$2:$A$4001,0,-1)),K1155))</f>
        <v>3</v>
      </c>
      <c r="M1155" cm="1">
        <f t="array" ref="M1155">IF(OR(AND(L1155=9,M$1&gt;YEAR($N1155))),9,_xlfn.IFNA(INDEX($D$2:$D$4001,_xlfn.XMATCH(M$1&amp;"-"&amp;$F1155,YEAR($B$2:$B$4001)&amp;"-"&amp;$A$2:$A$4001,0,-1)),L1155))</f>
        <v>3</v>
      </c>
      <c r="N1155" s="1">
        <f t="shared" ref="N1155:N1218" si="18">_xlfn.MINIFS($B$2:$B$4001,$A$2:$A$4001,F1155)</f>
        <v>36304</v>
      </c>
    </row>
    <row r="1156" spans="1:14" x14ac:dyDescent="0.35">
      <c r="A1156">
        <v>559</v>
      </c>
      <c r="B1156" s="2">
        <v>37620</v>
      </c>
      <c r="C1156">
        <v>6</v>
      </c>
      <c r="D1156">
        <v>6</v>
      </c>
      <c r="F1156">
        <v>1155</v>
      </c>
      <c r="G1156" cm="1">
        <f t="array" ref="G1156">_xlfn.IFNA(INDEX($D$2:$D$4001,_xlfn.XMATCH(G$1&amp;"-"&amp;$F1156,YEAR($B$2:$B$4001)&amp;"-"&amp;$A$2:$A$4001,0,-1)),9)</f>
        <v>9</v>
      </c>
      <c r="H1156" cm="1">
        <f t="array" ref="H1156">IF(OR(AND(G1156=9,H$1&gt;YEAR($N1156))),9,_xlfn.IFNA(INDEX($D$2:$D$4001,_xlfn.XMATCH(H$1&amp;"-"&amp;$F1156,YEAR($B$2:$B$4001)&amp;"-"&amp;$A$2:$A$4001,0,-1)),G1156))</f>
        <v>9</v>
      </c>
      <c r="I1156" cm="1">
        <f t="array" ref="I1156">IF(OR(AND(H1156=9,I$1&gt;YEAR($N1156))),9,_xlfn.IFNA(INDEX($D$2:$D$4001,_xlfn.XMATCH(I$1&amp;"-"&amp;$F1156,YEAR($B$2:$B$4001)&amp;"-"&amp;$A$2:$A$4001,0,-1)),H1156))</f>
        <v>3</v>
      </c>
      <c r="J1156" cm="1">
        <f t="array" ref="J1156">IF(OR(AND(I1156=9,J$1&gt;YEAR($N1156))),9,_xlfn.IFNA(INDEX($D$2:$D$4001,_xlfn.XMATCH(J$1&amp;"-"&amp;$F1156,YEAR($B$2:$B$4001)&amp;"-"&amp;$A$2:$A$4001,0,-1)),I1156))</f>
        <v>3</v>
      </c>
      <c r="K1156" cm="1">
        <f t="array" ref="K1156">IF(OR(AND(J1156=9,K$1&gt;YEAR($N1156))),9,_xlfn.IFNA(INDEX($D$2:$D$4001,_xlfn.XMATCH(K$1&amp;"-"&amp;$F1156,YEAR($B$2:$B$4001)&amp;"-"&amp;$A$2:$A$4001,0,-1)),J1156))</f>
        <v>3</v>
      </c>
      <c r="L1156" cm="1">
        <f t="array" ref="L1156">IF(OR(AND(K1156=9,L$1&gt;YEAR($N1156))),9,_xlfn.IFNA(INDEX($D$2:$D$4001,_xlfn.XMATCH(L$1&amp;"-"&amp;$F1156,YEAR($B$2:$B$4001)&amp;"-"&amp;$A$2:$A$4001,0,-1)),K1156))</f>
        <v>3</v>
      </c>
      <c r="M1156" cm="1">
        <f t="array" ref="M1156">IF(OR(AND(L1156=9,M$1&gt;YEAR($N1156))),9,_xlfn.IFNA(INDEX($D$2:$D$4001,_xlfn.XMATCH(M$1&amp;"-"&amp;$F1156,YEAR($B$2:$B$4001)&amp;"-"&amp;$A$2:$A$4001,0,-1)),L1156))</f>
        <v>3</v>
      </c>
      <c r="N1156" s="1">
        <f t="shared" si="18"/>
        <v>37032</v>
      </c>
    </row>
    <row r="1157" spans="1:14" x14ac:dyDescent="0.35">
      <c r="A1157">
        <v>559</v>
      </c>
      <c r="B1157" s="2">
        <v>37762</v>
      </c>
      <c r="C1157">
        <v>7</v>
      </c>
      <c r="D1157">
        <v>7</v>
      </c>
      <c r="F1157">
        <v>1156</v>
      </c>
      <c r="G1157" cm="1">
        <f t="array" ref="G1157">_xlfn.IFNA(INDEX($D$2:$D$4001,_xlfn.XMATCH(G$1&amp;"-"&amp;$F1157,YEAR($B$2:$B$4001)&amp;"-"&amp;$A$2:$A$4001,0,-1)),9)</f>
        <v>9</v>
      </c>
      <c r="H1157" cm="1">
        <f t="array" ref="H1157">IF(OR(AND(G1157=9,H$1&gt;YEAR($N1157))),9,_xlfn.IFNA(INDEX($D$2:$D$4001,_xlfn.XMATCH(H$1&amp;"-"&amp;$F1157,YEAR($B$2:$B$4001)&amp;"-"&amp;$A$2:$A$4001,0,-1)),G1157))</f>
        <v>9</v>
      </c>
      <c r="I1157" cm="1">
        <f t="array" ref="I1157">IF(OR(AND(H1157=9,I$1&gt;YEAR($N1157))),9,_xlfn.IFNA(INDEX($D$2:$D$4001,_xlfn.XMATCH(I$1&amp;"-"&amp;$F1157,YEAR($B$2:$B$4001)&amp;"-"&amp;$A$2:$A$4001,0,-1)),H1157))</f>
        <v>9</v>
      </c>
      <c r="J1157" cm="1">
        <f t="array" ref="J1157">IF(OR(AND(I1157=9,J$1&gt;YEAR($N1157))),9,_xlfn.IFNA(INDEX($D$2:$D$4001,_xlfn.XMATCH(J$1&amp;"-"&amp;$F1157,YEAR($B$2:$B$4001)&amp;"-"&amp;$A$2:$A$4001,0,-1)),I1157))</f>
        <v>2</v>
      </c>
      <c r="K1157" cm="1">
        <f t="array" ref="K1157">IF(OR(AND(J1157=9,K$1&gt;YEAR($N1157))),9,_xlfn.IFNA(INDEX($D$2:$D$4001,_xlfn.XMATCH(K$1&amp;"-"&amp;$F1157,YEAR($B$2:$B$4001)&amp;"-"&amp;$A$2:$A$4001,0,-1)),J1157))</f>
        <v>2</v>
      </c>
      <c r="L1157" cm="1">
        <f t="array" ref="L1157">IF(OR(AND(K1157=9,L$1&gt;YEAR($N1157))),9,_xlfn.IFNA(INDEX($D$2:$D$4001,_xlfn.XMATCH(L$1&amp;"-"&amp;$F1157,YEAR($B$2:$B$4001)&amp;"-"&amp;$A$2:$A$4001,0,-1)),K1157))</f>
        <v>2</v>
      </c>
      <c r="M1157" cm="1">
        <f t="array" ref="M1157">IF(OR(AND(L1157=9,M$1&gt;YEAR($N1157))),9,_xlfn.IFNA(INDEX($D$2:$D$4001,_xlfn.XMATCH(M$1&amp;"-"&amp;$F1157,YEAR($B$2:$B$4001)&amp;"-"&amp;$A$2:$A$4001,0,-1)),L1157))</f>
        <v>2</v>
      </c>
      <c r="N1157" s="1">
        <f t="shared" si="18"/>
        <v>37620</v>
      </c>
    </row>
    <row r="1158" spans="1:14" x14ac:dyDescent="0.35">
      <c r="A1158">
        <v>559</v>
      </c>
      <c r="B1158" s="2">
        <v>37915</v>
      </c>
      <c r="C1158">
        <v>6</v>
      </c>
      <c r="D1158">
        <v>6</v>
      </c>
      <c r="F1158">
        <v>1157</v>
      </c>
      <c r="G1158" cm="1">
        <f t="array" ref="G1158">_xlfn.IFNA(INDEX($D$2:$D$4001,_xlfn.XMATCH(G$1&amp;"-"&amp;$F1158,YEAR($B$2:$B$4001)&amp;"-"&amp;$A$2:$A$4001,0,-1)),9)</f>
        <v>9</v>
      </c>
      <c r="H1158" cm="1">
        <f t="array" ref="H1158">IF(OR(AND(G1158=9,H$1&gt;YEAR($N1158))),9,_xlfn.IFNA(INDEX($D$2:$D$4001,_xlfn.XMATCH(H$1&amp;"-"&amp;$F1158,YEAR($B$2:$B$4001)&amp;"-"&amp;$A$2:$A$4001,0,-1)),G1158))</f>
        <v>3</v>
      </c>
      <c r="I1158" cm="1">
        <f t="array" ref="I1158">IF(OR(AND(H1158=9,I$1&gt;YEAR($N1158))),9,_xlfn.IFNA(INDEX($D$2:$D$4001,_xlfn.XMATCH(I$1&amp;"-"&amp;$F1158,YEAR($B$2:$B$4001)&amp;"-"&amp;$A$2:$A$4001,0,-1)),H1158))</f>
        <v>3</v>
      </c>
      <c r="J1158" cm="1">
        <f t="array" ref="J1158">IF(OR(AND(I1158=9,J$1&gt;YEAR($N1158))),9,_xlfn.IFNA(INDEX($D$2:$D$4001,_xlfn.XMATCH(J$1&amp;"-"&amp;$F1158,YEAR($B$2:$B$4001)&amp;"-"&amp;$A$2:$A$4001,0,-1)),I1158))</f>
        <v>3</v>
      </c>
      <c r="K1158" cm="1">
        <f t="array" ref="K1158">IF(OR(AND(J1158=9,K$1&gt;YEAR($N1158))),9,_xlfn.IFNA(INDEX($D$2:$D$4001,_xlfn.XMATCH(K$1&amp;"-"&amp;$F1158,YEAR($B$2:$B$4001)&amp;"-"&amp;$A$2:$A$4001,0,-1)),J1158))</f>
        <v>3</v>
      </c>
      <c r="L1158" cm="1">
        <f t="array" ref="L1158">IF(OR(AND(K1158=9,L$1&gt;YEAR($N1158))),9,_xlfn.IFNA(INDEX($D$2:$D$4001,_xlfn.XMATCH(L$1&amp;"-"&amp;$F1158,YEAR($B$2:$B$4001)&amp;"-"&amp;$A$2:$A$4001,0,-1)),K1158))</f>
        <v>3</v>
      </c>
      <c r="M1158" cm="1">
        <f t="array" ref="M1158">IF(OR(AND(L1158=9,M$1&gt;YEAR($N1158))),9,_xlfn.IFNA(INDEX($D$2:$D$4001,_xlfn.XMATCH(M$1&amp;"-"&amp;$F1158,YEAR($B$2:$B$4001)&amp;"-"&amp;$A$2:$A$4001,0,-1)),L1158))</f>
        <v>3</v>
      </c>
      <c r="N1158" s="1">
        <f t="shared" si="18"/>
        <v>36676</v>
      </c>
    </row>
    <row r="1159" spans="1:14" x14ac:dyDescent="0.35">
      <c r="A1159">
        <v>559</v>
      </c>
      <c r="B1159" s="2">
        <v>37924</v>
      </c>
      <c r="C1159">
        <v>0</v>
      </c>
      <c r="D1159">
        <v>0</v>
      </c>
      <c r="F1159">
        <v>1158</v>
      </c>
      <c r="G1159" cm="1">
        <f t="array" ref="G1159">_xlfn.IFNA(INDEX($D$2:$D$4001,_xlfn.XMATCH(G$1&amp;"-"&amp;$F1159,YEAR($B$2:$B$4001)&amp;"-"&amp;$A$2:$A$4001,0,-1)),9)</f>
        <v>9</v>
      </c>
      <c r="H1159" cm="1">
        <f t="array" ref="H1159">IF(OR(AND(G1159=9,H$1&gt;YEAR($N1159))),9,_xlfn.IFNA(INDEX($D$2:$D$4001,_xlfn.XMATCH(H$1&amp;"-"&amp;$F1159,YEAR($B$2:$B$4001)&amp;"-"&amp;$A$2:$A$4001,0,-1)),G1159))</f>
        <v>9</v>
      </c>
      <c r="I1159" cm="1">
        <f t="array" ref="I1159">IF(OR(AND(H1159=9,I$1&gt;YEAR($N1159))),9,_xlfn.IFNA(INDEX($D$2:$D$4001,_xlfn.XMATCH(I$1&amp;"-"&amp;$F1159,YEAR($B$2:$B$4001)&amp;"-"&amp;$A$2:$A$4001,0,-1)),H1159))</f>
        <v>9</v>
      </c>
      <c r="J1159" cm="1">
        <f t="array" ref="J1159">IF(OR(AND(I1159=9,J$1&gt;YEAR($N1159))),9,_xlfn.IFNA(INDEX($D$2:$D$4001,_xlfn.XMATCH(J$1&amp;"-"&amp;$F1159,YEAR($B$2:$B$4001)&amp;"-"&amp;$A$2:$A$4001,0,-1)),I1159))</f>
        <v>9</v>
      </c>
      <c r="K1159" cm="1">
        <f t="array" ref="K1159">IF(OR(AND(J1159=9,K$1&gt;YEAR($N1159))),9,_xlfn.IFNA(INDEX($D$2:$D$4001,_xlfn.XMATCH(K$1&amp;"-"&amp;$F1159,YEAR($B$2:$B$4001)&amp;"-"&amp;$A$2:$A$4001,0,-1)),J1159))</f>
        <v>0</v>
      </c>
      <c r="L1159" cm="1">
        <f t="array" ref="L1159">IF(OR(AND(K1159=9,L$1&gt;YEAR($N1159))),9,_xlfn.IFNA(INDEX($D$2:$D$4001,_xlfn.XMATCH(L$1&amp;"-"&amp;$F1159,YEAR($B$2:$B$4001)&amp;"-"&amp;$A$2:$A$4001,0,-1)),K1159))</f>
        <v>0</v>
      </c>
      <c r="M1159" cm="1">
        <f t="array" ref="M1159">IF(OR(AND(L1159=9,M$1&gt;YEAR($N1159))),9,_xlfn.IFNA(INDEX($D$2:$D$4001,_xlfn.XMATCH(M$1&amp;"-"&amp;$F1159,YEAR($B$2:$B$4001)&amp;"-"&amp;$A$2:$A$4001,0,-1)),L1159))</f>
        <v>0</v>
      </c>
      <c r="N1159" s="1">
        <f t="shared" si="18"/>
        <v>37985</v>
      </c>
    </row>
    <row r="1160" spans="1:14" x14ac:dyDescent="0.35">
      <c r="A1160">
        <v>560</v>
      </c>
      <c r="B1160" s="2">
        <v>37489</v>
      </c>
      <c r="C1160">
        <v>3</v>
      </c>
      <c r="D1160">
        <v>3</v>
      </c>
      <c r="F1160">
        <v>1159</v>
      </c>
      <c r="G1160" cm="1">
        <f t="array" ref="G1160">_xlfn.IFNA(INDEX($D$2:$D$4001,_xlfn.XMATCH(G$1&amp;"-"&amp;$F1160,YEAR($B$2:$B$4001)&amp;"-"&amp;$A$2:$A$4001,0,-1)),9)</f>
        <v>9</v>
      </c>
      <c r="H1160" cm="1">
        <f t="array" ref="H1160">IF(OR(AND(G1160=9,H$1&gt;YEAR($N1160))),9,_xlfn.IFNA(INDEX($D$2:$D$4001,_xlfn.XMATCH(H$1&amp;"-"&amp;$F1160,YEAR($B$2:$B$4001)&amp;"-"&amp;$A$2:$A$4001,0,-1)),G1160))</f>
        <v>9</v>
      </c>
      <c r="I1160" cm="1">
        <f t="array" ref="I1160">IF(OR(AND(H1160=9,I$1&gt;YEAR($N1160))),9,_xlfn.IFNA(INDEX($D$2:$D$4001,_xlfn.XMATCH(I$1&amp;"-"&amp;$F1160,YEAR($B$2:$B$4001)&amp;"-"&amp;$A$2:$A$4001,0,-1)),H1160))</f>
        <v>9</v>
      </c>
      <c r="J1160" cm="1">
        <f t="array" ref="J1160">IF(OR(AND(I1160=9,J$1&gt;YEAR($N1160))),9,_xlfn.IFNA(INDEX($D$2:$D$4001,_xlfn.XMATCH(J$1&amp;"-"&amp;$F1160,YEAR($B$2:$B$4001)&amp;"-"&amp;$A$2:$A$4001,0,-1)),I1160))</f>
        <v>6</v>
      </c>
      <c r="K1160" cm="1">
        <f t="array" ref="K1160">IF(OR(AND(J1160=9,K$1&gt;YEAR($N1160))),9,_xlfn.IFNA(INDEX($D$2:$D$4001,_xlfn.XMATCH(K$1&amp;"-"&amp;$F1160,YEAR($B$2:$B$4001)&amp;"-"&amp;$A$2:$A$4001,0,-1)),J1160))</f>
        <v>6</v>
      </c>
      <c r="L1160" cm="1">
        <f t="array" ref="L1160">IF(OR(AND(K1160=9,L$1&gt;YEAR($N1160))),9,_xlfn.IFNA(INDEX($D$2:$D$4001,_xlfn.XMATCH(L$1&amp;"-"&amp;$F1160,YEAR($B$2:$B$4001)&amp;"-"&amp;$A$2:$A$4001,0,-1)),K1160))</f>
        <v>6</v>
      </c>
      <c r="M1160" cm="1">
        <f t="array" ref="M1160">IF(OR(AND(L1160=9,M$1&gt;YEAR($N1160))),9,_xlfn.IFNA(INDEX($D$2:$D$4001,_xlfn.XMATCH(M$1&amp;"-"&amp;$F1160,YEAR($B$2:$B$4001)&amp;"-"&amp;$A$2:$A$4001,0,-1)),L1160))</f>
        <v>6</v>
      </c>
      <c r="N1160" s="1">
        <f t="shared" si="18"/>
        <v>37498</v>
      </c>
    </row>
    <row r="1161" spans="1:14" x14ac:dyDescent="0.35">
      <c r="A1161">
        <v>560</v>
      </c>
      <c r="B1161" s="2">
        <v>38128</v>
      </c>
      <c r="C1161">
        <v>2</v>
      </c>
      <c r="D1161">
        <v>2</v>
      </c>
      <c r="F1161">
        <v>1160</v>
      </c>
      <c r="G1161" cm="1">
        <f t="array" ref="G1161">_xlfn.IFNA(INDEX($D$2:$D$4001,_xlfn.XMATCH(G$1&amp;"-"&amp;$F1161,YEAR($B$2:$B$4001)&amp;"-"&amp;$A$2:$A$4001,0,-1)),9)</f>
        <v>9</v>
      </c>
      <c r="H1161" cm="1">
        <f t="array" ref="H1161">IF(OR(AND(G1161=9,H$1&gt;YEAR($N1161))),9,_xlfn.IFNA(INDEX($D$2:$D$4001,_xlfn.XMATCH(H$1&amp;"-"&amp;$F1161,YEAR($B$2:$B$4001)&amp;"-"&amp;$A$2:$A$4001,0,-1)),G1161))</f>
        <v>3</v>
      </c>
      <c r="I1161" cm="1">
        <f t="array" ref="I1161">IF(OR(AND(H1161=9,I$1&gt;YEAR($N1161))),9,_xlfn.IFNA(INDEX($D$2:$D$4001,_xlfn.XMATCH(I$1&amp;"-"&amp;$F1161,YEAR($B$2:$B$4001)&amp;"-"&amp;$A$2:$A$4001,0,-1)),H1161))</f>
        <v>3</v>
      </c>
      <c r="J1161" cm="1">
        <f t="array" ref="J1161">IF(OR(AND(I1161=9,J$1&gt;YEAR($N1161))),9,_xlfn.IFNA(INDEX($D$2:$D$4001,_xlfn.XMATCH(J$1&amp;"-"&amp;$F1161,YEAR($B$2:$B$4001)&amp;"-"&amp;$A$2:$A$4001,0,-1)),I1161))</f>
        <v>3</v>
      </c>
      <c r="K1161" cm="1">
        <f t="array" ref="K1161">IF(OR(AND(J1161=9,K$1&gt;YEAR($N1161))),9,_xlfn.IFNA(INDEX($D$2:$D$4001,_xlfn.XMATCH(K$1&amp;"-"&amp;$F1161,YEAR($B$2:$B$4001)&amp;"-"&amp;$A$2:$A$4001,0,-1)),J1161))</f>
        <v>3</v>
      </c>
      <c r="L1161" cm="1">
        <f t="array" ref="L1161">IF(OR(AND(K1161=9,L$1&gt;YEAR($N1161))),9,_xlfn.IFNA(INDEX($D$2:$D$4001,_xlfn.XMATCH(L$1&amp;"-"&amp;$F1161,YEAR($B$2:$B$4001)&amp;"-"&amp;$A$2:$A$4001,0,-1)),K1161))</f>
        <v>3</v>
      </c>
      <c r="M1161" cm="1">
        <f t="array" ref="M1161">IF(OR(AND(L1161=9,M$1&gt;YEAR($N1161))),9,_xlfn.IFNA(INDEX($D$2:$D$4001,_xlfn.XMATCH(M$1&amp;"-"&amp;$F1161,YEAR($B$2:$B$4001)&amp;"-"&amp;$A$2:$A$4001,0,-1)),L1161))</f>
        <v>3</v>
      </c>
      <c r="N1161" s="1">
        <f t="shared" si="18"/>
        <v>36890</v>
      </c>
    </row>
    <row r="1162" spans="1:14" x14ac:dyDescent="0.35">
      <c r="A1162">
        <v>561</v>
      </c>
      <c r="B1162" s="2">
        <v>37489</v>
      </c>
      <c r="C1162">
        <v>2</v>
      </c>
      <c r="D1162">
        <v>2</v>
      </c>
      <c r="F1162">
        <v>1161</v>
      </c>
      <c r="G1162" cm="1">
        <f t="array" ref="G1162">_xlfn.IFNA(INDEX($D$2:$D$4001,_xlfn.XMATCH(G$1&amp;"-"&amp;$F1162,YEAR($B$2:$B$4001)&amp;"-"&amp;$A$2:$A$4001,0,-1)),9)</f>
        <v>9</v>
      </c>
      <c r="H1162" cm="1">
        <f t="array" ref="H1162">IF(OR(AND(G1162=9,H$1&gt;YEAR($N1162))),9,_xlfn.IFNA(INDEX($D$2:$D$4001,_xlfn.XMATCH(H$1&amp;"-"&amp;$F1162,YEAR($B$2:$B$4001)&amp;"-"&amp;$A$2:$A$4001,0,-1)),G1162))</f>
        <v>9</v>
      </c>
      <c r="I1162" cm="1">
        <f t="array" ref="I1162">IF(OR(AND(H1162=9,I$1&gt;YEAR($N1162))),9,_xlfn.IFNA(INDEX($D$2:$D$4001,_xlfn.XMATCH(I$1&amp;"-"&amp;$F1162,YEAR($B$2:$B$4001)&amp;"-"&amp;$A$2:$A$4001,0,-1)),H1162))</f>
        <v>9</v>
      </c>
      <c r="J1162" cm="1">
        <f t="array" ref="J1162">IF(OR(AND(I1162=9,J$1&gt;YEAR($N1162))),9,_xlfn.IFNA(INDEX($D$2:$D$4001,_xlfn.XMATCH(J$1&amp;"-"&amp;$F1162,YEAR($B$2:$B$4001)&amp;"-"&amp;$A$2:$A$4001,0,-1)),I1162))</f>
        <v>9</v>
      </c>
      <c r="K1162" cm="1">
        <f t="array" ref="K1162">IF(OR(AND(J1162=9,K$1&gt;YEAR($N1162))),9,_xlfn.IFNA(INDEX($D$2:$D$4001,_xlfn.XMATCH(K$1&amp;"-"&amp;$F1162,YEAR($B$2:$B$4001)&amp;"-"&amp;$A$2:$A$4001,0,-1)),J1162))</f>
        <v>9</v>
      </c>
      <c r="L1162" cm="1">
        <f t="array" ref="L1162">IF(OR(AND(K1162=9,L$1&gt;YEAR($N1162))),9,_xlfn.IFNA(INDEX($D$2:$D$4001,_xlfn.XMATCH(L$1&amp;"-"&amp;$F1162,YEAR($B$2:$B$4001)&amp;"-"&amp;$A$2:$A$4001,0,-1)),K1162))</f>
        <v>4</v>
      </c>
      <c r="M1162" cm="1">
        <f t="array" ref="M1162">IF(OR(AND(L1162=9,M$1&gt;YEAR($N1162))),9,_xlfn.IFNA(INDEX($D$2:$D$4001,_xlfn.XMATCH(M$1&amp;"-"&amp;$F1162,YEAR($B$2:$B$4001)&amp;"-"&amp;$A$2:$A$4001,0,-1)),L1162))</f>
        <v>4</v>
      </c>
      <c r="N1162" s="1">
        <f t="shared" si="18"/>
        <v>38128</v>
      </c>
    </row>
    <row r="1163" spans="1:14" x14ac:dyDescent="0.35">
      <c r="A1163">
        <v>561</v>
      </c>
      <c r="B1163" s="2">
        <v>38351</v>
      </c>
      <c r="C1163">
        <v>2</v>
      </c>
      <c r="D1163">
        <v>2</v>
      </c>
      <c r="F1163">
        <v>1162</v>
      </c>
      <c r="G1163" cm="1">
        <f t="array" ref="G1163">_xlfn.IFNA(INDEX($D$2:$D$4001,_xlfn.XMATCH(G$1&amp;"-"&amp;$F1163,YEAR($B$2:$B$4001)&amp;"-"&amp;$A$2:$A$4001,0,-1)),9)</f>
        <v>1</v>
      </c>
      <c r="H1163" cm="1">
        <f t="array" ref="H1163">IF(OR(AND(G1163=9,H$1&gt;YEAR($N1163))),9,_xlfn.IFNA(INDEX($D$2:$D$4001,_xlfn.XMATCH(H$1&amp;"-"&amp;$F1163,YEAR($B$2:$B$4001)&amp;"-"&amp;$A$2:$A$4001,0,-1)),G1163))</f>
        <v>1</v>
      </c>
      <c r="I1163" cm="1">
        <f t="array" ref="I1163">IF(OR(AND(H1163=9,I$1&gt;YEAR($N1163))),9,_xlfn.IFNA(INDEX($D$2:$D$4001,_xlfn.XMATCH(I$1&amp;"-"&amp;$F1163,YEAR($B$2:$B$4001)&amp;"-"&amp;$A$2:$A$4001,0,-1)),H1163))</f>
        <v>1</v>
      </c>
      <c r="J1163" cm="1">
        <f t="array" ref="J1163">IF(OR(AND(I1163=9,J$1&gt;YEAR($N1163))),9,_xlfn.IFNA(INDEX($D$2:$D$4001,_xlfn.XMATCH(J$1&amp;"-"&amp;$F1163,YEAR($B$2:$B$4001)&amp;"-"&amp;$A$2:$A$4001,0,-1)),I1163))</f>
        <v>1</v>
      </c>
      <c r="K1163" cm="1">
        <f t="array" ref="K1163">IF(OR(AND(J1163=9,K$1&gt;YEAR($N1163))),9,_xlfn.IFNA(INDEX($D$2:$D$4001,_xlfn.XMATCH(K$1&amp;"-"&amp;$F1163,YEAR($B$2:$B$4001)&amp;"-"&amp;$A$2:$A$4001,0,-1)),J1163))</f>
        <v>1</v>
      </c>
      <c r="L1163" cm="1">
        <f t="array" ref="L1163">IF(OR(AND(K1163=9,L$1&gt;YEAR($N1163))),9,_xlfn.IFNA(INDEX($D$2:$D$4001,_xlfn.XMATCH(L$1&amp;"-"&amp;$F1163,YEAR($B$2:$B$4001)&amp;"-"&amp;$A$2:$A$4001,0,-1)),K1163))</f>
        <v>1</v>
      </c>
      <c r="M1163" cm="1">
        <f t="array" ref="M1163">IF(OR(AND(L1163=9,M$1&gt;YEAR($N1163))),9,_xlfn.IFNA(INDEX($D$2:$D$4001,_xlfn.XMATCH(M$1&amp;"-"&amp;$F1163,YEAR($B$2:$B$4001)&amp;"-"&amp;$A$2:$A$4001,0,-1)),L1163))</f>
        <v>1</v>
      </c>
      <c r="N1163" s="1">
        <f t="shared" si="18"/>
        <v>36524</v>
      </c>
    </row>
    <row r="1164" spans="1:14" x14ac:dyDescent="0.35">
      <c r="A1164">
        <v>562</v>
      </c>
      <c r="B1164" s="2">
        <v>37458</v>
      </c>
      <c r="C1164">
        <v>3</v>
      </c>
      <c r="D1164">
        <v>3</v>
      </c>
      <c r="F1164">
        <v>1163</v>
      </c>
      <c r="G1164" cm="1">
        <f t="array" ref="G1164">_xlfn.IFNA(INDEX($D$2:$D$4001,_xlfn.XMATCH(G$1&amp;"-"&amp;$F1164,YEAR($B$2:$B$4001)&amp;"-"&amp;$A$2:$A$4001,0,-1)),9)</f>
        <v>3</v>
      </c>
      <c r="H1164" cm="1">
        <f t="array" ref="H1164">IF(OR(AND(G1164=9,H$1&gt;YEAR($N1164))),9,_xlfn.IFNA(INDEX($D$2:$D$4001,_xlfn.XMATCH(H$1&amp;"-"&amp;$F1164,YEAR($B$2:$B$4001)&amp;"-"&amp;$A$2:$A$4001,0,-1)),G1164))</f>
        <v>3</v>
      </c>
      <c r="I1164" cm="1">
        <f t="array" ref="I1164">IF(OR(AND(H1164=9,I$1&gt;YEAR($N1164))),9,_xlfn.IFNA(INDEX($D$2:$D$4001,_xlfn.XMATCH(I$1&amp;"-"&amp;$F1164,YEAR($B$2:$B$4001)&amp;"-"&amp;$A$2:$A$4001,0,-1)),H1164))</f>
        <v>3</v>
      </c>
      <c r="J1164" cm="1">
        <f t="array" ref="J1164">IF(OR(AND(I1164=9,J$1&gt;YEAR($N1164))),9,_xlfn.IFNA(INDEX($D$2:$D$4001,_xlfn.XMATCH(J$1&amp;"-"&amp;$F1164,YEAR($B$2:$B$4001)&amp;"-"&amp;$A$2:$A$4001,0,-1)),I1164))</f>
        <v>8</v>
      </c>
      <c r="K1164" cm="1">
        <f t="array" ref="K1164">IF(OR(AND(J1164=9,K$1&gt;YEAR($N1164))),9,_xlfn.IFNA(INDEX($D$2:$D$4001,_xlfn.XMATCH(K$1&amp;"-"&amp;$F1164,YEAR($B$2:$B$4001)&amp;"-"&amp;$A$2:$A$4001,0,-1)),J1164))</f>
        <v>8</v>
      </c>
      <c r="L1164" cm="1">
        <f t="array" ref="L1164">IF(OR(AND(K1164=9,L$1&gt;YEAR($N1164))),9,_xlfn.IFNA(INDEX($D$2:$D$4001,_xlfn.XMATCH(L$1&amp;"-"&amp;$F1164,YEAR($B$2:$B$4001)&amp;"-"&amp;$A$2:$A$4001,0,-1)),K1164))</f>
        <v>8</v>
      </c>
      <c r="M1164" cm="1">
        <f t="array" ref="M1164">IF(OR(AND(L1164=9,M$1&gt;YEAR($N1164))),9,_xlfn.IFNA(INDEX($D$2:$D$4001,_xlfn.XMATCH(M$1&amp;"-"&amp;$F1164,YEAR($B$2:$B$4001)&amp;"-"&amp;$A$2:$A$4001,0,-1)),L1164))</f>
        <v>8</v>
      </c>
      <c r="N1164" s="1">
        <f t="shared" si="18"/>
        <v>36301</v>
      </c>
    </row>
    <row r="1165" spans="1:14" x14ac:dyDescent="0.35">
      <c r="A1165">
        <v>562</v>
      </c>
      <c r="B1165" s="2">
        <v>38351</v>
      </c>
      <c r="C1165">
        <v>2</v>
      </c>
      <c r="D1165">
        <v>2</v>
      </c>
      <c r="F1165">
        <v>1164</v>
      </c>
      <c r="G1165" cm="1">
        <f t="array" ref="G1165">_xlfn.IFNA(INDEX($D$2:$D$4001,_xlfn.XMATCH(G$1&amp;"-"&amp;$F1165,YEAR($B$2:$B$4001)&amp;"-"&amp;$A$2:$A$4001,0,-1)),9)</f>
        <v>9</v>
      </c>
      <c r="H1165" cm="1">
        <f t="array" ref="H1165">IF(OR(AND(G1165=9,H$1&gt;YEAR($N1165))),9,_xlfn.IFNA(INDEX($D$2:$D$4001,_xlfn.XMATCH(H$1&amp;"-"&amp;$F1165,YEAR($B$2:$B$4001)&amp;"-"&amp;$A$2:$A$4001,0,-1)),G1165))</f>
        <v>9</v>
      </c>
      <c r="I1165" cm="1">
        <f t="array" ref="I1165">IF(OR(AND(H1165=9,I$1&gt;YEAR($N1165))),9,_xlfn.IFNA(INDEX($D$2:$D$4001,_xlfn.XMATCH(I$1&amp;"-"&amp;$F1165,YEAR($B$2:$B$4001)&amp;"-"&amp;$A$2:$A$4001,0,-1)),H1165))</f>
        <v>9</v>
      </c>
      <c r="J1165" cm="1">
        <f t="array" ref="J1165">IF(OR(AND(I1165=9,J$1&gt;YEAR($N1165))),9,_xlfn.IFNA(INDEX($D$2:$D$4001,_xlfn.XMATCH(J$1&amp;"-"&amp;$F1165,YEAR($B$2:$B$4001)&amp;"-"&amp;$A$2:$A$4001,0,-1)),I1165))</f>
        <v>7</v>
      </c>
      <c r="K1165" cm="1">
        <f t="array" ref="K1165">IF(OR(AND(J1165=9,K$1&gt;YEAR($N1165))),9,_xlfn.IFNA(INDEX($D$2:$D$4001,_xlfn.XMATCH(K$1&amp;"-"&amp;$F1165,YEAR($B$2:$B$4001)&amp;"-"&amp;$A$2:$A$4001,0,-1)),J1165))</f>
        <v>6</v>
      </c>
      <c r="L1165" cm="1">
        <f t="array" ref="L1165">IF(OR(AND(K1165=9,L$1&gt;YEAR($N1165))),9,_xlfn.IFNA(INDEX($D$2:$D$4001,_xlfn.XMATCH(L$1&amp;"-"&amp;$F1165,YEAR($B$2:$B$4001)&amp;"-"&amp;$A$2:$A$4001,0,-1)),K1165))</f>
        <v>6</v>
      </c>
      <c r="M1165" cm="1">
        <f t="array" ref="M1165">IF(OR(AND(L1165=9,M$1&gt;YEAR($N1165))),9,_xlfn.IFNA(INDEX($D$2:$D$4001,_xlfn.XMATCH(M$1&amp;"-"&amp;$F1165,YEAR($B$2:$B$4001)&amp;"-"&amp;$A$2:$A$4001,0,-1)),L1165))</f>
        <v>6</v>
      </c>
      <c r="N1165" s="1">
        <f t="shared" si="18"/>
        <v>37397</v>
      </c>
    </row>
    <row r="1166" spans="1:14" x14ac:dyDescent="0.35">
      <c r="A1166">
        <v>563</v>
      </c>
      <c r="B1166" s="2">
        <v>37406</v>
      </c>
      <c r="C1166">
        <v>2</v>
      </c>
      <c r="D1166">
        <v>2</v>
      </c>
      <c r="F1166">
        <v>1165</v>
      </c>
      <c r="G1166" cm="1">
        <f t="array" ref="G1166">_xlfn.IFNA(INDEX($D$2:$D$4001,_xlfn.XMATCH(G$1&amp;"-"&amp;$F1166,YEAR($B$2:$B$4001)&amp;"-"&amp;$A$2:$A$4001,0,-1)),9)</f>
        <v>9</v>
      </c>
      <c r="H1166" cm="1">
        <f t="array" ref="H1166">IF(OR(AND(G1166=9,H$1&gt;YEAR($N1166))),9,_xlfn.IFNA(INDEX($D$2:$D$4001,_xlfn.XMATCH(H$1&amp;"-"&amp;$F1166,YEAR($B$2:$B$4001)&amp;"-"&amp;$A$2:$A$4001,0,-1)),G1166))</f>
        <v>5</v>
      </c>
      <c r="I1166" cm="1">
        <f t="array" ref="I1166">IF(OR(AND(H1166=9,I$1&gt;YEAR($N1166))),9,_xlfn.IFNA(INDEX($D$2:$D$4001,_xlfn.XMATCH(I$1&amp;"-"&amp;$F1166,YEAR($B$2:$B$4001)&amp;"-"&amp;$A$2:$A$4001,0,-1)),H1166))</f>
        <v>5</v>
      </c>
      <c r="J1166" cm="1">
        <f t="array" ref="J1166">IF(OR(AND(I1166=9,J$1&gt;YEAR($N1166))),9,_xlfn.IFNA(INDEX($D$2:$D$4001,_xlfn.XMATCH(J$1&amp;"-"&amp;$F1166,YEAR($B$2:$B$4001)&amp;"-"&amp;$A$2:$A$4001,0,-1)),I1166))</f>
        <v>5</v>
      </c>
      <c r="K1166" cm="1">
        <f t="array" ref="K1166">IF(OR(AND(J1166=9,K$1&gt;YEAR($N1166))),9,_xlfn.IFNA(INDEX($D$2:$D$4001,_xlfn.XMATCH(K$1&amp;"-"&amp;$F1166,YEAR($B$2:$B$4001)&amp;"-"&amp;$A$2:$A$4001,0,-1)),J1166))</f>
        <v>4</v>
      </c>
      <c r="L1166" cm="1">
        <f t="array" ref="L1166">IF(OR(AND(K1166=9,L$1&gt;YEAR($N1166))),9,_xlfn.IFNA(INDEX($D$2:$D$4001,_xlfn.XMATCH(L$1&amp;"-"&amp;$F1166,YEAR($B$2:$B$4001)&amp;"-"&amp;$A$2:$A$4001,0,-1)),K1166))</f>
        <v>4</v>
      </c>
      <c r="M1166" cm="1">
        <f t="array" ref="M1166">IF(OR(AND(L1166=9,M$1&gt;YEAR($N1166))),9,_xlfn.IFNA(INDEX($D$2:$D$4001,_xlfn.XMATCH(M$1&amp;"-"&amp;$F1166,YEAR($B$2:$B$4001)&amp;"-"&amp;$A$2:$A$4001,0,-1)),L1166))</f>
        <v>4</v>
      </c>
      <c r="N1166" s="1">
        <f t="shared" si="18"/>
        <v>36890</v>
      </c>
    </row>
    <row r="1167" spans="1:14" x14ac:dyDescent="0.35">
      <c r="A1167">
        <v>563</v>
      </c>
      <c r="B1167" s="2">
        <v>37894</v>
      </c>
      <c r="C1167">
        <v>0</v>
      </c>
      <c r="D1167">
        <v>0</v>
      </c>
      <c r="F1167">
        <v>1166</v>
      </c>
      <c r="G1167" cm="1">
        <f t="array" ref="G1167">_xlfn.IFNA(INDEX($D$2:$D$4001,_xlfn.XMATCH(G$1&amp;"-"&amp;$F1167,YEAR($B$2:$B$4001)&amp;"-"&amp;$A$2:$A$4001,0,-1)),9)</f>
        <v>9</v>
      </c>
      <c r="H1167" cm="1">
        <f t="array" ref="H1167">IF(OR(AND(G1167=9,H$1&gt;YEAR($N1167))),9,_xlfn.IFNA(INDEX($D$2:$D$4001,_xlfn.XMATCH(H$1&amp;"-"&amp;$F1167,YEAR($B$2:$B$4001)&amp;"-"&amp;$A$2:$A$4001,0,-1)),G1167))</f>
        <v>3</v>
      </c>
      <c r="I1167" cm="1">
        <f t="array" ref="I1167">IF(OR(AND(H1167=9,I$1&gt;YEAR($N1167))),9,_xlfn.IFNA(INDEX($D$2:$D$4001,_xlfn.XMATCH(I$1&amp;"-"&amp;$F1167,YEAR($B$2:$B$4001)&amp;"-"&amp;$A$2:$A$4001,0,-1)),H1167))</f>
        <v>3</v>
      </c>
      <c r="J1167" cm="1">
        <f t="array" ref="J1167">IF(OR(AND(I1167=9,J$1&gt;YEAR($N1167))),9,_xlfn.IFNA(INDEX($D$2:$D$4001,_xlfn.XMATCH(J$1&amp;"-"&amp;$F1167,YEAR($B$2:$B$4001)&amp;"-"&amp;$A$2:$A$4001,0,-1)),I1167))</f>
        <v>3</v>
      </c>
      <c r="K1167" cm="1">
        <f t="array" ref="K1167">IF(OR(AND(J1167=9,K$1&gt;YEAR($N1167))),9,_xlfn.IFNA(INDEX($D$2:$D$4001,_xlfn.XMATCH(K$1&amp;"-"&amp;$F1167,YEAR($B$2:$B$4001)&amp;"-"&amp;$A$2:$A$4001,0,-1)),J1167))</f>
        <v>3</v>
      </c>
      <c r="L1167" cm="1">
        <f t="array" ref="L1167">IF(OR(AND(K1167=9,L$1&gt;YEAR($N1167))),9,_xlfn.IFNA(INDEX($D$2:$D$4001,_xlfn.XMATCH(L$1&amp;"-"&amp;$F1167,YEAR($B$2:$B$4001)&amp;"-"&amp;$A$2:$A$4001,0,-1)),K1167))</f>
        <v>3</v>
      </c>
      <c r="M1167" cm="1">
        <f t="array" ref="M1167">IF(OR(AND(L1167=9,M$1&gt;YEAR($N1167))),9,_xlfn.IFNA(INDEX($D$2:$D$4001,_xlfn.XMATCH(M$1&amp;"-"&amp;$F1167,YEAR($B$2:$B$4001)&amp;"-"&amp;$A$2:$A$4001,0,-1)),L1167))</f>
        <v>0</v>
      </c>
      <c r="N1167" s="1">
        <f t="shared" si="18"/>
        <v>36667</v>
      </c>
    </row>
    <row r="1168" spans="1:14" x14ac:dyDescent="0.35">
      <c r="A1168">
        <v>564</v>
      </c>
      <c r="B1168" s="2">
        <v>36463</v>
      </c>
      <c r="C1168">
        <v>4</v>
      </c>
      <c r="D1168">
        <v>4</v>
      </c>
      <c r="F1168">
        <v>1167</v>
      </c>
      <c r="G1168" cm="1">
        <f t="array" ref="G1168">_xlfn.IFNA(INDEX($D$2:$D$4001,_xlfn.XMATCH(G$1&amp;"-"&amp;$F1168,YEAR($B$2:$B$4001)&amp;"-"&amp;$A$2:$A$4001,0,-1)),9)</f>
        <v>6</v>
      </c>
      <c r="H1168" cm="1">
        <f t="array" ref="H1168">IF(OR(AND(G1168=9,H$1&gt;YEAR($N1168))),9,_xlfn.IFNA(INDEX($D$2:$D$4001,_xlfn.XMATCH(H$1&amp;"-"&amp;$F1168,YEAR($B$2:$B$4001)&amp;"-"&amp;$A$2:$A$4001,0,-1)),G1168))</f>
        <v>6</v>
      </c>
      <c r="I1168" cm="1">
        <f t="array" ref="I1168">IF(OR(AND(H1168=9,I$1&gt;YEAR($N1168))),9,_xlfn.IFNA(INDEX($D$2:$D$4001,_xlfn.XMATCH(I$1&amp;"-"&amp;$F1168,YEAR($B$2:$B$4001)&amp;"-"&amp;$A$2:$A$4001,0,-1)),H1168))</f>
        <v>6</v>
      </c>
      <c r="J1168" cm="1">
        <f t="array" ref="J1168">IF(OR(AND(I1168=9,J$1&gt;YEAR($N1168))),9,_xlfn.IFNA(INDEX($D$2:$D$4001,_xlfn.XMATCH(J$1&amp;"-"&amp;$F1168,YEAR($B$2:$B$4001)&amp;"-"&amp;$A$2:$A$4001,0,-1)),I1168))</f>
        <v>6</v>
      </c>
      <c r="K1168" cm="1">
        <f t="array" ref="K1168">IF(OR(AND(J1168=9,K$1&gt;YEAR($N1168))),9,_xlfn.IFNA(INDEX($D$2:$D$4001,_xlfn.XMATCH(K$1&amp;"-"&amp;$F1168,YEAR($B$2:$B$4001)&amp;"-"&amp;$A$2:$A$4001,0,-1)),J1168))</f>
        <v>5</v>
      </c>
      <c r="L1168" cm="1">
        <f t="array" ref="L1168">IF(OR(AND(K1168=9,L$1&gt;YEAR($N1168))),9,_xlfn.IFNA(INDEX($D$2:$D$4001,_xlfn.XMATCH(L$1&amp;"-"&amp;$F1168,YEAR($B$2:$B$4001)&amp;"-"&amp;$A$2:$A$4001,0,-1)),K1168))</f>
        <v>5</v>
      </c>
      <c r="M1168" cm="1">
        <f t="array" ref="M1168">IF(OR(AND(L1168=9,M$1&gt;YEAR($N1168))),9,_xlfn.IFNA(INDEX($D$2:$D$4001,_xlfn.XMATCH(M$1&amp;"-"&amp;$F1168,YEAR($B$2:$B$4001)&amp;"-"&amp;$A$2:$A$4001,0,-1)),L1168))</f>
        <v>5</v>
      </c>
      <c r="N1168" s="1">
        <f t="shared" si="18"/>
        <v>36362</v>
      </c>
    </row>
    <row r="1169" spans="1:14" x14ac:dyDescent="0.35">
      <c r="A1169">
        <v>564</v>
      </c>
      <c r="B1169" s="2">
        <v>36768</v>
      </c>
      <c r="C1169">
        <v>3</v>
      </c>
      <c r="D1169">
        <v>3</v>
      </c>
      <c r="F1169">
        <v>1168</v>
      </c>
      <c r="G1169" cm="1">
        <f t="array" ref="G1169">_xlfn.IFNA(INDEX($D$2:$D$4001,_xlfn.XMATCH(G$1&amp;"-"&amp;$F1169,YEAR($B$2:$B$4001)&amp;"-"&amp;$A$2:$A$4001,0,-1)),9)</f>
        <v>6</v>
      </c>
      <c r="H1169" cm="1">
        <f t="array" ref="H1169">IF(OR(AND(G1169=9,H$1&gt;YEAR($N1169))),9,_xlfn.IFNA(INDEX($D$2:$D$4001,_xlfn.XMATCH(H$1&amp;"-"&amp;$F1169,YEAR($B$2:$B$4001)&amp;"-"&amp;$A$2:$A$4001,0,-1)),G1169))</f>
        <v>6</v>
      </c>
      <c r="I1169" cm="1">
        <f t="array" ref="I1169">IF(OR(AND(H1169=9,I$1&gt;YEAR($N1169))),9,_xlfn.IFNA(INDEX($D$2:$D$4001,_xlfn.XMATCH(I$1&amp;"-"&amp;$F1169,YEAR($B$2:$B$4001)&amp;"-"&amp;$A$2:$A$4001,0,-1)),H1169))</f>
        <v>6</v>
      </c>
      <c r="J1169" cm="1">
        <f t="array" ref="J1169">IF(OR(AND(I1169=9,J$1&gt;YEAR($N1169))),9,_xlfn.IFNA(INDEX($D$2:$D$4001,_xlfn.XMATCH(J$1&amp;"-"&amp;$F1169,YEAR($B$2:$B$4001)&amp;"-"&amp;$A$2:$A$4001,0,-1)),I1169))</f>
        <v>5</v>
      </c>
      <c r="K1169" cm="1">
        <f t="array" ref="K1169">IF(OR(AND(J1169=9,K$1&gt;YEAR($N1169))),9,_xlfn.IFNA(INDEX($D$2:$D$4001,_xlfn.XMATCH(K$1&amp;"-"&amp;$F1169,YEAR($B$2:$B$4001)&amp;"-"&amp;$A$2:$A$4001,0,-1)),J1169))</f>
        <v>5</v>
      </c>
      <c r="L1169" cm="1">
        <f t="array" ref="L1169">IF(OR(AND(K1169=9,L$1&gt;YEAR($N1169))),9,_xlfn.IFNA(INDEX($D$2:$D$4001,_xlfn.XMATCH(L$1&amp;"-"&amp;$F1169,YEAR($B$2:$B$4001)&amp;"-"&amp;$A$2:$A$4001,0,-1)),K1169))</f>
        <v>5</v>
      </c>
      <c r="M1169" cm="1">
        <f t="array" ref="M1169">IF(OR(AND(L1169=9,M$1&gt;YEAR($N1169))),9,_xlfn.IFNA(INDEX($D$2:$D$4001,_xlfn.XMATCH(M$1&amp;"-"&amp;$F1169,YEAR($B$2:$B$4001)&amp;"-"&amp;$A$2:$A$4001,0,-1)),L1169))</f>
        <v>5</v>
      </c>
      <c r="N1169" s="1">
        <f t="shared" si="18"/>
        <v>36463</v>
      </c>
    </row>
    <row r="1170" spans="1:14" x14ac:dyDescent="0.35">
      <c r="A1170">
        <v>564</v>
      </c>
      <c r="B1170" s="2">
        <v>38220</v>
      </c>
      <c r="C1170">
        <v>3</v>
      </c>
      <c r="D1170">
        <v>3</v>
      </c>
      <c r="F1170">
        <v>1169</v>
      </c>
      <c r="G1170" cm="1">
        <f t="array" ref="G1170">_xlfn.IFNA(INDEX($D$2:$D$4001,_xlfn.XMATCH(G$1&amp;"-"&amp;$F1170,YEAR($B$2:$B$4001)&amp;"-"&amp;$A$2:$A$4001,0,-1)),9)</f>
        <v>5</v>
      </c>
      <c r="H1170" cm="1">
        <f t="array" ref="H1170">IF(OR(AND(G1170=9,H$1&gt;YEAR($N1170))),9,_xlfn.IFNA(INDEX($D$2:$D$4001,_xlfn.XMATCH(H$1&amp;"-"&amp;$F1170,YEAR($B$2:$B$4001)&amp;"-"&amp;$A$2:$A$4001,0,-1)),G1170))</f>
        <v>6</v>
      </c>
      <c r="I1170" cm="1">
        <f t="array" ref="I1170">IF(OR(AND(H1170=9,I$1&gt;YEAR($N1170))),9,_xlfn.IFNA(INDEX($D$2:$D$4001,_xlfn.XMATCH(I$1&amp;"-"&amp;$F1170,YEAR($B$2:$B$4001)&amp;"-"&amp;$A$2:$A$4001,0,-1)),H1170))</f>
        <v>6</v>
      </c>
      <c r="J1170" cm="1">
        <f t="array" ref="J1170">IF(OR(AND(I1170=9,J$1&gt;YEAR($N1170))),9,_xlfn.IFNA(INDEX($D$2:$D$4001,_xlfn.XMATCH(J$1&amp;"-"&amp;$F1170,YEAR($B$2:$B$4001)&amp;"-"&amp;$A$2:$A$4001,0,-1)),I1170))</f>
        <v>4</v>
      </c>
      <c r="K1170" cm="1">
        <f t="array" ref="K1170">IF(OR(AND(J1170=9,K$1&gt;YEAR($N1170))),9,_xlfn.IFNA(INDEX($D$2:$D$4001,_xlfn.XMATCH(K$1&amp;"-"&amp;$F1170,YEAR($B$2:$B$4001)&amp;"-"&amp;$A$2:$A$4001,0,-1)),J1170))</f>
        <v>4</v>
      </c>
      <c r="L1170" cm="1">
        <f t="array" ref="L1170">IF(OR(AND(K1170=9,L$1&gt;YEAR($N1170))),9,_xlfn.IFNA(INDEX($D$2:$D$4001,_xlfn.XMATCH(L$1&amp;"-"&amp;$F1170,YEAR($B$2:$B$4001)&amp;"-"&amp;$A$2:$A$4001,0,-1)),K1170))</f>
        <v>4</v>
      </c>
      <c r="M1170" cm="1">
        <f t="array" ref="M1170">IF(OR(AND(L1170=9,M$1&gt;YEAR($N1170))),9,_xlfn.IFNA(INDEX($D$2:$D$4001,_xlfn.XMATCH(M$1&amp;"-"&amp;$F1170,YEAR($B$2:$B$4001)&amp;"-"&amp;$A$2:$A$4001,0,-1)),L1170))</f>
        <v>4</v>
      </c>
      <c r="N1170" s="1">
        <f t="shared" si="18"/>
        <v>36301</v>
      </c>
    </row>
    <row r="1171" spans="1:14" x14ac:dyDescent="0.35">
      <c r="A1171">
        <v>565</v>
      </c>
      <c r="B1171" s="2">
        <v>38128</v>
      </c>
      <c r="C1171">
        <v>0</v>
      </c>
      <c r="D1171">
        <v>0</v>
      </c>
      <c r="F1171">
        <v>1170</v>
      </c>
      <c r="G1171" cm="1">
        <f t="array" ref="G1171">_xlfn.IFNA(INDEX($D$2:$D$4001,_xlfn.XMATCH(G$1&amp;"-"&amp;$F1171,YEAR($B$2:$B$4001)&amp;"-"&amp;$A$2:$A$4001,0,-1)),9)</f>
        <v>9</v>
      </c>
      <c r="H1171" cm="1">
        <f t="array" ref="H1171">IF(OR(AND(G1171=9,H$1&gt;YEAR($N1171))),9,_xlfn.IFNA(INDEX($D$2:$D$4001,_xlfn.XMATCH(H$1&amp;"-"&amp;$F1171,YEAR($B$2:$B$4001)&amp;"-"&amp;$A$2:$A$4001,0,-1)),G1171))</f>
        <v>9</v>
      </c>
      <c r="I1171" cm="1">
        <f t="array" ref="I1171">IF(OR(AND(H1171=9,I$1&gt;YEAR($N1171))),9,_xlfn.IFNA(INDEX($D$2:$D$4001,_xlfn.XMATCH(I$1&amp;"-"&amp;$F1171,YEAR($B$2:$B$4001)&amp;"-"&amp;$A$2:$A$4001,0,-1)),H1171))</f>
        <v>9</v>
      </c>
      <c r="J1171" cm="1">
        <f t="array" ref="J1171">IF(OR(AND(I1171=9,J$1&gt;YEAR($N1171))),9,_xlfn.IFNA(INDEX($D$2:$D$4001,_xlfn.XMATCH(J$1&amp;"-"&amp;$F1171,YEAR($B$2:$B$4001)&amp;"-"&amp;$A$2:$A$4001,0,-1)),I1171))</f>
        <v>9</v>
      </c>
      <c r="K1171" cm="1">
        <f t="array" ref="K1171">IF(OR(AND(J1171=9,K$1&gt;YEAR($N1171))),9,_xlfn.IFNA(INDEX($D$2:$D$4001,_xlfn.XMATCH(K$1&amp;"-"&amp;$F1171,YEAR($B$2:$B$4001)&amp;"-"&amp;$A$2:$A$4001,0,-1)),J1171))</f>
        <v>5</v>
      </c>
      <c r="L1171" cm="1">
        <f t="array" ref="L1171">IF(OR(AND(K1171=9,L$1&gt;YEAR($N1171))),9,_xlfn.IFNA(INDEX($D$2:$D$4001,_xlfn.XMATCH(L$1&amp;"-"&amp;$F1171,YEAR($B$2:$B$4001)&amp;"-"&amp;$A$2:$A$4001,0,-1)),K1171))</f>
        <v>5</v>
      </c>
      <c r="M1171" cm="1">
        <f t="array" ref="M1171">IF(OR(AND(L1171=9,M$1&gt;YEAR($N1171))),9,_xlfn.IFNA(INDEX($D$2:$D$4001,_xlfn.XMATCH(M$1&amp;"-"&amp;$F1171,YEAR($B$2:$B$4001)&amp;"-"&amp;$A$2:$A$4001,0,-1)),L1171))</f>
        <v>5</v>
      </c>
      <c r="N1171" s="1">
        <f t="shared" si="18"/>
        <v>37762</v>
      </c>
    </row>
    <row r="1172" spans="1:14" x14ac:dyDescent="0.35">
      <c r="A1172">
        <v>566</v>
      </c>
      <c r="B1172" s="2">
        <v>37620</v>
      </c>
      <c r="C1172">
        <v>2</v>
      </c>
      <c r="D1172">
        <v>2</v>
      </c>
      <c r="F1172">
        <v>1171</v>
      </c>
      <c r="G1172" cm="1">
        <f t="array" ref="G1172">_xlfn.IFNA(INDEX($D$2:$D$4001,_xlfn.XMATCH(G$1&amp;"-"&amp;$F1172,YEAR($B$2:$B$4001)&amp;"-"&amp;$A$2:$A$4001,0,-1)),9)</f>
        <v>6</v>
      </c>
      <c r="H1172" cm="1">
        <f t="array" ref="H1172">IF(OR(AND(G1172=9,H$1&gt;YEAR($N1172))),9,_xlfn.IFNA(INDEX($D$2:$D$4001,_xlfn.XMATCH(H$1&amp;"-"&amp;$F1172,YEAR($B$2:$B$4001)&amp;"-"&amp;$A$2:$A$4001,0,-1)),G1172))</f>
        <v>6</v>
      </c>
      <c r="I1172" cm="1">
        <f t="array" ref="I1172">IF(OR(AND(H1172=9,I$1&gt;YEAR($N1172))),9,_xlfn.IFNA(INDEX($D$2:$D$4001,_xlfn.XMATCH(I$1&amp;"-"&amp;$F1172,YEAR($B$2:$B$4001)&amp;"-"&amp;$A$2:$A$4001,0,-1)),H1172))</f>
        <v>6</v>
      </c>
      <c r="J1172" cm="1">
        <f t="array" ref="J1172">IF(OR(AND(I1172=9,J$1&gt;YEAR($N1172))),9,_xlfn.IFNA(INDEX($D$2:$D$4001,_xlfn.XMATCH(J$1&amp;"-"&amp;$F1172,YEAR($B$2:$B$4001)&amp;"-"&amp;$A$2:$A$4001,0,-1)),I1172))</f>
        <v>6</v>
      </c>
      <c r="K1172" cm="1">
        <f t="array" ref="K1172">IF(OR(AND(J1172=9,K$1&gt;YEAR($N1172))),9,_xlfn.IFNA(INDEX($D$2:$D$4001,_xlfn.XMATCH(K$1&amp;"-"&amp;$F1172,YEAR($B$2:$B$4001)&amp;"-"&amp;$A$2:$A$4001,0,-1)),J1172))</f>
        <v>6</v>
      </c>
      <c r="L1172" cm="1">
        <f t="array" ref="L1172">IF(OR(AND(K1172=9,L$1&gt;YEAR($N1172))),9,_xlfn.IFNA(INDEX($D$2:$D$4001,_xlfn.XMATCH(L$1&amp;"-"&amp;$F1172,YEAR($B$2:$B$4001)&amp;"-"&amp;$A$2:$A$4001,0,-1)),K1172))</f>
        <v>6</v>
      </c>
      <c r="M1172" cm="1">
        <f t="array" ref="M1172">IF(OR(AND(L1172=9,M$1&gt;YEAR($N1172))),9,_xlfn.IFNA(INDEX($D$2:$D$4001,_xlfn.XMATCH(M$1&amp;"-"&amp;$F1172,YEAR($B$2:$B$4001)&amp;"-"&amp;$A$2:$A$4001,0,-1)),L1172))</f>
        <v>6</v>
      </c>
      <c r="N1172" s="1">
        <f t="shared" si="18"/>
        <v>36332</v>
      </c>
    </row>
    <row r="1173" spans="1:14" x14ac:dyDescent="0.35">
      <c r="A1173">
        <v>567</v>
      </c>
      <c r="B1173" s="2">
        <v>37611</v>
      </c>
      <c r="C1173">
        <v>2</v>
      </c>
      <c r="D1173">
        <v>2</v>
      </c>
      <c r="F1173">
        <v>1172</v>
      </c>
      <c r="G1173" cm="1">
        <f t="array" ref="G1173">_xlfn.IFNA(INDEX($D$2:$D$4001,_xlfn.XMATCH(G$1&amp;"-"&amp;$F1173,YEAR($B$2:$B$4001)&amp;"-"&amp;$A$2:$A$4001,0,-1)),9)</f>
        <v>7</v>
      </c>
      <c r="H1173" cm="1">
        <f t="array" ref="H1173">IF(OR(AND(G1173=9,H$1&gt;YEAR($N1173))),9,_xlfn.IFNA(INDEX($D$2:$D$4001,_xlfn.XMATCH(H$1&amp;"-"&amp;$F1173,YEAR($B$2:$B$4001)&amp;"-"&amp;$A$2:$A$4001,0,-1)),G1173))</f>
        <v>0</v>
      </c>
      <c r="I1173" cm="1">
        <f t="array" ref="I1173">IF(OR(AND(H1173=9,I$1&gt;YEAR($N1173))),9,_xlfn.IFNA(INDEX($D$2:$D$4001,_xlfn.XMATCH(I$1&amp;"-"&amp;$F1173,YEAR($B$2:$B$4001)&amp;"-"&amp;$A$2:$A$4001,0,-1)),H1173))</f>
        <v>0</v>
      </c>
      <c r="J1173" cm="1">
        <f t="array" ref="J1173">IF(OR(AND(I1173=9,J$1&gt;YEAR($N1173))),9,_xlfn.IFNA(INDEX($D$2:$D$4001,_xlfn.XMATCH(J$1&amp;"-"&amp;$F1173,YEAR($B$2:$B$4001)&amp;"-"&amp;$A$2:$A$4001,0,-1)),I1173))</f>
        <v>0</v>
      </c>
      <c r="K1173" cm="1">
        <f t="array" ref="K1173">IF(OR(AND(J1173=9,K$1&gt;YEAR($N1173))),9,_xlfn.IFNA(INDEX($D$2:$D$4001,_xlfn.XMATCH(K$1&amp;"-"&amp;$F1173,YEAR($B$2:$B$4001)&amp;"-"&amp;$A$2:$A$4001,0,-1)),J1173))</f>
        <v>0</v>
      </c>
      <c r="L1173" cm="1">
        <f t="array" ref="L1173">IF(OR(AND(K1173=9,L$1&gt;YEAR($N1173))),9,_xlfn.IFNA(INDEX($D$2:$D$4001,_xlfn.XMATCH(L$1&amp;"-"&amp;$F1173,YEAR($B$2:$B$4001)&amp;"-"&amp;$A$2:$A$4001,0,-1)),K1173))</f>
        <v>0</v>
      </c>
      <c r="M1173" cm="1">
        <f t="array" ref="M1173">IF(OR(AND(L1173=9,M$1&gt;YEAR($N1173))),9,_xlfn.IFNA(INDEX($D$2:$D$4001,_xlfn.XMATCH(M$1&amp;"-"&amp;$F1173,YEAR($B$2:$B$4001)&amp;"-"&amp;$A$2:$A$4001,0,-1)),L1173))</f>
        <v>0</v>
      </c>
      <c r="N1173" s="1">
        <f t="shared" si="18"/>
        <v>36310</v>
      </c>
    </row>
    <row r="1174" spans="1:14" x14ac:dyDescent="0.35">
      <c r="A1174">
        <v>568</v>
      </c>
      <c r="B1174" s="2">
        <v>37620</v>
      </c>
      <c r="C1174">
        <v>2</v>
      </c>
      <c r="D1174">
        <v>2</v>
      </c>
      <c r="F1174">
        <v>1173</v>
      </c>
      <c r="G1174" cm="1">
        <f t="array" ref="G1174">_xlfn.IFNA(INDEX($D$2:$D$4001,_xlfn.XMATCH(G$1&amp;"-"&amp;$F1174,YEAR($B$2:$B$4001)&amp;"-"&amp;$A$2:$A$4001,0,-1)),9)</f>
        <v>6</v>
      </c>
      <c r="H1174" cm="1">
        <f t="array" ref="H1174">IF(OR(AND(G1174=9,H$1&gt;YEAR($N1174))),9,_xlfn.IFNA(INDEX($D$2:$D$4001,_xlfn.XMATCH(H$1&amp;"-"&amp;$F1174,YEAR($B$2:$B$4001)&amp;"-"&amp;$A$2:$A$4001,0,-1)),G1174))</f>
        <v>5</v>
      </c>
      <c r="I1174" cm="1">
        <f t="array" ref="I1174">IF(OR(AND(H1174=9,I$1&gt;YEAR($N1174))),9,_xlfn.IFNA(INDEX($D$2:$D$4001,_xlfn.XMATCH(I$1&amp;"-"&amp;$F1174,YEAR($B$2:$B$4001)&amp;"-"&amp;$A$2:$A$4001,0,-1)),H1174))</f>
        <v>5</v>
      </c>
      <c r="J1174" cm="1">
        <f t="array" ref="J1174">IF(OR(AND(I1174=9,J$1&gt;YEAR($N1174))),9,_xlfn.IFNA(INDEX($D$2:$D$4001,_xlfn.XMATCH(J$1&amp;"-"&amp;$F1174,YEAR($B$2:$B$4001)&amp;"-"&amp;$A$2:$A$4001,0,-1)),I1174))</f>
        <v>5</v>
      </c>
      <c r="K1174" cm="1">
        <f t="array" ref="K1174">IF(OR(AND(J1174=9,K$1&gt;YEAR($N1174))),9,_xlfn.IFNA(INDEX($D$2:$D$4001,_xlfn.XMATCH(K$1&amp;"-"&amp;$F1174,YEAR($B$2:$B$4001)&amp;"-"&amp;$A$2:$A$4001,0,-1)),J1174))</f>
        <v>5</v>
      </c>
      <c r="L1174" cm="1">
        <f t="array" ref="L1174">IF(OR(AND(K1174=9,L$1&gt;YEAR($N1174))),9,_xlfn.IFNA(INDEX($D$2:$D$4001,_xlfn.XMATCH(L$1&amp;"-"&amp;$F1174,YEAR($B$2:$B$4001)&amp;"-"&amp;$A$2:$A$4001,0,-1)),K1174))</f>
        <v>0</v>
      </c>
      <c r="M1174" cm="1">
        <f t="array" ref="M1174">IF(OR(AND(L1174=9,M$1&gt;YEAR($N1174))),9,_xlfn.IFNA(INDEX($D$2:$D$4001,_xlfn.XMATCH(M$1&amp;"-"&amp;$F1174,YEAR($B$2:$B$4001)&amp;"-"&amp;$A$2:$A$4001,0,-1)),L1174))</f>
        <v>0</v>
      </c>
      <c r="N1174" s="1">
        <f t="shared" si="18"/>
        <v>36301</v>
      </c>
    </row>
    <row r="1175" spans="1:14" x14ac:dyDescent="0.35">
      <c r="A1175">
        <v>569</v>
      </c>
      <c r="B1175" s="2">
        <v>37590</v>
      </c>
      <c r="C1175">
        <v>3</v>
      </c>
      <c r="D1175">
        <v>3</v>
      </c>
      <c r="F1175">
        <v>1174</v>
      </c>
      <c r="G1175" cm="1">
        <f t="array" ref="G1175">_xlfn.IFNA(INDEX($D$2:$D$4001,_xlfn.XMATCH(G$1&amp;"-"&amp;$F1175,YEAR($B$2:$B$4001)&amp;"-"&amp;$A$2:$A$4001,0,-1)),9)</f>
        <v>9</v>
      </c>
      <c r="H1175" cm="1">
        <f t="array" ref="H1175">IF(OR(AND(G1175=9,H$1&gt;YEAR($N1175))),9,_xlfn.IFNA(INDEX($D$2:$D$4001,_xlfn.XMATCH(H$1&amp;"-"&amp;$F1175,YEAR($B$2:$B$4001)&amp;"-"&amp;$A$2:$A$4001,0,-1)),G1175))</f>
        <v>0</v>
      </c>
      <c r="I1175" cm="1">
        <f t="array" ref="I1175">IF(OR(AND(H1175=9,I$1&gt;YEAR($N1175))),9,_xlfn.IFNA(INDEX($D$2:$D$4001,_xlfn.XMATCH(I$1&amp;"-"&amp;$F1175,YEAR($B$2:$B$4001)&amp;"-"&amp;$A$2:$A$4001,0,-1)),H1175))</f>
        <v>0</v>
      </c>
      <c r="J1175" cm="1">
        <f t="array" ref="J1175">IF(OR(AND(I1175=9,J$1&gt;YEAR($N1175))),9,_xlfn.IFNA(INDEX($D$2:$D$4001,_xlfn.XMATCH(J$1&amp;"-"&amp;$F1175,YEAR($B$2:$B$4001)&amp;"-"&amp;$A$2:$A$4001,0,-1)),I1175))</f>
        <v>0</v>
      </c>
      <c r="K1175" cm="1">
        <f t="array" ref="K1175">IF(OR(AND(J1175=9,K$1&gt;YEAR($N1175))),9,_xlfn.IFNA(INDEX($D$2:$D$4001,_xlfn.XMATCH(K$1&amp;"-"&amp;$F1175,YEAR($B$2:$B$4001)&amp;"-"&amp;$A$2:$A$4001,0,-1)),J1175))</f>
        <v>0</v>
      </c>
      <c r="L1175" cm="1">
        <f t="array" ref="L1175">IF(OR(AND(K1175=9,L$1&gt;YEAR($N1175))),9,_xlfn.IFNA(INDEX($D$2:$D$4001,_xlfn.XMATCH(L$1&amp;"-"&amp;$F1175,YEAR($B$2:$B$4001)&amp;"-"&amp;$A$2:$A$4001,0,-1)),K1175))</f>
        <v>0</v>
      </c>
      <c r="M1175" cm="1">
        <f t="array" ref="M1175">IF(OR(AND(L1175=9,M$1&gt;YEAR($N1175))),9,_xlfn.IFNA(INDEX($D$2:$D$4001,_xlfn.XMATCH(M$1&amp;"-"&amp;$F1175,YEAR($B$2:$B$4001)&amp;"-"&amp;$A$2:$A$4001,0,-1)),L1175))</f>
        <v>0</v>
      </c>
      <c r="N1175" s="1">
        <f t="shared" si="18"/>
        <v>36799</v>
      </c>
    </row>
    <row r="1176" spans="1:14" x14ac:dyDescent="0.35">
      <c r="A1176">
        <v>570</v>
      </c>
      <c r="B1176" s="2">
        <v>37620</v>
      </c>
      <c r="C1176">
        <v>2</v>
      </c>
      <c r="D1176">
        <v>2</v>
      </c>
      <c r="F1176">
        <v>1175</v>
      </c>
      <c r="G1176" cm="1">
        <f t="array" ref="G1176">_xlfn.IFNA(INDEX($D$2:$D$4001,_xlfn.XMATCH(G$1&amp;"-"&amp;$F1176,YEAR($B$2:$B$4001)&amp;"-"&amp;$A$2:$A$4001,0,-1)),9)</f>
        <v>9</v>
      </c>
      <c r="H1176" cm="1">
        <f t="array" ref="H1176">IF(OR(AND(G1176=9,H$1&gt;YEAR($N1176))),9,_xlfn.IFNA(INDEX($D$2:$D$4001,_xlfn.XMATCH(H$1&amp;"-"&amp;$F1176,YEAR($B$2:$B$4001)&amp;"-"&amp;$A$2:$A$4001,0,-1)),G1176))</f>
        <v>9</v>
      </c>
      <c r="I1176" cm="1">
        <f t="array" ref="I1176">IF(OR(AND(H1176=9,I$1&gt;YEAR($N1176))),9,_xlfn.IFNA(INDEX($D$2:$D$4001,_xlfn.XMATCH(I$1&amp;"-"&amp;$F1176,YEAR($B$2:$B$4001)&amp;"-"&amp;$A$2:$A$4001,0,-1)),H1176))</f>
        <v>9</v>
      </c>
      <c r="J1176" cm="1">
        <f t="array" ref="J1176">IF(OR(AND(I1176=9,J$1&gt;YEAR($N1176))),9,_xlfn.IFNA(INDEX($D$2:$D$4001,_xlfn.XMATCH(J$1&amp;"-"&amp;$F1176,YEAR($B$2:$B$4001)&amp;"-"&amp;$A$2:$A$4001,0,-1)),I1176))</f>
        <v>9</v>
      </c>
      <c r="K1176" cm="1">
        <f t="array" ref="K1176">IF(OR(AND(J1176=9,K$1&gt;YEAR($N1176))),9,_xlfn.IFNA(INDEX($D$2:$D$4001,_xlfn.XMATCH(K$1&amp;"-"&amp;$F1176,YEAR($B$2:$B$4001)&amp;"-"&amp;$A$2:$A$4001,0,-1)),J1176))</f>
        <v>9</v>
      </c>
      <c r="L1176" cm="1">
        <f t="array" ref="L1176">IF(OR(AND(K1176=9,L$1&gt;YEAR($N1176))),9,_xlfn.IFNA(INDEX($D$2:$D$4001,_xlfn.XMATCH(L$1&amp;"-"&amp;$F1176,YEAR($B$2:$B$4001)&amp;"-"&amp;$A$2:$A$4001,0,-1)),K1176))</f>
        <v>9</v>
      </c>
      <c r="M1176" cm="1">
        <f t="array" ref="M1176">IF(OR(AND(L1176=9,M$1&gt;YEAR($N1176))),9,_xlfn.IFNA(INDEX($D$2:$D$4001,_xlfn.XMATCH(M$1&amp;"-"&amp;$F1176,YEAR($B$2:$B$4001)&amp;"-"&amp;$A$2:$A$4001,0,-1)),L1176))</f>
        <v>0</v>
      </c>
      <c r="N1176" s="1">
        <f t="shared" si="18"/>
        <v>38493</v>
      </c>
    </row>
    <row r="1177" spans="1:14" x14ac:dyDescent="0.35">
      <c r="A1177">
        <v>571</v>
      </c>
      <c r="B1177" s="2">
        <v>36310</v>
      </c>
      <c r="C1177">
        <v>5</v>
      </c>
      <c r="D1177">
        <v>5</v>
      </c>
      <c r="F1177">
        <v>1176</v>
      </c>
      <c r="G1177" cm="1">
        <f t="array" ref="G1177">_xlfn.IFNA(INDEX($D$2:$D$4001,_xlfn.XMATCH(G$1&amp;"-"&amp;$F1177,YEAR($B$2:$B$4001)&amp;"-"&amp;$A$2:$A$4001,0,-1)),9)</f>
        <v>9</v>
      </c>
      <c r="H1177" cm="1">
        <f t="array" ref="H1177">IF(OR(AND(G1177=9,H$1&gt;YEAR($N1177))),9,_xlfn.IFNA(INDEX($D$2:$D$4001,_xlfn.XMATCH(H$1&amp;"-"&amp;$F1177,YEAR($B$2:$B$4001)&amp;"-"&amp;$A$2:$A$4001,0,-1)),G1177))</f>
        <v>4</v>
      </c>
      <c r="I1177" cm="1">
        <f t="array" ref="I1177">IF(OR(AND(H1177=9,I$1&gt;YEAR($N1177))),9,_xlfn.IFNA(INDEX($D$2:$D$4001,_xlfn.XMATCH(I$1&amp;"-"&amp;$F1177,YEAR($B$2:$B$4001)&amp;"-"&amp;$A$2:$A$4001,0,-1)),H1177))</f>
        <v>4</v>
      </c>
      <c r="J1177" cm="1">
        <f t="array" ref="J1177">IF(OR(AND(I1177=9,J$1&gt;YEAR($N1177))),9,_xlfn.IFNA(INDEX($D$2:$D$4001,_xlfn.XMATCH(J$1&amp;"-"&amp;$F1177,YEAR($B$2:$B$4001)&amp;"-"&amp;$A$2:$A$4001,0,-1)),I1177))</f>
        <v>4</v>
      </c>
      <c r="K1177" cm="1">
        <f t="array" ref="K1177">IF(OR(AND(J1177=9,K$1&gt;YEAR($N1177))),9,_xlfn.IFNA(INDEX($D$2:$D$4001,_xlfn.XMATCH(K$1&amp;"-"&amp;$F1177,YEAR($B$2:$B$4001)&amp;"-"&amp;$A$2:$A$4001,0,-1)),J1177))</f>
        <v>4</v>
      </c>
      <c r="L1177" cm="1">
        <f t="array" ref="L1177">IF(OR(AND(K1177=9,L$1&gt;YEAR($N1177))),9,_xlfn.IFNA(INDEX($D$2:$D$4001,_xlfn.XMATCH(L$1&amp;"-"&amp;$F1177,YEAR($B$2:$B$4001)&amp;"-"&amp;$A$2:$A$4001,0,-1)),K1177))</f>
        <v>4</v>
      </c>
      <c r="M1177" cm="1">
        <f t="array" ref="M1177">IF(OR(AND(L1177=9,M$1&gt;YEAR($N1177))),9,_xlfn.IFNA(INDEX($D$2:$D$4001,_xlfn.XMATCH(M$1&amp;"-"&amp;$F1177,YEAR($B$2:$B$4001)&amp;"-"&amp;$A$2:$A$4001,0,-1)),L1177))</f>
        <v>4</v>
      </c>
      <c r="N1177" s="1">
        <f t="shared" si="18"/>
        <v>36890</v>
      </c>
    </row>
    <row r="1178" spans="1:14" x14ac:dyDescent="0.35">
      <c r="A1178">
        <v>571</v>
      </c>
      <c r="B1178" s="2">
        <v>36890</v>
      </c>
      <c r="C1178">
        <v>5</v>
      </c>
      <c r="D1178">
        <v>5</v>
      </c>
      <c r="F1178">
        <v>1177</v>
      </c>
      <c r="G1178" cm="1">
        <f t="array" ref="G1178">_xlfn.IFNA(INDEX($D$2:$D$4001,_xlfn.XMATCH(G$1&amp;"-"&amp;$F1178,YEAR($B$2:$B$4001)&amp;"-"&amp;$A$2:$A$4001,0,-1)),9)</f>
        <v>9</v>
      </c>
      <c r="H1178" cm="1">
        <f t="array" ref="H1178">IF(OR(AND(G1178=9,H$1&gt;YEAR($N1178))),9,_xlfn.IFNA(INDEX($D$2:$D$4001,_xlfn.XMATCH(H$1&amp;"-"&amp;$F1178,YEAR($B$2:$B$4001)&amp;"-"&amp;$A$2:$A$4001,0,-1)),G1178))</f>
        <v>9</v>
      </c>
      <c r="I1178" cm="1">
        <f t="array" ref="I1178">IF(OR(AND(H1178=9,I$1&gt;YEAR($N1178))),9,_xlfn.IFNA(INDEX($D$2:$D$4001,_xlfn.XMATCH(I$1&amp;"-"&amp;$F1178,YEAR($B$2:$B$4001)&amp;"-"&amp;$A$2:$A$4001,0,-1)),H1178))</f>
        <v>9</v>
      </c>
      <c r="J1178" cm="1">
        <f t="array" ref="J1178">IF(OR(AND(I1178=9,J$1&gt;YEAR($N1178))),9,_xlfn.IFNA(INDEX($D$2:$D$4001,_xlfn.XMATCH(J$1&amp;"-"&amp;$F1178,YEAR($B$2:$B$4001)&amp;"-"&amp;$A$2:$A$4001,0,-1)),I1178))</f>
        <v>9</v>
      </c>
      <c r="K1178" cm="1">
        <f t="array" ref="K1178">IF(OR(AND(J1178=9,K$1&gt;YEAR($N1178))),9,_xlfn.IFNA(INDEX($D$2:$D$4001,_xlfn.XMATCH(K$1&amp;"-"&amp;$F1178,YEAR($B$2:$B$4001)&amp;"-"&amp;$A$2:$A$4001,0,-1)),J1178))</f>
        <v>2</v>
      </c>
      <c r="L1178" cm="1">
        <f t="array" ref="L1178">IF(OR(AND(K1178=9,L$1&gt;YEAR($N1178))),9,_xlfn.IFNA(INDEX($D$2:$D$4001,_xlfn.XMATCH(L$1&amp;"-"&amp;$F1178,YEAR($B$2:$B$4001)&amp;"-"&amp;$A$2:$A$4001,0,-1)),K1178))</f>
        <v>2</v>
      </c>
      <c r="M1178" cm="1">
        <f t="array" ref="M1178">IF(OR(AND(L1178=9,M$1&gt;YEAR($N1178))),9,_xlfn.IFNA(INDEX($D$2:$D$4001,_xlfn.XMATCH(M$1&amp;"-"&amp;$F1178,YEAR($B$2:$B$4001)&amp;"-"&amp;$A$2:$A$4001,0,-1)),L1178))</f>
        <v>2</v>
      </c>
      <c r="N1178" s="1">
        <f t="shared" si="18"/>
        <v>37771</v>
      </c>
    </row>
    <row r="1179" spans="1:14" x14ac:dyDescent="0.35">
      <c r="A1179">
        <v>571</v>
      </c>
      <c r="B1179" s="2">
        <v>37185</v>
      </c>
      <c r="C1179">
        <v>6</v>
      </c>
      <c r="D1179">
        <v>6</v>
      </c>
      <c r="F1179">
        <v>1178</v>
      </c>
      <c r="G1179" cm="1">
        <f t="array" ref="G1179">_xlfn.IFNA(INDEX($D$2:$D$4001,_xlfn.XMATCH(G$1&amp;"-"&amp;$F1179,YEAR($B$2:$B$4001)&amp;"-"&amp;$A$2:$A$4001,0,-1)),9)</f>
        <v>9</v>
      </c>
      <c r="H1179" cm="1">
        <f t="array" ref="H1179">IF(OR(AND(G1179=9,H$1&gt;YEAR($N1179))),9,_xlfn.IFNA(INDEX($D$2:$D$4001,_xlfn.XMATCH(H$1&amp;"-"&amp;$F1179,YEAR($B$2:$B$4001)&amp;"-"&amp;$A$2:$A$4001,0,-1)),G1179))</f>
        <v>5</v>
      </c>
      <c r="I1179" cm="1">
        <f t="array" ref="I1179">IF(OR(AND(H1179=9,I$1&gt;YEAR($N1179))),9,_xlfn.IFNA(INDEX($D$2:$D$4001,_xlfn.XMATCH(I$1&amp;"-"&amp;$F1179,YEAR($B$2:$B$4001)&amp;"-"&amp;$A$2:$A$4001,0,-1)),H1179))</f>
        <v>5</v>
      </c>
      <c r="J1179" cm="1">
        <f t="array" ref="J1179">IF(OR(AND(I1179=9,J$1&gt;YEAR($N1179))),9,_xlfn.IFNA(INDEX($D$2:$D$4001,_xlfn.XMATCH(J$1&amp;"-"&amp;$F1179,YEAR($B$2:$B$4001)&amp;"-"&amp;$A$2:$A$4001,0,-1)),I1179))</f>
        <v>5</v>
      </c>
      <c r="K1179" cm="1">
        <f t="array" ref="K1179">IF(OR(AND(J1179=9,K$1&gt;YEAR($N1179))),9,_xlfn.IFNA(INDEX($D$2:$D$4001,_xlfn.XMATCH(K$1&amp;"-"&amp;$F1179,YEAR($B$2:$B$4001)&amp;"-"&amp;$A$2:$A$4001,0,-1)),J1179))</f>
        <v>5</v>
      </c>
      <c r="L1179" cm="1">
        <f t="array" ref="L1179">IF(OR(AND(K1179=9,L$1&gt;YEAR($N1179))),9,_xlfn.IFNA(INDEX($D$2:$D$4001,_xlfn.XMATCH(L$1&amp;"-"&amp;$F1179,YEAR($B$2:$B$4001)&amp;"-"&amp;$A$2:$A$4001,0,-1)),K1179))</f>
        <v>4</v>
      </c>
      <c r="M1179" cm="1">
        <f t="array" ref="M1179">IF(OR(AND(L1179=9,M$1&gt;YEAR($N1179))),9,_xlfn.IFNA(INDEX($D$2:$D$4001,_xlfn.XMATCH(M$1&amp;"-"&amp;$F1179,YEAR($B$2:$B$4001)&amp;"-"&amp;$A$2:$A$4001,0,-1)),L1179))</f>
        <v>4</v>
      </c>
      <c r="N1179" s="1">
        <f t="shared" si="18"/>
        <v>36759</v>
      </c>
    </row>
    <row r="1180" spans="1:14" x14ac:dyDescent="0.35">
      <c r="A1180">
        <v>572</v>
      </c>
      <c r="B1180" s="2">
        <v>38351</v>
      </c>
      <c r="C1180">
        <v>4</v>
      </c>
      <c r="D1180">
        <v>4</v>
      </c>
      <c r="F1180">
        <v>1179</v>
      </c>
      <c r="G1180" cm="1">
        <f t="array" ref="G1180">_xlfn.IFNA(INDEX($D$2:$D$4001,_xlfn.XMATCH(G$1&amp;"-"&amp;$F1180,YEAR($B$2:$B$4001)&amp;"-"&amp;$A$2:$A$4001,0,-1)),9)</f>
        <v>0</v>
      </c>
      <c r="H1180" cm="1">
        <f t="array" ref="H1180">IF(OR(AND(G1180=9,H$1&gt;YEAR($N1180))),9,_xlfn.IFNA(INDEX($D$2:$D$4001,_xlfn.XMATCH(H$1&amp;"-"&amp;$F1180,YEAR($B$2:$B$4001)&amp;"-"&amp;$A$2:$A$4001,0,-1)),G1180))</f>
        <v>0</v>
      </c>
      <c r="I1180" cm="1">
        <f t="array" ref="I1180">IF(OR(AND(H1180=9,I$1&gt;YEAR($N1180))),9,_xlfn.IFNA(INDEX($D$2:$D$4001,_xlfn.XMATCH(I$1&amp;"-"&amp;$F1180,YEAR($B$2:$B$4001)&amp;"-"&amp;$A$2:$A$4001,0,-1)),H1180))</f>
        <v>0</v>
      </c>
      <c r="J1180" cm="1">
        <f t="array" ref="J1180">IF(OR(AND(I1180=9,J$1&gt;YEAR($N1180))),9,_xlfn.IFNA(INDEX($D$2:$D$4001,_xlfn.XMATCH(J$1&amp;"-"&amp;$F1180,YEAR($B$2:$B$4001)&amp;"-"&amp;$A$2:$A$4001,0,-1)),I1180))</f>
        <v>0</v>
      </c>
      <c r="K1180" cm="1">
        <f t="array" ref="K1180">IF(OR(AND(J1180=9,K$1&gt;YEAR($N1180))),9,_xlfn.IFNA(INDEX($D$2:$D$4001,_xlfn.XMATCH(K$1&amp;"-"&amp;$F1180,YEAR($B$2:$B$4001)&amp;"-"&amp;$A$2:$A$4001,0,-1)),J1180))</f>
        <v>0</v>
      </c>
      <c r="L1180" cm="1">
        <f t="array" ref="L1180">IF(OR(AND(K1180=9,L$1&gt;YEAR($N1180))),9,_xlfn.IFNA(INDEX($D$2:$D$4001,_xlfn.XMATCH(L$1&amp;"-"&amp;$F1180,YEAR($B$2:$B$4001)&amp;"-"&amp;$A$2:$A$4001,0,-1)),K1180))</f>
        <v>0</v>
      </c>
      <c r="M1180" cm="1">
        <f t="array" ref="M1180">IF(OR(AND(L1180=9,M$1&gt;YEAR($N1180))),9,_xlfn.IFNA(INDEX($D$2:$D$4001,_xlfn.XMATCH(M$1&amp;"-"&amp;$F1180,YEAR($B$2:$B$4001)&amp;"-"&amp;$A$2:$A$4001,0,-1)),L1180))</f>
        <v>0</v>
      </c>
      <c r="N1180" s="1">
        <f t="shared" si="18"/>
        <v>36310</v>
      </c>
    </row>
    <row r="1181" spans="1:14" x14ac:dyDescent="0.35">
      <c r="A1181">
        <v>573</v>
      </c>
      <c r="B1181" s="2">
        <v>36310</v>
      </c>
      <c r="C1181">
        <v>0</v>
      </c>
      <c r="D1181">
        <v>0</v>
      </c>
      <c r="F1181">
        <v>1180</v>
      </c>
      <c r="G1181" cm="1">
        <f t="array" ref="G1181">_xlfn.IFNA(INDEX($D$2:$D$4001,_xlfn.XMATCH(G$1&amp;"-"&amp;$F1181,YEAR($B$2:$B$4001)&amp;"-"&amp;$A$2:$A$4001,0,-1)),9)</f>
        <v>9</v>
      </c>
      <c r="H1181" cm="1">
        <f t="array" ref="H1181">IF(OR(AND(G1181=9,H$1&gt;YEAR($N1181))),9,_xlfn.IFNA(INDEX($D$2:$D$4001,_xlfn.XMATCH(H$1&amp;"-"&amp;$F1181,YEAR($B$2:$B$4001)&amp;"-"&amp;$A$2:$A$4001,0,-1)),G1181))</f>
        <v>9</v>
      </c>
      <c r="I1181" cm="1">
        <f t="array" ref="I1181">IF(OR(AND(H1181=9,I$1&gt;YEAR($N1181))),9,_xlfn.IFNA(INDEX($D$2:$D$4001,_xlfn.XMATCH(I$1&amp;"-"&amp;$F1181,YEAR($B$2:$B$4001)&amp;"-"&amp;$A$2:$A$4001,0,-1)),H1181))</f>
        <v>9</v>
      </c>
      <c r="J1181" cm="1">
        <f t="array" ref="J1181">IF(OR(AND(I1181=9,J$1&gt;YEAR($N1181))),9,_xlfn.IFNA(INDEX($D$2:$D$4001,_xlfn.XMATCH(J$1&amp;"-"&amp;$F1181,YEAR($B$2:$B$4001)&amp;"-"&amp;$A$2:$A$4001,0,-1)),I1181))</f>
        <v>9</v>
      </c>
      <c r="K1181" cm="1">
        <f t="array" ref="K1181">IF(OR(AND(J1181=9,K$1&gt;YEAR($N1181))),9,_xlfn.IFNA(INDEX($D$2:$D$4001,_xlfn.XMATCH(K$1&amp;"-"&amp;$F1181,YEAR($B$2:$B$4001)&amp;"-"&amp;$A$2:$A$4001,0,-1)),J1181))</f>
        <v>9</v>
      </c>
      <c r="L1181" cm="1">
        <f t="array" ref="L1181">IF(OR(AND(K1181=9,L$1&gt;YEAR($N1181))),9,_xlfn.IFNA(INDEX($D$2:$D$4001,_xlfn.XMATCH(L$1&amp;"-"&amp;$F1181,YEAR($B$2:$B$4001)&amp;"-"&amp;$A$2:$A$4001,0,-1)),K1181))</f>
        <v>9</v>
      </c>
      <c r="M1181" cm="1">
        <f t="array" ref="M1181">IF(OR(AND(L1181=9,M$1&gt;YEAR($N1181))),9,_xlfn.IFNA(INDEX($D$2:$D$4001,_xlfn.XMATCH(M$1&amp;"-"&amp;$F1181,YEAR($B$2:$B$4001)&amp;"-"&amp;$A$2:$A$4001,0,-1)),L1181))</f>
        <v>0</v>
      </c>
      <c r="N1181" s="1">
        <f t="shared" si="18"/>
        <v>38655</v>
      </c>
    </row>
    <row r="1182" spans="1:14" x14ac:dyDescent="0.35">
      <c r="A1182">
        <v>573</v>
      </c>
      <c r="B1182" s="2">
        <v>36393</v>
      </c>
      <c r="C1182">
        <v>5</v>
      </c>
      <c r="D1182">
        <v>5</v>
      </c>
      <c r="F1182">
        <v>1181</v>
      </c>
      <c r="G1182" cm="1">
        <f t="array" ref="G1182">_xlfn.IFNA(INDEX($D$2:$D$4001,_xlfn.XMATCH(G$1&amp;"-"&amp;$F1182,YEAR($B$2:$B$4001)&amp;"-"&amp;$A$2:$A$4001,0,-1)),9)</f>
        <v>9</v>
      </c>
      <c r="H1182" cm="1">
        <f t="array" ref="H1182">IF(OR(AND(G1182=9,H$1&gt;YEAR($N1182))),9,_xlfn.IFNA(INDEX($D$2:$D$4001,_xlfn.XMATCH(H$1&amp;"-"&amp;$F1182,YEAR($B$2:$B$4001)&amp;"-"&amp;$A$2:$A$4001,0,-1)),G1182))</f>
        <v>6</v>
      </c>
      <c r="I1182" cm="1">
        <f t="array" ref="I1182">IF(OR(AND(H1182=9,I$1&gt;YEAR($N1182))),9,_xlfn.IFNA(INDEX($D$2:$D$4001,_xlfn.XMATCH(I$1&amp;"-"&amp;$F1182,YEAR($B$2:$B$4001)&amp;"-"&amp;$A$2:$A$4001,0,-1)),H1182))</f>
        <v>5</v>
      </c>
      <c r="J1182" cm="1">
        <f t="array" ref="J1182">IF(OR(AND(I1182=9,J$1&gt;YEAR($N1182))),9,_xlfn.IFNA(INDEX($D$2:$D$4001,_xlfn.XMATCH(J$1&amp;"-"&amp;$F1182,YEAR($B$2:$B$4001)&amp;"-"&amp;$A$2:$A$4001,0,-1)),I1182))</f>
        <v>5</v>
      </c>
      <c r="K1182" cm="1">
        <f t="array" ref="K1182">IF(OR(AND(J1182=9,K$1&gt;YEAR($N1182))),9,_xlfn.IFNA(INDEX($D$2:$D$4001,_xlfn.XMATCH(K$1&amp;"-"&amp;$F1182,YEAR($B$2:$B$4001)&amp;"-"&amp;$A$2:$A$4001,0,-1)),J1182))</f>
        <v>5</v>
      </c>
      <c r="L1182" cm="1">
        <f t="array" ref="L1182">IF(OR(AND(K1182=9,L$1&gt;YEAR($N1182))),9,_xlfn.IFNA(INDEX($D$2:$D$4001,_xlfn.XMATCH(L$1&amp;"-"&amp;$F1182,YEAR($B$2:$B$4001)&amp;"-"&amp;$A$2:$A$4001,0,-1)),K1182))</f>
        <v>5</v>
      </c>
      <c r="M1182" cm="1">
        <f t="array" ref="M1182">IF(OR(AND(L1182=9,M$1&gt;YEAR($N1182))),9,_xlfn.IFNA(INDEX($D$2:$D$4001,_xlfn.XMATCH(M$1&amp;"-"&amp;$F1182,YEAR($B$2:$B$4001)&amp;"-"&amp;$A$2:$A$4001,0,-1)),L1182))</f>
        <v>5</v>
      </c>
      <c r="N1182" s="1">
        <f t="shared" si="18"/>
        <v>36860</v>
      </c>
    </row>
    <row r="1183" spans="1:14" x14ac:dyDescent="0.35">
      <c r="A1183">
        <v>573</v>
      </c>
      <c r="B1183" s="2">
        <v>36768</v>
      </c>
      <c r="C1183">
        <v>0</v>
      </c>
      <c r="D1183">
        <v>0</v>
      </c>
      <c r="F1183">
        <v>1182</v>
      </c>
      <c r="G1183" cm="1">
        <f t="array" ref="G1183">_xlfn.IFNA(INDEX($D$2:$D$4001,_xlfn.XMATCH(G$1&amp;"-"&amp;$F1183,YEAR($B$2:$B$4001)&amp;"-"&amp;$A$2:$A$4001,0,-1)),9)</f>
        <v>7</v>
      </c>
      <c r="H1183" cm="1">
        <f t="array" ref="H1183">IF(OR(AND(G1183=9,H$1&gt;YEAR($N1183))),9,_xlfn.IFNA(INDEX($D$2:$D$4001,_xlfn.XMATCH(H$1&amp;"-"&amp;$F1183,YEAR($B$2:$B$4001)&amp;"-"&amp;$A$2:$A$4001,0,-1)),G1183))</f>
        <v>7</v>
      </c>
      <c r="I1183" cm="1">
        <f t="array" ref="I1183">IF(OR(AND(H1183=9,I$1&gt;YEAR($N1183))),9,_xlfn.IFNA(INDEX($D$2:$D$4001,_xlfn.XMATCH(I$1&amp;"-"&amp;$F1183,YEAR($B$2:$B$4001)&amp;"-"&amp;$A$2:$A$4001,0,-1)),H1183))</f>
        <v>7</v>
      </c>
      <c r="J1183" cm="1">
        <f t="array" ref="J1183">IF(OR(AND(I1183=9,J$1&gt;YEAR($N1183))),9,_xlfn.IFNA(INDEX($D$2:$D$4001,_xlfn.XMATCH(J$1&amp;"-"&amp;$F1183,YEAR($B$2:$B$4001)&amp;"-"&amp;$A$2:$A$4001,0,-1)),I1183))</f>
        <v>7</v>
      </c>
      <c r="K1183" cm="1">
        <f t="array" ref="K1183">IF(OR(AND(J1183=9,K$1&gt;YEAR($N1183))),9,_xlfn.IFNA(INDEX($D$2:$D$4001,_xlfn.XMATCH(K$1&amp;"-"&amp;$F1183,YEAR($B$2:$B$4001)&amp;"-"&amp;$A$2:$A$4001,0,-1)),J1183))</f>
        <v>7</v>
      </c>
      <c r="L1183" cm="1">
        <f t="array" ref="L1183">IF(OR(AND(K1183=9,L$1&gt;YEAR($N1183))),9,_xlfn.IFNA(INDEX($D$2:$D$4001,_xlfn.XMATCH(L$1&amp;"-"&amp;$F1183,YEAR($B$2:$B$4001)&amp;"-"&amp;$A$2:$A$4001,0,-1)),K1183))</f>
        <v>7</v>
      </c>
      <c r="M1183" cm="1">
        <f t="array" ref="M1183">IF(OR(AND(L1183=9,M$1&gt;YEAR($N1183))),9,_xlfn.IFNA(INDEX($D$2:$D$4001,_xlfn.XMATCH(M$1&amp;"-"&amp;$F1183,YEAR($B$2:$B$4001)&amp;"-"&amp;$A$2:$A$4001,0,-1)),L1183))</f>
        <v>7</v>
      </c>
      <c r="N1183" s="1">
        <f t="shared" si="18"/>
        <v>36486</v>
      </c>
    </row>
    <row r="1184" spans="1:14" x14ac:dyDescent="0.35">
      <c r="A1184">
        <v>574</v>
      </c>
      <c r="B1184" s="2">
        <v>37771</v>
      </c>
      <c r="C1184">
        <v>3</v>
      </c>
      <c r="D1184">
        <v>3</v>
      </c>
      <c r="F1184">
        <v>1183</v>
      </c>
      <c r="G1184" cm="1">
        <f t="array" ref="G1184">_xlfn.IFNA(INDEX($D$2:$D$4001,_xlfn.XMATCH(G$1&amp;"-"&amp;$F1184,YEAR($B$2:$B$4001)&amp;"-"&amp;$A$2:$A$4001,0,-1)),9)</f>
        <v>9</v>
      </c>
      <c r="H1184" cm="1">
        <f t="array" ref="H1184">IF(OR(AND(G1184=9,H$1&gt;YEAR($N1184))),9,_xlfn.IFNA(INDEX($D$2:$D$4001,_xlfn.XMATCH(H$1&amp;"-"&amp;$F1184,YEAR($B$2:$B$4001)&amp;"-"&amp;$A$2:$A$4001,0,-1)),G1184))</f>
        <v>9</v>
      </c>
      <c r="I1184" cm="1">
        <f t="array" ref="I1184">IF(OR(AND(H1184=9,I$1&gt;YEAR($N1184))),9,_xlfn.IFNA(INDEX($D$2:$D$4001,_xlfn.XMATCH(I$1&amp;"-"&amp;$F1184,YEAR($B$2:$B$4001)&amp;"-"&amp;$A$2:$A$4001,0,-1)),H1184))</f>
        <v>9</v>
      </c>
      <c r="J1184" cm="1">
        <f t="array" ref="J1184">IF(OR(AND(I1184=9,J$1&gt;YEAR($N1184))),9,_xlfn.IFNA(INDEX($D$2:$D$4001,_xlfn.XMATCH(J$1&amp;"-"&amp;$F1184,YEAR($B$2:$B$4001)&amp;"-"&amp;$A$2:$A$4001,0,-1)),I1184))</f>
        <v>2</v>
      </c>
      <c r="K1184" cm="1">
        <f t="array" ref="K1184">IF(OR(AND(J1184=9,K$1&gt;YEAR($N1184))),9,_xlfn.IFNA(INDEX($D$2:$D$4001,_xlfn.XMATCH(K$1&amp;"-"&amp;$F1184,YEAR($B$2:$B$4001)&amp;"-"&amp;$A$2:$A$4001,0,-1)),J1184))</f>
        <v>2</v>
      </c>
      <c r="L1184" cm="1">
        <f t="array" ref="L1184">IF(OR(AND(K1184=9,L$1&gt;YEAR($N1184))),9,_xlfn.IFNA(INDEX($D$2:$D$4001,_xlfn.XMATCH(L$1&amp;"-"&amp;$F1184,YEAR($B$2:$B$4001)&amp;"-"&amp;$A$2:$A$4001,0,-1)),K1184))</f>
        <v>2</v>
      </c>
      <c r="M1184" cm="1">
        <f t="array" ref="M1184">IF(OR(AND(L1184=9,M$1&gt;YEAR($N1184))),9,_xlfn.IFNA(INDEX($D$2:$D$4001,_xlfn.XMATCH(M$1&amp;"-"&amp;$F1184,YEAR($B$2:$B$4001)&amp;"-"&amp;$A$2:$A$4001,0,-1)),L1184))</f>
        <v>2</v>
      </c>
      <c r="N1184" s="1">
        <f t="shared" si="18"/>
        <v>37620</v>
      </c>
    </row>
    <row r="1185" spans="1:14" x14ac:dyDescent="0.35">
      <c r="A1185">
        <v>575</v>
      </c>
      <c r="B1185" s="2">
        <v>37133</v>
      </c>
      <c r="C1185">
        <v>3</v>
      </c>
      <c r="D1185">
        <v>3</v>
      </c>
      <c r="F1185">
        <v>1184</v>
      </c>
      <c r="G1185" cm="1">
        <f t="array" ref="G1185">_xlfn.IFNA(INDEX($D$2:$D$4001,_xlfn.XMATCH(G$1&amp;"-"&amp;$F1185,YEAR($B$2:$B$4001)&amp;"-"&amp;$A$2:$A$4001,0,-1)),9)</f>
        <v>0</v>
      </c>
      <c r="H1185" cm="1">
        <f t="array" ref="H1185">IF(OR(AND(G1185=9,H$1&gt;YEAR($N1185))),9,_xlfn.IFNA(INDEX($D$2:$D$4001,_xlfn.XMATCH(H$1&amp;"-"&amp;$F1185,YEAR($B$2:$B$4001)&amp;"-"&amp;$A$2:$A$4001,0,-1)),G1185))</f>
        <v>0</v>
      </c>
      <c r="I1185" cm="1">
        <f t="array" ref="I1185">IF(OR(AND(H1185=9,I$1&gt;YEAR($N1185))),9,_xlfn.IFNA(INDEX($D$2:$D$4001,_xlfn.XMATCH(I$1&amp;"-"&amp;$F1185,YEAR($B$2:$B$4001)&amp;"-"&amp;$A$2:$A$4001,0,-1)),H1185))</f>
        <v>0</v>
      </c>
      <c r="J1185" cm="1">
        <f t="array" ref="J1185">IF(OR(AND(I1185=9,J$1&gt;YEAR($N1185))),9,_xlfn.IFNA(INDEX($D$2:$D$4001,_xlfn.XMATCH(J$1&amp;"-"&amp;$F1185,YEAR($B$2:$B$4001)&amp;"-"&amp;$A$2:$A$4001,0,-1)),I1185))</f>
        <v>0</v>
      </c>
      <c r="K1185" cm="1">
        <f t="array" ref="K1185">IF(OR(AND(J1185=9,K$1&gt;YEAR($N1185))),9,_xlfn.IFNA(INDEX($D$2:$D$4001,_xlfn.XMATCH(K$1&amp;"-"&amp;$F1185,YEAR($B$2:$B$4001)&amp;"-"&amp;$A$2:$A$4001,0,-1)),J1185))</f>
        <v>0</v>
      </c>
      <c r="L1185" cm="1">
        <f t="array" ref="L1185">IF(OR(AND(K1185=9,L$1&gt;YEAR($N1185))),9,_xlfn.IFNA(INDEX($D$2:$D$4001,_xlfn.XMATCH(L$1&amp;"-"&amp;$F1185,YEAR($B$2:$B$4001)&amp;"-"&amp;$A$2:$A$4001,0,-1)),K1185))</f>
        <v>0</v>
      </c>
      <c r="M1185" cm="1">
        <f t="array" ref="M1185">IF(OR(AND(L1185=9,M$1&gt;YEAR($N1185))),9,_xlfn.IFNA(INDEX($D$2:$D$4001,_xlfn.XMATCH(M$1&amp;"-"&amp;$F1185,YEAR($B$2:$B$4001)&amp;"-"&amp;$A$2:$A$4001,0,-1)),L1185))</f>
        <v>0</v>
      </c>
      <c r="N1185" s="1">
        <f t="shared" si="18"/>
        <v>36310</v>
      </c>
    </row>
    <row r="1186" spans="1:14" x14ac:dyDescent="0.35">
      <c r="A1186">
        <v>575</v>
      </c>
      <c r="B1186" s="2">
        <v>37255</v>
      </c>
      <c r="C1186">
        <v>2</v>
      </c>
      <c r="D1186">
        <v>2</v>
      </c>
      <c r="F1186">
        <v>1185</v>
      </c>
      <c r="G1186" cm="1">
        <f t="array" ref="G1186">_xlfn.IFNA(INDEX($D$2:$D$4001,_xlfn.XMATCH(G$1&amp;"-"&amp;$F1186,YEAR($B$2:$B$4001)&amp;"-"&amp;$A$2:$A$4001,0,-1)),9)</f>
        <v>2</v>
      </c>
      <c r="H1186" cm="1">
        <f t="array" ref="H1186">IF(OR(AND(G1186=9,H$1&gt;YEAR($N1186))),9,_xlfn.IFNA(INDEX($D$2:$D$4001,_xlfn.XMATCH(H$1&amp;"-"&amp;$F1186,YEAR($B$2:$B$4001)&amp;"-"&amp;$A$2:$A$4001,0,-1)),G1186))</f>
        <v>2</v>
      </c>
      <c r="I1186" cm="1">
        <f t="array" ref="I1186">IF(OR(AND(H1186=9,I$1&gt;YEAR($N1186))),9,_xlfn.IFNA(INDEX($D$2:$D$4001,_xlfn.XMATCH(I$1&amp;"-"&amp;$F1186,YEAR($B$2:$B$4001)&amp;"-"&amp;$A$2:$A$4001,0,-1)),H1186))</f>
        <v>2</v>
      </c>
      <c r="J1186" cm="1">
        <f t="array" ref="J1186">IF(OR(AND(I1186=9,J$1&gt;YEAR($N1186))),9,_xlfn.IFNA(INDEX($D$2:$D$4001,_xlfn.XMATCH(J$1&amp;"-"&amp;$F1186,YEAR($B$2:$B$4001)&amp;"-"&amp;$A$2:$A$4001,0,-1)),I1186))</f>
        <v>2</v>
      </c>
      <c r="K1186" cm="1">
        <f t="array" ref="K1186">IF(OR(AND(J1186=9,K$1&gt;YEAR($N1186))),9,_xlfn.IFNA(INDEX($D$2:$D$4001,_xlfn.XMATCH(K$1&amp;"-"&amp;$F1186,YEAR($B$2:$B$4001)&amp;"-"&amp;$A$2:$A$4001,0,-1)),J1186))</f>
        <v>2</v>
      </c>
      <c r="L1186" cm="1">
        <f t="array" ref="L1186">IF(OR(AND(K1186=9,L$1&gt;YEAR($N1186))),9,_xlfn.IFNA(INDEX($D$2:$D$4001,_xlfn.XMATCH(L$1&amp;"-"&amp;$F1186,YEAR($B$2:$B$4001)&amp;"-"&amp;$A$2:$A$4001,0,-1)),K1186))</f>
        <v>2</v>
      </c>
      <c r="M1186" cm="1">
        <f t="array" ref="M1186">IF(OR(AND(L1186=9,M$1&gt;YEAR($N1186))),9,_xlfn.IFNA(INDEX($D$2:$D$4001,_xlfn.XMATCH(M$1&amp;"-"&amp;$F1186,YEAR($B$2:$B$4001)&amp;"-"&amp;$A$2:$A$4001,0,-1)),L1186))</f>
        <v>2</v>
      </c>
      <c r="N1186" s="1">
        <f t="shared" si="18"/>
        <v>36515</v>
      </c>
    </row>
    <row r="1187" spans="1:14" x14ac:dyDescent="0.35">
      <c r="A1187">
        <v>576</v>
      </c>
      <c r="B1187" s="2">
        <v>36308</v>
      </c>
      <c r="C1187">
        <v>4</v>
      </c>
      <c r="D1187">
        <v>4</v>
      </c>
      <c r="F1187">
        <v>1186</v>
      </c>
      <c r="G1187" cm="1">
        <f t="array" ref="G1187">_xlfn.IFNA(INDEX($D$2:$D$4001,_xlfn.XMATCH(G$1&amp;"-"&amp;$F1187,YEAR($B$2:$B$4001)&amp;"-"&amp;$A$2:$A$4001,0,-1)),9)</f>
        <v>3</v>
      </c>
      <c r="H1187" cm="1">
        <f t="array" ref="H1187">IF(OR(AND(G1187=9,H$1&gt;YEAR($N1187))),9,_xlfn.IFNA(INDEX($D$2:$D$4001,_xlfn.XMATCH(H$1&amp;"-"&amp;$F1187,YEAR($B$2:$B$4001)&amp;"-"&amp;$A$2:$A$4001,0,-1)),G1187))</f>
        <v>3</v>
      </c>
      <c r="I1187" cm="1">
        <f t="array" ref="I1187">IF(OR(AND(H1187=9,I$1&gt;YEAR($N1187))),9,_xlfn.IFNA(INDEX($D$2:$D$4001,_xlfn.XMATCH(I$1&amp;"-"&amp;$F1187,YEAR($B$2:$B$4001)&amp;"-"&amp;$A$2:$A$4001,0,-1)),H1187))</f>
        <v>3</v>
      </c>
      <c r="J1187" cm="1">
        <f t="array" ref="J1187">IF(OR(AND(I1187=9,J$1&gt;YEAR($N1187))),9,_xlfn.IFNA(INDEX($D$2:$D$4001,_xlfn.XMATCH(J$1&amp;"-"&amp;$F1187,YEAR($B$2:$B$4001)&amp;"-"&amp;$A$2:$A$4001,0,-1)),I1187))</f>
        <v>3</v>
      </c>
      <c r="K1187" cm="1">
        <f t="array" ref="K1187">IF(OR(AND(J1187=9,K$1&gt;YEAR($N1187))),9,_xlfn.IFNA(INDEX($D$2:$D$4001,_xlfn.XMATCH(K$1&amp;"-"&amp;$F1187,YEAR($B$2:$B$4001)&amp;"-"&amp;$A$2:$A$4001,0,-1)),J1187))</f>
        <v>3</v>
      </c>
      <c r="L1187" cm="1">
        <f t="array" ref="L1187">IF(OR(AND(K1187=9,L$1&gt;YEAR($N1187))),9,_xlfn.IFNA(INDEX($D$2:$D$4001,_xlfn.XMATCH(L$1&amp;"-"&amp;$F1187,YEAR($B$2:$B$4001)&amp;"-"&amp;$A$2:$A$4001,0,-1)),K1187))</f>
        <v>2</v>
      </c>
      <c r="M1187" cm="1">
        <f t="array" ref="M1187">IF(OR(AND(L1187=9,M$1&gt;YEAR($N1187))),9,_xlfn.IFNA(INDEX($D$2:$D$4001,_xlfn.XMATCH(M$1&amp;"-"&amp;$F1187,YEAR($B$2:$B$4001)&amp;"-"&amp;$A$2:$A$4001,0,-1)),L1187))</f>
        <v>2</v>
      </c>
      <c r="N1187" s="1">
        <f t="shared" si="18"/>
        <v>36524</v>
      </c>
    </row>
    <row r="1188" spans="1:14" x14ac:dyDescent="0.35">
      <c r="A1188">
        <v>577</v>
      </c>
      <c r="B1188" s="2">
        <v>36301</v>
      </c>
      <c r="C1188">
        <v>3</v>
      </c>
      <c r="D1188">
        <v>3</v>
      </c>
      <c r="F1188">
        <v>1187</v>
      </c>
      <c r="G1188" cm="1">
        <f t="array" ref="G1188">_xlfn.IFNA(INDEX($D$2:$D$4001,_xlfn.XMATCH(G$1&amp;"-"&amp;$F1188,YEAR($B$2:$B$4001)&amp;"-"&amp;$A$2:$A$4001,0,-1)),9)</f>
        <v>9</v>
      </c>
      <c r="H1188" cm="1">
        <f t="array" ref="H1188">IF(OR(AND(G1188=9,H$1&gt;YEAR($N1188))),9,_xlfn.IFNA(INDEX($D$2:$D$4001,_xlfn.XMATCH(H$1&amp;"-"&amp;$F1188,YEAR($B$2:$B$4001)&amp;"-"&amp;$A$2:$A$4001,0,-1)),G1188))</f>
        <v>6</v>
      </c>
      <c r="I1188" cm="1">
        <f t="array" ref="I1188">IF(OR(AND(H1188=9,I$1&gt;YEAR($N1188))),9,_xlfn.IFNA(INDEX($D$2:$D$4001,_xlfn.XMATCH(I$1&amp;"-"&amp;$F1188,YEAR($B$2:$B$4001)&amp;"-"&amp;$A$2:$A$4001,0,-1)),H1188))</f>
        <v>6</v>
      </c>
      <c r="J1188" cm="1">
        <f t="array" ref="J1188">IF(OR(AND(I1188=9,J$1&gt;YEAR($N1188))),9,_xlfn.IFNA(INDEX($D$2:$D$4001,_xlfn.XMATCH(J$1&amp;"-"&amp;$F1188,YEAR($B$2:$B$4001)&amp;"-"&amp;$A$2:$A$4001,0,-1)),I1188))</f>
        <v>6</v>
      </c>
      <c r="K1188" cm="1">
        <f t="array" ref="K1188">IF(OR(AND(J1188=9,K$1&gt;YEAR($N1188))),9,_xlfn.IFNA(INDEX($D$2:$D$4001,_xlfn.XMATCH(K$1&amp;"-"&amp;$F1188,YEAR($B$2:$B$4001)&amp;"-"&amp;$A$2:$A$4001,0,-1)),J1188))</f>
        <v>6</v>
      </c>
      <c r="L1188" cm="1">
        <f t="array" ref="L1188">IF(OR(AND(K1188=9,L$1&gt;YEAR($N1188))),9,_xlfn.IFNA(INDEX($D$2:$D$4001,_xlfn.XMATCH(L$1&amp;"-"&amp;$F1188,YEAR($B$2:$B$4001)&amp;"-"&amp;$A$2:$A$4001,0,-1)),K1188))</f>
        <v>6</v>
      </c>
      <c r="M1188" cm="1">
        <f t="array" ref="M1188">IF(OR(AND(L1188=9,M$1&gt;YEAR($N1188))),9,_xlfn.IFNA(INDEX($D$2:$D$4001,_xlfn.XMATCH(M$1&amp;"-"&amp;$F1188,YEAR($B$2:$B$4001)&amp;"-"&amp;$A$2:$A$4001,0,-1)),L1188))</f>
        <v>6</v>
      </c>
      <c r="N1188" s="1">
        <f t="shared" si="18"/>
        <v>36890</v>
      </c>
    </row>
    <row r="1189" spans="1:14" x14ac:dyDescent="0.35">
      <c r="A1189">
        <v>577</v>
      </c>
      <c r="B1189" s="2">
        <v>36890</v>
      </c>
      <c r="C1189">
        <v>3</v>
      </c>
      <c r="D1189">
        <v>3</v>
      </c>
      <c r="F1189">
        <v>1188</v>
      </c>
      <c r="G1189" cm="1">
        <f t="array" ref="G1189">_xlfn.IFNA(INDEX($D$2:$D$4001,_xlfn.XMATCH(G$1&amp;"-"&amp;$F1189,YEAR($B$2:$B$4001)&amp;"-"&amp;$A$2:$A$4001,0,-1)),9)</f>
        <v>2</v>
      </c>
      <c r="H1189" cm="1">
        <f t="array" ref="H1189">IF(OR(AND(G1189=9,H$1&gt;YEAR($N1189))),9,_xlfn.IFNA(INDEX($D$2:$D$4001,_xlfn.XMATCH(H$1&amp;"-"&amp;$F1189,YEAR($B$2:$B$4001)&amp;"-"&amp;$A$2:$A$4001,0,-1)),G1189))</f>
        <v>2</v>
      </c>
      <c r="I1189" cm="1">
        <f t="array" ref="I1189">IF(OR(AND(H1189=9,I$1&gt;YEAR($N1189))),9,_xlfn.IFNA(INDEX($D$2:$D$4001,_xlfn.XMATCH(I$1&amp;"-"&amp;$F1189,YEAR($B$2:$B$4001)&amp;"-"&amp;$A$2:$A$4001,0,-1)),H1189))</f>
        <v>3</v>
      </c>
      <c r="J1189" cm="1">
        <f t="array" ref="J1189">IF(OR(AND(I1189=9,J$1&gt;YEAR($N1189))),9,_xlfn.IFNA(INDEX($D$2:$D$4001,_xlfn.XMATCH(J$1&amp;"-"&amp;$F1189,YEAR($B$2:$B$4001)&amp;"-"&amp;$A$2:$A$4001,0,-1)),I1189))</f>
        <v>3</v>
      </c>
      <c r="K1189" cm="1">
        <f t="array" ref="K1189">IF(OR(AND(J1189=9,K$1&gt;YEAR($N1189))),9,_xlfn.IFNA(INDEX($D$2:$D$4001,_xlfn.XMATCH(K$1&amp;"-"&amp;$F1189,YEAR($B$2:$B$4001)&amp;"-"&amp;$A$2:$A$4001,0,-1)),J1189))</f>
        <v>3</v>
      </c>
      <c r="L1189" cm="1">
        <f t="array" ref="L1189">IF(OR(AND(K1189=9,L$1&gt;YEAR($N1189))),9,_xlfn.IFNA(INDEX($D$2:$D$4001,_xlfn.XMATCH(L$1&amp;"-"&amp;$F1189,YEAR($B$2:$B$4001)&amp;"-"&amp;$A$2:$A$4001,0,-1)),K1189))</f>
        <v>4</v>
      </c>
      <c r="M1189" cm="1">
        <f t="array" ref="M1189">IF(OR(AND(L1189=9,M$1&gt;YEAR($N1189))),9,_xlfn.IFNA(INDEX($D$2:$D$4001,_xlfn.XMATCH(M$1&amp;"-"&amp;$F1189,YEAR($B$2:$B$4001)&amp;"-"&amp;$A$2:$A$4001,0,-1)),L1189))</f>
        <v>4</v>
      </c>
      <c r="N1189" s="1">
        <f t="shared" si="18"/>
        <v>36402</v>
      </c>
    </row>
    <row r="1190" spans="1:14" x14ac:dyDescent="0.35">
      <c r="A1190">
        <v>577</v>
      </c>
      <c r="B1190" s="2">
        <v>37032</v>
      </c>
      <c r="C1190">
        <v>3</v>
      </c>
      <c r="D1190">
        <v>3</v>
      </c>
      <c r="F1190">
        <v>1189</v>
      </c>
      <c r="G1190" cm="1">
        <f t="array" ref="G1190">_xlfn.IFNA(INDEX($D$2:$D$4001,_xlfn.XMATCH(G$1&amp;"-"&amp;$F1190,YEAR($B$2:$B$4001)&amp;"-"&amp;$A$2:$A$4001,0,-1)),9)</f>
        <v>2</v>
      </c>
      <c r="H1190" cm="1">
        <f t="array" ref="H1190">IF(OR(AND(G1190=9,H$1&gt;YEAR($N1190))),9,_xlfn.IFNA(INDEX($D$2:$D$4001,_xlfn.XMATCH(H$1&amp;"-"&amp;$F1190,YEAR($B$2:$B$4001)&amp;"-"&amp;$A$2:$A$4001,0,-1)),G1190))</f>
        <v>3</v>
      </c>
      <c r="I1190" cm="1">
        <f t="array" ref="I1190">IF(OR(AND(H1190=9,I$1&gt;YEAR($N1190))),9,_xlfn.IFNA(INDEX($D$2:$D$4001,_xlfn.XMATCH(I$1&amp;"-"&amp;$F1190,YEAR($B$2:$B$4001)&amp;"-"&amp;$A$2:$A$4001,0,-1)),H1190))</f>
        <v>3</v>
      </c>
      <c r="J1190" cm="1">
        <f t="array" ref="J1190">IF(OR(AND(I1190=9,J$1&gt;YEAR($N1190))),9,_xlfn.IFNA(INDEX($D$2:$D$4001,_xlfn.XMATCH(J$1&amp;"-"&amp;$F1190,YEAR($B$2:$B$4001)&amp;"-"&amp;$A$2:$A$4001,0,-1)),I1190))</f>
        <v>3</v>
      </c>
      <c r="K1190" cm="1">
        <f t="array" ref="K1190">IF(OR(AND(J1190=9,K$1&gt;YEAR($N1190))),9,_xlfn.IFNA(INDEX($D$2:$D$4001,_xlfn.XMATCH(K$1&amp;"-"&amp;$F1190,YEAR($B$2:$B$4001)&amp;"-"&amp;$A$2:$A$4001,0,-1)),J1190))</f>
        <v>3</v>
      </c>
      <c r="L1190" cm="1">
        <f t="array" ref="L1190">IF(OR(AND(K1190=9,L$1&gt;YEAR($N1190))),9,_xlfn.IFNA(INDEX($D$2:$D$4001,_xlfn.XMATCH(L$1&amp;"-"&amp;$F1190,YEAR($B$2:$B$4001)&amp;"-"&amp;$A$2:$A$4001,0,-1)),K1190))</f>
        <v>0</v>
      </c>
      <c r="M1190" cm="1">
        <f t="array" ref="M1190">IF(OR(AND(L1190=9,M$1&gt;YEAR($N1190))),9,_xlfn.IFNA(INDEX($D$2:$D$4001,_xlfn.XMATCH(M$1&amp;"-"&amp;$F1190,YEAR($B$2:$B$4001)&amp;"-"&amp;$A$2:$A$4001,0,-1)),L1190))</f>
        <v>0</v>
      </c>
      <c r="N1190" s="1">
        <f t="shared" si="18"/>
        <v>36301</v>
      </c>
    </row>
    <row r="1191" spans="1:14" x14ac:dyDescent="0.35">
      <c r="A1191">
        <v>578</v>
      </c>
      <c r="B1191" s="2">
        <v>36301</v>
      </c>
      <c r="C1191">
        <v>3</v>
      </c>
      <c r="D1191">
        <v>3</v>
      </c>
      <c r="F1191">
        <v>1190</v>
      </c>
      <c r="G1191" cm="1">
        <f t="array" ref="G1191">_xlfn.IFNA(INDEX($D$2:$D$4001,_xlfn.XMATCH(G$1&amp;"-"&amp;$F1191,YEAR($B$2:$B$4001)&amp;"-"&amp;$A$2:$A$4001,0,-1)),9)</f>
        <v>9</v>
      </c>
      <c r="H1191" cm="1">
        <f t="array" ref="H1191">IF(OR(AND(G1191=9,H$1&gt;YEAR($N1191))),9,_xlfn.IFNA(INDEX($D$2:$D$4001,_xlfn.XMATCH(H$1&amp;"-"&amp;$F1191,YEAR($B$2:$B$4001)&amp;"-"&amp;$A$2:$A$4001,0,-1)),G1191))</f>
        <v>9</v>
      </c>
      <c r="I1191" cm="1">
        <f t="array" ref="I1191">IF(OR(AND(H1191=9,I$1&gt;YEAR($N1191))),9,_xlfn.IFNA(INDEX($D$2:$D$4001,_xlfn.XMATCH(I$1&amp;"-"&amp;$F1191,YEAR($B$2:$B$4001)&amp;"-"&amp;$A$2:$A$4001,0,-1)),H1191))</f>
        <v>9</v>
      </c>
      <c r="J1191" cm="1">
        <f t="array" ref="J1191">IF(OR(AND(I1191=9,J$1&gt;YEAR($N1191))),9,_xlfn.IFNA(INDEX($D$2:$D$4001,_xlfn.XMATCH(J$1&amp;"-"&amp;$F1191,YEAR($B$2:$B$4001)&amp;"-"&amp;$A$2:$A$4001,0,-1)),I1191))</f>
        <v>9</v>
      </c>
      <c r="K1191" cm="1">
        <f t="array" ref="K1191">IF(OR(AND(J1191=9,K$1&gt;YEAR($N1191))),9,_xlfn.IFNA(INDEX($D$2:$D$4001,_xlfn.XMATCH(K$1&amp;"-"&amp;$F1191,YEAR($B$2:$B$4001)&amp;"-"&amp;$A$2:$A$4001,0,-1)),J1191))</f>
        <v>9</v>
      </c>
      <c r="L1191" cm="1">
        <f t="array" ref="L1191">IF(OR(AND(K1191=9,L$1&gt;YEAR($N1191))),9,_xlfn.IFNA(INDEX($D$2:$D$4001,_xlfn.XMATCH(L$1&amp;"-"&amp;$F1191,YEAR($B$2:$B$4001)&amp;"-"&amp;$A$2:$A$4001,0,-1)),K1191))</f>
        <v>4</v>
      </c>
      <c r="M1191" cm="1">
        <f t="array" ref="M1191">IF(OR(AND(L1191=9,M$1&gt;YEAR($N1191))),9,_xlfn.IFNA(INDEX($D$2:$D$4001,_xlfn.XMATCH(M$1&amp;"-"&amp;$F1191,YEAR($B$2:$B$4001)&amp;"-"&amp;$A$2:$A$4001,0,-1)),L1191))</f>
        <v>4</v>
      </c>
      <c r="N1191" s="1">
        <f t="shared" si="18"/>
        <v>38321</v>
      </c>
    </row>
    <row r="1192" spans="1:14" x14ac:dyDescent="0.35">
      <c r="A1192">
        <v>578</v>
      </c>
      <c r="B1192" s="2">
        <v>36881</v>
      </c>
      <c r="C1192">
        <v>3</v>
      </c>
      <c r="D1192">
        <v>3</v>
      </c>
      <c r="F1192">
        <v>1191</v>
      </c>
      <c r="G1192" cm="1">
        <f t="array" ref="G1192">_xlfn.IFNA(INDEX($D$2:$D$4001,_xlfn.XMATCH(G$1&amp;"-"&amp;$F1192,YEAR($B$2:$B$4001)&amp;"-"&amp;$A$2:$A$4001,0,-1)),9)</f>
        <v>9</v>
      </c>
      <c r="H1192" cm="1">
        <f t="array" ref="H1192">IF(OR(AND(G1192=9,H$1&gt;YEAR($N1192))),9,_xlfn.IFNA(INDEX($D$2:$D$4001,_xlfn.XMATCH(H$1&amp;"-"&amp;$F1192,YEAR($B$2:$B$4001)&amp;"-"&amp;$A$2:$A$4001,0,-1)),G1192))</f>
        <v>4</v>
      </c>
      <c r="I1192" cm="1">
        <f t="array" ref="I1192">IF(OR(AND(H1192=9,I$1&gt;YEAR($N1192))),9,_xlfn.IFNA(INDEX($D$2:$D$4001,_xlfn.XMATCH(I$1&amp;"-"&amp;$F1192,YEAR($B$2:$B$4001)&amp;"-"&amp;$A$2:$A$4001,0,-1)),H1192))</f>
        <v>4</v>
      </c>
      <c r="J1192" cm="1">
        <f t="array" ref="J1192">IF(OR(AND(I1192=9,J$1&gt;YEAR($N1192))),9,_xlfn.IFNA(INDEX($D$2:$D$4001,_xlfn.XMATCH(J$1&amp;"-"&amp;$F1192,YEAR($B$2:$B$4001)&amp;"-"&amp;$A$2:$A$4001,0,-1)),I1192))</f>
        <v>4</v>
      </c>
      <c r="K1192" cm="1">
        <f t="array" ref="K1192">IF(OR(AND(J1192=9,K$1&gt;YEAR($N1192))),9,_xlfn.IFNA(INDEX($D$2:$D$4001,_xlfn.XMATCH(K$1&amp;"-"&amp;$F1192,YEAR($B$2:$B$4001)&amp;"-"&amp;$A$2:$A$4001,0,-1)),J1192))</f>
        <v>0</v>
      </c>
      <c r="L1192" cm="1">
        <f t="array" ref="L1192">IF(OR(AND(K1192=9,L$1&gt;YEAR($N1192))),9,_xlfn.IFNA(INDEX($D$2:$D$4001,_xlfn.XMATCH(L$1&amp;"-"&amp;$F1192,YEAR($B$2:$B$4001)&amp;"-"&amp;$A$2:$A$4001,0,-1)),K1192))</f>
        <v>0</v>
      </c>
      <c r="M1192" cm="1">
        <f t="array" ref="M1192">IF(OR(AND(L1192=9,M$1&gt;YEAR($N1192))),9,_xlfn.IFNA(INDEX($D$2:$D$4001,_xlfn.XMATCH(M$1&amp;"-"&amp;$F1192,YEAR($B$2:$B$4001)&amp;"-"&amp;$A$2:$A$4001,0,-1)),L1192))</f>
        <v>0</v>
      </c>
      <c r="N1192" s="1">
        <f t="shared" si="18"/>
        <v>36890</v>
      </c>
    </row>
    <row r="1193" spans="1:14" x14ac:dyDescent="0.35">
      <c r="A1193">
        <v>578</v>
      </c>
      <c r="B1193" s="2">
        <v>37032</v>
      </c>
      <c r="C1193">
        <v>3</v>
      </c>
      <c r="D1193">
        <v>3</v>
      </c>
      <c r="F1193">
        <v>1192</v>
      </c>
      <c r="G1193" cm="1">
        <f t="array" ref="G1193">_xlfn.IFNA(INDEX($D$2:$D$4001,_xlfn.XMATCH(G$1&amp;"-"&amp;$F1193,YEAR($B$2:$B$4001)&amp;"-"&amp;$A$2:$A$4001,0,-1)),9)</f>
        <v>3</v>
      </c>
      <c r="H1193" cm="1">
        <f t="array" ref="H1193">IF(OR(AND(G1193=9,H$1&gt;YEAR($N1193))),9,_xlfn.IFNA(INDEX($D$2:$D$4001,_xlfn.XMATCH(H$1&amp;"-"&amp;$F1193,YEAR($B$2:$B$4001)&amp;"-"&amp;$A$2:$A$4001,0,-1)),G1193))</f>
        <v>3</v>
      </c>
      <c r="I1193" cm="1">
        <f t="array" ref="I1193">IF(OR(AND(H1193=9,I$1&gt;YEAR($N1193))),9,_xlfn.IFNA(INDEX($D$2:$D$4001,_xlfn.XMATCH(I$1&amp;"-"&amp;$F1193,YEAR($B$2:$B$4001)&amp;"-"&amp;$A$2:$A$4001,0,-1)),H1193))</f>
        <v>3</v>
      </c>
      <c r="J1193" cm="1">
        <f t="array" ref="J1193">IF(OR(AND(I1193=9,J$1&gt;YEAR($N1193))),9,_xlfn.IFNA(INDEX($D$2:$D$4001,_xlfn.XMATCH(J$1&amp;"-"&amp;$F1193,YEAR($B$2:$B$4001)&amp;"-"&amp;$A$2:$A$4001,0,-1)),I1193))</f>
        <v>3</v>
      </c>
      <c r="K1193" cm="1">
        <f t="array" ref="K1193">IF(OR(AND(J1193=9,K$1&gt;YEAR($N1193))),9,_xlfn.IFNA(INDEX($D$2:$D$4001,_xlfn.XMATCH(K$1&amp;"-"&amp;$F1193,YEAR($B$2:$B$4001)&amp;"-"&amp;$A$2:$A$4001,0,-1)),J1193))</f>
        <v>3</v>
      </c>
      <c r="L1193" cm="1">
        <f t="array" ref="L1193">IF(OR(AND(K1193=9,L$1&gt;YEAR($N1193))),9,_xlfn.IFNA(INDEX($D$2:$D$4001,_xlfn.XMATCH(L$1&amp;"-"&amp;$F1193,YEAR($B$2:$B$4001)&amp;"-"&amp;$A$2:$A$4001,0,-1)),K1193))</f>
        <v>3</v>
      </c>
      <c r="M1193" cm="1">
        <f t="array" ref="M1193">IF(OR(AND(L1193=9,M$1&gt;YEAR($N1193))),9,_xlfn.IFNA(INDEX($D$2:$D$4001,_xlfn.XMATCH(M$1&amp;"-"&amp;$F1193,YEAR($B$2:$B$4001)&amp;"-"&amp;$A$2:$A$4001,0,-1)),L1193))</f>
        <v>3</v>
      </c>
      <c r="N1193" s="1">
        <f t="shared" si="18"/>
        <v>36301</v>
      </c>
    </row>
    <row r="1194" spans="1:14" x14ac:dyDescent="0.35">
      <c r="A1194">
        <v>579</v>
      </c>
      <c r="B1194" s="2">
        <v>36667</v>
      </c>
      <c r="C1194">
        <v>2</v>
      </c>
      <c r="D1194">
        <v>2</v>
      </c>
      <c r="F1194">
        <v>1193</v>
      </c>
      <c r="G1194" cm="1">
        <f t="array" ref="G1194">_xlfn.IFNA(INDEX($D$2:$D$4001,_xlfn.XMATCH(G$1&amp;"-"&amp;$F1194,YEAR($B$2:$B$4001)&amp;"-"&amp;$A$2:$A$4001,0,-1)),9)</f>
        <v>9</v>
      </c>
      <c r="H1194" cm="1">
        <f t="array" ref="H1194">IF(OR(AND(G1194=9,H$1&gt;YEAR($N1194))),9,_xlfn.IFNA(INDEX($D$2:$D$4001,_xlfn.XMATCH(H$1&amp;"-"&amp;$F1194,YEAR($B$2:$B$4001)&amp;"-"&amp;$A$2:$A$4001,0,-1)),G1194))</f>
        <v>9</v>
      </c>
      <c r="I1194" cm="1">
        <f t="array" ref="I1194">IF(OR(AND(H1194=9,I$1&gt;YEAR($N1194))),9,_xlfn.IFNA(INDEX($D$2:$D$4001,_xlfn.XMATCH(I$1&amp;"-"&amp;$F1194,YEAR($B$2:$B$4001)&amp;"-"&amp;$A$2:$A$4001,0,-1)),H1194))</f>
        <v>9</v>
      </c>
      <c r="J1194" cm="1">
        <f t="array" ref="J1194">IF(OR(AND(I1194=9,J$1&gt;YEAR($N1194))),9,_xlfn.IFNA(INDEX($D$2:$D$4001,_xlfn.XMATCH(J$1&amp;"-"&amp;$F1194,YEAR($B$2:$B$4001)&amp;"-"&amp;$A$2:$A$4001,0,-1)),I1194))</f>
        <v>9</v>
      </c>
      <c r="K1194" cm="1">
        <f t="array" ref="K1194">IF(OR(AND(J1194=9,K$1&gt;YEAR($N1194))),9,_xlfn.IFNA(INDEX($D$2:$D$4001,_xlfn.XMATCH(K$1&amp;"-"&amp;$F1194,YEAR($B$2:$B$4001)&amp;"-"&amp;$A$2:$A$4001,0,-1)),J1194))</f>
        <v>6</v>
      </c>
      <c r="L1194" cm="1">
        <f t="array" ref="L1194">IF(OR(AND(K1194=9,L$1&gt;YEAR($N1194))),9,_xlfn.IFNA(INDEX($D$2:$D$4001,_xlfn.XMATCH(L$1&amp;"-"&amp;$F1194,YEAR($B$2:$B$4001)&amp;"-"&amp;$A$2:$A$4001,0,-1)),K1194))</f>
        <v>6</v>
      </c>
      <c r="M1194" cm="1">
        <f t="array" ref="M1194">IF(OR(AND(L1194=9,M$1&gt;YEAR($N1194))),9,_xlfn.IFNA(INDEX($D$2:$D$4001,_xlfn.XMATCH(M$1&amp;"-"&amp;$F1194,YEAR($B$2:$B$4001)&amp;"-"&amp;$A$2:$A$4001,0,-1)),L1194))</f>
        <v>6</v>
      </c>
      <c r="N1194" s="1">
        <f t="shared" si="18"/>
        <v>37771</v>
      </c>
    </row>
    <row r="1195" spans="1:14" x14ac:dyDescent="0.35">
      <c r="A1195">
        <v>579</v>
      </c>
      <c r="B1195" s="2">
        <v>37581</v>
      </c>
      <c r="C1195">
        <v>3</v>
      </c>
      <c r="D1195">
        <v>3</v>
      </c>
      <c r="F1195">
        <v>1194</v>
      </c>
      <c r="G1195" cm="1">
        <f t="array" ref="G1195">_xlfn.IFNA(INDEX($D$2:$D$4001,_xlfn.XMATCH(G$1&amp;"-"&amp;$F1195,YEAR($B$2:$B$4001)&amp;"-"&amp;$A$2:$A$4001,0,-1)),9)</f>
        <v>4</v>
      </c>
      <c r="H1195" cm="1">
        <f t="array" ref="H1195">IF(OR(AND(G1195=9,H$1&gt;YEAR($N1195))),9,_xlfn.IFNA(INDEX($D$2:$D$4001,_xlfn.XMATCH(H$1&amp;"-"&amp;$F1195,YEAR($B$2:$B$4001)&amp;"-"&amp;$A$2:$A$4001,0,-1)),G1195))</f>
        <v>4</v>
      </c>
      <c r="I1195" cm="1">
        <f t="array" ref="I1195">IF(OR(AND(H1195=9,I$1&gt;YEAR($N1195))),9,_xlfn.IFNA(INDEX($D$2:$D$4001,_xlfn.XMATCH(I$1&amp;"-"&amp;$F1195,YEAR($B$2:$B$4001)&amp;"-"&amp;$A$2:$A$4001,0,-1)),H1195))</f>
        <v>4</v>
      </c>
      <c r="J1195" cm="1">
        <f t="array" ref="J1195">IF(OR(AND(I1195=9,J$1&gt;YEAR($N1195))),9,_xlfn.IFNA(INDEX($D$2:$D$4001,_xlfn.XMATCH(J$1&amp;"-"&amp;$F1195,YEAR($B$2:$B$4001)&amp;"-"&amp;$A$2:$A$4001,0,-1)),I1195))</f>
        <v>4</v>
      </c>
      <c r="K1195" cm="1">
        <f t="array" ref="K1195">IF(OR(AND(J1195=9,K$1&gt;YEAR($N1195))),9,_xlfn.IFNA(INDEX($D$2:$D$4001,_xlfn.XMATCH(K$1&amp;"-"&amp;$F1195,YEAR($B$2:$B$4001)&amp;"-"&amp;$A$2:$A$4001,0,-1)),J1195))</f>
        <v>4</v>
      </c>
      <c r="L1195" cm="1">
        <f t="array" ref="L1195">IF(OR(AND(K1195=9,L$1&gt;YEAR($N1195))),9,_xlfn.IFNA(INDEX($D$2:$D$4001,_xlfn.XMATCH(L$1&amp;"-"&amp;$F1195,YEAR($B$2:$B$4001)&amp;"-"&amp;$A$2:$A$4001,0,-1)),K1195))</f>
        <v>4</v>
      </c>
      <c r="M1195" cm="1">
        <f t="array" ref="M1195">IF(OR(AND(L1195=9,M$1&gt;YEAR($N1195))),9,_xlfn.IFNA(INDEX($D$2:$D$4001,_xlfn.XMATCH(M$1&amp;"-"&amp;$F1195,YEAR($B$2:$B$4001)&amp;"-"&amp;$A$2:$A$4001,0,-1)),L1195))</f>
        <v>4</v>
      </c>
      <c r="N1195" s="1">
        <f t="shared" si="18"/>
        <v>36362</v>
      </c>
    </row>
    <row r="1196" spans="1:14" x14ac:dyDescent="0.35">
      <c r="A1196">
        <v>579</v>
      </c>
      <c r="B1196" s="2">
        <v>37802</v>
      </c>
      <c r="C1196">
        <v>0</v>
      </c>
      <c r="D1196">
        <v>0</v>
      </c>
      <c r="F1196">
        <v>1195</v>
      </c>
      <c r="G1196" cm="1">
        <f t="array" ref="G1196">_xlfn.IFNA(INDEX($D$2:$D$4001,_xlfn.XMATCH(G$1&amp;"-"&amp;$F1196,YEAR($B$2:$B$4001)&amp;"-"&amp;$A$2:$A$4001,0,-1)),9)</f>
        <v>5</v>
      </c>
      <c r="H1196" cm="1">
        <f t="array" ref="H1196">IF(OR(AND(G1196=9,H$1&gt;YEAR($N1196))),9,_xlfn.IFNA(INDEX($D$2:$D$4001,_xlfn.XMATCH(H$1&amp;"-"&amp;$F1196,YEAR($B$2:$B$4001)&amp;"-"&amp;$A$2:$A$4001,0,-1)),G1196))</f>
        <v>5</v>
      </c>
      <c r="I1196" cm="1">
        <f t="array" ref="I1196">IF(OR(AND(H1196=9,I$1&gt;YEAR($N1196))),9,_xlfn.IFNA(INDEX($D$2:$D$4001,_xlfn.XMATCH(I$1&amp;"-"&amp;$F1196,YEAR($B$2:$B$4001)&amp;"-"&amp;$A$2:$A$4001,0,-1)),H1196))</f>
        <v>6</v>
      </c>
      <c r="J1196" cm="1">
        <f t="array" ref="J1196">IF(OR(AND(I1196=9,J$1&gt;YEAR($N1196))),9,_xlfn.IFNA(INDEX($D$2:$D$4001,_xlfn.XMATCH(J$1&amp;"-"&amp;$F1196,YEAR($B$2:$B$4001)&amp;"-"&amp;$A$2:$A$4001,0,-1)),I1196))</f>
        <v>6</v>
      </c>
      <c r="K1196" cm="1">
        <f t="array" ref="K1196">IF(OR(AND(J1196=9,K$1&gt;YEAR($N1196))),9,_xlfn.IFNA(INDEX($D$2:$D$4001,_xlfn.XMATCH(K$1&amp;"-"&amp;$F1196,YEAR($B$2:$B$4001)&amp;"-"&amp;$A$2:$A$4001,0,-1)),J1196))</f>
        <v>6</v>
      </c>
      <c r="L1196" cm="1">
        <f t="array" ref="L1196">IF(OR(AND(K1196=9,L$1&gt;YEAR($N1196))),9,_xlfn.IFNA(INDEX($D$2:$D$4001,_xlfn.XMATCH(L$1&amp;"-"&amp;$F1196,YEAR($B$2:$B$4001)&amp;"-"&amp;$A$2:$A$4001,0,-1)),K1196))</f>
        <v>5</v>
      </c>
      <c r="M1196" cm="1">
        <f t="array" ref="M1196">IF(OR(AND(L1196=9,M$1&gt;YEAR($N1196))),9,_xlfn.IFNA(INDEX($D$2:$D$4001,_xlfn.XMATCH(M$1&amp;"-"&amp;$F1196,YEAR($B$2:$B$4001)&amp;"-"&amp;$A$2:$A$4001,0,-1)),L1196))</f>
        <v>5</v>
      </c>
      <c r="N1196" s="1">
        <f t="shared" si="18"/>
        <v>36301</v>
      </c>
    </row>
    <row r="1197" spans="1:14" x14ac:dyDescent="0.35">
      <c r="A1197">
        <v>580</v>
      </c>
      <c r="B1197" s="2">
        <v>36676</v>
      </c>
      <c r="C1197">
        <v>2</v>
      </c>
      <c r="D1197">
        <v>2</v>
      </c>
      <c r="F1197">
        <v>1196</v>
      </c>
      <c r="G1197" cm="1">
        <f t="array" ref="G1197">_xlfn.IFNA(INDEX($D$2:$D$4001,_xlfn.XMATCH(G$1&amp;"-"&amp;$F1197,YEAR($B$2:$B$4001)&amp;"-"&amp;$A$2:$A$4001,0,-1)),9)</f>
        <v>9</v>
      </c>
      <c r="H1197" cm="1">
        <f t="array" ref="H1197">IF(OR(AND(G1197=9,H$1&gt;YEAR($N1197))),9,_xlfn.IFNA(INDEX($D$2:$D$4001,_xlfn.XMATCH(H$1&amp;"-"&amp;$F1197,YEAR($B$2:$B$4001)&amp;"-"&amp;$A$2:$A$4001,0,-1)),G1197))</f>
        <v>9</v>
      </c>
      <c r="I1197" cm="1">
        <f t="array" ref="I1197">IF(OR(AND(H1197=9,I$1&gt;YEAR($N1197))),9,_xlfn.IFNA(INDEX($D$2:$D$4001,_xlfn.XMATCH(I$1&amp;"-"&amp;$F1197,YEAR($B$2:$B$4001)&amp;"-"&amp;$A$2:$A$4001,0,-1)),H1197))</f>
        <v>4</v>
      </c>
      <c r="J1197" cm="1">
        <f t="array" ref="J1197">IF(OR(AND(I1197=9,J$1&gt;YEAR($N1197))),9,_xlfn.IFNA(INDEX($D$2:$D$4001,_xlfn.XMATCH(J$1&amp;"-"&amp;$F1197,YEAR($B$2:$B$4001)&amp;"-"&amp;$A$2:$A$4001,0,-1)),I1197))</f>
        <v>4</v>
      </c>
      <c r="K1197" cm="1">
        <f t="array" ref="K1197">IF(OR(AND(J1197=9,K$1&gt;YEAR($N1197))),9,_xlfn.IFNA(INDEX($D$2:$D$4001,_xlfn.XMATCH(K$1&amp;"-"&amp;$F1197,YEAR($B$2:$B$4001)&amp;"-"&amp;$A$2:$A$4001,0,-1)),J1197))</f>
        <v>4</v>
      </c>
      <c r="L1197" cm="1">
        <f t="array" ref="L1197">IF(OR(AND(K1197=9,L$1&gt;YEAR($N1197))),9,_xlfn.IFNA(INDEX($D$2:$D$4001,_xlfn.XMATCH(L$1&amp;"-"&amp;$F1197,YEAR($B$2:$B$4001)&amp;"-"&amp;$A$2:$A$4001,0,-1)),K1197))</f>
        <v>4</v>
      </c>
      <c r="M1197" cm="1">
        <f t="array" ref="M1197">IF(OR(AND(L1197=9,M$1&gt;YEAR($N1197))),9,_xlfn.IFNA(INDEX($D$2:$D$4001,_xlfn.XMATCH(M$1&amp;"-"&amp;$F1197,YEAR($B$2:$B$4001)&amp;"-"&amp;$A$2:$A$4001,0,-1)),L1197))</f>
        <v>4</v>
      </c>
      <c r="N1197" s="1">
        <f t="shared" si="18"/>
        <v>37041</v>
      </c>
    </row>
    <row r="1198" spans="1:14" x14ac:dyDescent="0.35">
      <c r="A1198">
        <v>580</v>
      </c>
      <c r="B1198" s="2">
        <v>37581</v>
      </c>
      <c r="C1198">
        <v>3</v>
      </c>
      <c r="D1198">
        <v>3</v>
      </c>
      <c r="F1198">
        <v>1197</v>
      </c>
      <c r="G1198" cm="1">
        <f t="array" ref="G1198">_xlfn.IFNA(INDEX($D$2:$D$4001,_xlfn.XMATCH(G$1&amp;"-"&amp;$F1198,YEAR($B$2:$B$4001)&amp;"-"&amp;$A$2:$A$4001,0,-1)),9)</f>
        <v>5</v>
      </c>
      <c r="H1198" cm="1">
        <f t="array" ref="H1198">IF(OR(AND(G1198=9,H$1&gt;YEAR($N1198))),9,_xlfn.IFNA(INDEX($D$2:$D$4001,_xlfn.XMATCH(H$1&amp;"-"&amp;$F1198,YEAR($B$2:$B$4001)&amp;"-"&amp;$A$2:$A$4001,0,-1)),G1198))</f>
        <v>6</v>
      </c>
      <c r="I1198" cm="1">
        <f t="array" ref="I1198">IF(OR(AND(H1198=9,I$1&gt;YEAR($N1198))),9,_xlfn.IFNA(INDEX($D$2:$D$4001,_xlfn.XMATCH(I$1&amp;"-"&amp;$F1198,YEAR($B$2:$B$4001)&amp;"-"&amp;$A$2:$A$4001,0,-1)),H1198))</f>
        <v>6</v>
      </c>
      <c r="J1198" cm="1">
        <f t="array" ref="J1198">IF(OR(AND(I1198=9,J$1&gt;YEAR($N1198))),9,_xlfn.IFNA(INDEX($D$2:$D$4001,_xlfn.XMATCH(J$1&amp;"-"&amp;$F1198,YEAR($B$2:$B$4001)&amp;"-"&amp;$A$2:$A$4001,0,-1)),I1198))</f>
        <v>6</v>
      </c>
      <c r="K1198" cm="1">
        <f t="array" ref="K1198">IF(OR(AND(J1198=9,K$1&gt;YEAR($N1198))),9,_xlfn.IFNA(INDEX($D$2:$D$4001,_xlfn.XMATCH(K$1&amp;"-"&amp;$F1198,YEAR($B$2:$B$4001)&amp;"-"&amp;$A$2:$A$4001,0,-1)),J1198))</f>
        <v>6</v>
      </c>
      <c r="L1198" cm="1">
        <f t="array" ref="L1198">IF(OR(AND(K1198=9,L$1&gt;YEAR($N1198))),9,_xlfn.IFNA(INDEX($D$2:$D$4001,_xlfn.XMATCH(L$1&amp;"-"&amp;$F1198,YEAR($B$2:$B$4001)&amp;"-"&amp;$A$2:$A$4001,0,-1)),K1198))</f>
        <v>6</v>
      </c>
      <c r="M1198" cm="1">
        <f t="array" ref="M1198">IF(OR(AND(L1198=9,M$1&gt;YEAR($N1198))),9,_xlfn.IFNA(INDEX($D$2:$D$4001,_xlfn.XMATCH(M$1&amp;"-"&amp;$F1198,YEAR($B$2:$B$4001)&amp;"-"&amp;$A$2:$A$4001,0,-1)),L1198))</f>
        <v>6</v>
      </c>
      <c r="N1198" s="1">
        <f t="shared" si="18"/>
        <v>36524</v>
      </c>
    </row>
    <row r="1199" spans="1:14" x14ac:dyDescent="0.35">
      <c r="A1199">
        <v>581</v>
      </c>
      <c r="B1199" s="2">
        <v>37095</v>
      </c>
      <c r="C1199">
        <v>6</v>
      </c>
      <c r="D1199">
        <v>6</v>
      </c>
      <c r="F1199">
        <v>1198</v>
      </c>
      <c r="G1199" cm="1">
        <f t="array" ref="G1199">_xlfn.IFNA(INDEX($D$2:$D$4001,_xlfn.XMATCH(G$1&amp;"-"&amp;$F1199,YEAR($B$2:$B$4001)&amp;"-"&amp;$A$2:$A$4001,0,-1)),9)</f>
        <v>9</v>
      </c>
      <c r="H1199" cm="1">
        <f t="array" ref="H1199">IF(OR(AND(G1199=9,H$1&gt;YEAR($N1199))),9,_xlfn.IFNA(INDEX($D$2:$D$4001,_xlfn.XMATCH(H$1&amp;"-"&amp;$F1199,YEAR($B$2:$B$4001)&amp;"-"&amp;$A$2:$A$4001,0,-1)),G1199))</f>
        <v>9</v>
      </c>
      <c r="I1199" cm="1">
        <f t="array" ref="I1199">IF(OR(AND(H1199=9,I$1&gt;YEAR($N1199))),9,_xlfn.IFNA(INDEX($D$2:$D$4001,_xlfn.XMATCH(I$1&amp;"-"&amp;$F1199,YEAR($B$2:$B$4001)&amp;"-"&amp;$A$2:$A$4001,0,-1)),H1199))</f>
        <v>9</v>
      </c>
      <c r="J1199" cm="1">
        <f t="array" ref="J1199">IF(OR(AND(I1199=9,J$1&gt;YEAR($N1199))),9,_xlfn.IFNA(INDEX($D$2:$D$4001,_xlfn.XMATCH(J$1&amp;"-"&amp;$F1199,YEAR($B$2:$B$4001)&amp;"-"&amp;$A$2:$A$4001,0,-1)),I1199))</f>
        <v>9</v>
      </c>
      <c r="K1199" cm="1">
        <f t="array" ref="K1199">IF(OR(AND(J1199=9,K$1&gt;YEAR($N1199))),9,_xlfn.IFNA(INDEX($D$2:$D$4001,_xlfn.XMATCH(K$1&amp;"-"&amp;$F1199,YEAR($B$2:$B$4001)&amp;"-"&amp;$A$2:$A$4001,0,-1)),J1199))</f>
        <v>4</v>
      </c>
      <c r="L1199" cm="1">
        <f t="array" ref="L1199">IF(OR(AND(K1199=9,L$1&gt;YEAR($N1199))),9,_xlfn.IFNA(INDEX($D$2:$D$4001,_xlfn.XMATCH(L$1&amp;"-"&amp;$F1199,YEAR($B$2:$B$4001)&amp;"-"&amp;$A$2:$A$4001,0,-1)),K1199))</f>
        <v>4</v>
      </c>
      <c r="M1199" cm="1">
        <f t="array" ref="M1199">IF(OR(AND(L1199=9,M$1&gt;YEAR($N1199))),9,_xlfn.IFNA(INDEX($D$2:$D$4001,_xlfn.XMATCH(M$1&amp;"-"&amp;$F1199,YEAR($B$2:$B$4001)&amp;"-"&amp;$A$2:$A$4001,0,-1)),L1199))</f>
        <v>4</v>
      </c>
      <c r="N1199" s="1">
        <f t="shared" si="18"/>
        <v>37771</v>
      </c>
    </row>
    <row r="1200" spans="1:14" x14ac:dyDescent="0.35">
      <c r="A1200">
        <v>581</v>
      </c>
      <c r="B1200" s="2">
        <v>38128</v>
      </c>
      <c r="C1200">
        <v>5</v>
      </c>
      <c r="D1200">
        <v>5</v>
      </c>
      <c r="F1200">
        <v>1199</v>
      </c>
      <c r="G1200" cm="1">
        <f t="array" ref="G1200">_xlfn.IFNA(INDEX($D$2:$D$4001,_xlfn.XMATCH(G$1&amp;"-"&amp;$F1200,YEAR($B$2:$B$4001)&amp;"-"&amp;$A$2:$A$4001,0,-1)),9)</f>
        <v>9</v>
      </c>
      <c r="H1200" cm="1">
        <f t="array" ref="H1200">IF(OR(AND(G1200=9,H$1&gt;YEAR($N1200))),9,_xlfn.IFNA(INDEX($D$2:$D$4001,_xlfn.XMATCH(H$1&amp;"-"&amp;$F1200,YEAR($B$2:$B$4001)&amp;"-"&amp;$A$2:$A$4001,0,-1)),G1200))</f>
        <v>4</v>
      </c>
      <c r="I1200" cm="1">
        <f t="array" ref="I1200">IF(OR(AND(H1200=9,I$1&gt;YEAR($N1200))),9,_xlfn.IFNA(INDEX($D$2:$D$4001,_xlfn.XMATCH(I$1&amp;"-"&amp;$F1200,YEAR($B$2:$B$4001)&amp;"-"&amp;$A$2:$A$4001,0,-1)),H1200))</f>
        <v>4</v>
      </c>
      <c r="J1200" cm="1">
        <f t="array" ref="J1200">IF(OR(AND(I1200=9,J$1&gt;YEAR($N1200))),9,_xlfn.IFNA(INDEX($D$2:$D$4001,_xlfn.XMATCH(J$1&amp;"-"&amp;$F1200,YEAR($B$2:$B$4001)&amp;"-"&amp;$A$2:$A$4001,0,-1)),I1200))</f>
        <v>4</v>
      </c>
      <c r="K1200" cm="1">
        <f t="array" ref="K1200">IF(OR(AND(J1200=9,K$1&gt;YEAR($N1200))),9,_xlfn.IFNA(INDEX($D$2:$D$4001,_xlfn.XMATCH(K$1&amp;"-"&amp;$F1200,YEAR($B$2:$B$4001)&amp;"-"&amp;$A$2:$A$4001,0,-1)),J1200))</f>
        <v>4</v>
      </c>
      <c r="L1200" cm="1">
        <f t="array" ref="L1200">IF(OR(AND(K1200=9,L$1&gt;YEAR($N1200))),9,_xlfn.IFNA(INDEX($D$2:$D$4001,_xlfn.XMATCH(L$1&amp;"-"&amp;$F1200,YEAR($B$2:$B$4001)&amp;"-"&amp;$A$2:$A$4001,0,-1)),K1200))</f>
        <v>4</v>
      </c>
      <c r="M1200" cm="1">
        <f t="array" ref="M1200">IF(OR(AND(L1200=9,M$1&gt;YEAR($N1200))),9,_xlfn.IFNA(INDEX($D$2:$D$4001,_xlfn.XMATCH(M$1&amp;"-"&amp;$F1200,YEAR($B$2:$B$4001)&amp;"-"&amp;$A$2:$A$4001,0,-1)),L1200))</f>
        <v>4</v>
      </c>
      <c r="N1200" s="1">
        <f t="shared" si="18"/>
        <v>36829</v>
      </c>
    </row>
    <row r="1201" spans="1:14" x14ac:dyDescent="0.35">
      <c r="A1201">
        <v>581</v>
      </c>
      <c r="B1201" s="2">
        <v>38342</v>
      </c>
      <c r="C1201">
        <v>5</v>
      </c>
      <c r="D1201">
        <v>5</v>
      </c>
      <c r="F1201">
        <v>1200</v>
      </c>
      <c r="G1201" cm="1">
        <f t="array" ref="G1201">_xlfn.IFNA(INDEX($D$2:$D$4001,_xlfn.XMATCH(G$1&amp;"-"&amp;$F1201,YEAR($B$2:$B$4001)&amp;"-"&amp;$A$2:$A$4001,0,-1)),9)</f>
        <v>9</v>
      </c>
      <c r="H1201" cm="1">
        <f t="array" ref="H1201">IF(OR(AND(G1201=9,H$1&gt;YEAR($N1201))),9,_xlfn.IFNA(INDEX($D$2:$D$4001,_xlfn.XMATCH(H$1&amp;"-"&amp;$F1201,YEAR($B$2:$B$4001)&amp;"-"&amp;$A$2:$A$4001,0,-1)),G1201))</f>
        <v>9</v>
      </c>
      <c r="I1201" cm="1">
        <f t="array" ref="I1201">IF(OR(AND(H1201=9,I$1&gt;YEAR($N1201))),9,_xlfn.IFNA(INDEX($D$2:$D$4001,_xlfn.XMATCH(I$1&amp;"-"&amp;$F1201,YEAR($B$2:$B$4001)&amp;"-"&amp;$A$2:$A$4001,0,-1)),H1201))</f>
        <v>2</v>
      </c>
      <c r="J1201" cm="1">
        <f t="array" ref="J1201">IF(OR(AND(I1201=9,J$1&gt;YEAR($N1201))),9,_xlfn.IFNA(INDEX($D$2:$D$4001,_xlfn.XMATCH(J$1&amp;"-"&amp;$F1201,YEAR($B$2:$B$4001)&amp;"-"&amp;$A$2:$A$4001,0,-1)),I1201))</f>
        <v>2</v>
      </c>
      <c r="K1201" cm="1">
        <f t="array" ref="K1201">IF(OR(AND(J1201=9,K$1&gt;YEAR($N1201))),9,_xlfn.IFNA(INDEX($D$2:$D$4001,_xlfn.XMATCH(K$1&amp;"-"&amp;$F1201,YEAR($B$2:$B$4001)&amp;"-"&amp;$A$2:$A$4001,0,-1)),J1201))</f>
        <v>2</v>
      </c>
      <c r="L1201" cm="1">
        <f t="array" ref="L1201">IF(OR(AND(K1201=9,L$1&gt;YEAR($N1201))),9,_xlfn.IFNA(INDEX($D$2:$D$4001,_xlfn.XMATCH(L$1&amp;"-"&amp;$F1201,YEAR($B$2:$B$4001)&amp;"-"&amp;$A$2:$A$4001,0,-1)),K1201))</f>
        <v>2</v>
      </c>
      <c r="M1201" cm="1">
        <f t="array" ref="M1201">IF(OR(AND(L1201=9,M$1&gt;YEAR($N1201))),9,_xlfn.IFNA(INDEX($D$2:$D$4001,_xlfn.XMATCH(M$1&amp;"-"&amp;$F1201,YEAR($B$2:$B$4001)&amp;"-"&amp;$A$2:$A$4001,0,-1)),L1201))</f>
        <v>2</v>
      </c>
      <c r="N1201" s="1">
        <f t="shared" si="18"/>
        <v>37255</v>
      </c>
    </row>
    <row r="1202" spans="1:14" x14ac:dyDescent="0.35">
      <c r="A1202">
        <v>582</v>
      </c>
      <c r="B1202" s="2">
        <v>37885</v>
      </c>
      <c r="C1202">
        <v>3</v>
      </c>
      <c r="D1202">
        <v>3</v>
      </c>
      <c r="F1202">
        <v>1201</v>
      </c>
      <c r="G1202" cm="1">
        <f t="array" ref="G1202">_xlfn.IFNA(INDEX($D$2:$D$4001,_xlfn.XMATCH(G$1&amp;"-"&amp;$F1202,YEAR($B$2:$B$4001)&amp;"-"&amp;$A$2:$A$4001,0,-1)),9)</f>
        <v>9</v>
      </c>
      <c r="H1202" cm="1">
        <f t="array" ref="H1202">IF(OR(AND(G1202=9,H$1&gt;YEAR($N1202))),9,_xlfn.IFNA(INDEX($D$2:$D$4001,_xlfn.XMATCH(H$1&amp;"-"&amp;$F1202,YEAR($B$2:$B$4001)&amp;"-"&amp;$A$2:$A$4001,0,-1)),G1202))</f>
        <v>9</v>
      </c>
      <c r="I1202" cm="1">
        <f t="array" ref="I1202">IF(OR(AND(H1202=9,I$1&gt;YEAR($N1202))),9,_xlfn.IFNA(INDEX($D$2:$D$4001,_xlfn.XMATCH(I$1&amp;"-"&amp;$F1202,YEAR($B$2:$B$4001)&amp;"-"&amp;$A$2:$A$4001,0,-1)),H1202))</f>
        <v>0</v>
      </c>
      <c r="J1202" cm="1">
        <f t="array" ref="J1202">IF(OR(AND(I1202=9,J$1&gt;YEAR($N1202))),9,_xlfn.IFNA(INDEX($D$2:$D$4001,_xlfn.XMATCH(J$1&amp;"-"&amp;$F1202,YEAR($B$2:$B$4001)&amp;"-"&amp;$A$2:$A$4001,0,-1)),I1202))</f>
        <v>0</v>
      </c>
      <c r="K1202" cm="1">
        <f t="array" ref="K1202">IF(OR(AND(J1202=9,K$1&gt;YEAR($N1202))),9,_xlfn.IFNA(INDEX($D$2:$D$4001,_xlfn.XMATCH(K$1&amp;"-"&amp;$F1202,YEAR($B$2:$B$4001)&amp;"-"&amp;$A$2:$A$4001,0,-1)),J1202))</f>
        <v>0</v>
      </c>
      <c r="L1202" cm="1">
        <f t="array" ref="L1202">IF(OR(AND(K1202=9,L$1&gt;YEAR($N1202))),9,_xlfn.IFNA(INDEX($D$2:$D$4001,_xlfn.XMATCH(L$1&amp;"-"&amp;$F1202,YEAR($B$2:$B$4001)&amp;"-"&amp;$A$2:$A$4001,0,-1)),K1202))</f>
        <v>0</v>
      </c>
      <c r="M1202" cm="1">
        <f t="array" ref="M1202">IF(OR(AND(L1202=9,M$1&gt;YEAR($N1202))),9,_xlfn.IFNA(INDEX($D$2:$D$4001,_xlfn.XMATCH(M$1&amp;"-"&amp;$F1202,YEAR($B$2:$B$4001)&amp;"-"&amp;$A$2:$A$4001,0,-1)),L1202))</f>
        <v>0</v>
      </c>
      <c r="N1202" s="1">
        <f t="shared" si="18"/>
        <v>37255</v>
      </c>
    </row>
    <row r="1203" spans="1:14" x14ac:dyDescent="0.35">
      <c r="A1203">
        <v>583</v>
      </c>
      <c r="B1203" s="2">
        <v>36524</v>
      </c>
      <c r="C1203">
        <v>5</v>
      </c>
      <c r="D1203">
        <v>5</v>
      </c>
      <c r="F1203">
        <v>1202</v>
      </c>
      <c r="G1203" cm="1">
        <f t="array" ref="G1203">_xlfn.IFNA(INDEX($D$2:$D$4001,_xlfn.XMATCH(G$1&amp;"-"&amp;$F1203,YEAR($B$2:$B$4001)&amp;"-"&amp;$A$2:$A$4001,0,-1)),9)</f>
        <v>9</v>
      </c>
      <c r="H1203" cm="1">
        <f t="array" ref="H1203">IF(OR(AND(G1203=9,H$1&gt;YEAR($N1203))),9,_xlfn.IFNA(INDEX($D$2:$D$4001,_xlfn.XMATCH(H$1&amp;"-"&amp;$F1203,YEAR($B$2:$B$4001)&amp;"-"&amp;$A$2:$A$4001,0,-1)),G1203))</f>
        <v>0</v>
      </c>
      <c r="I1203" cm="1">
        <f t="array" ref="I1203">IF(OR(AND(H1203=9,I$1&gt;YEAR($N1203))),9,_xlfn.IFNA(INDEX($D$2:$D$4001,_xlfn.XMATCH(I$1&amp;"-"&amp;$F1203,YEAR($B$2:$B$4001)&amp;"-"&amp;$A$2:$A$4001,0,-1)),H1203))</f>
        <v>0</v>
      </c>
      <c r="J1203" cm="1">
        <f t="array" ref="J1203">IF(OR(AND(I1203=9,J$1&gt;YEAR($N1203))),9,_xlfn.IFNA(INDEX($D$2:$D$4001,_xlfn.XMATCH(J$1&amp;"-"&amp;$F1203,YEAR($B$2:$B$4001)&amp;"-"&amp;$A$2:$A$4001,0,-1)),I1203))</f>
        <v>0</v>
      </c>
      <c r="K1203" cm="1">
        <f t="array" ref="K1203">IF(OR(AND(J1203=9,K$1&gt;YEAR($N1203))),9,_xlfn.IFNA(INDEX($D$2:$D$4001,_xlfn.XMATCH(K$1&amp;"-"&amp;$F1203,YEAR($B$2:$B$4001)&amp;"-"&amp;$A$2:$A$4001,0,-1)),J1203))</f>
        <v>0</v>
      </c>
      <c r="L1203" cm="1">
        <f t="array" ref="L1203">IF(OR(AND(K1203=9,L$1&gt;YEAR($N1203))),9,_xlfn.IFNA(INDEX($D$2:$D$4001,_xlfn.XMATCH(L$1&amp;"-"&amp;$F1203,YEAR($B$2:$B$4001)&amp;"-"&amp;$A$2:$A$4001,0,-1)),K1203))</f>
        <v>0</v>
      </c>
      <c r="M1203" cm="1">
        <f t="array" ref="M1203">IF(OR(AND(L1203=9,M$1&gt;YEAR($N1203))),9,_xlfn.IFNA(INDEX($D$2:$D$4001,_xlfn.XMATCH(M$1&amp;"-"&amp;$F1203,YEAR($B$2:$B$4001)&amp;"-"&amp;$A$2:$A$4001,0,-1)),L1203))</f>
        <v>0</v>
      </c>
      <c r="N1203" s="1">
        <f t="shared" si="18"/>
        <v>36676</v>
      </c>
    </row>
    <row r="1204" spans="1:14" x14ac:dyDescent="0.35">
      <c r="A1204">
        <v>583</v>
      </c>
      <c r="B1204" s="2">
        <v>37832</v>
      </c>
      <c r="C1204">
        <v>6</v>
      </c>
      <c r="D1204">
        <v>6</v>
      </c>
      <c r="F1204">
        <v>1203</v>
      </c>
      <c r="G1204" cm="1">
        <f t="array" ref="G1204">_xlfn.IFNA(INDEX($D$2:$D$4001,_xlfn.XMATCH(G$1&amp;"-"&amp;$F1204,YEAR($B$2:$B$4001)&amp;"-"&amp;$A$2:$A$4001,0,-1)),9)</f>
        <v>9</v>
      </c>
      <c r="H1204" cm="1">
        <f t="array" ref="H1204">IF(OR(AND(G1204=9,H$1&gt;YEAR($N1204))),9,_xlfn.IFNA(INDEX($D$2:$D$4001,_xlfn.XMATCH(H$1&amp;"-"&amp;$F1204,YEAR($B$2:$B$4001)&amp;"-"&amp;$A$2:$A$4001,0,-1)),G1204))</f>
        <v>9</v>
      </c>
      <c r="I1204" cm="1">
        <f t="array" ref="I1204">IF(OR(AND(H1204=9,I$1&gt;YEAR($N1204))),9,_xlfn.IFNA(INDEX($D$2:$D$4001,_xlfn.XMATCH(I$1&amp;"-"&amp;$F1204,YEAR($B$2:$B$4001)&amp;"-"&amp;$A$2:$A$4001,0,-1)),H1204))</f>
        <v>9</v>
      </c>
      <c r="J1204" cm="1">
        <f t="array" ref="J1204">IF(OR(AND(I1204=9,J$1&gt;YEAR($N1204))),9,_xlfn.IFNA(INDEX($D$2:$D$4001,_xlfn.XMATCH(J$1&amp;"-"&amp;$F1204,YEAR($B$2:$B$4001)&amp;"-"&amp;$A$2:$A$4001,0,-1)),I1204))</f>
        <v>9</v>
      </c>
      <c r="K1204" cm="1">
        <f t="array" ref="K1204">IF(OR(AND(J1204=9,K$1&gt;YEAR($N1204))),9,_xlfn.IFNA(INDEX($D$2:$D$4001,_xlfn.XMATCH(K$1&amp;"-"&amp;$F1204,YEAR($B$2:$B$4001)&amp;"-"&amp;$A$2:$A$4001,0,-1)),J1204))</f>
        <v>2</v>
      </c>
      <c r="L1204" cm="1">
        <f t="array" ref="L1204">IF(OR(AND(K1204=9,L$1&gt;YEAR($N1204))),9,_xlfn.IFNA(INDEX($D$2:$D$4001,_xlfn.XMATCH(L$1&amp;"-"&amp;$F1204,YEAR($B$2:$B$4001)&amp;"-"&amp;$A$2:$A$4001,0,-1)),K1204))</f>
        <v>2</v>
      </c>
      <c r="M1204" cm="1">
        <f t="array" ref="M1204">IF(OR(AND(L1204=9,M$1&gt;YEAR($N1204))),9,_xlfn.IFNA(INDEX($D$2:$D$4001,_xlfn.XMATCH(M$1&amp;"-"&amp;$F1204,YEAR($B$2:$B$4001)&amp;"-"&amp;$A$2:$A$4001,0,-1)),L1204))</f>
        <v>2</v>
      </c>
      <c r="N1204" s="1">
        <f t="shared" si="18"/>
        <v>37771</v>
      </c>
    </row>
    <row r="1205" spans="1:14" x14ac:dyDescent="0.35">
      <c r="A1205">
        <v>583</v>
      </c>
      <c r="B1205" s="2">
        <v>38563</v>
      </c>
      <c r="C1205">
        <v>6</v>
      </c>
      <c r="D1205">
        <v>6</v>
      </c>
      <c r="F1205">
        <v>1204</v>
      </c>
      <c r="G1205" cm="1">
        <f t="array" ref="G1205">_xlfn.IFNA(INDEX($D$2:$D$4001,_xlfn.XMATCH(G$1&amp;"-"&amp;$F1205,YEAR($B$2:$B$4001)&amp;"-"&amp;$A$2:$A$4001,0,-1)),9)</f>
        <v>9</v>
      </c>
      <c r="H1205" cm="1">
        <f t="array" ref="H1205">IF(OR(AND(G1205=9,H$1&gt;YEAR($N1205))),9,_xlfn.IFNA(INDEX($D$2:$D$4001,_xlfn.XMATCH(H$1&amp;"-"&amp;$F1205,YEAR($B$2:$B$4001)&amp;"-"&amp;$A$2:$A$4001,0,-1)),G1205))</f>
        <v>9</v>
      </c>
      <c r="I1205" cm="1">
        <f t="array" ref="I1205">IF(OR(AND(H1205=9,I$1&gt;YEAR($N1205))),9,_xlfn.IFNA(INDEX($D$2:$D$4001,_xlfn.XMATCH(I$1&amp;"-"&amp;$F1205,YEAR($B$2:$B$4001)&amp;"-"&amp;$A$2:$A$4001,0,-1)),H1205))</f>
        <v>2</v>
      </c>
      <c r="J1205" cm="1">
        <f t="array" ref="J1205">IF(OR(AND(I1205=9,J$1&gt;YEAR($N1205))),9,_xlfn.IFNA(INDEX($D$2:$D$4001,_xlfn.XMATCH(J$1&amp;"-"&amp;$F1205,YEAR($B$2:$B$4001)&amp;"-"&amp;$A$2:$A$4001,0,-1)),I1205))</f>
        <v>2</v>
      </c>
      <c r="K1205" cm="1">
        <f t="array" ref="K1205">IF(OR(AND(J1205=9,K$1&gt;YEAR($N1205))),9,_xlfn.IFNA(INDEX($D$2:$D$4001,_xlfn.XMATCH(K$1&amp;"-"&amp;$F1205,YEAR($B$2:$B$4001)&amp;"-"&amp;$A$2:$A$4001,0,-1)),J1205))</f>
        <v>2</v>
      </c>
      <c r="L1205" cm="1">
        <f t="array" ref="L1205">IF(OR(AND(K1205=9,L$1&gt;YEAR($N1205))),9,_xlfn.IFNA(INDEX($D$2:$D$4001,_xlfn.XMATCH(L$1&amp;"-"&amp;$F1205,YEAR($B$2:$B$4001)&amp;"-"&amp;$A$2:$A$4001,0,-1)),K1205))</f>
        <v>2</v>
      </c>
      <c r="M1205" cm="1">
        <f t="array" ref="M1205">IF(OR(AND(L1205=9,M$1&gt;YEAR($N1205))),9,_xlfn.IFNA(INDEX($D$2:$D$4001,_xlfn.XMATCH(M$1&amp;"-"&amp;$F1205,YEAR($B$2:$B$4001)&amp;"-"&amp;$A$2:$A$4001,0,-1)),L1205))</f>
        <v>2</v>
      </c>
      <c r="N1205" s="1">
        <f t="shared" si="18"/>
        <v>37255</v>
      </c>
    </row>
    <row r="1206" spans="1:14" x14ac:dyDescent="0.35">
      <c r="A1206">
        <v>584</v>
      </c>
      <c r="B1206" s="2">
        <v>37802</v>
      </c>
      <c r="C1206">
        <v>4</v>
      </c>
      <c r="D1206">
        <v>4</v>
      </c>
      <c r="F1206">
        <v>1205</v>
      </c>
      <c r="G1206" cm="1">
        <f t="array" ref="G1206">_xlfn.IFNA(INDEX($D$2:$D$4001,_xlfn.XMATCH(G$1&amp;"-"&amp;$F1206,YEAR($B$2:$B$4001)&amp;"-"&amp;$A$2:$A$4001,0,-1)),9)</f>
        <v>9</v>
      </c>
      <c r="H1206" cm="1">
        <f t="array" ref="H1206">IF(OR(AND(G1206=9,H$1&gt;YEAR($N1206))),9,_xlfn.IFNA(INDEX($D$2:$D$4001,_xlfn.XMATCH(H$1&amp;"-"&amp;$F1206,YEAR($B$2:$B$4001)&amp;"-"&amp;$A$2:$A$4001,0,-1)),G1206))</f>
        <v>9</v>
      </c>
      <c r="I1206" cm="1">
        <f t="array" ref="I1206">IF(OR(AND(H1206=9,I$1&gt;YEAR($N1206))),9,_xlfn.IFNA(INDEX($D$2:$D$4001,_xlfn.XMATCH(I$1&amp;"-"&amp;$F1206,YEAR($B$2:$B$4001)&amp;"-"&amp;$A$2:$A$4001,0,-1)),H1206))</f>
        <v>9</v>
      </c>
      <c r="J1206" cm="1">
        <f t="array" ref="J1206">IF(OR(AND(I1206=9,J$1&gt;YEAR($N1206))),9,_xlfn.IFNA(INDEX($D$2:$D$4001,_xlfn.XMATCH(J$1&amp;"-"&amp;$F1206,YEAR($B$2:$B$4001)&amp;"-"&amp;$A$2:$A$4001,0,-1)),I1206))</f>
        <v>3</v>
      </c>
      <c r="K1206" cm="1">
        <f t="array" ref="K1206">IF(OR(AND(J1206=9,K$1&gt;YEAR($N1206))),9,_xlfn.IFNA(INDEX($D$2:$D$4001,_xlfn.XMATCH(K$1&amp;"-"&amp;$F1206,YEAR($B$2:$B$4001)&amp;"-"&amp;$A$2:$A$4001,0,-1)),J1206))</f>
        <v>4</v>
      </c>
      <c r="L1206" cm="1">
        <f t="array" ref="L1206">IF(OR(AND(K1206=9,L$1&gt;YEAR($N1206))),9,_xlfn.IFNA(INDEX($D$2:$D$4001,_xlfn.XMATCH(L$1&amp;"-"&amp;$F1206,YEAR($B$2:$B$4001)&amp;"-"&amp;$A$2:$A$4001,0,-1)),K1206))</f>
        <v>4</v>
      </c>
      <c r="M1206" cm="1">
        <f t="array" ref="M1206">IF(OR(AND(L1206=9,M$1&gt;YEAR($N1206))),9,_xlfn.IFNA(INDEX($D$2:$D$4001,_xlfn.XMATCH(M$1&amp;"-"&amp;$F1206,YEAR($B$2:$B$4001)&amp;"-"&amp;$A$2:$A$4001,0,-1)),L1206))</f>
        <v>4</v>
      </c>
      <c r="N1206" s="1">
        <f t="shared" si="18"/>
        <v>37406</v>
      </c>
    </row>
    <row r="1207" spans="1:14" x14ac:dyDescent="0.35">
      <c r="A1207">
        <v>585</v>
      </c>
      <c r="B1207" s="2">
        <v>36303</v>
      </c>
      <c r="C1207">
        <v>4</v>
      </c>
      <c r="D1207">
        <v>4</v>
      </c>
      <c r="F1207">
        <v>1206</v>
      </c>
      <c r="G1207" cm="1">
        <f t="array" ref="G1207">_xlfn.IFNA(INDEX($D$2:$D$4001,_xlfn.XMATCH(G$1&amp;"-"&amp;$F1207,YEAR($B$2:$B$4001)&amp;"-"&amp;$A$2:$A$4001,0,-1)),9)</f>
        <v>4</v>
      </c>
      <c r="H1207" cm="1">
        <f t="array" ref="H1207">IF(OR(AND(G1207=9,H$1&gt;YEAR($N1207))),9,_xlfn.IFNA(INDEX($D$2:$D$4001,_xlfn.XMATCH(H$1&amp;"-"&amp;$F1207,YEAR($B$2:$B$4001)&amp;"-"&amp;$A$2:$A$4001,0,-1)),G1207))</f>
        <v>4</v>
      </c>
      <c r="I1207" cm="1">
        <f t="array" ref="I1207">IF(OR(AND(H1207=9,I$1&gt;YEAR($N1207))),9,_xlfn.IFNA(INDEX($D$2:$D$4001,_xlfn.XMATCH(I$1&amp;"-"&amp;$F1207,YEAR($B$2:$B$4001)&amp;"-"&amp;$A$2:$A$4001,0,-1)),H1207))</f>
        <v>4</v>
      </c>
      <c r="J1207" cm="1">
        <f t="array" ref="J1207">IF(OR(AND(I1207=9,J$1&gt;YEAR($N1207))),9,_xlfn.IFNA(INDEX($D$2:$D$4001,_xlfn.XMATCH(J$1&amp;"-"&amp;$F1207,YEAR($B$2:$B$4001)&amp;"-"&amp;$A$2:$A$4001,0,-1)),I1207))</f>
        <v>4</v>
      </c>
      <c r="K1207" cm="1">
        <f t="array" ref="K1207">IF(OR(AND(J1207=9,K$1&gt;YEAR($N1207))),9,_xlfn.IFNA(INDEX($D$2:$D$4001,_xlfn.XMATCH(K$1&amp;"-"&amp;$F1207,YEAR($B$2:$B$4001)&amp;"-"&amp;$A$2:$A$4001,0,-1)),J1207))</f>
        <v>5</v>
      </c>
      <c r="L1207" cm="1">
        <f t="array" ref="L1207">IF(OR(AND(K1207=9,L$1&gt;YEAR($N1207))),9,_xlfn.IFNA(INDEX($D$2:$D$4001,_xlfn.XMATCH(L$1&amp;"-"&amp;$F1207,YEAR($B$2:$B$4001)&amp;"-"&amp;$A$2:$A$4001,0,-1)),K1207))</f>
        <v>5</v>
      </c>
      <c r="M1207" cm="1">
        <f t="array" ref="M1207">IF(OR(AND(L1207=9,M$1&gt;YEAR($N1207))),9,_xlfn.IFNA(INDEX($D$2:$D$4001,_xlfn.XMATCH(M$1&amp;"-"&amp;$F1207,YEAR($B$2:$B$4001)&amp;"-"&amp;$A$2:$A$4001,0,-1)),L1207))</f>
        <v>5</v>
      </c>
      <c r="N1207" s="1">
        <f t="shared" si="18"/>
        <v>36524</v>
      </c>
    </row>
    <row r="1208" spans="1:14" x14ac:dyDescent="0.35">
      <c r="A1208">
        <v>585</v>
      </c>
      <c r="B1208" s="2">
        <v>37255</v>
      </c>
      <c r="C1208">
        <v>4</v>
      </c>
      <c r="D1208">
        <v>4</v>
      </c>
      <c r="F1208">
        <v>1207</v>
      </c>
      <c r="G1208" cm="1">
        <f t="array" ref="G1208">_xlfn.IFNA(INDEX($D$2:$D$4001,_xlfn.XMATCH(G$1&amp;"-"&amp;$F1208,YEAR($B$2:$B$4001)&amp;"-"&amp;$A$2:$A$4001,0,-1)),9)</f>
        <v>9</v>
      </c>
      <c r="H1208" cm="1">
        <f t="array" ref="H1208">IF(OR(AND(G1208=9,H$1&gt;YEAR($N1208))),9,_xlfn.IFNA(INDEX($D$2:$D$4001,_xlfn.XMATCH(H$1&amp;"-"&amp;$F1208,YEAR($B$2:$B$4001)&amp;"-"&amp;$A$2:$A$4001,0,-1)),G1208))</f>
        <v>4</v>
      </c>
      <c r="I1208" cm="1">
        <f t="array" ref="I1208">IF(OR(AND(H1208=9,I$1&gt;YEAR($N1208))),9,_xlfn.IFNA(INDEX($D$2:$D$4001,_xlfn.XMATCH(I$1&amp;"-"&amp;$F1208,YEAR($B$2:$B$4001)&amp;"-"&amp;$A$2:$A$4001,0,-1)),H1208))</f>
        <v>4</v>
      </c>
      <c r="J1208" cm="1">
        <f t="array" ref="J1208">IF(OR(AND(I1208=9,J$1&gt;YEAR($N1208))),9,_xlfn.IFNA(INDEX($D$2:$D$4001,_xlfn.XMATCH(J$1&amp;"-"&amp;$F1208,YEAR($B$2:$B$4001)&amp;"-"&amp;$A$2:$A$4001,0,-1)),I1208))</f>
        <v>4</v>
      </c>
      <c r="K1208" cm="1">
        <f t="array" ref="K1208">IF(OR(AND(J1208=9,K$1&gt;YEAR($N1208))),9,_xlfn.IFNA(INDEX($D$2:$D$4001,_xlfn.XMATCH(K$1&amp;"-"&amp;$F1208,YEAR($B$2:$B$4001)&amp;"-"&amp;$A$2:$A$4001,0,-1)),J1208))</f>
        <v>4</v>
      </c>
      <c r="L1208" cm="1">
        <f t="array" ref="L1208">IF(OR(AND(K1208=9,L$1&gt;YEAR($N1208))),9,_xlfn.IFNA(INDEX($D$2:$D$4001,_xlfn.XMATCH(L$1&amp;"-"&amp;$F1208,YEAR($B$2:$B$4001)&amp;"-"&amp;$A$2:$A$4001,0,-1)),K1208))</f>
        <v>4</v>
      </c>
      <c r="M1208" cm="1">
        <f t="array" ref="M1208">IF(OR(AND(L1208=9,M$1&gt;YEAR($N1208))),9,_xlfn.IFNA(INDEX($D$2:$D$4001,_xlfn.XMATCH(M$1&amp;"-"&amp;$F1208,YEAR($B$2:$B$4001)&amp;"-"&amp;$A$2:$A$4001,0,-1)),L1208))</f>
        <v>4</v>
      </c>
      <c r="N1208" s="1">
        <f t="shared" si="18"/>
        <v>36667</v>
      </c>
    </row>
    <row r="1209" spans="1:14" x14ac:dyDescent="0.35">
      <c r="A1209">
        <v>585</v>
      </c>
      <c r="B1209" s="2">
        <v>37985</v>
      </c>
      <c r="C1209">
        <v>4</v>
      </c>
      <c r="D1209">
        <v>4</v>
      </c>
      <c r="F1209">
        <v>1208</v>
      </c>
      <c r="G1209" cm="1">
        <f t="array" ref="G1209">_xlfn.IFNA(INDEX($D$2:$D$4001,_xlfn.XMATCH(G$1&amp;"-"&amp;$F1209,YEAR($B$2:$B$4001)&amp;"-"&amp;$A$2:$A$4001,0,-1)),9)</f>
        <v>9</v>
      </c>
      <c r="H1209" cm="1">
        <f t="array" ref="H1209">IF(OR(AND(G1209=9,H$1&gt;YEAR($N1209))),9,_xlfn.IFNA(INDEX($D$2:$D$4001,_xlfn.XMATCH(H$1&amp;"-"&amp;$F1209,YEAR($B$2:$B$4001)&amp;"-"&amp;$A$2:$A$4001,0,-1)),G1209))</f>
        <v>9</v>
      </c>
      <c r="I1209" cm="1">
        <f t="array" ref="I1209">IF(OR(AND(H1209=9,I$1&gt;YEAR($N1209))),9,_xlfn.IFNA(INDEX($D$2:$D$4001,_xlfn.XMATCH(I$1&amp;"-"&amp;$F1209,YEAR($B$2:$B$4001)&amp;"-"&amp;$A$2:$A$4001,0,-1)),H1209))</f>
        <v>4</v>
      </c>
      <c r="J1209" cm="1">
        <f t="array" ref="J1209">IF(OR(AND(I1209=9,J$1&gt;YEAR($N1209))),9,_xlfn.IFNA(INDEX($D$2:$D$4001,_xlfn.XMATCH(J$1&amp;"-"&amp;$F1209,YEAR($B$2:$B$4001)&amp;"-"&amp;$A$2:$A$4001,0,-1)),I1209))</f>
        <v>4</v>
      </c>
      <c r="K1209" cm="1">
        <f t="array" ref="K1209">IF(OR(AND(J1209=9,K$1&gt;YEAR($N1209))),9,_xlfn.IFNA(INDEX($D$2:$D$4001,_xlfn.XMATCH(K$1&amp;"-"&amp;$F1209,YEAR($B$2:$B$4001)&amp;"-"&amp;$A$2:$A$4001,0,-1)),J1209))</f>
        <v>4</v>
      </c>
      <c r="L1209" cm="1">
        <f t="array" ref="L1209">IF(OR(AND(K1209=9,L$1&gt;YEAR($N1209))),9,_xlfn.IFNA(INDEX($D$2:$D$4001,_xlfn.XMATCH(L$1&amp;"-"&amp;$F1209,YEAR($B$2:$B$4001)&amp;"-"&amp;$A$2:$A$4001,0,-1)),K1209))</f>
        <v>4</v>
      </c>
      <c r="M1209" cm="1">
        <f t="array" ref="M1209">IF(OR(AND(L1209=9,M$1&gt;YEAR($N1209))),9,_xlfn.IFNA(INDEX($D$2:$D$4001,_xlfn.XMATCH(M$1&amp;"-"&amp;$F1209,YEAR($B$2:$B$4001)&amp;"-"&amp;$A$2:$A$4001,0,-1)),L1209))</f>
        <v>4</v>
      </c>
      <c r="N1209" s="1">
        <f t="shared" si="18"/>
        <v>37041</v>
      </c>
    </row>
    <row r="1210" spans="1:14" x14ac:dyDescent="0.35">
      <c r="A1210">
        <v>585</v>
      </c>
      <c r="B1210" s="2">
        <v>38502</v>
      </c>
      <c r="C1210">
        <v>5</v>
      </c>
      <c r="D1210">
        <v>5</v>
      </c>
      <c r="F1210">
        <v>1209</v>
      </c>
      <c r="G1210" cm="1">
        <f t="array" ref="G1210">_xlfn.IFNA(INDEX($D$2:$D$4001,_xlfn.XMATCH(G$1&amp;"-"&amp;$F1210,YEAR($B$2:$B$4001)&amp;"-"&amp;$A$2:$A$4001,0,-1)),9)</f>
        <v>6</v>
      </c>
      <c r="H1210" cm="1">
        <f t="array" ref="H1210">IF(OR(AND(G1210=9,H$1&gt;YEAR($N1210))),9,_xlfn.IFNA(INDEX($D$2:$D$4001,_xlfn.XMATCH(H$1&amp;"-"&amp;$F1210,YEAR($B$2:$B$4001)&amp;"-"&amp;$A$2:$A$4001,0,-1)),G1210))</f>
        <v>0</v>
      </c>
      <c r="I1210" cm="1">
        <f t="array" ref="I1210">IF(OR(AND(H1210=9,I$1&gt;YEAR($N1210))),9,_xlfn.IFNA(INDEX($D$2:$D$4001,_xlfn.XMATCH(I$1&amp;"-"&amp;$F1210,YEAR($B$2:$B$4001)&amp;"-"&amp;$A$2:$A$4001,0,-1)),H1210))</f>
        <v>0</v>
      </c>
      <c r="J1210" cm="1">
        <f t="array" ref="J1210">IF(OR(AND(I1210=9,J$1&gt;YEAR($N1210))),9,_xlfn.IFNA(INDEX($D$2:$D$4001,_xlfn.XMATCH(J$1&amp;"-"&amp;$F1210,YEAR($B$2:$B$4001)&amp;"-"&amp;$A$2:$A$4001,0,-1)),I1210))</f>
        <v>0</v>
      </c>
      <c r="K1210" cm="1">
        <f t="array" ref="K1210">IF(OR(AND(J1210=9,K$1&gt;YEAR($N1210))),9,_xlfn.IFNA(INDEX($D$2:$D$4001,_xlfn.XMATCH(K$1&amp;"-"&amp;$F1210,YEAR($B$2:$B$4001)&amp;"-"&amp;$A$2:$A$4001,0,-1)),J1210))</f>
        <v>0</v>
      </c>
      <c r="L1210" cm="1">
        <f t="array" ref="L1210">IF(OR(AND(K1210=9,L$1&gt;YEAR($N1210))),9,_xlfn.IFNA(INDEX($D$2:$D$4001,_xlfn.XMATCH(L$1&amp;"-"&amp;$F1210,YEAR($B$2:$B$4001)&amp;"-"&amp;$A$2:$A$4001,0,-1)),K1210))</f>
        <v>0</v>
      </c>
      <c r="M1210" cm="1">
        <f t="array" ref="M1210">IF(OR(AND(L1210=9,M$1&gt;YEAR($N1210))),9,_xlfn.IFNA(INDEX($D$2:$D$4001,_xlfn.XMATCH(M$1&amp;"-"&amp;$F1210,YEAR($B$2:$B$4001)&amp;"-"&amp;$A$2:$A$4001,0,-1)),L1210))</f>
        <v>0</v>
      </c>
      <c r="N1210" s="1">
        <f t="shared" si="18"/>
        <v>36524</v>
      </c>
    </row>
    <row r="1211" spans="1:14" x14ac:dyDescent="0.35">
      <c r="A1211">
        <v>586</v>
      </c>
      <c r="B1211" s="2">
        <v>37032</v>
      </c>
      <c r="C1211">
        <v>4</v>
      </c>
      <c r="D1211">
        <v>4</v>
      </c>
      <c r="F1211">
        <v>1210</v>
      </c>
      <c r="G1211" cm="1">
        <f t="array" ref="G1211">_xlfn.IFNA(INDEX($D$2:$D$4001,_xlfn.XMATCH(G$1&amp;"-"&amp;$F1211,YEAR($B$2:$B$4001)&amp;"-"&amp;$A$2:$A$4001,0,-1)),9)</f>
        <v>6</v>
      </c>
      <c r="H1211" cm="1">
        <f t="array" ref="H1211">IF(OR(AND(G1211=9,H$1&gt;YEAR($N1211))),9,_xlfn.IFNA(INDEX($D$2:$D$4001,_xlfn.XMATCH(H$1&amp;"-"&amp;$F1211,YEAR($B$2:$B$4001)&amp;"-"&amp;$A$2:$A$4001,0,-1)),G1211))</f>
        <v>6</v>
      </c>
      <c r="I1211" cm="1">
        <f t="array" ref="I1211">IF(OR(AND(H1211=9,I$1&gt;YEAR($N1211))),9,_xlfn.IFNA(INDEX($D$2:$D$4001,_xlfn.XMATCH(I$1&amp;"-"&amp;$F1211,YEAR($B$2:$B$4001)&amp;"-"&amp;$A$2:$A$4001,0,-1)),H1211))</f>
        <v>5</v>
      </c>
      <c r="J1211" cm="1">
        <f t="array" ref="J1211">IF(OR(AND(I1211=9,J$1&gt;YEAR($N1211))),9,_xlfn.IFNA(INDEX($D$2:$D$4001,_xlfn.XMATCH(J$1&amp;"-"&amp;$F1211,YEAR($B$2:$B$4001)&amp;"-"&amp;$A$2:$A$4001,0,-1)),I1211))</f>
        <v>5</v>
      </c>
      <c r="K1211" cm="1">
        <f t="array" ref="K1211">IF(OR(AND(J1211=9,K$1&gt;YEAR($N1211))),9,_xlfn.IFNA(INDEX($D$2:$D$4001,_xlfn.XMATCH(K$1&amp;"-"&amp;$F1211,YEAR($B$2:$B$4001)&amp;"-"&amp;$A$2:$A$4001,0,-1)),J1211))</f>
        <v>5</v>
      </c>
      <c r="L1211" cm="1">
        <f t="array" ref="L1211">IF(OR(AND(K1211=9,L$1&gt;YEAR($N1211))),9,_xlfn.IFNA(INDEX($D$2:$D$4001,_xlfn.XMATCH(L$1&amp;"-"&amp;$F1211,YEAR($B$2:$B$4001)&amp;"-"&amp;$A$2:$A$4001,0,-1)),K1211))</f>
        <v>5</v>
      </c>
      <c r="M1211" cm="1">
        <f t="array" ref="M1211">IF(OR(AND(L1211=9,M$1&gt;YEAR($N1211))),9,_xlfn.IFNA(INDEX($D$2:$D$4001,_xlfn.XMATCH(M$1&amp;"-"&amp;$F1211,YEAR($B$2:$B$4001)&amp;"-"&amp;$A$2:$A$4001,0,-1)),L1211))</f>
        <v>5</v>
      </c>
      <c r="N1211" s="1">
        <f t="shared" si="18"/>
        <v>36393</v>
      </c>
    </row>
    <row r="1212" spans="1:14" x14ac:dyDescent="0.35">
      <c r="A1212">
        <v>586</v>
      </c>
      <c r="B1212" s="2">
        <v>37398</v>
      </c>
      <c r="C1212">
        <v>5</v>
      </c>
      <c r="D1212">
        <v>5</v>
      </c>
      <c r="F1212">
        <v>1211</v>
      </c>
      <c r="G1212" cm="1">
        <f t="array" ref="G1212">_xlfn.IFNA(INDEX($D$2:$D$4001,_xlfn.XMATCH(G$1&amp;"-"&amp;$F1212,YEAR($B$2:$B$4001)&amp;"-"&amp;$A$2:$A$4001,0,-1)),9)</f>
        <v>5</v>
      </c>
      <c r="H1212" cm="1">
        <f t="array" ref="H1212">IF(OR(AND(G1212=9,H$1&gt;YEAR($N1212))),9,_xlfn.IFNA(INDEX($D$2:$D$4001,_xlfn.XMATCH(H$1&amp;"-"&amp;$F1212,YEAR($B$2:$B$4001)&amp;"-"&amp;$A$2:$A$4001,0,-1)),G1212))</f>
        <v>5</v>
      </c>
      <c r="I1212" cm="1">
        <f t="array" ref="I1212">IF(OR(AND(H1212=9,I$1&gt;YEAR($N1212))),9,_xlfn.IFNA(INDEX($D$2:$D$4001,_xlfn.XMATCH(I$1&amp;"-"&amp;$F1212,YEAR($B$2:$B$4001)&amp;"-"&amp;$A$2:$A$4001,0,-1)),H1212))</f>
        <v>6</v>
      </c>
      <c r="J1212" cm="1">
        <f t="array" ref="J1212">IF(OR(AND(I1212=9,J$1&gt;YEAR($N1212))),9,_xlfn.IFNA(INDEX($D$2:$D$4001,_xlfn.XMATCH(J$1&amp;"-"&amp;$F1212,YEAR($B$2:$B$4001)&amp;"-"&amp;$A$2:$A$4001,0,-1)),I1212))</f>
        <v>6</v>
      </c>
      <c r="K1212" cm="1">
        <f t="array" ref="K1212">IF(OR(AND(J1212=9,K$1&gt;YEAR($N1212))),9,_xlfn.IFNA(INDEX($D$2:$D$4001,_xlfn.XMATCH(K$1&amp;"-"&amp;$F1212,YEAR($B$2:$B$4001)&amp;"-"&amp;$A$2:$A$4001,0,-1)),J1212))</f>
        <v>6</v>
      </c>
      <c r="L1212" cm="1">
        <f t="array" ref="L1212">IF(OR(AND(K1212=9,L$1&gt;YEAR($N1212))),9,_xlfn.IFNA(INDEX($D$2:$D$4001,_xlfn.XMATCH(L$1&amp;"-"&amp;$F1212,YEAR($B$2:$B$4001)&amp;"-"&amp;$A$2:$A$4001,0,-1)),K1212))</f>
        <v>6</v>
      </c>
      <c r="M1212" cm="1">
        <f t="array" ref="M1212">IF(OR(AND(L1212=9,M$1&gt;YEAR($N1212))),9,_xlfn.IFNA(INDEX($D$2:$D$4001,_xlfn.XMATCH(M$1&amp;"-"&amp;$F1212,YEAR($B$2:$B$4001)&amp;"-"&amp;$A$2:$A$4001,0,-1)),L1212))</f>
        <v>6</v>
      </c>
      <c r="N1212" s="1">
        <f t="shared" si="18"/>
        <v>36524</v>
      </c>
    </row>
    <row r="1213" spans="1:14" x14ac:dyDescent="0.35">
      <c r="A1213">
        <v>587</v>
      </c>
      <c r="B1213" s="2">
        <v>37467</v>
      </c>
      <c r="C1213">
        <v>5</v>
      </c>
      <c r="D1213">
        <v>5</v>
      </c>
      <c r="F1213">
        <v>1212</v>
      </c>
      <c r="G1213" cm="1">
        <f t="array" ref="G1213">_xlfn.IFNA(INDEX($D$2:$D$4001,_xlfn.XMATCH(G$1&amp;"-"&amp;$F1213,YEAR($B$2:$B$4001)&amp;"-"&amp;$A$2:$A$4001,0,-1)),9)</f>
        <v>9</v>
      </c>
      <c r="H1213" cm="1">
        <f t="array" ref="H1213">IF(OR(AND(G1213=9,H$1&gt;YEAR($N1213))),9,_xlfn.IFNA(INDEX($D$2:$D$4001,_xlfn.XMATCH(H$1&amp;"-"&amp;$F1213,YEAR($B$2:$B$4001)&amp;"-"&amp;$A$2:$A$4001,0,-1)),G1213))</f>
        <v>9</v>
      </c>
      <c r="I1213" cm="1">
        <f t="array" ref="I1213">IF(OR(AND(H1213=9,I$1&gt;YEAR($N1213))),9,_xlfn.IFNA(INDEX($D$2:$D$4001,_xlfn.XMATCH(I$1&amp;"-"&amp;$F1213,YEAR($B$2:$B$4001)&amp;"-"&amp;$A$2:$A$4001,0,-1)),H1213))</f>
        <v>2</v>
      </c>
      <c r="J1213" cm="1">
        <f t="array" ref="J1213">IF(OR(AND(I1213=9,J$1&gt;YEAR($N1213))),9,_xlfn.IFNA(INDEX($D$2:$D$4001,_xlfn.XMATCH(J$1&amp;"-"&amp;$F1213,YEAR($B$2:$B$4001)&amp;"-"&amp;$A$2:$A$4001,0,-1)),I1213))</f>
        <v>2</v>
      </c>
      <c r="K1213" cm="1">
        <f t="array" ref="K1213">IF(OR(AND(J1213=9,K$1&gt;YEAR($N1213))),9,_xlfn.IFNA(INDEX($D$2:$D$4001,_xlfn.XMATCH(K$1&amp;"-"&amp;$F1213,YEAR($B$2:$B$4001)&amp;"-"&amp;$A$2:$A$4001,0,-1)),J1213))</f>
        <v>3</v>
      </c>
      <c r="L1213" cm="1">
        <f t="array" ref="L1213">IF(OR(AND(K1213=9,L$1&gt;YEAR($N1213))),9,_xlfn.IFNA(INDEX($D$2:$D$4001,_xlfn.XMATCH(L$1&amp;"-"&amp;$F1213,YEAR($B$2:$B$4001)&amp;"-"&amp;$A$2:$A$4001,0,-1)),K1213))</f>
        <v>3</v>
      </c>
      <c r="M1213" cm="1">
        <f t="array" ref="M1213">IF(OR(AND(L1213=9,M$1&gt;YEAR($N1213))),9,_xlfn.IFNA(INDEX($D$2:$D$4001,_xlfn.XMATCH(M$1&amp;"-"&amp;$F1213,YEAR($B$2:$B$4001)&amp;"-"&amp;$A$2:$A$4001,0,-1)),L1213))</f>
        <v>3</v>
      </c>
      <c r="N1213" s="1">
        <f t="shared" si="18"/>
        <v>37255</v>
      </c>
    </row>
    <row r="1214" spans="1:14" x14ac:dyDescent="0.35">
      <c r="A1214">
        <v>587</v>
      </c>
      <c r="B1214" s="2">
        <v>37924</v>
      </c>
      <c r="C1214">
        <v>5</v>
      </c>
      <c r="D1214">
        <v>5</v>
      </c>
      <c r="F1214">
        <v>1213</v>
      </c>
      <c r="G1214" cm="1">
        <f t="array" ref="G1214">_xlfn.IFNA(INDEX($D$2:$D$4001,_xlfn.XMATCH(G$1&amp;"-"&amp;$F1214,YEAR($B$2:$B$4001)&amp;"-"&amp;$A$2:$A$4001,0,-1)),9)</f>
        <v>9</v>
      </c>
      <c r="H1214" cm="1">
        <f t="array" ref="H1214">IF(OR(AND(G1214=9,H$1&gt;YEAR($N1214))),9,_xlfn.IFNA(INDEX($D$2:$D$4001,_xlfn.XMATCH(H$1&amp;"-"&amp;$F1214,YEAR($B$2:$B$4001)&amp;"-"&amp;$A$2:$A$4001,0,-1)),G1214))</f>
        <v>9</v>
      </c>
      <c r="I1214" cm="1">
        <f t="array" ref="I1214">IF(OR(AND(H1214=9,I$1&gt;YEAR($N1214))),9,_xlfn.IFNA(INDEX($D$2:$D$4001,_xlfn.XMATCH(I$1&amp;"-"&amp;$F1214,YEAR($B$2:$B$4001)&amp;"-"&amp;$A$2:$A$4001,0,-1)),H1214))</f>
        <v>3</v>
      </c>
      <c r="J1214" cm="1">
        <f t="array" ref="J1214">IF(OR(AND(I1214=9,J$1&gt;YEAR($N1214))),9,_xlfn.IFNA(INDEX($D$2:$D$4001,_xlfn.XMATCH(J$1&amp;"-"&amp;$F1214,YEAR($B$2:$B$4001)&amp;"-"&amp;$A$2:$A$4001,0,-1)),I1214))</f>
        <v>3</v>
      </c>
      <c r="K1214" cm="1">
        <f t="array" ref="K1214">IF(OR(AND(J1214=9,K$1&gt;YEAR($N1214))),9,_xlfn.IFNA(INDEX($D$2:$D$4001,_xlfn.XMATCH(K$1&amp;"-"&amp;$F1214,YEAR($B$2:$B$4001)&amp;"-"&amp;$A$2:$A$4001,0,-1)),J1214))</f>
        <v>3</v>
      </c>
      <c r="L1214" cm="1">
        <f t="array" ref="L1214">IF(OR(AND(K1214=9,L$1&gt;YEAR($N1214))),9,_xlfn.IFNA(INDEX($D$2:$D$4001,_xlfn.XMATCH(L$1&amp;"-"&amp;$F1214,YEAR($B$2:$B$4001)&amp;"-"&amp;$A$2:$A$4001,0,-1)),K1214))</f>
        <v>3</v>
      </c>
      <c r="M1214" cm="1">
        <f t="array" ref="M1214">IF(OR(AND(L1214=9,M$1&gt;YEAR($N1214))),9,_xlfn.IFNA(INDEX($D$2:$D$4001,_xlfn.XMATCH(M$1&amp;"-"&amp;$F1214,YEAR($B$2:$B$4001)&amp;"-"&amp;$A$2:$A$4001,0,-1)),L1214))</f>
        <v>3</v>
      </c>
      <c r="N1214" s="1">
        <f t="shared" si="18"/>
        <v>37041</v>
      </c>
    </row>
    <row r="1215" spans="1:14" x14ac:dyDescent="0.35">
      <c r="A1215">
        <v>588</v>
      </c>
      <c r="B1215" s="2">
        <v>37032</v>
      </c>
      <c r="C1215">
        <v>6</v>
      </c>
      <c r="D1215">
        <v>6</v>
      </c>
      <c r="F1215">
        <v>1214</v>
      </c>
      <c r="G1215" cm="1">
        <f t="array" ref="G1215">_xlfn.IFNA(INDEX($D$2:$D$4001,_xlfn.XMATCH(G$1&amp;"-"&amp;$F1215,YEAR($B$2:$B$4001)&amp;"-"&amp;$A$2:$A$4001,0,-1)),9)</f>
        <v>9</v>
      </c>
      <c r="H1215" cm="1">
        <f t="array" ref="H1215">IF(OR(AND(G1215=9,H$1&gt;YEAR($N1215))),9,_xlfn.IFNA(INDEX($D$2:$D$4001,_xlfn.XMATCH(H$1&amp;"-"&amp;$F1215,YEAR($B$2:$B$4001)&amp;"-"&amp;$A$2:$A$4001,0,-1)),G1215))</f>
        <v>3</v>
      </c>
      <c r="I1215" cm="1">
        <f t="array" ref="I1215">IF(OR(AND(H1215=9,I$1&gt;YEAR($N1215))),9,_xlfn.IFNA(INDEX($D$2:$D$4001,_xlfn.XMATCH(I$1&amp;"-"&amp;$F1215,YEAR($B$2:$B$4001)&amp;"-"&amp;$A$2:$A$4001,0,-1)),H1215))</f>
        <v>3</v>
      </c>
      <c r="J1215" cm="1">
        <f t="array" ref="J1215">IF(OR(AND(I1215=9,J$1&gt;YEAR($N1215))),9,_xlfn.IFNA(INDEX($D$2:$D$4001,_xlfn.XMATCH(J$1&amp;"-"&amp;$F1215,YEAR($B$2:$B$4001)&amp;"-"&amp;$A$2:$A$4001,0,-1)),I1215))</f>
        <v>3</v>
      </c>
      <c r="K1215" cm="1">
        <f t="array" ref="K1215">IF(OR(AND(J1215=9,K$1&gt;YEAR($N1215))),9,_xlfn.IFNA(INDEX($D$2:$D$4001,_xlfn.XMATCH(K$1&amp;"-"&amp;$F1215,YEAR($B$2:$B$4001)&amp;"-"&amp;$A$2:$A$4001,0,-1)),J1215))</f>
        <v>3</v>
      </c>
      <c r="L1215" cm="1">
        <f t="array" ref="L1215">IF(OR(AND(K1215=9,L$1&gt;YEAR($N1215))),9,_xlfn.IFNA(INDEX($D$2:$D$4001,_xlfn.XMATCH(L$1&amp;"-"&amp;$F1215,YEAR($B$2:$B$4001)&amp;"-"&amp;$A$2:$A$4001,0,-1)),K1215))</f>
        <v>3</v>
      </c>
      <c r="M1215" cm="1">
        <f t="array" ref="M1215">IF(OR(AND(L1215=9,M$1&gt;YEAR($N1215))),9,_xlfn.IFNA(INDEX($D$2:$D$4001,_xlfn.XMATCH(M$1&amp;"-"&amp;$F1215,YEAR($B$2:$B$4001)&amp;"-"&amp;$A$2:$A$4001,0,-1)),L1215))</f>
        <v>3</v>
      </c>
      <c r="N1215" s="1">
        <f t="shared" si="18"/>
        <v>36675</v>
      </c>
    </row>
    <row r="1216" spans="1:14" x14ac:dyDescent="0.35">
      <c r="A1216">
        <v>588</v>
      </c>
      <c r="B1216" s="2">
        <v>37552</v>
      </c>
      <c r="C1216">
        <v>6</v>
      </c>
      <c r="D1216">
        <v>6</v>
      </c>
      <c r="F1216">
        <v>1215</v>
      </c>
      <c r="G1216" cm="1">
        <f t="array" ref="G1216">_xlfn.IFNA(INDEX($D$2:$D$4001,_xlfn.XMATCH(G$1&amp;"-"&amp;$F1216,YEAR($B$2:$B$4001)&amp;"-"&amp;$A$2:$A$4001,0,-1)),9)</f>
        <v>9</v>
      </c>
      <c r="H1216" cm="1">
        <f t="array" ref="H1216">IF(OR(AND(G1216=9,H$1&gt;YEAR($N1216))),9,_xlfn.IFNA(INDEX($D$2:$D$4001,_xlfn.XMATCH(H$1&amp;"-"&amp;$F1216,YEAR($B$2:$B$4001)&amp;"-"&amp;$A$2:$A$4001,0,-1)),G1216))</f>
        <v>9</v>
      </c>
      <c r="I1216" cm="1">
        <f t="array" ref="I1216">IF(OR(AND(H1216=9,I$1&gt;YEAR($N1216))),9,_xlfn.IFNA(INDEX($D$2:$D$4001,_xlfn.XMATCH(I$1&amp;"-"&amp;$F1216,YEAR($B$2:$B$4001)&amp;"-"&amp;$A$2:$A$4001,0,-1)),H1216))</f>
        <v>9</v>
      </c>
      <c r="J1216" cm="1">
        <f t="array" ref="J1216">IF(OR(AND(I1216=9,J$1&gt;YEAR($N1216))),9,_xlfn.IFNA(INDEX($D$2:$D$4001,_xlfn.XMATCH(J$1&amp;"-"&amp;$F1216,YEAR($B$2:$B$4001)&amp;"-"&amp;$A$2:$A$4001,0,-1)),I1216))</f>
        <v>9</v>
      </c>
      <c r="K1216" cm="1">
        <f t="array" ref="K1216">IF(OR(AND(J1216=9,K$1&gt;YEAR($N1216))),9,_xlfn.IFNA(INDEX($D$2:$D$4001,_xlfn.XMATCH(K$1&amp;"-"&amp;$F1216,YEAR($B$2:$B$4001)&amp;"-"&amp;$A$2:$A$4001,0,-1)),J1216))</f>
        <v>9</v>
      </c>
      <c r="L1216" cm="1">
        <f t="array" ref="L1216">IF(OR(AND(K1216=9,L$1&gt;YEAR($N1216))),9,_xlfn.IFNA(INDEX($D$2:$D$4001,_xlfn.XMATCH(L$1&amp;"-"&amp;$F1216,YEAR($B$2:$B$4001)&amp;"-"&amp;$A$2:$A$4001,0,-1)),K1216))</f>
        <v>5</v>
      </c>
      <c r="M1216" cm="1">
        <f t="array" ref="M1216">IF(OR(AND(L1216=9,M$1&gt;YEAR($N1216))),9,_xlfn.IFNA(INDEX($D$2:$D$4001,_xlfn.XMATCH(M$1&amp;"-"&amp;$F1216,YEAR($B$2:$B$4001)&amp;"-"&amp;$A$2:$A$4001,0,-1)),L1216))</f>
        <v>6</v>
      </c>
      <c r="N1216" s="1">
        <f t="shared" si="18"/>
        <v>38351</v>
      </c>
    </row>
    <row r="1217" spans="1:14" x14ac:dyDescent="0.35">
      <c r="A1217">
        <v>588</v>
      </c>
      <c r="B1217" s="2">
        <v>37793</v>
      </c>
      <c r="C1217">
        <v>7</v>
      </c>
      <c r="D1217">
        <v>7</v>
      </c>
      <c r="F1217">
        <v>1216</v>
      </c>
      <c r="G1217" cm="1">
        <f t="array" ref="G1217">_xlfn.IFNA(INDEX($D$2:$D$4001,_xlfn.XMATCH(G$1&amp;"-"&amp;$F1217,YEAR($B$2:$B$4001)&amp;"-"&amp;$A$2:$A$4001,0,-1)),9)</f>
        <v>9</v>
      </c>
      <c r="H1217" cm="1">
        <f t="array" ref="H1217">IF(OR(AND(G1217=9,H$1&gt;YEAR($N1217))),9,_xlfn.IFNA(INDEX($D$2:$D$4001,_xlfn.XMATCH(H$1&amp;"-"&amp;$F1217,YEAR($B$2:$B$4001)&amp;"-"&amp;$A$2:$A$4001,0,-1)),G1217))</f>
        <v>9</v>
      </c>
      <c r="I1217" cm="1">
        <f t="array" ref="I1217">IF(OR(AND(H1217=9,I$1&gt;YEAR($N1217))),9,_xlfn.IFNA(INDEX($D$2:$D$4001,_xlfn.XMATCH(I$1&amp;"-"&amp;$F1217,YEAR($B$2:$B$4001)&amp;"-"&amp;$A$2:$A$4001,0,-1)),H1217))</f>
        <v>9</v>
      </c>
      <c r="J1217" cm="1">
        <f t="array" ref="J1217">IF(OR(AND(I1217=9,J$1&gt;YEAR($N1217))),9,_xlfn.IFNA(INDEX($D$2:$D$4001,_xlfn.XMATCH(J$1&amp;"-"&amp;$F1217,YEAR($B$2:$B$4001)&amp;"-"&amp;$A$2:$A$4001,0,-1)),I1217))</f>
        <v>4</v>
      </c>
      <c r="K1217" cm="1">
        <f t="array" ref="K1217">IF(OR(AND(J1217=9,K$1&gt;YEAR($N1217))),9,_xlfn.IFNA(INDEX($D$2:$D$4001,_xlfn.XMATCH(K$1&amp;"-"&amp;$F1217,YEAR($B$2:$B$4001)&amp;"-"&amp;$A$2:$A$4001,0,-1)),J1217))</f>
        <v>4</v>
      </c>
      <c r="L1217" cm="1">
        <f t="array" ref="L1217">IF(OR(AND(K1217=9,L$1&gt;YEAR($N1217))),9,_xlfn.IFNA(INDEX($D$2:$D$4001,_xlfn.XMATCH(L$1&amp;"-"&amp;$F1217,YEAR($B$2:$B$4001)&amp;"-"&amp;$A$2:$A$4001,0,-1)),K1217))</f>
        <v>4</v>
      </c>
      <c r="M1217" cm="1">
        <f t="array" ref="M1217">IF(OR(AND(L1217=9,M$1&gt;YEAR($N1217))),9,_xlfn.IFNA(INDEX($D$2:$D$4001,_xlfn.XMATCH(M$1&amp;"-"&amp;$F1217,YEAR($B$2:$B$4001)&amp;"-"&amp;$A$2:$A$4001,0,-1)),L1217))</f>
        <v>4</v>
      </c>
      <c r="N1217" s="1">
        <f t="shared" si="18"/>
        <v>37529</v>
      </c>
    </row>
    <row r="1218" spans="1:14" x14ac:dyDescent="0.35">
      <c r="A1218">
        <v>588</v>
      </c>
      <c r="B1218" s="2">
        <v>38128</v>
      </c>
      <c r="C1218">
        <v>7</v>
      </c>
      <c r="D1218">
        <v>7</v>
      </c>
      <c r="F1218">
        <v>1217</v>
      </c>
      <c r="G1218" cm="1">
        <f t="array" ref="G1218">_xlfn.IFNA(INDEX($D$2:$D$4001,_xlfn.XMATCH(G$1&amp;"-"&amp;$F1218,YEAR($B$2:$B$4001)&amp;"-"&amp;$A$2:$A$4001,0,-1)),9)</f>
        <v>9</v>
      </c>
      <c r="H1218" cm="1">
        <f t="array" ref="H1218">IF(OR(AND(G1218=9,H$1&gt;YEAR($N1218))),9,_xlfn.IFNA(INDEX($D$2:$D$4001,_xlfn.XMATCH(H$1&amp;"-"&amp;$F1218,YEAR($B$2:$B$4001)&amp;"-"&amp;$A$2:$A$4001,0,-1)),G1218))</f>
        <v>8</v>
      </c>
      <c r="I1218" cm="1">
        <f t="array" ref="I1218">IF(OR(AND(H1218=9,I$1&gt;YEAR($N1218))),9,_xlfn.IFNA(INDEX($D$2:$D$4001,_xlfn.XMATCH(I$1&amp;"-"&amp;$F1218,YEAR($B$2:$B$4001)&amp;"-"&amp;$A$2:$A$4001,0,-1)),H1218))</f>
        <v>8</v>
      </c>
      <c r="J1218" cm="1">
        <f t="array" ref="J1218">IF(OR(AND(I1218=9,J$1&gt;YEAR($N1218))),9,_xlfn.IFNA(INDEX($D$2:$D$4001,_xlfn.XMATCH(J$1&amp;"-"&amp;$F1218,YEAR($B$2:$B$4001)&amp;"-"&amp;$A$2:$A$4001,0,-1)),I1218))</f>
        <v>8</v>
      </c>
      <c r="K1218" cm="1">
        <f t="array" ref="K1218">IF(OR(AND(J1218=9,K$1&gt;YEAR($N1218))),9,_xlfn.IFNA(INDEX($D$2:$D$4001,_xlfn.XMATCH(K$1&amp;"-"&amp;$F1218,YEAR($B$2:$B$4001)&amp;"-"&amp;$A$2:$A$4001,0,-1)),J1218))</f>
        <v>8</v>
      </c>
      <c r="L1218" cm="1">
        <f t="array" ref="L1218">IF(OR(AND(K1218=9,L$1&gt;YEAR($N1218))),9,_xlfn.IFNA(INDEX($D$2:$D$4001,_xlfn.XMATCH(L$1&amp;"-"&amp;$F1218,YEAR($B$2:$B$4001)&amp;"-"&amp;$A$2:$A$4001,0,-1)),K1218))</f>
        <v>8</v>
      </c>
      <c r="M1218" cm="1">
        <f t="array" ref="M1218">IF(OR(AND(L1218=9,M$1&gt;YEAR($N1218))),9,_xlfn.IFNA(INDEX($D$2:$D$4001,_xlfn.XMATCH(M$1&amp;"-"&amp;$F1218,YEAR($B$2:$B$4001)&amp;"-"&amp;$A$2:$A$4001,0,-1)),L1218))</f>
        <v>8</v>
      </c>
      <c r="N1218" s="1">
        <f t="shared" si="18"/>
        <v>36667</v>
      </c>
    </row>
    <row r="1219" spans="1:14" x14ac:dyDescent="0.35">
      <c r="A1219">
        <v>589</v>
      </c>
      <c r="B1219" s="2">
        <v>36890</v>
      </c>
      <c r="C1219">
        <v>5</v>
      </c>
      <c r="D1219">
        <v>5</v>
      </c>
      <c r="F1219">
        <v>1218</v>
      </c>
      <c r="G1219" cm="1">
        <f t="array" ref="G1219">_xlfn.IFNA(INDEX($D$2:$D$4001,_xlfn.XMATCH(G$1&amp;"-"&amp;$F1219,YEAR($B$2:$B$4001)&amp;"-"&amp;$A$2:$A$4001,0,-1)),9)</f>
        <v>9</v>
      </c>
      <c r="H1219" cm="1">
        <f t="array" ref="H1219">IF(OR(AND(G1219=9,H$1&gt;YEAR($N1219))),9,_xlfn.IFNA(INDEX($D$2:$D$4001,_xlfn.XMATCH(H$1&amp;"-"&amp;$F1219,YEAR($B$2:$B$4001)&amp;"-"&amp;$A$2:$A$4001,0,-1)),G1219))</f>
        <v>9</v>
      </c>
      <c r="I1219" cm="1">
        <f t="array" ref="I1219">IF(OR(AND(H1219=9,I$1&gt;YEAR($N1219))),9,_xlfn.IFNA(INDEX($D$2:$D$4001,_xlfn.XMATCH(I$1&amp;"-"&amp;$F1219,YEAR($B$2:$B$4001)&amp;"-"&amp;$A$2:$A$4001,0,-1)),H1219))</f>
        <v>0</v>
      </c>
      <c r="J1219" cm="1">
        <f t="array" ref="J1219">IF(OR(AND(I1219=9,J$1&gt;YEAR($N1219))),9,_xlfn.IFNA(INDEX($D$2:$D$4001,_xlfn.XMATCH(J$1&amp;"-"&amp;$F1219,YEAR($B$2:$B$4001)&amp;"-"&amp;$A$2:$A$4001,0,-1)),I1219))</f>
        <v>0</v>
      </c>
      <c r="K1219" cm="1">
        <f t="array" ref="K1219">IF(OR(AND(J1219=9,K$1&gt;YEAR($N1219))),9,_xlfn.IFNA(INDEX($D$2:$D$4001,_xlfn.XMATCH(K$1&amp;"-"&amp;$F1219,YEAR($B$2:$B$4001)&amp;"-"&amp;$A$2:$A$4001,0,-1)),J1219))</f>
        <v>0</v>
      </c>
      <c r="L1219" cm="1">
        <f t="array" ref="L1219">IF(OR(AND(K1219=9,L$1&gt;YEAR($N1219))),9,_xlfn.IFNA(INDEX($D$2:$D$4001,_xlfn.XMATCH(L$1&amp;"-"&amp;$F1219,YEAR($B$2:$B$4001)&amp;"-"&amp;$A$2:$A$4001,0,-1)),K1219))</f>
        <v>0</v>
      </c>
      <c r="M1219" cm="1">
        <f t="array" ref="M1219">IF(OR(AND(L1219=9,M$1&gt;YEAR($N1219))),9,_xlfn.IFNA(INDEX($D$2:$D$4001,_xlfn.XMATCH(M$1&amp;"-"&amp;$F1219,YEAR($B$2:$B$4001)&amp;"-"&amp;$A$2:$A$4001,0,-1)),L1219))</f>
        <v>0</v>
      </c>
      <c r="N1219" s="1">
        <f t="shared" ref="N1219:N1282" si="19">_xlfn.MINIFS($B$2:$B$4001,$A$2:$A$4001,F1219)</f>
        <v>37032</v>
      </c>
    </row>
    <row r="1220" spans="1:14" x14ac:dyDescent="0.35">
      <c r="A1220">
        <v>590</v>
      </c>
      <c r="B1220" s="2">
        <v>37762</v>
      </c>
      <c r="C1220">
        <v>5</v>
      </c>
      <c r="D1220">
        <v>5</v>
      </c>
      <c r="F1220">
        <v>1219</v>
      </c>
      <c r="G1220" cm="1">
        <f t="array" ref="G1220">_xlfn.IFNA(INDEX($D$2:$D$4001,_xlfn.XMATCH(G$1&amp;"-"&amp;$F1220,YEAR($B$2:$B$4001)&amp;"-"&amp;$A$2:$A$4001,0,-1)),9)</f>
        <v>7</v>
      </c>
      <c r="H1220" cm="1">
        <f t="array" ref="H1220">IF(OR(AND(G1220=9,H$1&gt;YEAR($N1220))),9,_xlfn.IFNA(INDEX($D$2:$D$4001,_xlfn.XMATCH(H$1&amp;"-"&amp;$F1220,YEAR($B$2:$B$4001)&amp;"-"&amp;$A$2:$A$4001,0,-1)),G1220))</f>
        <v>0</v>
      </c>
      <c r="I1220" cm="1">
        <f t="array" ref="I1220">IF(OR(AND(H1220=9,I$1&gt;YEAR($N1220))),9,_xlfn.IFNA(INDEX($D$2:$D$4001,_xlfn.XMATCH(I$1&amp;"-"&amp;$F1220,YEAR($B$2:$B$4001)&amp;"-"&amp;$A$2:$A$4001,0,-1)),H1220))</f>
        <v>0</v>
      </c>
      <c r="J1220" cm="1">
        <f t="array" ref="J1220">IF(OR(AND(I1220=9,J$1&gt;YEAR($N1220))),9,_xlfn.IFNA(INDEX($D$2:$D$4001,_xlfn.XMATCH(J$1&amp;"-"&amp;$F1220,YEAR($B$2:$B$4001)&amp;"-"&amp;$A$2:$A$4001,0,-1)),I1220))</f>
        <v>0</v>
      </c>
      <c r="K1220" cm="1">
        <f t="array" ref="K1220">IF(OR(AND(J1220=9,K$1&gt;YEAR($N1220))),9,_xlfn.IFNA(INDEX($D$2:$D$4001,_xlfn.XMATCH(K$1&amp;"-"&amp;$F1220,YEAR($B$2:$B$4001)&amp;"-"&amp;$A$2:$A$4001,0,-1)),J1220))</f>
        <v>0</v>
      </c>
      <c r="L1220" cm="1">
        <f t="array" ref="L1220">IF(OR(AND(K1220=9,L$1&gt;YEAR($N1220))),9,_xlfn.IFNA(INDEX($D$2:$D$4001,_xlfn.XMATCH(L$1&amp;"-"&amp;$F1220,YEAR($B$2:$B$4001)&amp;"-"&amp;$A$2:$A$4001,0,-1)),K1220))</f>
        <v>0</v>
      </c>
      <c r="M1220" cm="1">
        <f t="array" ref="M1220">IF(OR(AND(L1220=9,M$1&gt;YEAR($N1220))),9,_xlfn.IFNA(INDEX($D$2:$D$4001,_xlfn.XMATCH(M$1&amp;"-"&amp;$F1220,YEAR($B$2:$B$4001)&amp;"-"&amp;$A$2:$A$4001,0,-1)),L1220))</f>
        <v>0</v>
      </c>
      <c r="N1220" s="1">
        <f t="shared" si="19"/>
        <v>36433</v>
      </c>
    </row>
    <row r="1221" spans="1:14" x14ac:dyDescent="0.35">
      <c r="A1221">
        <v>590</v>
      </c>
      <c r="B1221" s="2">
        <v>38351</v>
      </c>
      <c r="C1221">
        <v>5</v>
      </c>
      <c r="D1221">
        <v>5</v>
      </c>
      <c r="F1221">
        <v>1220</v>
      </c>
      <c r="G1221" cm="1">
        <f t="array" ref="G1221">_xlfn.IFNA(INDEX($D$2:$D$4001,_xlfn.XMATCH(G$1&amp;"-"&amp;$F1221,YEAR($B$2:$B$4001)&amp;"-"&amp;$A$2:$A$4001,0,-1)),9)</f>
        <v>9</v>
      </c>
      <c r="H1221" cm="1">
        <f t="array" ref="H1221">IF(OR(AND(G1221=9,H$1&gt;YEAR($N1221))),9,_xlfn.IFNA(INDEX($D$2:$D$4001,_xlfn.XMATCH(H$1&amp;"-"&amp;$F1221,YEAR($B$2:$B$4001)&amp;"-"&amp;$A$2:$A$4001,0,-1)),G1221))</f>
        <v>3</v>
      </c>
      <c r="I1221" cm="1">
        <f t="array" ref="I1221">IF(OR(AND(H1221=9,I$1&gt;YEAR($N1221))),9,_xlfn.IFNA(INDEX($D$2:$D$4001,_xlfn.XMATCH(I$1&amp;"-"&amp;$F1221,YEAR($B$2:$B$4001)&amp;"-"&amp;$A$2:$A$4001,0,-1)),H1221))</f>
        <v>3</v>
      </c>
      <c r="J1221" cm="1">
        <f t="array" ref="J1221">IF(OR(AND(I1221=9,J$1&gt;YEAR($N1221))),9,_xlfn.IFNA(INDEX($D$2:$D$4001,_xlfn.XMATCH(J$1&amp;"-"&amp;$F1221,YEAR($B$2:$B$4001)&amp;"-"&amp;$A$2:$A$4001,0,-1)),I1221))</f>
        <v>3</v>
      </c>
      <c r="K1221" cm="1">
        <f t="array" ref="K1221">IF(OR(AND(J1221=9,K$1&gt;YEAR($N1221))),9,_xlfn.IFNA(INDEX($D$2:$D$4001,_xlfn.XMATCH(K$1&amp;"-"&amp;$F1221,YEAR($B$2:$B$4001)&amp;"-"&amp;$A$2:$A$4001,0,-1)),J1221))</f>
        <v>3</v>
      </c>
      <c r="L1221" cm="1">
        <f t="array" ref="L1221">IF(OR(AND(K1221=9,L$1&gt;YEAR($N1221))),9,_xlfn.IFNA(INDEX($D$2:$D$4001,_xlfn.XMATCH(L$1&amp;"-"&amp;$F1221,YEAR($B$2:$B$4001)&amp;"-"&amp;$A$2:$A$4001,0,-1)),K1221))</f>
        <v>3</v>
      </c>
      <c r="M1221" cm="1">
        <f t="array" ref="M1221">IF(OR(AND(L1221=9,M$1&gt;YEAR($N1221))),9,_xlfn.IFNA(INDEX($D$2:$D$4001,_xlfn.XMATCH(M$1&amp;"-"&amp;$F1221,YEAR($B$2:$B$4001)&amp;"-"&amp;$A$2:$A$4001,0,-1)),L1221))</f>
        <v>3</v>
      </c>
      <c r="N1221" s="1">
        <f t="shared" si="19"/>
        <v>36667</v>
      </c>
    </row>
    <row r="1222" spans="1:14" x14ac:dyDescent="0.35">
      <c r="A1222">
        <v>591</v>
      </c>
      <c r="B1222" s="2">
        <v>37071</v>
      </c>
      <c r="C1222">
        <v>2</v>
      </c>
      <c r="D1222">
        <v>2</v>
      </c>
      <c r="F1222">
        <v>1221</v>
      </c>
      <c r="G1222" cm="1">
        <f t="array" ref="G1222">_xlfn.IFNA(INDEX($D$2:$D$4001,_xlfn.XMATCH(G$1&amp;"-"&amp;$F1222,YEAR($B$2:$B$4001)&amp;"-"&amp;$A$2:$A$4001,0,-1)),9)</f>
        <v>9</v>
      </c>
      <c r="H1222" cm="1">
        <f t="array" ref="H1222">IF(OR(AND(G1222=9,H$1&gt;YEAR($N1222))),9,_xlfn.IFNA(INDEX($D$2:$D$4001,_xlfn.XMATCH(H$1&amp;"-"&amp;$F1222,YEAR($B$2:$B$4001)&amp;"-"&amp;$A$2:$A$4001,0,-1)),G1222))</f>
        <v>2</v>
      </c>
      <c r="I1222" cm="1">
        <f t="array" ref="I1222">IF(OR(AND(H1222=9,I$1&gt;YEAR($N1222))),9,_xlfn.IFNA(INDEX($D$2:$D$4001,_xlfn.XMATCH(I$1&amp;"-"&amp;$F1222,YEAR($B$2:$B$4001)&amp;"-"&amp;$A$2:$A$4001,0,-1)),H1222))</f>
        <v>2</v>
      </c>
      <c r="J1222" cm="1">
        <f t="array" ref="J1222">IF(OR(AND(I1222=9,J$1&gt;YEAR($N1222))),9,_xlfn.IFNA(INDEX($D$2:$D$4001,_xlfn.XMATCH(J$1&amp;"-"&amp;$F1222,YEAR($B$2:$B$4001)&amp;"-"&amp;$A$2:$A$4001,0,-1)),I1222))</f>
        <v>2</v>
      </c>
      <c r="K1222" cm="1">
        <f t="array" ref="K1222">IF(OR(AND(J1222=9,K$1&gt;YEAR($N1222))),9,_xlfn.IFNA(INDEX($D$2:$D$4001,_xlfn.XMATCH(K$1&amp;"-"&amp;$F1222,YEAR($B$2:$B$4001)&amp;"-"&amp;$A$2:$A$4001,0,-1)),J1222))</f>
        <v>2</v>
      </c>
      <c r="L1222" cm="1">
        <f t="array" ref="L1222">IF(OR(AND(K1222=9,L$1&gt;YEAR($N1222))),9,_xlfn.IFNA(INDEX($D$2:$D$4001,_xlfn.XMATCH(L$1&amp;"-"&amp;$F1222,YEAR($B$2:$B$4001)&amp;"-"&amp;$A$2:$A$4001,0,-1)),K1222))</f>
        <v>2</v>
      </c>
      <c r="M1222" cm="1">
        <f t="array" ref="M1222">IF(OR(AND(L1222=9,M$1&gt;YEAR($N1222))),9,_xlfn.IFNA(INDEX($D$2:$D$4001,_xlfn.XMATCH(M$1&amp;"-"&amp;$F1222,YEAR($B$2:$B$4001)&amp;"-"&amp;$A$2:$A$4001,0,-1)),L1222))</f>
        <v>2</v>
      </c>
      <c r="N1222" s="1">
        <f t="shared" si="19"/>
        <v>36676</v>
      </c>
    </row>
    <row r="1223" spans="1:14" x14ac:dyDescent="0.35">
      <c r="A1223">
        <v>592</v>
      </c>
      <c r="B1223" s="2">
        <v>36310</v>
      </c>
      <c r="C1223">
        <v>4</v>
      </c>
      <c r="D1223">
        <v>4</v>
      </c>
      <c r="F1223">
        <v>1222</v>
      </c>
      <c r="G1223" cm="1">
        <f t="array" ref="G1223">_xlfn.IFNA(INDEX($D$2:$D$4001,_xlfn.XMATCH(G$1&amp;"-"&amp;$F1223,YEAR($B$2:$B$4001)&amp;"-"&amp;$A$2:$A$4001,0,-1)),9)</f>
        <v>9</v>
      </c>
      <c r="H1223" cm="1">
        <f t="array" ref="H1223">IF(OR(AND(G1223=9,H$1&gt;YEAR($N1223))),9,_xlfn.IFNA(INDEX($D$2:$D$4001,_xlfn.XMATCH(H$1&amp;"-"&amp;$F1223,YEAR($B$2:$B$4001)&amp;"-"&amp;$A$2:$A$4001,0,-1)),G1223))</f>
        <v>3</v>
      </c>
      <c r="I1223" cm="1">
        <f t="array" ref="I1223">IF(OR(AND(H1223=9,I$1&gt;YEAR($N1223))),9,_xlfn.IFNA(INDEX($D$2:$D$4001,_xlfn.XMATCH(I$1&amp;"-"&amp;$F1223,YEAR($B$2:$B$4001)&amp;"-"&amp;$A$2:$A$4001,0,-1)),H1223))</f>
        <v>3</v>
      </c>
      <c r="J1223" cm="1">
        <f t="array" ref="J1223">IF(OR(AND(I1223=9,J$1&gt;YEAR($N1223))),9,_xlfn.IFNA(INDEX($D$2:$D$4001,_xlfn.XMATCH(J$1&amp;"-"&amp;$F1223,YEAR($B$2:$B$4001)&amp;"-"&amp;$A$2:$A$4001,0,-1)),I1223))</f>
        <v>3</v>
      </c>
      <c r="K1223" cm="1">
        <f t="array" ref="K1223">IF(OR(AND(J1223=9,K$1&gt;YEAR($N1223))),9,_xlfn.IFNA(INDEX($D$2:$D$4001,_xlfn.XMATCH(K$1&amp;"-"&amp;$F1223,YEAR($B$2:$B$4001)&amp;"-"&amp;$A$2:$A$4001,0,-1)),J1223))</f>
        <v>3</v>
      </c>
      <c r="L1223" cm="1">
        <f t="array" ref="L1223">IF(OR(AND(K1223=9,L$1&gt;YEAR($N1223))),9,_xlfn.IFNA(INDEX($D$2:$D$4001,_xlfn.XMATCH(L$1&amp;"-"&amp;$F1223,YEAR($B$2:$B$4001)&amp;"-"&amp;$A$2:$A$4001,0,-1)),K1223))</f>
        <v>3</v>
      </c>
      <c r="M1223" cm="1">
        <f t="array" ref="M1223">IF(OR(AND(L1223=9,M$1&gt;YEAR($N1223))),9,_xlfn.IFNA(INDEX($D$2:$D$4001,_xlfn.XMATCH(M$1&amp;"-"&amp;$F1223,YEAR($B$2:$B$4001)&amp;"-"&amp;$A$2:$A$4001,0,-1)),L1223))</f>
        <v>3</v>
      </c>
      <c r="N1223" s="1">
        <f t="shared" si="19"/>
        <v>36667</v>
      </c>
    </row>
    <row r="1224" spans="1:14" x14ac:dyDescent="0.35">
      <c r="A1224">
        <v>592</v>
      </c>
      <c r="B1224" s="2">
        <v>37255</v>
      </c>
      <c r="C1224">
        <v>4</v>
      </c>
      <c r="D1224">
        <v>4</v>
      </c>
      <c r="F1224">
        <v>1223</v>
      </c>
      <c r="G1224" cm="1">
        <f t="array" ref="G1224">_xlfn.IFNA(INDEX($D$2:$D$4001,_xlfn.XMATCH(G$1&amp;"-"&amp;$F1224,YEAR($B$2:$B$4001)&amp;"-"&amp;$A$2:$A$4001,0,-1)),9)</f>
        <v>9</v>
      </c>
      <c r="H1224" cm="1">
        <f t="array" ref="H1224">IF(OR(AND(G1224=9,H$1&gt;YEAR($N1224))),9,_xlfn.IFNA(INDEX($D$2:$D$4001,_xlfn.XMATCH(H$1&amp;"-"&amp;$F1224,YEAR($B$2:$B$4001)&amp;"-"&amp;$A$2:$A$4001,0,-1)),G1224))</f>
        <v>9</v>
      </c>
      <c r="I1224" cm="1">
        <f t="array" ref="I1224">IF(OR(AND(H1224=9,I$1&gt;YEAR($N1224))),9,_xlfn.IFNA(INDEX($D$2:$D$4001,_xlfn.XMATCH(I$1&amp;"-"&amp;$F1224,YEAR($B$2:$B$4001)&amp;"-"&amp;$A$2:$A$4001,0,-1)),H1224))</f>
        <v>3</v>
      </c>
      <c r="J1224" cm="1">
        <f t="array" ref="J1224">IF(OR(AND(I1224=9,J$1&gt;YEAR($N1224))),9,_xlfn.IFNA(INDEX($D$2:$D$4001,_xlfn.XMATCH(J$1&amp;"-"&amp;$F1224,YEAR($B$2:$B$4001)&amp;"-"&amp;$A$2:$A$4001,0,-1)),I1224))</f>
        <v>3</v>
      </c>
      <c r="K1224" cm="1">
        <f t="array" ref="K1224">IF(OR(AND(J1224=9,K$1&gt;YEAR($N1224))),9,_xlfn.IFNA(INDEX($D$2:$D$4001,_xlfn.XMATCH(K$1&amp;"-"&amp;$F1224,YEAR($B$2:$B$4001)&amp;"-"&amp;$A$2:$A$4001,0,-1)),J1224))</f>
        <v>3</v>
      </c>
      <c r="L1224" cm="1">
        <f t="array" ref="L1224">IF(OR(AND(K1224=9,L$1&gt;YEAR($N1224))),9,_xlfn.IFNA(INDEX($D$2:$D$4001,_xlfn.XMATCH(L$1&amp;"-"&amp;$F1224,YEAR($B$2:$B$4001)&amp;"-"&amp;$A$2:$A$4001,0,-1)),K1224))</f>
        <v>3</v>
      </c>
      <c r="M1224" cm="1">
        <f t="array" ref="M1224">IF(OR(AND(L1224=9,M$1&gt;YEAR($N1224))),9,_xlfn.IFNA(INDEX($D$2:$D$4001,_xlfn.XMATCH(M$1&amp;"-"&amp;$F1224,YEAR($B$2:$B$4001)&amp;"-"&amp;$A$2:$A$4001,0,-1)),L1224))</f>
        <v>3</v>
      </c>
      <c r="N1224" s="1">
        <f t="shared" si="19"/>
        <v>37102</v>
      </c>
    </row>
    <row r="1225" spans="1:14" x14ac:dyDescent="0.35">
      <c r="A1225">
        <v>592</v>
      </c>
      <c r="B1225" s="2">
        <v>38136</v>
      </c>
      <c r="C1225">
        <v>0</v>
      </c>
      <c r="D1225">
        <v>0</v>
      </c>
      <c r="F1225">
        <v>1224</v>
      </c>
      <c r="G1225" cm="1">
        <f t="array" ref="G1225">_xlfn.IFNA(INDEX($D$2:$D$4001,_xlfn.XMATCH(G$1&amp;"-"&amp;$F1225,YEAR($B$2:$B$4001)&amp;"-"&amp;$A$2:$A$4001,0,-1)),9)</f>
        <v>9</v>
      </c>
      <c r="H1225" cm="1">
        <f t="array" ref="H1225">IF(OR(AND(G1225=9,H$1&gt;YEAR($N1225))),9,_xlfn.IFNA(INDEX($D$2:$D$4001,_xlfn.XMATCH(H$1&amp;"-"&amp;$F1225,YEAR($B$2:$B$4001)&amp;"-"&amp;$A$2:$A$4001,0,-1)),G1225))</f>
        <v>9</v>
      </c>
      <c r="I1225" cm="1">
        <f t="array" ref="I1225">IF(OR(AND(H1225=9,I$1&gt;YEAR($N1225))),9,_xlfn.IFNA(INDEX($D$2:$D$4001,_xlfn.XMATCH(I$1&amp;"-"&amp;$F1225,YEAR($B$2:$B$4001)&amp;"-"&amp;$A$2:$A$4001,0,-1)),H1225))</f>
        <v>9</v>
      </c>
      <c r="J1225" cm="1">
        <f t="array" ref="J1225">IF(OR(AND(I1225=9,J$1&gt;YEAR($N1225))),9,_xlfn.IFNA(INDEX($D$2:$D$4001,_xlfn.XMATCH(J$1&amp;"-"&amp;$F1225,YEAR($B$2:$B$4001)&amp;"-"&amp;$A$2:$A$4001,0,-1)),I1225))</f>
        <v>2</v>
      </c>
      <c r="K1225" cm="1">
        <f t="array" ref="K1225">IF(OR(AND(J1225=9,K$1&gt;YEAR($N1225))),9,_xlfn.IFNA(INDEX($D$2:$D$4001,_xlfn.XMATCH(K$1&amp;"-"&amp;$F1225,YEAR($B$2:$B$4001)&amp;"-"&amp;$A$2:$A$4001,0,-1)),J1225))</f>
        <v>2</v>
      </c>
      <c r="L1225" cm="1">
        <f t="array" ref="L1225">IF(OR(AND(K1225=9,L$1&gt;YEAR($N1225))),9,_xlfn.IFNA(INDEX($D$2:$D$4001,_xlfn.XMATCH(L$1&amp;"-"&amp;$F1225,YEAR($B$2:$B$4001)&amp;"-"&amp;$A$2:$A$4001,0,-1)),K1225))</f>
        <v>2</v>
      </c>
      <c r="M1225" cm="1">
        <f t="array" ref="M1225">IF(OR(AND(L1225=9,M$1&gt;YEAR($N1225))),9,_xlfn.IFNA(INDEX($D$2:$D$4001,_xlfn.XMATCH(M$1&amp;"-"&amp;$F1225,YEAR($B$2:$B$4001)&amp;"-"&amp;$A$2:$A$4001,0,-1)),L1225))</f>
        <v>2</v>
      </c>
      <c r="N1225" s="1">
        <f t="shared" si="19"/>
        <v>37397</v>
      </c>
    </row>
    <row r="1226" spans="1:14" x14ac:dyDescent="0.35">
      <c r="A1226">
        <v>593</v>
      </c>
      <c r="B1226" s="2">
        <v>36524</v>
      </c>
      <c r="C1226">
        <v>4</v>
      </c>
      <c r="D1226">
        <v>4</v>
      </c>
      <c r="F1226">
        <v>1225</v>
      </c>
      <c r="G1226" cm="1">
        <f t="array" ref="G1226">_xlfn.IFNA(INDEX($D$2:$D$4001,_xlfn.XMATCH(G$1&amp;"-"&amp;$F1226,YEAR($B$2:$B$4001)&amp;"-"&amp;$A$2:$A$4001,0,-1)),9)</f>
        <v>9</v>
      </c>
      <c r="H1226" cm="1">
        <f t="array" ref="H1226">IF(OR(AND(G1226=9,H$1&gt;YEAR($N1226))),9,_xlfn.IFNA(INDEX($D$2:$D$4001,_xlfn.XMATCH(H$1&amp;"-"&amp;$F1226,YEAR($B$2:$B$4001)&amp;"-"&amp;$A$2:$A$4001,0,-1)),G1226))</f>
        <v>9</v>
      </c>
      <c r="I1226" cm="1">
        <f t="array" ref="I1226">IF(OR(AND(H1226=9,I$1&gt;YEAR($N1226))),9,_xlfn.IFNA(INDEX($D$2:$D$4001,_xlfn.XMATCH(I$1&amp;"-"&amp;$F1226,YEAR($B$2:$B$4001)&amp;"-"&amp;$A$2:$A$4001,0,-1)),H1226))</f>
        <v>9</v>
      </c>
      <c r="J1226" cm="1">
        <f t="array" ref="J1226">IF(OR(AND(I1226=9,J$1&gt;YEAR($N1226))),9,_xlfn.IFNA(INDEX($D$2:$D$4001,_xlfn.XMATCH(J$1&amp;"-"&amp;$F1226,YEAR($B$2:$B$4001)&amp;"-"&amp;$A$2:$A$4001,0,-1)),I1226))</f>
        <v>9</v>
      </c>
      <c r="K1226" cm="1">
        <f t="array" ref="K1226">IF(OR(AND(J1226=9,K$1&gt;YEAR($N1226))),9,_xlfn.IFNA(INDEX($D$2:$D$4001,_xlfn.XMATCH(K$1&amp;"-"&amp;$F1226,YEAR($B$2:$B$4001)&amp;"-"&amp;$A$2:$A$4001,0,-1)),J1226))</f>
        <v>3</v>
      </c>
      <c r="L1226" cm="1">
        <f t="array" ref="L1226">IF(OR(AND(K1226=9,L$1&gt;YEAR($N1226))),9,_xlfn.IFNA(INDEX($D$2:$D$4001,_xlfn.XMATCH(L$1&amp;"-"&amp;$F1226,YEAR($B$2:$B$4001)&amp;"-"&amp;$A$2:$A$4001,0,-1)),K1226))</f>
        <v>3</v>
      </c>
      <c r="M1226" cm="1">
        <f t="array" ref="M1226">IF(OR(AND(L1226=9,M$1&gt;YEAR($N1226))),9,_xlfn.IFNA(INDEX($D$2:$D$4001,_xlfn.XMATCH(M$1&amp;"-"&amp;$F1226,YEAR($B$2:$B$4001)&amp;"-"&amp;$A$2:$A$4001,0,-1)),L1226))</f>
        <v>3</v>
      </c>
      <c r="N1226" s="1">
        <f t="shared" si="19"/>
        <v>37985</v>
      </c>
    </row>
    <row r="1227" spans="1:14" x14ac:dyDescent="0.35">
      <c r="A1227">
        <v>593</v>
      </c>
      <c r="B1227" s="2">
        <v>37406</v>
      </c>
      <c r="C1227">
        <v>4</v>
      </c>
      <c r="D1227">
        <v>4</v>
      </c>
      <c r="F1227">
        <v>1226</v>
      </c>
      <c r="G1227" cm="1">
        <f t="array" ref="G1227">_xlfn.IFNA(INDEX($D$2:$D$4001,_xlfn.XMATCH(G$1&amp;"-"&amp;$F1227,YEAR($B$2:$B$4001)&amp;"-"&amp;$A$2:$A$4001,0,-1)),9)</f>
        <v>9</v>
      </c>
      <c r="H1227" cm="1">
        <f t="array" ref="H1227">IF(OR(AND(G1227=9,H$1&gt;YEAR($N1227))),9,_xlfn.IFNA(INDEX($D$2:$D$4001,_xlfn.XMATCH(H$1&amp;"-"&amp;$F1227,YEAR($B$2:$B$4001)&amp;"-"&amp;$A$2:$A$4001,0,-1)),G1227))</f>
        <v>4</v>
      </c>
      <c r="I1227" cm="1">
        <f t="array" ref="I1227">IF(OR(AND(H1227=9,I$1&gt;YEAR($N1227))),9,_xlfn.IFNA(INDEX($D$2:$D$4001,_xlfn.XMATCH(I$1&amp;"-"&amp;$F1227,YEAR($B$2:$B$4001)&amp;"-"&amp;$A$2:$A$4001,0,-1)),H1227))</f>
        <v>4</v>
      </c>
      <c r="J1227" cm="1">
        <f t="array" ref="J1227">IF(OR(AND(I1227=9,J$1&gt;YEAR($N1227))),9,_xlfn.IFNA(INDEX($D$2:$D$4001,_xlfn.XMATCH(J$1&amp;"-"&amp;$F1227,YEAR($B$2:$B$4001)&amp;"-"&amp;$A$2:$A$4001,0,-1)),I1227))</f>
        <v>5</v>
      </c>
      <c r="K1227" cm="1">
        <f t="array" ref="K1227">IF(OR(AND(J1227=9,K$1&gt;YEAR($N1227))),9,_xlfn.IFNA(INDEX($D$2:$D$4001,_xlfn.XMATCH(K$1&amp;"-"&amp;$F1227,YEAR($B$2:$B$4001)&amp;"-"&amp;$A$2:$A$4001,0,-1)),J1227))</f>
        <v>6</v>
      </c>
      <c r="L1227" cm="1">
        <f t="array" ref="L1227">IF(OR(AND(K1227=9,L$1&gt;YEAR($N1227))),9,_xlfn.IFNA(INDEX($D$2:$D$4001,_xlfn.XMATCH(L$1&amp;"-"&amp;$F1227,YEAR($B$2:$B$4001)&amp;"-"&amp;$A$2:$A$4001,0,-1)),K1227))</f>
        <v>6</v>
      </c>
      <c r="M1227" cm="1">
        <f t="array" ref="M1227">IF(OR(AND(L1227=9,M$1&gt;YEAR($N1227))),9,_xlfn.IFNA(INDEX($D$2:$D$4001,_xlfn.XMATCH(M$1&amp;"-"&amp;$F1227,YEAR($B$2:$B$4001)&amp;"-"&amp;$A$2:$A$4001,0,-1)),L1227))</f>
        <v>6</v>
      </c>
      <c r="N1227" s="1">
        <f t="shared" si="19"/>
        <v>36728</v>
      </c>
    </row>
    <row r="1228" spans="1:14" x14ac:dyDescent="0.35">
      <c r="A1228">
        <v>593</v>
      </c>
      <c r="B1228" s="2">
        <v>37550</v>
      </c>
      <c r="C1228">
        <v>7</v>
      </c>
      <c r="D1228">
        <v>7</v>
      </c>
      <c r="F1228">
        <v>1227</v>
      </c>
      <c r="G1228" cm="1">
        <f t="array" ref="G1228">_xlfn.IFNA(INDEX($D$2:$D$4001,_xlfn.XMATCH(G$1&amp;"-"&amp;$F1228,YEAR($B$2:$B$4001)&amp;"-"&amp;$A$2:$A$4001,0,-1)),9)</f>
        <v>9</v>
      </c>
      <c r="H1228" cm="1">
        <f t="array" ref="H1228">IF(OR(AND(G1228=9,H$1&gt;YEAR($N1228))),9,_xlfn.IFNA(INDEX($D$2:$D$4001,_xlfn.XMATCH(H$1&amp;"-"&amp;$F1228,YEAR($B$2:$B$4001)&amp;"-"&amp;$A$2:$A$4001,0,-1)),G1228))</f>
        <v>4</v>
      </c>
      <c r="I1228" cm="1">
        <f t="array" ref="I1228">IF(OR(AND(H1228=9,I$1&gt;YEAR($N1228))),9,_xlfn.IFNA(INDEX($D$2:$D$4001,_xlfn.XMATCH(I$1&amp;"-"&amp;$F1228,YEAR($B$2:$B$4001)&amp;"-"&amp;$A$2:$A$4001,0,-1)),H1228))</f>
        <v>5</v>
      </c>
      <c r="J1228" cm="1">
        <f t="array" ref="J1228">IF(OR(AND(I1228=9,J$1&gt;YEAR($N1228))),9,_xlfn.IFNA(INDEX($D$2:$D$4001,_xlfn.XMATCH(J$1&amp;"-"&amp;$F1228,YEAR($B$2:$B$4001)&amp;"-"&amp;$A$2:$A$4001,0,-1)),I1228))</f>
        <v>5</v>
      </c>
      <c r="K1228" cm="1">
        <f t="array" ref="K1228">IF(OR(AND(J1228=9,K$1&gt;YEAR($N1228))),9,_xlfn.IFNA(INDEX($D$2:$D$4001,_xlfn.XMATCH(K$1&amp;"-"&amp;$F1228,YEAR($B$2:$B$4001)&amp;"-"&amp;$A$2:$A$4001,0,-1)),J1228))</f>
        <v>0</v>
      </c>
      <c r="L1228" cm="1">
        <f t="array" ref="L1228">IF(OR(AND(K1228=9,L$1&gt;YEAR($N1228))),9,_xlfn.IFNA(INDEX($D$2:$D$4001,_xlfn.XMATCH(L$1&amp;"-"&amp;$F1228,YEAR($B$2:$B$4001)&amp;"-"&amp;$A$2:$A$4001,0,-1)),K1228))</f>
        <v>0</v>
      </c>
      <c r="M1228" cm="1">
        <f t="array" ref="M1228">IF(OR(AND(L1228=9,M$1&gt;YEAR($N1228))),9,_xlfn.IFNA(INDEX($D$2:$D$4001,_xlfn.XMATCH(M$1&amp;"-"&amp;$F1228,YEAR($B$2:$B$4001)&amp;"-"&amp;$A$2:$A$4001,0,-1)),L1228))</f>
        <v>0</v>
      </c>
      <c r="N1228" s="1">
        <f t="shared" si="19"/>
        <v>36676</v>
      </c>
    </row>
    <row r="1229" spans="1:14" x14ac:dyDescent="0.35">
      <c r="A1229">
        <v>593</v>
      </c>
      <c r="B1229" s="2">
        <v>37590</v>
      </c>
      <c r="C1229">
        <v>5</v>
      </c>
      <c r="D1229">
        <v>5</v>
      </c>
      <c r="F1229">
        <v>1228</v>
      </c>
      <c r="G1229" cm="1">
        <f t="array" ref="G1229">_xlfn.IFNA(INDEX($D$2:$D$4001,_xlfn.XMATCH(G$1&amp;"-"&amp;$F1229,YEAR($B$2:$B$4001)&amp;"-"&amp;$A$2:$A$4001,0,-1)),9)</f>
        <v>9</v>
      </c>
      <c r="H1229" cm="1">
        <f t="array" ref="H1229">IF(OR(AND(G1229=9,H$1&gt;YEAR($N1229))),9,_xlfn.IFNA(INDEX($D$2:$D$4001,_xlfn.XMATCH(H$1&amp;"-"&amp;$F1229,YEAR($B$2:$B$4001)&amp;"-"&amp;$A$2:$A$4001,0,-1)),G1229))</f>
        <v>9</v>
      </c>
      <c r="I1229" cm="1">
        <f t="array" ref="I1229">IF(OR(AND(H1229=9,I$1&gt;YEAR($N1229))),9,_xlfn.IFNA(INDEX($D$2:$D$4001,_xlfn.XMATCH(I$1&amp;"-"&amp;$F1229,YEAR($B$2:$B$4001)&amp;"-"&amp;$A$2:$A$4001,0,-1)),H1229))</f>
        <v>4</v>
      </c>
      <c r="J1229" cm="1">
        <f t="array" ref="J1229">IF(OR(AND(I1229=9,J$1&gt;YEAR($N1229))),9,_xlfn.IFNA(INDEX($D$2:$D$4001,_xlfn.XMATCH(J$1&amp;"-"&amp;$F1229,YEAR($B$2:$B$4001)&amp;"-"&amp;$A$2:$A$4001,0,-1)),I1229))</f>
        <v>4</v>
      </c>
      <c r="K1229" cm="1">
        <f t="array" ref="K1229">IF(OR(AND(J1229=9,K$1&gt;YEAR($N1229))),9,_xlfn.IFNA(INDEX($D$2:$D$4001,_xlfn.XMATCH(K$1&amp;"-"&amp;$F1229,YEAR($B$2:$B$4001)&amp;"-"&amp;$A$2:$A$4001,0,-1)),J1229))</f>
        <v>4</v>
      </c>
      <c r="L1229" cm="1">
        <f t="array" ref="L1229">IF(OR(AND(K1229=9,L$1&gt;YEAR($N1229))),9,_xlfn.IFNA(INDEX($D$2:$D$4001,_xlfn.XMATCH(L$1&amp;"-"&amp;$F1229,YEAR($B$2:$B$4001)&amp;"-"&amp;$A$2:$A$4001,0,-1)),K1229))</f>
        <v>0</v>
      </c>
      <c r="M1229" cm="1">
        <f t="array" ref="M1229">IF(OR(AND(L1229=9,M$1&gt;YEAR($N1229))),9,_xlfn.IFNA(INDEX($D$2:$D$4001,_xlfn.XMATCH(M$1&amp;"-"&amp;$F1229,YEAR($B$2:$B$4001)&amp;"-"&amp;$A$2:$A$4001,0,-1)),L1229))</f>
        <v>0</v>
      </c>
      <c r="N1229" s="1">
        <f t="shared" si="19"/>
        <v>37216</v>
      </c>
    </row>
    <row r="1230" spans="1:14" x14ac:dyDescent="0.35">
      <c r="A1230">
        <v>593</v>
      </c>
      <c r="B1230" s="2">
        <v>37985</v>
      </c>
      <c r="C1230">
        <v>5</v>
      </c>
      <c r="D1230">
        <v>5</v>
      </c>
      <c r="F1230">
        <v>1229</v>
      </c>
      <c r="G1230" cm="1">
        <f t="array" ref="G1230">_xlfn.IFNA(INDEX($D$2:$D$4001,_xlfn.XMATCH(G$1&amp;"-"&amp;$F1230,YEAR($B$2:$B$4001)&amp;"-"&amp;$A$2:$A$4001,0,-1)),9)</f>
        <v>5</v>
      </c>
      <c r="H1230" cm="1">
        <f t="array" ref="H1230">IF(OR(AND(G1230=9,H$1&gt;YEAR($N1230))),9,_xlfn.IFNA(INDEX($D$2:$D$4001,_xlfn.XMATCH(H$1&amp;"-"&amp;$F1230,YEAR($B$2:$B$4001)&amp;"-"&amp;$A$2:$A$4001,0,-1)),G1230))</f>
        <v>5</v>
      </c>
      <c r="I1230" cm="1">
        <f t="array" ref="I1230">IF(OR(AND(H1230=9,I$1&gt;YEAR($N1230))),9,_xlfn.IFNA(INDEX($D$2:$D$4001,_xlfn.XMATCH(I$1&amp;"-"&amp;$F1230,YEAR($B$2:$B$4001)&amp;"-"&amp;$A$2:$A$4001,0,-1)),H1230))</f>
        <v>5</v>
      </c>
      <c r="J1230" cm="1">
        <f t="array" ref="J1230">IF(OR(AND(I1230=9,J$1&gt;YEAR($N1230))),9,_xlfn.IFNA(INDEX($D$2:$D$4001,_xlfn.XMATCH(J$1&amp;"-"&amp;$F1230,YEAR($B$2:$B$4001)&amp;"-"&amp;$A$2:$A$4001,0,-1)),I1230))</f>
        <v>4</v>
      </c>
      <c r="K1230" cm="1">
        <f t="array" ref="K1230">IF(OR(AND(J1230=9,K$1&gt;YEAR($N1230))),9,_xlfn.IFNA(INDEX($D$2:$D$4001,_xlfn.XMATCH(K$1&amp;"-"&amp;$F1230,YEAR($B$2:$B$4001)&amp;"-"&amp;$A$2:$A$4001,0,-1)),J1230))</f>
        <v>4</v>
      </c>
      <c r="L1230" cm="1">
        <f t="array" ref="L1230">IF(OR(AND(K1230=9,L$1&gt;YEAR($N1230))),9,_xlfn.IFNA(INDEX($D$2:$D$4001,_xlfn.XMATCH(L$1&amp;"-"&amp;$F1230,YEAR($B$2:$B$4001)&amp;"-"&amp;$A$2:$A$4001,0,-1)),K1230))</f>
        <v>4</v>
      </c>
      <c r="M1230" cm="1">
        <f t="array" ref="M1230">IF(OR(AND(L1230=9,M$1&gt;YEAR($N1230))),9,_xlfn.IFNA(INDEX($D$2:$D$4001,_xlfn.XMATCH(M$1&amp;"-"&amp;$F1230,YEAR($B$2:$B$4001)&amp;"-"&amp;$A$2:$A$4001,0,-1)),L1230))</f>
        <v>4</v>
      </c>
      <c r="N1230" s="1">
        <f t="shared" si="19"/>
        <v>36310</v>
      </c>
    </row>
    <row r="1231" spans="1:14" x14ac:dyDescent="0.35">
      <c r="A1231">
        <v>594</v>
      </c>
      <c r="B1231" s="2">
        <v>36674</v>
      </c>
      <c r="C1231">
        <v>3</v>
      </c>
      <c r="D1231">
        <v>3</v>
      </c>
      <c r="F1231">
        <v>1230</v>
      </c>
      <c r="G1231" cm="1">
        <f t="array" ref="G1231">_xlfn.IFNA(INDEX($D$2:$D$4001,_xlfn.XMATCH(G$1&amp;"-"&amp;$F1231,YEAR($B$2:$B$4001)&amp;"-"&amp;$A$2:$A$4001,0,-1)),9)</f>
        <v>9</v>
      </c>
      <c r="H1231" cm="1">
        <f t="array" ref="H1231">IF(OR(AND(G1231=9,H$1&gt;YEAR($N1231))),9,_xlfn.IFNA(INDEX($D$2:$D$4001,_xlfn.XMATCH(H$1&amp;"-"&amp;$F1231,YEAR($B$2:$B$4001)&amp;"-"&amp;$A$2:$A$4001,0,-1)),G1231))</f>
        <v>9</v>
      </c>
      <c r="I1231" cm="1">
        <f t="array" ref="I1231">IF(OR(AND(H1231=9,I$1&gt;YEAR($N1231))),9,_xlfn.IFNA(INDEX($D$2:$D$4001,_xlfn.XMATCH(I$1&amp;"-"&amp;$F1231,YEAR($B$2:$B$4001)&amp;"-"&amp;$A$2:$A$4001,0,-1)),H1231))</f>
        <v>9</v>
      </c>
      <c r="J1231" cm="1">
        <f t="array" ref="J1231">IF(OR(AND(I1231=9,J$1&gt;YEAR($N1231))),9,_xlfn.IFNA(INDEX($D$2:$D$4001,_xlfn.XMATCH(J$1&amp;"-"&amp;$F1231,YEAR($B$2:$B$4001)&amp;"-"&amp;$A$2:$A$4001,0,-1)),I1231))</f>
        <v>9</v>
      </c>
      <c r="K1231" cm="1">
        <f t="array" ref="K1231">IF(OR(AND(J1231=9,K$1&gt;YEAR($N1231))),9,_xlfn.IFNA(INDEX($D$2:$D$4001,_xlfn.XMATCH(K$1&amp;"-"&amp;$F1231,YEAR($B$2:$B$4001)&amp;"-"&amp;$A$2:$A$4001,0,-1)),J1231))</f>
        <v>9</v>
      </c>
      <c r="L1231" cm="1">
        <f t="array" ref="L1231">IF(OR(AND(K1231=9,L$1&gt;YEAR($N1231))),9,_xlfn.IFNA(INDEX($D$2:$D$4001,_xlfn.XMATCH(L$1&amp;"-"&amp;$F1231,YEAR($B$2:$B$4001)&amp;"-"&amp;$A$2:$A$4001,0,-1)),K1231))</f>
        <v>2</v>
      </c>
      <c r="M1231" cm="1">
        <f t="array" ref="M1231">IF(OR(AND(L1231=9,M$1&gt;YEAR($N1231))),9,_xlfn.IFNA(INDEX($D$2:$D$4001,_xlfn.XMATCH(M$1&amp;"-"&amp;$F1231,YEAR($B$2:$B$4001)&amp;"-"&amp;$A$2:$A$4001,0,-1)),L1231))</f>
        <v>2</v>
      </c>
      <c r="N1231" s="1">
        <f t="shared" si="19"/>
        <v>38351</v>
      </c>
    </row>
    <row r="1232" spans="1:14" x14ac:dyDescent="0.35">
      <c r="A1232">
        <v>595</v>
      </c>
      <c r="B1232" s="2">
        <v>36759</v>
      </c>
      <c r="C1232">
        <v>4</v>
      </c>
      <c r="D1232">
        <v>4</v>
      </c>
      <c r="F1232">
        <v>1231</v>
      </c>
      <c r="G1232" cm="1">
        <f t="array" ref="G1232">_xlfn.IFNA(INDEX($D$2:$D$4001,_xlfn.XMATCH(G$1&amp;"-"&amp;$F1232,YEAR($B$2:$B$4001)&amp;"-"&amp;$A$2:$A$4001,0,-1)),9)</f>
        <v>9</v>
      </c>
      <c r="H1232" cm="1">
        <f t="array" ref="H1232">IF(OR(AND(G1232=9,H$1&gt;YEAR($N1232))),9,_xlfn.IFNA(INDEX($D$2:$D$4001,_xlfn.XMATCH(H$1&amp;"-"&amp;$F1232,YEAR($B$2:$B$4001)&amp;"-"&amp;$A$2:$A$4001,0,-1)),G1232))</f>
        <v>9</v>
      </c>
      <c r="I1232" cm="1">
        <f t="array" ref="I1232">IF(OR(AND(H1232=9,I$1&gt;YEAR($N1232))),9,_xlfn.IFNA(INDEX($D$2:$D$4001,_xlfn.XMATCH(I$1&amp;"-"&amp;$F1232,YEAR($B$2:$B$4001)&amp;"-"&amp;$A$2:$A$4001,0,-1)),H1232))</f>
        <v>9</v>
      </c>
      <c r="J1232" cm="1">
        <f t="array" ref="J1232">IF(OR(AND(I1232=9,J$1&gt;YEAR($N1232))),9,_xlfn.IFNA(INDEX($D$2:$D$4001,_xlfn.XMATCH(J$1&amp;"-"&amp;$F1232,YEAR($B$2:$B$4001)&amp;"-"&amp;$A$2:$A$4001,0,-1)),I1232))</f>
        <v>0</v>
      </c>
      <c r="K1232" cm="1">
        <f t="array" ref="K1232">IF(OR(AND(J1232=9,K$1&gt;YEAR($N1232))),9,_xlfn.IFNA(INDEX($D$2:$D$4001,_xlfn.XMATCH(K$1&amp;"-"&amp;$F1232,YEAR($B$2:$B$4001)&amp;"-"&amp;$A$2:$A$4001,0,-1)),J1232))</f>
        <v>0</v>
      </c>
      <c r="L1232" cm="1">
        <f t="array" ref="L1232">IF(OR(AND(K1232=9,L$1&gt;YEAR($N1232))),9,_xlfn.IFNA(INDEX($D$2:$D$4001,_xlfn.XMATCH(L$1&amp;"-"&amp;$F1232,YEAR($B$2:$B$4001)&amp;"-"&amp;$A$2:$A$4001,0,-1)),K1232))</f>
        <v>0</v>
      </c>
      <c r="M1232" cm="1">
        <f t="array" ref="M1232">IF(OR(AND(L1232=9,M$1&gt;YEAR($N1232))),9,_xlfn.IFNA(INDEX($D$2:$D$4001,_xlfn.XMATCH(M$1&amp;"-"&amp;$F1232,YEAR($B$2:$B$4001)&amp;"-"&amp;$A$2:$A$4001,0,-1)),L1232))</f>
        <v>0</v>
      </c>
      <c r="N1232" s="1">
        <f t="shared" si="19"/>
        <v>37458</v>
      </c>
    </row>
    <row r="1233" spans="1:14" x14ac:dyDescent="0.35">
      <c r="A1233">
        <v>595</v>
      </c>
      <c r="B1233" s="2">
        <v>38128</v>
      </c>
      <c r="C1233">
        <v>5</v>
      </c>
      <c r="D1233">
        <v>5</v>
      </c>
      <c r="F1233">
        <v>1232</v>
      </c>
      <c r="G1233" cm="1">
        <f t="array" ref="G1233">_xlfn.IFNA(INDEX($D$2:$D$4001,_xlfn.XMATCH(G$1&amp;"-"&amp;$F1233,YEAR($B$2:$B$4001)&amp;"-"&amp;$A$2:$A$4001,0,-1)),9)</f>
        <v>9</v>
      </c>
      <c r="H1233" cm="1">
        <f t="array" ref="H1233">IF(OR(AND(G1233=9,H$1&gt;YEAR($N1233))),9,_xlfn.IFNA(INDEX($D$2:$D$4001,_xlfn.XMATCH(H$1&amp;"-"&amp;$F1233,YEAR($B$2:$B$4001)&amp;"-"&amp;$A$2:$A$4001,0,-1)),G1233))</f>
        <v>9</v>
      </c>
      <c r="I1233" cm="1">
        <f t="array" ref="I1233">IF(OR(AND(H1233=9,I$1&gt;YEAR($N1233))),9,_xlfn.IFNA(INDEX($D$2:$D$4001,_xlfn.XMATCH(I$1&amp;"-"&amp;$F1233,YEAR($B$2:$B$4001)&amp;"-"&amp;$A$2:$A$4001,0,-1)),H1233))</f>
        <v>9</v>
      </c>
      <c r="J1233" cm="1">
        <f t="array" ref="J1233">IF(OR(AND(I1233=9,J$1&gt;YEAR($N1233))),9,_xlfn.IFNA(INDEX($D$2:$D$4001,_xlfn.XMATCH(J$1&amp;"-"&amp;$F1233,YEAR($B$2:$B$4001)&amp;"-"&amp;$A$2:$A$4001,0,-1)),I1233))</f>
        <v>4</v>
      </c>
      <c r="K1233" cm="1">
        <f t="array" ref="K1233">IF(OR(AND(J1233=9,K$1&gt;YEAR($N1233))),9,_xlfn.IFNA(INDEX($D$2:$D$4001,_xlfn.XMATCH(K$1&amp;"-"&amp;$F1233,YEAR($B$2:$B$4001)&amp;"-"&amp;$A$2:$A$4001,0,-1)),J1233))</f>
        <v>4</v>
      </c>
      <c r="L1233" cm="1">
        <f t="array" ref="L1233">IF(OR(AND(K1233=9,L$1&gt;YEAR($N1233))),9,_xlfn.IFNA(INDEX($D$2:$D$4001,_xlfn.XMATCH(L$1&amp;"-"&amp;$F1233,YEAR($B$2:$B$4001)&amp;"-"&amp;$A$2:$A$4001,0,-1)),K1233))</f>
        <v>4</v>
      </c>
      <c r="M1233" cm="1">
        <f t="array" ref="M1233">IF(OR(AND(L1233=9,M$1&gt;YEAR($N1233))),9,_xlfn.IFNA(INDEX($D$2:$D$4001,_xlfn.XMATCH(M$1&amp;"-"&amp;$F1233,YEAR($B$2:$B$4001)&amp;"-"&amp;$A$2:$A$4001,0,-1)),L1233))</f>
        <v>4</v>
      </c>
      <c r="N1233" s="1">
        <f t="shared" si="19"/>
        <v>37406</v>
      </c>
    </row>
    <row r="1234" spans="1:14" x14ac:dyDescent="0.35">
      <c r="A1234">
        <v>595</v>
      </c>
      <c r="B1234" s="2">
        <v>38351</v>
      </c>
      <c r="C1234">
        <v>4</v>
      </c>
      <c r="D1234">
        <v>4</v>
      </c>
      <c r="F1234">
        <v>1233</v>
      </c>
      <c r="G1234" cm="1">
        <f t="array" ref="G1234">_xlfn.IFNA(INDEX($D$2:$D$4001,_xlfn.XMATCH(G$1&amp;"-"&amp;$F1234,YEAR($B$2:$B$4001)&amp;"-"&amp;$A$2:$A$4001,0,-1)),9)</f>
        <v>9</v>
      </c>
      <c r="H1234" cm="1">
        <f t="array" ref="H1234">IF(OR(AND(G1234=9,H$1&gt;YEAR($N1234))),9,_xlfn.IFNA(INDEX($D$2:$D$4001,_xlfn.XMATCH(H$1&amp;"-"&amp;$F1234,YEAR($B$2:$B$4001)&amp;"-"&amp;$A$2:$A$4001,0,-1)),G1234))</f>
        <v>9</v>
      </c>
      <c r="I1234" cm="1">
        <f t="array" ref="I1234">IF(OR(AND(H1234=9,I$1&gt;YEAR($N1234))),9,_xlfn.IFNA(INDEX($D$2:$D$4001,_xlfn.XMATCH(I$1&amp;"-"&amp;$F1234,YEAR($B$2:$B$4001)&amp;"-"&amp;$A$2:$A$4001,0,-1)),H1234))</f>
        <v>3</v>
      </c>
      <c r="J1234" cm="1">
        <f t="array" ref="J1234">IF(OR(AND(I1234=9,J$1&gt;YEAR($N1234))),9,_xlfn.IFNA(INDEX($D$2:$D$4001,_xlfn.XMATCH(J$1&amp;"-"&amp;$F1234,YEAR($B$2:$B$4001)&amp;"-"&amp;$A$2:$A$4001,0,-1)),I1234))</f>
        <v>3</v>
      </c>
      <c r="K1234" cm="1">
        <f t="array" ref="K1234">IF(OR(AND(J1234=9,K$1&gt;YEAR($N1234))),9,_xlfn.IFNA(INDEX($D$2:$D$4001,_xlfn.XMATCH(K$1&amp;"-"&amp;$F1234,YEAR($B$2:$B$4001)&amp;"-"&amp;$A$2:$A$4001,0,-1)),J1234))</f>
        <v>4</v>
      </c>
      <c r="L1234" cm="1">
        <f t="array" ref="L1234">IF(OR(AND(K1234=9,L$1&gt;YEAR($N1234))),9,_xlfn.IFNA(INDEX($D$2:$D$4001,_xlfn.XMATCH(L$1&amp;"-"&amp;$F1234,YEAR($B$2:$B$4001)&amp;"-"&amp;$A$2:$A$4001,0,-1)),K1234))</f>
        <v>0</v>
      </c>
      <c r="M1234" cm="1">
        <f t="array" ref="M1234">IF(OR(AND(L1234=9,M$1&gt;YEAR($N1234))),9,_xlfn.IFNA(INDEX($D$2:$D$4001,_xlfn.XMATCH(M$1&amp;"-"&amp;$F1234,YEAR($B$2:$B$4001)&amp;"-"&amp;$A$2:$A$4001,0,-1)),L1234))</f>
        <v>0</v>
      </c>
      <c r="N1234" s="1">
        <f t="shared" si="19"/>
        <v>37255</v>
      </c>
    </row>
    <row r="1235" spans="1:14" x14ac:dyDescent="0.35">
      <c r="A1235">
        <v>596</v>
      </c>
      <c r="B1235" s="2">
        <v>36524</v>
      </c>
      <c r="C1235">
        <v>7</v>
      </c>
      <c r="D1235">
        <v>7</v>
      </c>
      <c r="F1235">
        <v>1234</v>
      </c>
      <c r="G1235" cm="1">
        <f t="array" ref="G1235">_xlfn.IFNA(INDEX($D$2:$D$4001,_xlfn.XMATCH(G$1&amp;"-"&amp;$F1235,YEAR($B$2:$B$4001)&amp;"-"&amp;$A$2:$A$4001,0,-1)),9)</f>
        <v>3</v>
      </c>
      <c r="H1235" cm="1">
        <f t="array" ref="H1235">IF(OR(AND(G1235=9,H$1&gt;YEAR($N1235))),9,_xlfn.IFNA(INDEX($D$2:$D$4001,_xlfn.XMATCH(H$1&amp;"-"&amp;$F1235,YEAR($B$2:$B$4001)&amp;"-"&amp;$A$2:$A$4001,0,-1)),G1235))</f>
        <v>3</v>
      </c>
      <c r="I1235" cm="1">
        <f t="array" ref="I1235">IF(OR(AND(H1235=9,I$1&gt;YEAR($N1235))),9,_xlfn.IFNA(INDEX($D$2:$D$4001,_xlfn.XMATCH(I$1&amp;"-"&amp;$F1235,YEAR($B$2:$B$4001)&amp;"-"&amp;$A$2:$A$4001,0,-1)),H1235))</f>
        <v>3</v>
      </c>
      <c r="J1235" cm="1">
        <f t="array" ref="J1235">IF(OR(AND(I1235=9,J$1&gt;YEAR($N1235))),9,_xlfn.IFNA(INDEX($D$2:$D$4001,_xlfn.XMATCH(J$1&amp;"-"&amp;$F1235,YEAR($B$2:$B$4001)&amp;"-"&amp;$A$2:$A$4001,0,-1)),I1235))</f>
        <v>3</v>
      </c>
      <c r="K1235" cm="1">
        <f t="array" ref="K1235">IF(OR(AND(J1235=9,K$1&gt;YEAR($N1235))),9,_xlfn.IFNA(INDEX($D$2:$D$4001,_xlfn.XMATCH(K$1&amp;"-"&amp;$F1235,YEAR($B$2:$B$4001)&amp;"-"&amp;$A$2:$A$4001,0,-1)),J1235))</f>
        <v>3</v>
      </c>
      <c r="L1235" cm="1">
        <f t="array" ref="L1235">IF(OR(AND(K1235=9,L$1&gt;YEAR($N1235))),9,_xlfn.IFNA(INDEX($D$2:$D$4001,_xlfn.XMATCH(L$1&amp;"-"&amp;$F1235,YEAR($B$2:$B$4001)&amp;"-"&amp;$A$2:$A$4001,0,-1)),K1235))</f>
        <v>4</v>
      </c>
      <c r="M1235" cm="1">
        <f t="array" ref="M1235">IF(OR(AND(L1235=9,M$1&gt;YEAR($N1235))),9,_xlfn.IFNA(INDEX($D$2:$D$4001,_xlfn.XMATCH(M$1&amp;"-"&amp;$F1235,YEAR($B$2:$B$4001)&amp;"-"&amp;$A$2:$A$4001,0,-1)),L1235))</f>
        <v>4</v>
      </c>
      <c r="N1235" s="1">
        <f t="shared" si="19"/>
        <v>36424</v>
      </c>
    </row>
    <row r="1236" spans="1:14" x14ac:dyDescent="0.35">
      <c r="A1236">
        <v>596</v>
      </c>
      <c r="B1236" s="2">
        <v>36790</v>
      </c>
      <c r="C1236">
        <v>6</v>
      </c>
      <c r="D1236">
        <v>6</v>
      </c>
      <c r="F1236">
        <v>1235</v>
      </c>
      <c r="G1236" cm="1">
        <f t="array" ref="G1236">_xlfn.IFNA(INDEX($D$2:$D$4001,_xlfn.XMATCH(G$1&amp;"-"&amp;$F1236,YEAR($B$2:$B$4001)&amp;"-"&amp;$A$2:$A$4001,0,-1)),9)</f>
        <v>2</v>
      </c>
      <c r="H1236" cm="1">
        <f t="array" ref="H1236">IF(OR(AND(G1236=9,H$1&gt;YEAR($N1236))),9,_xlfn.IFNA(INDEX($D$2:$D$4001,_xlfn.XMATCH(H$1&amp;"-"&amp;$F1236,YEAR($B$2:$B$4001)&amp;"-"&amp;$A$2:$A$4001,0,-1)),G1236))</f>
        <v>2</v>
      </c>
      <c r="I1236" cm="1">
        <f t="array" ref="I1236">IF(OR(AND(H1236=9,I$1&gt;YEAR($N1236))),9,_xlfn.IFNA(INDEX($D$2:$D$4001,_xlfn.XMATCH(I$1&amp;"-"&amp;$F1236,YEAR($B$2:$B$4001)&amp;"-"&amp;$A$2:$A$4001,0,-1)),H1236))</f>
        <v>2</v>
      </c>
      <c r="J1236" cm="1">
        <f t="array" ref="J1236">IF(OR(AND(I1236=9,J$1&gt;YEAR($N1236))),9,_xlfn.IFNA(INDEX($D$2:$D$4001,_xlfn.XMATCH(J$1&amp;"-"&amp;$F1236,YEAR($B$2:$B$4001)&amp;"-"&amp;$A$2:$A$4001,0,-1)),I1236))</f>
        <v>2</v>
      </c>
      <c r="K1236" cm="1">
        <f t="array" ref="K1236">IF(OR(AND(J1236=9,K$1&gt;YEAR($N1236))),9,_xlfn.IFNA(INDEX($D$2:$D$4001,_xlfn.XMATCH(K$1&amp;"-"&amp;$F1236,YEAR($B$2:$B$4001)&amp;"-"&amp;$A$2:$A$4001,0,-1)),J1236))</f>
        <v>2</v>
      </c>
      <c r="L1236" cm="1">
        <f t="array" ref="L1236">IF(OR(AND(K1236=9,L$1&gt;YEAR($N1236))),9,_xlfn.IFNA(INDEX($D$2:$D$4001,_xlfn.XMATCH(L$1&amp;"-"&amp;$F1236,YEAR($B$2:$B$4001)&amp;"-"&amp;$A$2:$A$4001,0,-1)),K1236))</f>
        <v>3</v>
      </c>
      <c r="M1236" cm="1">
        <f t="array" ref="M1236">IF(OR(AND(L1236=9,M$1&gt;YEAR($N1236))),9,_xlfn.IFNA(INDEX($D$2:$D$4001,_xlfn.XMATCH(M$1&amp;"-"&amp;$F1236,YEAR($B$2:$B$4001)&amp;"-"&amp;$A$2:$A$4001,0,-1)),L1236))</f>
        <v>3</v>
      </c>
      <c r="N1236" s="1">
        <f t="shared" si="19"/>
        <v>36524</v>
      </c>
    </row>
    <row r="1237" spans="1:14" x14ac:dyDescent="0.35">
      <c r="A1237">
        <v>596</v>
      </c>
      <c r="B1237" s="2">
        <v>37823</v>
      </c>
      <c r="C1237">
        <v>6</v>
      </c>
      <c r="D1237">
        <v>6</v>
      </c>
      <c r="F1237">
        <v>1236</v>
      </c>
      <c r="G1237" cm="1">
        <f t="array" ref="G1237">_xlfn.IFNA(INDEX($D$2:$D$4001,_xlfn.XMATCH(G$1&amp;"-"&amp;$F1237,YEAR($B$2:$B$4001)&amp;"-"&amp;$A$2:$A$4001,0,-1)),9)</f>
        <v>5</v>
      </c>
      <c r="H1237" cm="1">
        <f t="array" ref="H1237">IF(OR(AND(G1237=9,H$1&gt;YEAR($N1237))),9,_xlfn.IFNA(INDEX($D$2:$D$4001,_xlfn.XMATCH(H$1&amp;"-"&amp;$F1237,YEAR($B$2:$B$4001)&amp;"-"&amp;$A$2:$A$4001,0,-1)),G1237))</f>
        <v>4</v>
      </c>
      <c r="I1237" cm="1">
        <f t="array" ref="I1237">IF(OR(AND(H1237=9,I$1&gt;YEAR($N1237))),9,_xlfn.IFNA(INDEX($D$2:$D$4001,_xlfn.XMATCH(I$1&amp;"-"&amp;$F1237,YEAR($B$2:$B$4001)&amp;"-"&amp;$A$2:$A$4001,0,-1)),H1237))</f>
        <v>4</v>
      </c>
      <c r="J1237" cm="1">
        <f t="array" ref="J1237">IF(OR(AND(I1237=9,J$1&gt;YEAR($N1237))),9,_xlfn.IFNA(INDEX($D$2:$D$4001,_xlfn.XMATCH(J$1&amp;"-"&amp;$F1237,YEAR($B$2:$B$4001)&amp;"-"&amp;$A$2:$A$4001,0,-1)),I1237))</f>
        <v>4</v>
      </c>
      <c r="K1237" cm="1">
        <f t="array" ref="K1237">IF(OR(AND(J1237=9,K$1&gt;YEAR($N1237))),9,_xlfn.IFNA(INDEX($D$2:$D$4001,_xlfn.XMATCH(K$1&amp;"-"&amp;$F1237,YEAR($B$2:$B$4001)&amp;"-"&amp;$A$2:$A$4001,0,-1)),J1237))</f>
        <v>4</v>
      </c>
      <c r="L1237" cm="1">
        <f t="array" ref="L1237">IF(OR(AND(K1237=9,L$1&gt;YEAR($N1237))),9,_xlfn.IFNA(INDEX($D$2:$D$4001,_xlfn.XMATCH(L$1&amp;"-"&amp;$F1237,YEAR($B$2:$B$4001)&amp;"-"&amp;$A$2:$A$4001,0,-1)),K1237))</f>
        <v>4</v>
      </c>
      <c r="M1237" cm="1">
        <f t="array" ref="M1237">IF(OR(AND(L1237=9,M$1&gt;YEAR($N1237))),9,_xlfn.IFNA(INDEX($D$2:$D$4001,_xlfn.XMATCH(M$1&amp;"-"&amp;$F1237,YEAR($B$2:$B$4001)&amp;"-"&amp;$A$2:$A$4001,0,-1)),L1237))</f>
        <v>4</v>
      </c>
      <c r="N1237" s="1">
        <f t="shared" si="19"/>
        <v>36332</v>
      </c>
    </row>
    <row r="1238" spans="1:14" x14ac:dyDescent="0.35">
      <c r="A1238">
        <v>597</v>
      </c>
      <c r="B1238" s="2">
        <v>36301</v>
      </c>
      <c r="C1238">
        <v>4</v>
      </c>
      <c r="D1238">
        <v>4</v>
      </c>
      <c r="F1238">
        <v>1237</v>
      </c>
      <c r="G1238" cm="1">
        <f t="array" ref="G1238">_xlfn.IFNA(INDEX($D$2:$D$4001,_xlfn.XMATCH(G$1&amp;"-"&amp;$F1238,YEAR($B$2:$B$4001)&amp;"-"&amp;$A$2:$A$4001,0,-1)),9)</f>
        <v>0</v>
      </c>
      <c r="H1238" cm="1">
        <f t="array" ref="H1238">IF(OR(AND(G1238=9,H$1&gt;YEAR($N1238))),9,_xlfn.IFNA(INDEX($D$2:$D$4001,_xlfn.XMATCH(H$1&amp;"-"&amp;$F1238,YEAR($B$2:$B$4001)&amp;"-"&amp;$A$2:$A$4001,0,-1)),G1238))</f>
        <v>0</v>
      </c>
      <c r="I1238" cm="1">
        <f t="array" ref="I1238">IF(OR(AND(H1238=9,I$1&gt;YEAR($N1238))),9,_xlfn.IFNA(INDEX($D$2:$D$4001,_xlfn.XMATCH(I$1&amp;"-"&amp;$F1238,YEAR($B$2:$B$4001)&amp;"-"&amp;$A$2:$A$4001,0,-1)),H1238))</f>
        <v>0</v>
      </c>
      <c r="J1238" cm="1">
        <f t="array" ref="J1238">IF(OR(AND(I1238=9,J$1&gt;YEAR($N1238))),9,_xlfn.IFNA(INDEX($D$2:$D$4001,_xlfn.XMATCH(J$1&amp;"-"&amp;$F1238,YEAR($B$2:$B$4001)&amp;"-"&amp;$A$2:$A$4001,0,-1)),I1238))</f>
        <v>0</v>
      </c>
      <c r="K1238" cm="1">
        <f t="array" ref="K1238">IF(OR(AND(J1238=9,K$1&gt;YEAR($N1238))),9,_xlfn.IFNA(INDEX($D$2:$D$4001,_xlfn.XMATCH(K$1&amp;"-"&amp;$F1238,YEAR($B$2:$B$4001)&amp;"-"&amp;$A$2:$A$4001,0,-1)),J1238))</f>
        <v>0</v>
      </c>
      <c r="L1238" cm="1">
        <f t="array" ref="L1238">IF(OR(AND(K1238=9,L$1&gt;YEAR($N1238))),9,_xlfn.IFNA(INDEX($D$2:$D$4001,_xlfn.XMATCH(L$1&amp;"-"&amp;$F1238,YEAR($B$2:$B$4001)&amp;"-"&amp;$A$2:$A$4001,0,-1)),K1238))</f>
        <v>0</v>
      </c>
      <c r="M1238" cm="1">
        <f t="array" ref="M1238">IF(OR(AND(L1238=9,M$1&gt;YEAR($N1238))),9,_xlfn.IFNA(INDEX($D$2:$D$4001,_xlfn.XMATCH(M$1&amp;"-"&amp;$F1238,YEAR($B$2:$B$4001)&amp;"-"&amp;$A$2:$A$4001,0,-1)),L1238))</f>
        <v>0</v>
      </c>
      <c r="N1238" s="1">
        <f t="shared" si="19"/>
        <v>36362</v>
      </c>
    </row>
    <row r="1239" spans="1:14" x14ac:dyDescent="0.35">
      <c r="A1239">
        <v>597</v>
      </c>
      <c r="B1239" s="2">
        <v>37194</v>
      </c>
      <c r="C1239">
        <v>0</v>
      </c>
      <c r="D1239">
        <v>0</v>
      </c>
      <c r="F1239">
        <v>1238</v>
      </c>
      <c r="G1239" cm="1">
        <f t="array" ref="G1239">_xlfn.IFNA(INDEX($D$2:$D$4001,_xlfn.XMATCH(G$1&amp;"-"&amp;$F1239,YEAR($B$2:$B$4001)&amp;"-"&amp;$A$2:$A$4001,0,-1)),9)</f>
        <v>9</v>
      </c>
      <c r="H1239" cm="1">
        <f t="array" ref="H1239">IF(OR(AND(G1239=9,H$1&gt;YEAR($N1239))),9,_xlfn.IFNA(INDEX($D$2:$D$4001,_xlfn.XMATCH(H$1&amp;"-"&amp;$F1239,YEAR($B$2:$B$4001)&amp;"-"&amp;$A$2:$A$4001,0,-1)),G1239))</f>
        <v>5</v>
      </c>
      <c r="I1239" cm="1">
        <f t="array" ref="I1239">IF(OR(AND(H1239=9,I$1&gt;YEAR($N1239))),9,_xlfn.IFNA(INDEX($D$2:$D$4001,_xlfn.XMATCH(I$1&amp;"-"&amp;$F1239,YEAR($B$2:$B$4001)&amp;"-"&amp;$A$2:$A$4001,0,-1)),H1239))</f>
        <v>5</v>
      </c>
      <c r="J1239" cm="1">
        <f t="array" ref="J1239">IF(OR(AND(I1239=9,J$1&gt;YEAR($N1239))),9,_xlfn.IFNA(INDEX($D$2:$D$4001,_xlfn.XMATCH(J$1&amp;"-"&amp;$F1239,YEAR($B$2:$B$4001)&amp;"-"&amp;$A$2:$A$4001,0,-1)),I1239))</f>
        <v>5</v>
      </c>
      <c r="K1239" cm="1">
        <f t="array" ref="K1239">IF(OR(AND(J1239=9,K$1&gt;YEAR($N1239))),9,_xlfn.IFNA(INDEX($D$2:$D$4001,_xlfn.XMATCH(K$1&amp;"-"&amp;$F1239,YEAR($B$2:$B$4001)&amp;"-"&amp;$A$2:$A$4001,0,-1)),J1239))</f>
        <v>5</v>
      </c>
      <c r="L1239" cm="1">
        <f t="array" ref="L1239">IF(OR(AND(K1239=9,L$1&gt;YEAR($N1239))),9,_xlfn.IFNA(INDEX($D$2:$D$4001,_xlfn.XMATCH(L$1&amp;"-"&amp;$F1239,YEAR($B$2:$B$4001)&amp;"-"&amp;$A$2:$A$4001,0,-1)),K1239))</f>
        <v>5</v>
      </c>
      <c r="M1239" cm="1">
        <f t="array" ref="M1239">IF(OR(AND(L1239=9,M$1&gt;YEAR($N1239))),9,_xlfn.IFNA(INDEX($D$2:$D$4001,_xlfn.XMATCH(M$1&amp;"-"&amp;$F1239,YEAR($B$2:$B$4001)&amp;"-"&amp;$A$2:$A$4001,0,-1)),L1239))</f>
        <v>5</v>
      </c>
      <c r="N1239" s="1">
        <f t="shared" si="19"/>
        <v>36890</v>
      </c>
    </row>
    <row r="1240" spans="1:14" x14ac:dyDescent="0.35">
      <c r="A1240">
        <v>598</v>
      </c>
      <c r="B1240" s="2">
        <v>37041</v>
      </c>
      <c r="C1240">
        <v>7</v>
      </c>
      <c r="D1240">
        <v>7</v>
      </c>
      <c r="F1240">
        <v>1239</v>
      </c>
      <c r="G1240" cm="1">
        <f t="array" ref="G1240">_xlfn.IFNA(INDEX($D$2:$D$4001,_xlfn.XMATCH(G$1&amp;"-"&amp;$F1240,YEAR($B$2:$B$4001)&amp;"-"&amp;$A$2:$A$4001,0,-1)),9)</f>
        <v>4</v>
      </c>
      <c r="H1240" cm="1">
        <f t="array" ref="H1240">IF(OR(AND(G1240=9,H$1&gt;YEAR($N1240))),9,_xlfn.IFNA(INDEX($D$2:$D$4001,_xlfn.XMATCH(H$1&amp;"-"&amp;$F1240,YEAR($B$2:$B$4001)&amp;"-"&amp;$A$2:$A$4001,0,-1)),G1240))</f>
        <v>4</v>
      </c>
      <c r="I1240" cm="1">
        <f t="array" ref="I1240">IF(OR(AND(H1240=9,I$1&gt;YEAR($N1240))),9,_xlfn.IFNA(INDEX($D$2:$D$4001,_xlfn.XMATCH(I$1&amp;"-"&amp;$F1240,YEAR($B$2:$B$4001)&amp;"-"&amp;$A$2:$A$4001,0,-1)),H1240))</f>
        <v>4</v>
      </c>
      <c r="J1240" cm="1">
        <f t="array" ref="J1240">IF(OR(AND(I1240=9,J$1&gt;YEAR($N1240))),9,_xlfn.IFNA(INDEX($D$2:$D$4001,_xlfn.XMATCH(J$1&amp;"-"&amp;$F1240,YEAR($B$2:$B$4001)&amp;"-"&amp;$A$2:$A$4001,0,-1)),I1240))</f>
        <v>5</v>
      </c>
      <c r="K1240" cm="1">
        <f t="array" ref="K1240">IF(OR(AND(J1240=9,K$1&gt;YEAR($N1240))),9,_xlfn.IFNA(INDEX($D$2:$D$4001,_xlfn.XMATCH(K$1&amp;"-"&amp;$F1240,YEAR($B$2:$B$4001)&amp;"-"&amp;$A$2:$A$4001,0,-1)),J1240))</f>
        <v>6</v>
      </c>
      <c r="L1240" cm="1">
        <f t="array" ref="L1240">IF(OR(AND(K1240=9,L$1&gt;YEAR($N1240))),9,_xlfn.IFNA(INDEX($D$2:$D$4001,_xlfn.XMATCH(L$1&amp;"-"&amp;$F1240,YEAR($B$2:$B$4001)&amp;"-"&amp;$A$2:$A$4001,0,-1)),K1240))</f>
        <v>6</v>
      </c>
      <c r="M1240" cm="1">
        <f t="array" ref="M1240">IF(OR(AND(L1240=9,M$1&gt;YEAR($N1240))),9,_xlfn.IFNA(INDEX($D$2:$D$4001,_xlfn.XMATCH(M$1&amp;"-"&amp;$F1240,YEAR($B$2:$B$4001)&amp;"-"&amp;$A$2:$A$4001,0,-1)),L1240))</f>
        <v>6</v>
      </c>
      <c r="N1240" s="1">
        <f t="shared" si="19"/>
        <v>36301</v>
      </c>
    </row>
    <row r="1241" spans="1:14" x14ac:dyDescent="0.35">
      <c r="A1241">
        <v>598</v>
      </c>
      <c r="B1241" s="2">
        <v>37255</v>
      </c>
      <c r="C1241">
        <v>8</v>
      </c>
      <c r="D1241">
        <v>8</v>
      </c>
      <c r="F1241">
        <v>1240</v>
      </c>
      <c r="G1241" cm="1">
        <f t="array" ref="G1241">_xlfn.IFNA(INDEX($D$2:$D$4001,_xlfn.XMATCH(G$1&amp;"-"&amp;$F1241,YEAR($B$2:$B$4001)&amp;"-"&amp;$A$2:$A$4001,0,-1)),9)</f>
        <v>4</v>
      </c>
      <c r="H1241" cm="1">
        <f t="array" ref="H1241">IF(OR(AND(G1241=9,H$1&gt;YEAR($N1241))),9,_xlfn.IFNA(INDEX($D$2:$D$4001,_xlfn.XMATCH(H$1&amp;"-"&amp;$F1241,YEAR($B$2:$B$4001)&amp;"-"&amp;$A$2:$A$4001,0,-1)),G1241))</f>
        <v>5</v>
      </c>
      <c r="I1241" cm="1">
        <f t="array" ref="I1241">IF(OR(AND(H1241=9,I$1&gt;YEAR($N1241))),9,_xlfn.IFNA(INDEX($D$2:$D$4001,_xlfn.XMATCH(I$1&amp;"-"&amp;$F1241,YEAR($B$2:$B$4001)&amp;"-"&amp;$A$2:$A$4001,0,-1)),H1241))</f>
        <v>5</v>
      </c>
      <c r="J1241" cm="1">
        <f t="array" ref="J1241">IF(OR(AND(I1241=9,J$1&gt;YEAR($N1241))),9,_xlfn.IFNA(INDEX($D$2:$D$4001,_xlfn.XMATCH(J$1&amp;"-"&amp;$F1241,YEAR($B$2:$B$4001)&amp;"-"&amp;$A$2:$A$4001,0,-1)),I1241))</f>
        <v>6</v>
      </c>
      <c r="K1241" cm="1">
        <f t="array" ref="K1241">IF(OR(AND(J1241=9,K$1&gt;YEAR($N1241))),9,_xlfn.IFNA(INDEX($D$2:$D$4001,_xlfn.XMATCH(K$1&amp;"-"&amp;$F1241,YEAR($B$2:$B$4001)&amp;"-"&amp;$A$2:$A$4001,0,-1)),J1241))</f>
        <v>6</v>
      </c>
      <c r="L1241" cm="1">
        <f t="array" ref="L1241">IF(OR(AND(K1241=9,L$1&gt;YEAR($N1241))),9,_xlfn.IFNA(INDEX($D$2:$D$4001,_xlfn.XMATCH(L$1&amp;"-"&amp;$F1241,YEAR($B$2:$B$4001)&amp;"-"&amp;$A$2:$A$4001,0,-1)),K1241))</f>
        <v>6</v>
      </c>
      <c r="M1241" cm="1">
        <f t="array" ref="M1241">IF(OR(AND(L1241=9,M$1&gt;YEAR($N1241))),9,_xlfn.IFNA(INDEX($D$2:$D$4001,_xlfn.XMATCH(M$1&amp;"-"&amp;$F1241,YEAR($B$2:$B$4001)&amp;"-"&amp;$A$2:$A$4001,0,-1)),L1241))</f>
        <v>6</v>
      </c>
      <c r="N1241" s="1">
        <f t="shared" si="19"/>
        <v>36463</v>
      </c>
    </row>
    <row r="1242" spans="1:14" x14ac:dyDescent="0.35">
      <c r="A1242">
        <v>599</v>
      </c>
      <c r="B1242" s="2">
        <v>37764</v>
      </c>
      <c r="C1242">
        <v>3</v>
      </c>
      <c r="D1242">
        <v>3</v>
      </c>
      <c r="F1242">
        <v>1241</v>
      </c>
      <c r="G1242" cm="1">
        <f t="array" ref="G1242">_xlfn.IFNA(INDEX($D$2:$D$4001,_xlfn.XMATCH(G$1&amp;"-"&amp;$F1242,YEAR($B$2:$B$4001)&amp;"-"&amp;$A$2:$A$4001,0,-1)),9)</f>
        <v>2</v>
      </c>
      <c r="H1242" cm="1">
        <f t="array" ref="H1242">IF(OR(AND(G1242=9,H$1&gt;YEAR($N1242))),9,_xlfn.IFNA(INDEX($D$2:$D$4001,_xlfn.XMATCH(H$1&amp;"-"&amp;$F1242,YEAR($B$2:$B$4001)&amp;"-"&amp;$A$2:$A$4001,0,-1)),G1242))</f>
        <v>2</v>
      </c>
      <c r="I1242" cm="1">
        <f t="array" ref="I1242">IF(OR(AND(H1242=9,I$1&gt;YEAR($N1242))),9,_xlfn.IFNA(INDEX($D$2:$D$4001,_xlfn.XMATCH(I$1&amp;"-"&amp;$F1242,YEAR($B$2:$B$4001)&amp;"-"&amp;$A$2:$A$4001,0,-1)),H1242))</f>
        <v>2</v>
      </c>
      <c r="J1242" cm="1">
        <f t="array" ref="J1242">IF(OR(AND(I1242=9,J$1&gt;YEAR($N1242))),9,_xlfn.IFNA(INDEX($D$2:$D$4001,_xlfn.XMATCH(J$1&amp;"-"&amp;$F1242,YEAR($B$2:$B$4001)&amp;"-"&amp;$A$2:$A$4001,0,-1)),I1242))</f>
        <v>3</v>
      </c>
      <c r="K1242" cm="1">
        <f t="array" ref="K1242">IF(OR(AND(J1242=9,K$1&gt;YEAR($N1242))),9,_xlfn.IFNA(INDEX($D$2:$D$4001,_xlfn.XMATCH(K$1&amp;"-"&amp;$F1242,YEAR($B$2:$B$4001)&amp;"-"&amp;$A$2:$A$4001,0,-1)),J1242))</f>
        <v>3</v>
      </c>
      <c r="L1242" cm="1">
        <f t="array" ref="L1242">IF(OR(AND(K1242=9,L$1&gt;YEAR($N1242))),9,_xlfn.IFNA(INDEX($D$2:$D$4001,_xlfn.XMATCH(L$1&amp;"-"&amp;$F1242,YEAR($B$2:$B$4001)&amp;"-"&amp;$A$2:$A$4001,0,-1)),K1242))</f>
        <v>3</v>
      </c>
      <c r="M1242" cm="1">
        <f t="array" ref="M1242">IF(OR(AND(L1242=9,M$1&gt;YEAR($N1242))),9,_xlfn.IFNA(INDEX($D$2:$D$4001,_xlfn.XMATCH(M$1&amp;"-"&amp;$F1242,YEAR($B$2:$B$4001)&amp;"-"&amp;$A$2:$A$4001,0,-1)),L1242))</f>
        <v>3</v>
      </c>
      <c r="N1242" s="1">
        <f t="shared" si="19"/>
        <v>36362</v>
      </c>
    </row>
    <row r="1243" spans="1:14" x14ac:dyDescent="0.35">
      <c r="A1243">
        <v>600</v>
      </c>
      <c r="B1243" s="2">
        <v>37770</v>
      </c>
      <c r="C1243">
        <v>3</v>
      </c>
      <c r="D1243">
        <v>3</v>
      </c>
      <c r="F1243">
        <v>1242</v>
      </c>
      <c r="G1243" cm="1">
        <f t="array" ref="G1243">_xlfn.IFNA(INDEX($D$2:$D$4001,_xlfn.XMATCH(G$1&amp;"-"&amp;$F1243,YEAR($B$2:$B$4001)&amp;"-"&amp;$A$2:$A$4001,0,-1)),9)</f>
        <v>9</v>
      </c>
      <c r="H1243" cm="1">
        <f t="array" ref="H1243">IF(OR(AND(G1243=9,H$1&gt;YEAR($N1243))),9,_xlfn.IFNA(INDEX($D$2:$D$4001,_xlfn.XMATCH(H$1&amp;"-"&amp;$F1243,YEAR($B$2:$B$4001)&amp;"-"&amp;$A$2:$A$4001,0,-1)),G1243))</f>
        <v>9</v>
      </c>
      <c r="I1243" cm="1">
        <f t="array" ref="I1243">IF(OR(AND(H1243=9,I$1&gt;YEAR($N1243))),9,_xlfn.IFNA(INDEX($D$2:$D$4001,_xlfn.XMATCH(I$1&amp;"-"&amp;$F1243,YEAR($B$2:$B$4001)&amp;"-"&amp;$A$2:$A$4001,0,-1)),H1243))</f>
        <v>0</v>
      </c>
      <c r="J1243" cm="1">
        <f t="array" ref="J1243">IF(OR(AND(I1243=9,J$1&gt;YEAR($N1243))),9,_xlfn.IFNA(INDEX($D$2:$D$4001,_xlfn.XMATCH(J$1&amp;"-"&amp;$F1243,YEAR($B$2:$B$4001)&amp;"-"&amp;$A$2:$A$4001,0,-1)),I1243))</f>
        <v>0</v>
      </c>
      <c r="K1243" cm="1">
        <f t="array" ref="K1243">IF(OR(AND(J1243=9,K$1&gt;YEAR($N1243))),9,_xlfn.IFNA(INDEX($D$2:$D$4001,_xlfn.XMATCH(K$1&amp;"-"&amp;$F1243,YEAR($B$2:$B$4001)&amp;"-"&amp;$A$2:$A$4001,0,-1)),J1243))</f>
        <v>0</v>
      </c>
      <c r="L1243" cm="1">
        <f t="array" ref="L1243">IF(OR(AND(K1243=9,L$1&gt;YEAR($N1243))),9,_xlfn.IFNA(INDEX($D$2:$D$4001,_xlfn.XMATCH(L$1&amp;"-"&amp;$F1243,YEAR($B$2:$B$4001)&amp;"-"&amp;$A$2:$A$4001,0,-1)),K1243))</f>
        <v>0</v>
      </c>
      <c r="M1243" cm="1">
        <f t="array" ref="M1243">IF(OR(AND(L1243=9,M$1&gt;YEAR($N1243))),9,_xlfn.IFNA(INDEX($D$2:$D$4001,_xlfn.XMATCH(M$1&amp;"-"&amp;$F1243,YEAR($B$2:$B$4001)&amp;"-"&amp;$A$2:$A$4001,0,-1)),L1243))</f>
        <v>0</v>
      </c>
      <c r="N1243" s="1">
        <f t="shared" si="19"/>
        <v>37041</v>
      </c>
    </row>
    <row r="1244" spans="1:14" x14ac:dyDescent="0.35">
      <c r="A1244">
        <v>601</v>
      </c>
      <c r="B1244" s="2">
        <v>37620</v>
      </c>
      <c r="C1244">
        <v>4</v>
      </c>
      <c r="D1244">
        <v>4</v>
      </c>
      <c r="F1244">
        <v>1243</v>
      </c>
      <c r="G1244" cm="1">
        <f t="array" ref="G1244">_xlfn.IFNA(INDEX($D$2:$D$4001,_xlfn.XMATCH(G$1&amp;"-"&amp;$F1244,YEAR($B$2:$B$4001)&amp;"-"&amp;$A$2:$A$4001,0,-1)),9)</f>
        <v>9</v>
      </c>
      <c r="H1244" cm="1">
        <f t="array" ref="H1244">IF(OR(AND(G1244=9,H$1&gt;YEAR($N1244))),9,_xlfn.IFNA(INDEX($D$2:$D$4001,_xlfn.XMATCH(H$1&amp;"-"&amp;$F1244,YEAR($B$2:$B$4001)&amp;"-"&amp;$A$2:$A$4001,0,-1)),G1244))</f>
        <v>9</v>
      </c>
      <c r="I1244" cm="1">
        <f t="array" ref="I1244">IF(OR(AND(H1244=9,I$1&gt;YEAR($N1244))),9,_xlfn.IFNA(INDEX($D$2:$D$4001,_xlfn.XMATCH(I$1&amp;"-"&amp;$F1244,YEAR($B$2:$B$4001)&amp;"-"&amp;$A$2:$A$4001,0,-1)),H1244))</f>
        <v>9</v>
      </c>
      <c r="J1244" cm="1">
        <f t="array" ref="J1244">IF(OR(AND(I1244=9,J$1&gt;YEAR($N1244))),9,_xlfn.IFNA(INDEX($D$2:$D$4001,_xlfn.XMATCH(J$1&amp;"-"&amp;$F1244,YEAR($B$2:$B$4001)&amp;"-"&amp;$A$2:$A$4001,0,-1)),I1244))</f>
        <v>0</v>
      </c>
      <c r="K1244" cm="1">
        <f t="array" ref="K1244">IF(OR(AND(J1244=9,K$1&gt;YEAR($N1244))),9,_xlfn.IFNA(INDEX($D$2:$D$4001,_xlfn.XMATCH(K$1&amp;"-"&amp;$F1244,YEAR($B$2:$B$4001)&amp;"-"&amp;$A$2:$A$4001,0,-1)),J1244))</f>
        <v>0</v>
      </c>
      <c r="L1244" cm="1">
        <f t="array" ref="L1244">IF(OR(AND(K1244=9,L$1&gt;YEAR($N1244))),9,_xlfn.IFNA(INDEX($D$2:$D$4001,_xlfn.XMATCH(L$1&amp;"-"&amp;$F1244,YEAR($B$2:$B$4001)&amp;"-"&amp;$A$2:$A$4001,0,-1)),K1244))</f>
        <v>0</v>
      </c>
      <c r="M1244" cm="1">
        <f t="array" ref="M1244">IF(OR(AND(L1244=9,M$1&gt;YEAR($N1244))),9,_xlfn.IFNA(INDEX($D$2:$D$4001,_xlfn.XMATCH(M$1&amp;"-"&amp;$F1244,YEAR($B$2:$B$4001)&amp;"-"&amp;$A$2:$A$4001,0,-1)),L1244))</f>
        <v>0</v>
      </c>
      <c r="N1244" s="1">
        <f t="shared" si="19"/>
        <v>37620</v>
      </c>
    </row>
    <row r="1245" spans="1:14" x14ac:dyDescent="0.35">
      <c r="A1245">
        <v>601</v>
      </c>
      <c r="B1245" s="2">
        <v>38493</v>
      </c>
      <c r="C1245">
        <v>4</v>
      </c>
      <c r="D1245">
        <v>4</v>
      </c>
      <c r="F1245">
        <v>1244</v>
      </c>
      <c r="G1245" cm="1">
        <f t="array" ref="G1245">_xlfn.IFNA(INDEX($D$2:$D$4001,_xlfn.XMATCH(G$1&amp;"-"&amp;$F1245,YEAR($B$2:$B$4001)&amp;"-"&amp;$A$2:$A$4001,0,-1)),9)</f>
        <v>9</v>
      </c>
      <c r="H1245" cm="1">
        <f t="array" ref="H1245">IF(OR(AND(G1245=9,H$1&gt;YEAR($N1245))),9,_xlfn.IFNA(INDEX($D$2:$D$4001,_xlfn.XMATCH(H$1&amp;"-"&amp;$F1245,YEAR($B$2:$B$4001)&amp;"-"&amp;$A$2:$A$4001,0,-1)),G1245))</f>
        <v>9</v>
      </c>
      <c r="I1245" cm="1">
        <f t="array" ref="I1245">IF(OR(AND(H1245=9,I$1&gt;YEAR($N1245))),9,_xlfn.IFNA(INDEX($D$2:$D$4001,_xlfn.XMATCH(I$1&amp;"-"&amp;$F1245,YEAR($B$2:$B$4001)&amp;"-"&amp;$A$2:$A$4001,0,-1)),H1245))</f>
        <v>5</v>
      </c>
      <c r="J1245" cm="1">
        <f t="array" ref="J1245">IF(OR(AND(I1245=9,J$1&gt;YEAR($N1245))),9,_xlfn.IFNA(INDEX($D$2:$D$4001,_xlfn.XMATCH(J$1&amp;"-"&amp;$F1245,YEAR($B$2:$B$4001)&amp;"-"&amp;$A$2:$A$4001,0,-1)),I1245))</f>
        <v>5</v>
      </c>
      <c r="K1245" cm="1">
        <f t="array" ref="K1245">IF(OR(AND(J1245=9,K$1&gt;YEAR($N1245))),9,_xlfn.IFNA(INDEX($D$2:$D$4001,_xlfn.XMATCH(K$1&amp;"-"&amp;$F1245,YEAR($B$2:$B$4001)&amp;"-"&amp;$A$2:$A$4001,0,-1)),J1245))</f>
        <v>5</v>
      </c>
      <c r="L1245" cm="1">
        <f t="array" ref="L1245">IF(OR(AND(K1245=9,L$1&gt;YEAR($N1245))),9,_xlfn.IFNA(INDEX($D$2:$D$4001,_xlfn.XMATCH(L$1&amp;"-"&amp;$F1245,YEAR($B$2:$B$4001)&amp;"-"&amp;$A$2:$A$4001,0,-1)),K1245))</f>
        <v>5</v>
      </c>
      <c r="M1245" cm="1">
        <f t="array" ref="M1245">IF(OR(AND(L1245=9,M$1&gt;YEAR($N1245))),9,_xlfn.IFNA(INDEX($D$2:$D$4001,_xlfn.XMATCH(M$1&amp;"-"&amp;$F1245,YEAR($B$2:$B$4001)&amp;"-"&amp;$A$2:$A$4001,0,-1)),L1245))</f>
        <v>5</v>
      </c>
      <c r="N1245" s="1">
        <f t="shared" si="19"/>
        <v>37124</v>
      </c>
    </row>
    <row r="1246" spans="1:14" x14ac:dyDescent="0.35">
      <c r="A1246">
        <v>602</v>
      </c>
      <c r="B1246" s="2">
        <v>36676</v>
      </c>
      <c r="C1246">
        <v>5</v>
      </c>
      <c r="D1246">
        <v>5</v>
      </c>
      <c r="F1246">
        <v>1245</v>
      </c>
      <c r="G1246" cm="1">
        <f t="array" ref="G1246">_xlfn.IFNA(INDEX($D$2:$D$4001,_xlfn.XMATCH(G$1&amp;"-"&amp;$F1246,YEAR($B$2:$B$4001)&amp;"-"&amp;$A$2:$A$4001,0,-1)),9)</f>
        <v>9</v>
      </c>
      <c r="H1246" cm="1">
        <f t="array" ref="H1246">IF(OR(AND(G1246=9,H$1&gt;YEAR($N1246))),9,_xlfn.IFNA(INDEX($D$2:$D$4001,_xlfn.XMATCH(H$1&amp;"-"&amp;$F1246,YEAR($B$2:$B$4001)&amp;"-"&amp;$A$2:$A$4001,0,-1)),G1246))</f>
        <v>9</v>
      </c>
      <c r="I1246" cm="1">
        <f t="array" ref="I1246">IF(OR(AND(H1246=9,I$1&gt;YEAR($N1246))),9,_xlfn.IFNA(INDEX($D$2:$D$4001,_xlfn.XMATCH(I$1&amp;"-"&amp;$F1246,YEAR($B$2:$B$4001)&amp;"-"&amp;$A$2:$A$4001,0,-1)),H1246))</f>
        <v>4</v>
      </c>
      <c r="J1246" cm="1">
        <f t="array" ref="J1246">IF(OR(AND(I1246=9,J$1&gt;YEAR($N1246))),9,_xlfn.IFNA(INDEX($D$2:$D$4001,_xlfn.XMATCH(J$1&amp;"-"&amp;$F1246,YEAR($B$2:$B$4001)&amp;"-"&amp;$A$2:$A$4001,0,-1)),I1246))</f>
        <v>4</v>
      </c>
      <c r="K1246" cm="1">
        <f t="array" ref="K1246">IF(OR(AND(J1246=9,K$1&gt;YEAR($N1246))),9,_xlfn.IFNA(INDEX($D$2:$D$4001,_xlfn.XMATCH(K$1&amp;"-"&amp;$F1246,YEAR($B$2:$B$4001)&amp;"-"&amp;$A$2:$A$4001,0,-1)),J1246))</f>
        <v>4</v>
      </c>
      <c r="L1246" cm="1">
        <f t="array" ref="L1246">IF(OR(AND(K1246=9,L$1&gt;YEAR($N1246))),9,_xlfn.IFNA(INDEX($D$2:$D$4001,_xlfn.XMATCH(L$1&amp;"-"&amp;$F1246,YEAR($B$2:$B$4001)&amp;"-"&amp;$A$2:$A$4001,0,-1)),K1246))</f>
        <v>4</v>
      </c>
      <c r="M1246" cm="1">
        <f t="array" ref="M1246">IF(OR(AND(L1246=9,M$1&gt;YEAR($N1246))),9,_xlfn.IFNA(INDEX($D$2:$D$4001,_xlfn.XMATCH(M$1&amp;"-"&amp;$F1246,YEAR($B$2:$B$4001)&amp;"-"&amp;$A$2:$A$4001,0,-1)),L1246))</f>
        <v>4</v>
      </c>
      <c r="N1246" s="1">
        <f t="shared" si="19"/>
        <v>37067</v>
      </c>
    </row>
    <row r="1247" spans="1:14" x14ac:dyDescent="0.35">
      <c r="A1247">
        <v>602</v>
      </c>
      <c r="B1247" s="2">
        <v>37124</v>
      </c>
      <c r="C1247">
        <v>4</v>
      </c>
      <c r="D1247">
        <v>4</v>
      </c>
      <c r="F1247">
        <v>1246</v>
      </c>
      <c r="G1247" cm="1">
        <f t="array" ref="G1247">_xlfn.IFNA(INDEX($D$2:$D$4001,_xlfn.XMATCH(G$1&amp;"-"&amp;$F1247,YEAR($B$2:$B$4001)&amp;"-"&amp;$A$2:$A$4001,0,-1)),9)</f>
        <v>9</v>
      </c>
      <c r="H1247" cm="1">
        <f t="array" ref="H1247">IF(OR(AND(G1247=9,H$1&gt;YEAR($N1247))),9,_xlfn.IFNA(INDEX($D$2:$D$4001,_xlfn.XMATCH(H$1&amp;"-"&amp;$F1247,YEAR($B$2:$B$4001)&amp;"-"&amp;$A$2:$A$4001,0,-1)),G1247))</f>
        <v>9</v>
      </c>
      <c r="I1247" cm="1">
        <f t="array" ref="I1247">IF(OR(AND(H1247=9,I$1&gt;YEAR($N1247))),9,_xlfn.IFNA(INDEX($D$2:$D$4001,_xlfn.XMATCH(I$1&amp;"-"&amp;$F1247,YEAR($B$2:$B$4001)&amp;"-"&amp;$A$2:$A$4001,0,-1)),H1247))</f>
        <v>6</v>
      </c>
      <c r="J1247" cm="1">
        <f t="array" ref="J1247">IF(OR(AND(I1247=9,J$1&gt;YEAR($N1247))),9,_xlfn.IFNA(INDEX($D$2:$D$4001,_xlfn.XMATCH(J$1&amp;"-"&amp;$F1247,YEAR($B$2:$B$4001)&amp;"-"&amp;$A$2:$A$4001,0,-1)),I1247))</f>
        <v>6</v>
      </c>
      <c r="K1247" cm="1">
        <f t="array" ref="K1247">IF(OR(AND(J1247=9,K$1&gt;YEAR($N1247))),9,_xlfn.IFNA(INDEX($D$2:$D$4001,_xlfn.XMATCH(K$1&amp;"-"&amp;$F1247,YEAR($B$2:$B$4001)&amp;"-"&amp;$A$2:$A$4001,0,-1)),J1247))</f>
        <v>5</v>
      </c>
      <c r="L1247" cm="1">
        <f t="array" ref="L1247">IF(OR(AND(K1247=9,L$1&gt;YEAR($N1247))),9,_xlfn.IFNA(INDEX($D$2:$D$4001,_xlfn.XMATCH(L$1&amp;"-"&amp;$F1247,YEAR($B$2:$B$4001)&amp;"-"&amp;$A$2:$A$4001,0,-1)),K1247))</f>
        <v>0</v>
      </c>
      <c r="M1247" cm="1">
        <f t="array" ref="M1247">IF(OR(AND(L1247=9,M$1&gt;YEAR($N1247))),9,_xlfn.IFNA(INDEX($D$2:$D$4001,_xlfn.XMATCH(M$1&amp;"-"&amp;$F1247,YEAR($B$2:$B$4001)&amp;"-"&amp;$A$2:$A$4001,0,-1)),L1247))</f>
        <v>0</v>
      </c>
      <c r="N1247" s="1">
        <f t="shared" si="19"/>
        <v>37216</v>
      </c>
    </row>
    <row r="1248" spans="1:14" x14ac:dyDescent="0.35">
      <c r="A1248">
        <v>603</v>
      </c>
      <c r="B1248" s="2">
        <v>38351</v>
      </c>
      <c r="C1248">
        <v>3</v>
      </c>
      <c r="D1248">
        <v>3</v>
      </c>
      <c r="F1248">
        <v>1247</v>
      </c>
      <c r="G1248" cm="1">
        <f t="array" ref="G1248">_xlfn.IFNA(INDEX($D$2:$D$4001,_xlfn.XMATCH(G$1&amp;"-"&amp;$F1248,YEAR($B$2:$B$4001)&amp;"-"&amp;$A$2:$A$4001,0,-1)),9)</f>
        <v>0</v>
      </c>
      <c r="H1248" cm="1">
        <f t="array" ref="H1248">IF(OR(AND(G1248=9,H$1&gt;YEAR($N1248))),9,_xlfn.IFNA(INDEX($D$2:$D$4001,_xlfn.XMATCH(H$1&amp;"-"&amp;$F1248,YEAR($B$2:$B$4001)&amp;"-"&amp;$A$2:$A$4001,0,-1)),G1248))</f>
        <v>0</v>
      </c>
      <c r="I1248" cm="1">
        <f t="array" ref="I1248">IF(OR(AND(H1248=9,I$1&gt;YEAR($N1248))),9,_xlfn.IFNA(INDEX($D$2:$D$4001,_xlfn.XMATCH(I$1&amp;"-"&amp;$F1248,YEAR($B$2:$B$4001)&amp;"-"&amp;$A$2:$A$4001,0,-1)),H1248))</f>
        <v>0</v>
      </c>
      <c r="J1248" cm="1">
        <f t="array" ref="J1248">IF(OR(AND(I1248=9,J$1&gt;YEAR($N1248))),9,_xlfn.IFNA(INDEX($D$2:$D$4001,_xlfn.XMATCH(J$1&amp;"-"&amp;$F1248,YEAR($B$2:$B$4001)&amp;"-"&amp;$A$2:$A$4001,0,-1)),I1248))</f>
        <v>0</v>
      </c>
      <c r="K1248" cm="1">
        <f t="array" ref="K1248">IF(OR(AND(J1248=9,K$1&gt;YEAR($N1248))),9,_xlfn.IFNA(INDEX($D$2:$D$4001,_xlfn.XMATCH(K$1&amp;"-"&amp;$F1248,YEAR($B$2:$B$4001)&amp;"-"&amp;$A$2:$A$4001,0,-1)),J1248))</f>
        <v>0</v>
      </c>
      <c r="L1248" cm="1">
        <f t="array" ref="L1248">IF(OR(AND(K1248=9,L$1&gt;YEAR($N1248))),9,_xlfn.IFNA(INDEX($D$2:$D$4001,_xlfn.XMATCH(L$1&amp;"-"&amp;$F1248,YEAR($B$2:$B$4001)&amp;"-"&amp;$A$2:$A$4001,0,-1)),K1248))</f>
        <v>0</v>
      </c>
      <c r="M1248" cm="1">
        <f t="array" ref="M1248">IF(OR(AND(L1248=9,M$1&gt;YEAR($N1248))),9,_xlfn.IFNA(INDEX($D$2:$D$4001,_xlfn.XMATCH(M$1&amp;"-"&amp;$F1248,YEAR($B$2:$B$4001)&amp;"-"&amp;$A$2:$A$4001,0,-1)),L1248))</f>
        <v>0</v>
      </c>
      <c r="N1248" s="1">
        <f t="shared" si="19"/>
        <v>36524</v>
      </c>
    </row>
    <row r="1249" spans="1:14" x14ac:dyDescent="0.35">
      <c r="A1249">
        <v>604</v>
      </c>
      <c r="B1249" s="2">
        <v>36310</v>
      </c>
      <c r="C1249">
        <v>4</v>
      </c>
      <c r="D1249">
        <v>4</v>
      </c>
      <c r="F1249">
        <v>1248</v>
      </c>
      <c r="G1249" cm="1">
        <f t="array" ref="G1249">_xlfn.IFNA(INDEX($D$2:$D$4001,_xlfn.XMATCH(G$1&amp;"-"&amp;$F1249,YEAR($B$2:$B$4001)&amp;"-"&amp;$A$2:$A$4001,0,-1)),9)</f>
        <v>4</v>
      </c>
      <c r="H1249" cm="1">
        <f t="array" ref="H1249">IF(OR(AND(G1249=9,H$1&gt;YEAR($N1249))),9,_xlfn.IFNA(INDEX($D$2:$D$4001,_xlfn.XMATCH(H$1&amp;"-"&amp;$F1249,YEAR($B$2:$B$4001)&amp;"-"&amp;$A$2:$A$4001,0,-1)),G1249))</f>
        <v>4</v>
      </c>
      <c r="I1249" cm="1">
        <f t="array" ref="I1249">IF(OR(AND(H1249=9,I$1&gt;YEAR($N1249))),9,_xlfn.IFNA(INDEX($D$2:$D$4001,_xlfn.XMATCH(I$1&amp;"-"&amp;$F1249,YEAR($B$2:$B$4001)&amp;"-"&amp;$A$2:$A$4001,0,-1)),H1249))</f>
        <v>4</v>
      </c>
      <c r="J1249" cm="1">
        <f t="array" ref="J1249">IF(OR(AND(I1249=9,J$1&gt;YEAR($N1249))),9,_xlfn.IFNA(INDEX($D$2:$D$4001,_xlfn.XMATCH(J$1&amp;"-"&amp;$F1249,YEAR($B$2:$B$4001)&amp;"-"&amp;$A$2:$A$4001,0,-1)),I1249))</f>
        <v>3</v>
      </c>
      <c r="K1249" cm="1">
        <f t="array" ref="K1249">IF(OR(AND(J1249=9,K$1&gt;YEAR($N1249))),9,_xlfn.IFNA(INDEX($D$2:$D$4001,_xlfn.XMATCH(K$1&amp;"-"&amp;$F1249,YEAR($B$2:$B$4001)&amp;"-"&amp;$A$2:$A$4001,0,-1)),J1249))</f>
        <v>3</v>
      </c>
      <c r="L1249" cm="1">
        <f t="array" ref="L1249">IF(OR(AND(K1249=9,L$1&gt;YEAR($N1249))),9,_xlfn.IFNA(INDEX($D$2:$D$4001,_xlfn.XMATCH(L$1&amp;"-"&amp;$F1249,YEAR($B$2:$B$4001)&amp;"-"&amp;$A$2:$A$4001,0,-1)),K1249))</f>
        <v>0</v>
      </c>
      <c r="M1249" cm="1">
        <f t="array" ref="M1249">IF(OR(AND(L1249=9,M$1&gt;YEAR($N1249))),9,_xlfn.IFNA(INDEX($D$2:$D$4001,_xlfn.XMATCH(M$1&amp;"-"&amp;$F1249,YEAR($B$2:$B$4001)&amp;"-"&amp;$A$2:$A$4001,0,-1)),L1249))</f>
        <v>0</v>
      </c>
      <c r="N1249" s="1">
        <f t="shared" si="19"/>
        <v>36524</v>
      </c>
    </row>
    <row r="1250" spans="1:14" x14ac:dyDescent="0.35">
      <c r="A1250">
        <v>604</v>
      </c>
      <c r="B1250" s="2">
        <v>37467</v>
      </c>
      <c r="C1250">
        <v>4</v>
      </c>
      <c r="D1250">
        <v>4</v>
      </c>
      <c r="F1250">
        <v>1249</v>
      </c>
      <c r="G1250" cm="1">
        <f t="array" ref="G1250">_xlfn.IFNA(INDEX($D$2:$D$4001,_xlfn.XMATCH(G$1&amp;"-"&amp;$F1250,YEAR($B$2:$B$4001)&amp;"-"&amp;$A$2:$A$4001,0,-1)),9)</f>
        <v>9</v>
      </c>
      <c r="H1250" cm="1">
        <f t="array" ref="H1250">IF(OR(AND(G1250=9,H$1&gt;YEAR($N1250))),9,_xlfn.IFNA(INDEX($D$2:$D$4001,_xlfn.XMATCH(H$1&amp;"-"&amp;$F1250,YEAR($B$2:$B$4001)&amp;"-"&amp;$A$2:$A$4001,0,-1)),G1250))</f>
        <v>9</v>
      </c>
      <c r="I1250" cm="1">
        <f t="array" ref="I1250">IF(OR(AND(H1250=9,I$1&gt;YEAR($N1250))),9,_xlfn.IFNA(INDEX($D$2:$D$4001,_xlfn.XMATCH(I$1&amp;"-"&amp;$F1250,YEAR($B$2:$B$4001)&amp;"-"&amp;$A$2:$A$4001,0,-1)),H1250))</f>
        <v>6</v>
      </c>
      <c r="J1250" cm="1">
        <f t="array" ref="J1250">IF(OR(AND(I1250=9,J$1&gt;YEAR($N1250))),9,_xlfn.IFNA(INDEX($D$2:$D$4001,_xlfn.XMATCH(J$1&amp;"-"&amp;$F1250,YEAR($B$2:$B$4001)&amp;"-"&amp;$A$2:$A$4001,0,-1)),I1250))</f>
        <v>6</v>
      </c>
      <c r="K1250" cm="1">
        <f t="array" ref="K1250">IF(OR(AND(J1250=9,K$1&gt;YEAR($N1250))),9,_xlfn.IFNA(INDEX($D$2:$D$4001,_xlfn.XMATCH(K$1&amp;"-"&amp;$F1250,YEAR($B$2:$B$4001)&amp;"-"&amp;$A$2:$A$4001,0,-1)),J1250))</f>
        <v>5</v>
      </c>
      <c r="L1250" cm="1">
        <f t="array" ref="L1250">IF(OR(AND(K1250=9,L$1&gt;YEAR($N1250))),9,_xlfn.IFNA(INDEX($D$2:$D$4001,_xlfn.XMATCH(L$1&amp;"-"&amp;$F1250,YEAR($B$2:$B$4001)&amp;"-"&amp;$A$2:$A$4001,0,-1)),K1250))</f>
        <v>5</v>
      </c>
      <c r="M1250" cm="1">
        <f t="array" ref="M1250">IF(OR(AND(L1250=9,M$1&gt;YEAR($N1250))),9,_xlfn.IFNA(INDEX($D$2:$D$4001,_xlfn.XMATCH(M$1&amp;"-"&amp;$F1250,YEAR($B$2:$B$4001)&amp;"-"&amp;$A$2:$A$4001,0,-1)),L1250))</f>
        <v>5</v>
      </c>
      <c r="N1250" s="1">
        <f t="shared" si="19"/>
        <v>37032</v>
      </c>
    </row>
    <row r="1251" spans="1:14" x14ac:dyDescent="0.35">
      <c r="A1251">
        <v>604</v>
      </c>
      <c r="B1251" s="2">
        <v>37620</v>
      </c>
      <c r="C1251">
        <v>4</v>
      </c>
      <c r="D1251">
        <v>4</v>
      </c>
      <c r="F1251">
        <v>1250</v>
      </c>
      <c r="G1251" cm="1">
        <f t="array" ref="G1251">_xlfn.IFNA(INDEX($D$2:$D$4001,_xlfn.XMATCH(G$1&amp;"-"&amp;$F1251,YEAR($B$2:$B$4001)&amp;"-"&amp;$A$2:$A$4001,0,-1)),9)</f>
        <v>9</v>
      </c>
      <c r="H1251" cm="1">
        <f t="array" ref="H1251">IF(OR(AND(G1251=9,H$1&gt;YEAR($N1251))),9,_xlfn.IFNA(INDEX($D$2:$D$4001,_xlfn.XMATCH(H$1&amp;"-"&amp;$F1251,YEAR($B$2:$B$4001)&amp;"-"&amp;$A$2:$A$4001,0,-1)),G1251))</f>
        <v>9</v>
      </c>
      <c r="I1251" cm="1">
        <f t="array" ref="I1251">IF(OR(AND(H1251=9,I$1&gt;YEAR($N1251))),9,_xlfn.IFNA(INDEX($D$2:$D$4001,_xlfn.XMATCH(I$1&amp;"-"&amp;$F1251,YEAR($B$2:$B$4001)&amp;"-"&amp;$A$2:$A$4001,0,-1)),H1251))</f>
        <v>9</v>
      </c>
      <c r="J1251" cm="1">
        <f t="array" ref="J1251">IF(OR(AND(I1251=9,J$1&gt;YEAR($N1251))),9,_xlfn.IFNA(INDEX($D$2:$D$4001,_xlfn.XMATCH(J$1&amp;"-"&amp;$F1251,YEAR($B$2:$B$4001)&amp;"-"&amp;$A$2:$A$4001,0,-1)),I1251))</f>
        <v>9</v>
      </c>
      <c r="K1251" cm="1">
        <f t="array" ref="K1251">IF(OR(AND(J1251=9,K$1&gt;YEAR($N1251))),9,_xlfn.IFNA(INDEX($D$2:$D$4001,_xlfn.XMATCH(K$1&amp;"-"&amp;$F1251,YEAR($B$2:$B$4001)&amp;"-"&amp;$A$2:$A$4001,0,-1)),J1251))</f>
        <v>9</v>
      </c>
      <c r="L1251" cm="1">
        <f t="array" ref="L1251">IF(OR(AND(K1251=9,L$1&gt;YEAR($N1251))),9,_xlfn.IFNA(INDEX($D$2:$D$4001,_xlfn.XMATCH(L$1&amp;"-"&amp;$F1251,YEAR($B$2:$B$4001)&amp;"-"&amp;$A$2:$A$4001,0,-1)),K1251))</f>
        <v>5</v>
      </c>
      <c r="M1251" cm="1">
        <f t="array" ref="M1251">IF(OR(AND(L1251=9,M$1&gt;YEAR($N1251))),9,_xlfn.IFNA(INDEX($D$2:$D$4001,_xlfn.XMATCH(M$1&amp;"-"&amp;$F1251,YEAR($B$2:$B$4001)&amp;"-"&amp;$A$2:$A$4001,0,-1)),L1251))</f>
        <v>0</v>
      </c>
      <c r="N1251" s="1">
        <f t="shared" si="19"/>
        <v>38351</v>
      </c>
    </row>
    <row r="1252" spans="1:14" x14ac:dyDescent="0.35">
      <c r="A1252">
        <v>604</v>
      </c>
      <c r="B1252" s="2">
        <v>37620</v>
      </c>
      <c r="C1252">
        <v>5</v>
      </c>
      <c r="D1252">
        <v>5</v>
      </c>
      <c r="F1252">
        <v>1251</v>
      </c>
      <c r="G1252" cm="1">
        <f t="array" ref="G1252">_xlfn.IFNA(INDEX($D$2:$D$4001,_xlfn.XMATCH(G$1&amp;"-"&amp;$F1252,YEAR($B$2:$B$4001)&amp;"-"&amp;$A$2:$A$4001,0,-1)),9)</f>
        <v>9</v>
      </c>
      <c r="H1252" cm="1">
        <f t="array" ref="H1252">IF(OR(AND(G1252=9,H$1&gt;YEAR($N1252))),9,_xlfn.IFNA(INDEX($D$2:$D$4001,_xlfn.XMATCH(H$1&amp;"-"&amp;$F1252,YEAR($B$2:$B$4001)&amp;"-"&amp;$A$2:$A$4001,0,-1)),G1252))</f>
        <v>9</v>
      </c>
      <c r="I1252" cm="1">
        <f t="array" ref="I1252">IF(OR(AND(H1252=9,I$1&gt;YEAR($N1252))),9,_xlfn.IFNA(INDEX($D$2:$D$4001,_xlfn.XMATCH(I$1&amp;"-"&amp;$F1252,YEAR($B$2:$B$4001)&amp;"-"&amp;$A$2:$A$4001,0,-1)),H1252))</f>
        <v>8</v>
      </c>
      <c r="J1252" cm="1">
        <f t="array" ref="J1252">IF(OR(AND(I1252=9,J$1&gt;YEAR($N1252))),9,_xlfn.IFNA(INDEX($D$2:$D$4001,_xlfn.XMATCH(J$1&amp;"-"&amp;$F1252,YEAR($B$2:$B$4001)&amp;"-"&amp;$A$2:$A$4001,0,-1)),I1252))</f>
        <v>8</v>
      </c>
      <c r="K1252" cm="1">
        <f t="array" ref="K1252">IF(OR(AND(J1252=9,K$1&gt;YEAR($N1252))),9,_xlfn.IFNA(INDEX($D$2:$D$4001,_xlfn.XMATCH(K$1&amp;"-"&amp;$F1252,YEAR($B$2:$B$4001)&amp;"-"&amp;$A$2:$A$4001,0,-1)),J1252))</f>
        <v>8</v>
      </c>
      <c r="L1252" cm="1">
        <f t="array" ref="L1252">IF(OR(AND(K1252=9,L$1&gt;YEAR($N1252))),9,_xlfn.IFNA(INDEX($D$2:$D$4001,_xlfn.XMATCH(L$1&amp;"-"&amp;$F1252,YEAR($B$2:$B$4001)&amp;"-"&amp;$A$2:$A$4001,0,-1)),K1252))</f>
        <v>8</v>
      </c>
      <c r="M1252" cm="1">
        <f t="array" ref="M1252">IF(OR(AND(L1252=9,M$1&gt;YEAR($N1252))),9,_xlfn.IFNA(INDEX($D$2:$D$4001,_xlfn.XMATCH(M$1&amp;"-"&amp;$F1252,YEAR($B$2:$B$4001)&amp;"-"&amp;$A$2:$A$4001,0,-1)),L1252))</f>
        <v>8</v>
      </c>
      <c r="N1252" s="1">
        <f t="shared" si="19"/>
        <v>37032</v>
      </c>
    </row>
    <row r="1253" spans="1:14" x14ac:dyDescent="0.35">
      <c r="A1253">
        <v>604</v>
      </c>
      <c r="B1253" s="2">
        <v>37771</v>
      </c>
      <c r="C1253">
        <v>7</v>
      </c>
      <c r="D1253">
        <v>7</v>
      </c>
      <c r="F1253">
        <v>1252</v>
      </c>
      <c r="G1253" cm="1">
        <f t="array" ref="G1253">_xlfn.IFNA(INDEX($D$2:$D$4001,_xlfn.XMATCH(G$1&amp;"-"&amp;$F1253,YEAR($B$2:$B$4001)&amp;"-"&amp;$A$2:$A$4001,0,-1)),9)</f>
        <v>5</v>
      </c>
      <c r="H1253" cm="1">
        <f t="array" ref="H1253">IF(OR(AND(G1253=9,H$1&gt;YEAR($N1253))),9,_xlfn.IFNA(INDEX($D$2:$D$4001,_xlfn.XMATCH(H$1&amp;"-"&amp;$F1253,YEAR($B$2:$B$4001)&amp;"-"&amp;$A$2:$A$4001,0,-1)),G1253))</f>
        <v>5</v>
      </c>
      <c r="I1253" cm="1">
        <f t="array" ref="I1253">IF(OR(AND(H1253=9,I$1&gt;YEAR($N1253))),9,_xlfn.IFNA(INDEX($D$2:$D$4001,_xlfn.XMATCH(I$1&amp;"-"&amp;$F1253,YEAR($B$2:$B$4001)&amp;"-"&amp;$A$2:$A$4001,0,-1)),H1253))</f>
        <v>6</v>
      </c>
      <c r="J1253" cm="1">
        <f t="array" ref="J1253">IF(OR(AND(I1253=9,J$1&gt;YEAR($N1253))),9,_xlfn.IFNA(INDEX($D$2:$D$4001,_xlfn.XMATCH(J$1&amp;"-"&amp;$F1253,YEAR($B$2:$B$4001)&amp;"-"&amp;$A$2:$A$4001,0,-1)),I1253))</f>
        <v>7</v>
      </c>
      <c r="K1253" cm="1">
        <f t="array" ref="K1253">IF(OR(AND(J1253=9,K$1&gt;YEAR($N1253))),9,_xlfn.IFNA(INDEX($D$2:$D$4001,_xlfn.XMATCH(K$1&amp;"-"&amp;$F1253,YEAR($B$2:$B$4001)&amp;"-"&amp;$A$2:$A$4001,0,-1)),J1253))</f>
        <v>8</v>
      </c>
      <c r="L1253" cm="1">
        <f t="array" ref="L1253">IF(OR(AND(K1253=9,L$1&gt;YEAR($N1253))),9,_xlfn.IFNA(INDEX($D$2:$D$4001,_xlfn.XMATCH(L$1&amp;"-"&amp;$F1253,YEAR($B$2:$B$4001)&amp;"-"&amp;$A$2:$A$4001,0,-1)),K1253))</f>
        <v>8</v>
      </c>
      <c r="M1253" cm="1">
        <f t="array" ref="M1253">IF(OR(AND(L1253=9,M$1&gt;YEAR($N1253))),9,_xlfn.IFNA(INDEX($D$2:$D$4001,_xlfn.XMATCH(M$1&amp;"-"&amp;$F1253,YEAR($B$2:$B$4001)&amp;"-"&amp;$A$2:$A$4001,0,-1)),L1253))</f>
        <v>8</v>
      </c>
      <c r="N1253" s="1">
        <f t="shared" si="19"/>
        <v>36524</v>
      </c>
    </row>
    <row r="1254" spans="1:14" x14ac:dyDescent="0.35">
      <c r="A1254">
        <v>605</v>
      </c>
      <c r="B1254" s="2">
        <v>36310</v>
      </c>
      <c r="C1254">
        <v>4</v>
      </c>
      <c r="D1254">
        <v>4</v>
      </c>
      <c r="F1254">
        <v>1253</v>
      </c>
      <c r="G1254" cm="1">
        <f t="array" ref="G1254">_xlfn.IFNA(INDEX($D$2:$D$4001,_xlfn.XMATCH(G$1&amp;"-"&amp;$F1254,YEAR($B$2:$B$4001)&amp;"-"&amp;$A$2:$A$4001,0,-1)),9)</f>
        <v>9</v>
      </c>
      <c r="H1254" cm="1">
        <f t="array" ref="H1254">IF(OR(AND(G1254=9,H$1&gt;YEAR($N1254))),9,_xlfn.IFNA(INDEX($D$2:$D$4001,_xlfn.XMATCH(H$1&amp;"-"&amp;$F1254,YEAR($B$2:$B$4001)&amp;"-"&amp;$A$2:$A$4001,0,-1)),G1254))</f>
        <v>9</v>
      </c>
      <c r="I1254" cm="1">
        <f t="array" ref="I1254">IF(OR(AND(H1254=9,I$1&gt;YEAR($N1254))),9,_xlfn.IFNA(INDEX($D$2:$D$4001,_xlfn.XMATCH(I$1&amp;"-"&amp;$F1254,YEAR($B$2:$B$4001)&amp;"-"&amp;$A$2:$A$4001,0,-1)),H1254))</f>
        <v>9</v>
      </c>
      <c r="J1254" cm="1">
        <f t="array" ref="J1254">IF(OR(AND(I1254=9,J$1&gt;YEAR($N1254))),9,_xlfn.IFNA(INDEX($D$2:$D$4001,_xlfn.XMATCH(J$1&amp;"-"&amp;$F1254,YEAR($B$2:$B$4001)&amp;"-"&amp;$A$2:$A$4001,0,-1)),I1254))</f>
        <v>0</v>
      </c>
      <c r="K1254" cm="1">
        <f t="array" ref="K1254">IF(OR(AND(J1254=9,K$1&gt;YEAR($N1254))),9,_xlfn.IFNA(INDEX($D$2:$D$4001,_xlfn.XMATCH(K$1&amp;"-"&amp;$F1254,YEAR($B$2:$B$4001)&amp;"-"&amp;$A$2:$A$4001,0,-1)),J1254))</f>
        <v>0</v>
      </c>
      <c r="L1254" cm="1">
        <f t="array" ref="L1254">IF(OR(AND(K1254=9,L$1&gt;YEAR($N1254))),9,_xlfn.IFNA(INDEX($D$2:$D$4001,_xlfn.XMATCH(L$1&amp;"-"&amp;$F1254,YEAR($B$2:$B$4001)&amp;"-"&amp;$A$2:$A$4001,0,-1)),K1254))</f>
        <v>0</v>
      </c>
      <c r="M1254" cm="1">
        <f t="array" ref="M1254">IF(OR(AND(L1254=9,M$1&gt;YEAR($N1254))),9,_xlfn.IFNA(INDEX($D$2:$D$4001,_xlfn.XMATCH(M$1&amp;"-"&amp;$F1254,YEAR($B$2:$B$4001)&amp;"-"&amp;$A$2:$A$4001,0,-1)),L1254))</f>
        <v>0</v>
      </c>
      <c r="N1254" s="1">
        <f t="shared" si="19"/>
        <v>37397</v>
      </c>
    </row>
    <row r="1255" spans="1:14" x14ac:dyDescent="0.35">
      <c r="A1255">
        <v>606</v>
      </c>
      <c r="B1255" s="2">
        <v>36524</v>
      </c>
      <c r="C1255">
        <v>6</v>
      </c>
      <c r="D1255">
        <v>6</v>
      </c>
      <c r="F1255">
        <v>1254</v>
      </c>
      <c r="G1255" cm="1">
        <f t="array" ref="G1255">_xlfn.IFNA(INDEX($D$2:$D$4001,_xlfn.XMATCH(G$1&amp;"-"&amp;$F1255,YEAR($B$2:$B$4001)&amp;"-"&amp;$A$2:$A$4001,0,-1)),9)</f>
        <v>9</v>
      </c>
      <c r="H1255" cm="1">
        <f t="array" ref="H1255">IF(OR(AND(G1255=9,H$1&gt;YEAR($N1255))),9,_xlfn.IFNA(INDEX($D$2:$D$4001,_xlfn.XMATCH(H$1&amp;"-"&amp;$F1255,YEAR($B$2:$B$4001)&amp;"-"&amp;$A$2:$A$4001,0,-1)),G1255))</f>
        <v>9</v>
      </c>
      <c r="I1255" cm="1">
        <f t="array" ref="I1255">IF(OR(AND(H1255=9,I$1&gt;YEAR($N1255))),9,_xlfn.IFNA(INDEX($D$2:$D$4001,_xlfn.XMATCH(I$1&amp;"-"&amp;$F1255,YEAR($B$2:$B$4001)&amp;"-"&amp;$A$2:$A$4001,0,-1)),H1255))</f>
        <v>4</v>
      </c>
      <c r="J1255" cm="1">
        <f t="array" ref="J1255">IF(OR(AND(I1255=9,J$1&gt;YEAR($N1255))),9,_xlfn.IFNA(INDEX($D$2:$D$4001,_xlfn.XMATCH(J$1&amp;"-"&amp;$F1255,YEAR($B$2:$B$4001)&amp;"-"&amp;$A$2:$A$4001,0,-1)),I1255))</f>
        <v>4</v>
      </c>
      <c r="K1255" cm="1">
        <f t="array" ref="K1255">IF(OR(AND(J1255=9,K$1&gt;YEAR($N1255))),9,_xlfn.IFNA(INDEX($D$2:$D$4001,_xlfn.XMATCH(K$1&amp;"-"&amp;$F1255,YEAR($B$2:$B$4001)&amp;"-"&amp;$A$2:$A$4001,0,-1)),J1255))</f>
        <v>4</v>
      </c>
      <c r="L1255" cm="1">
        <f t="array" ref="L1255">IF(OR(AND(K1255=9,L$1&gt;YEAR($N1255))),9,_xlfn.IFNA(INDEX($D$2:$D$4001,_xlfn.XMATCH(L$1&amp;"-"&amp;$F1255,YEAR($B$2:$B$4001)&amp;"-"&amp;$A$2:$A$4001,0,-1)),K1255))</f>
        <v>0</v>
      </c>
      <c r="M1255" cm="1">
        <f t="array" ref="M1255">IF(OR(AND(L1255=9,M$1&gt;YEAR($N1255))),9,_xlfn.IFNA(INDEX($D$2:$D$4001,_xlfn.XMATCH(M$1&amp;"-"&amp;$F1255,YEAR($B$2:$B$4001)&amp;"-"&amp;$A$2:$A$4001,0,-1)),L1255))</f>
        <v>0</v>
      </c>
      <c r="N1255" s="1">
        <f t="shared" si="19"/>
        <v>37032</v>
      </c>
    </row>
    <row r="1256" spans="1:14" x14ac:dyDescent="0.35">
      <c r="A1256">
        <v>606</v>
      </c>
      <c r="B1256" s="2">
        <v>36667</v>
      </c>
      <c r="C1256">
        <v>7</v>
      </c>
      <c r="D1256">
        <v>7</v>
      </c>
      <c r="F1256">
        <v>1255</v>
      </c>
      <c r="G1256" cm="1">
        <f t="array" ref="G1256">_xlfn.IFNA(INDEX($D$2:$D$4001,_xlfn.XMATCH(G$1&amp;"-"&amp;$F1256,YEAR($B$2:$B$4001)&amp;"-"&amp;$A$2:$A$4001,0,-1)),9)</f>
        <v>9</v>
      </c>
      <c r="H1256" cm="1">
        <f t="array" ref="H1256">IF(OR(AND(G1256=9,H$1&gt;YEAR($N1256))),9,_xlfn.IFNA(INDEX($D$2:$D$4001,_xlfn.XMATCH(H$1&amp;"-"&amp;$F1256,YEAR($B$2:$B$4001)&amp;"-"&amp;$A$2:$A$4001,0,-1)),G1256))</f>
        <v>0</v>
      </c>
      <c r="I1256" cm="1">
        <f t="array" ref="I1256">IF(OR(AND(H1256=9,I$1&gt;YEAR($N1256))),9,_xlfn.IFNA(INDEX($D$2:$D$4001,_xlfn.XMATCH(I$1&amp;"-"&amp;$F1256,YEAR($B$2:$B$4001)&amp;"-"&amp;$A$2:$A$4001,0,-1)),H1256))</f>
        <v>0</v>
      </c>
      <c r="J1256" cm="1">
        <f t="array" ref="J1256">IF(OR(AND(I1256=9,J$1&gt;YEAR($N1256))),9,_xlfn.IFNA(INDEX($D$2:$D$4001,_xlfn.XMATCH(J$1&amp;"-"&amp;$F1256,YEAR($B$2:$B$4001)&amp;"-"&amp;$A$2:$A$4001,0,-1)),I1256))</f>
        <v>0</v>
      </c>
      <c r="K1256" cm="1">
        <f t="array" ref="K1256">IF(OR(AND(J1256=9,K$1&gt;YEAR($N1256))),9,_xlfn.IFNA(INDEX($D$2:$D$4001,_xlfn.XMATCH(K$1&amp;"-"&amp;$F1256,YEAR($B$2:$B$4001)&amp;"-"&amp;$A$2:$A$4001,0,-1)),J1256))</f>
        <v>0</v>
      </c>
      <c r="L1256" cm="1">
        <f t="array" ref="L1256">IF(OR(AND(K1256=9,L$1&gt;YEAR($N1256))),9,_xlfn.IFNA(INDEX($D$2:$D$4001,_xlfn.XMATCH(L$1&amp;"-"&amp;$F1256,YEAR($B$2:$B$4001)&amp;"-"&amp;$A$2:$A$4001,0,-1)),K1256))</f>
        <v>0</v>
      </c>
      <c r="M1256" cm="1">
        <f t="array" ref="M1256">IF(OR(AND(L1256=9,M$1&gt;YEAR($N1256))),9,_xlfn.IFNA(INDEX($D$2:$D$4001,_xlfn.XMATCH(M$1&amp;"-"&amp;$F1256,YEAR($B$2:$B$4001)&amp;"-"&amp;$A$2:$A$4001,0,-1)),L1256))</f>
        <v>0</v>
      </c>
      <c r="N1256" s="1">
        <f t="shared" si="19"/>
        <v>36667</v>
      </c>
    </row>
    <row r="1257" spans="1:14" x14ac:dyDescent="0.35">
      <c r="A1257">
        <v>606</v>
      </c>
      <c r="B1257" s="2">
        <v>37124</v>
      </c>
      <c r="C1257">
        <v>7</v>
      </c>
      <c r="D1257">
        <v>7</v>
      </c>
      <c r="F1257">
        <v>1256</v>
      </c>
      <c r="G1257" cm="1">
        <f t="array" ref="G1257">_xlfn.IFNA(INDEX($D$2:$D$4001,_xlfn.XMATCH(G$1&amp;"-"&amp;$F1257,YEAR($B$2:$B$4001)&amp;"-"&amp;$A$2:$A$4001,0,-1)),9)</f>
        <v>9</v>
      </c>
      <c r="H1257" cm="1">
        <f t="array" ref="H1257">IF(OR(AND(G1257=9,H$1&gt;YEAR($N1257))),9,_xlfn.IFNA(INDEX($D$2:$D$4001,_xlfn.XMATCH(H$1&amp;"-"&amp;$F1257,YEAR($B$2:$B$4001)&amp;"-"&amp;$A$2:$A$4001,0,-1)),G1257))</f>
        <v>9</v>
      </c>
      <c r="I1257" cm="1">
        <f t="array" ref="I1257">IF(OR(AND(H1257=9,I$1&gt;YEAR($N1257))),9,_xlfn.IFNA(INDEX($D$2:$D$4001,_xlfn.XMATCH(I$1&amp;"-"&amp;$F1257,YEAR($B$2:$B$4001)&amp;"-"&amp;$A$2:$A$4001,0,-1)),H1257))</f>
        <v>4</v>
      </c>
      <c r="J1257" cm="1">
        <f t="array" ref="J1257">IF(OR(AND(I1257=9,J$1&gt;YEAR($N1257))),9,_xlfn.IFNA(INDEX($D$2:$D$4001,_xlfn.XMATCH(J$1&amp;"-"&amp;$F1257,YEAR($B$2:$B$4001)&amp;"-"&amp;$A$2:$A$4001,0,-1)),I1257))</f>
        <v>4</v>
      </c>
      <c r="K1257" cm="1">
        <f t="array" ref="K1257">IF(OR(AND(J1257=9,K$1&gt;YEAR($N1257))),9,_xlfn.IFNA(INDEX($D$2:$D$4001,_xlfn.XMATCH(K$1&amp;"-"&amp;$F1257,YEAR($B$2:$B$4001)&amp;"-"&amp;$A$2:$A$4001,0,-1)),J1257))</f>
        <v>4</v>
      </c>
      <c r="L1257" cm="1">
        <f t="array" ref="L1257">IF(OR(AND(K1257=9,L$1&gt;YEAR($N1257))),9,_xlfn.IFNA(INDEX($D$2:$D$4001,_xlfn.XMATCH(L$1&amp;"-"&amp;$F1257,YEAR($B$2:$B$4001)&amp;"-"&amp;$A$2:$A$4001,0,-1)),K1257))</f>
        <v>4</v>
      </c>
      <c r="M1257" cm="1">
        <f t="array" ref="M1257">IF(OR(AND(L1257=9,M$1&gt;YEAR($N1257))),9,_xlfn.IFNA(INDEX($D$2:$D$4001,_xlfn.XMATCH(M$1&amp;"-"&amp;$F1257,YEAR($B$2:$B$4001)&amp;"-"&amp;$A$2:$A$4001,0,-1)),L1257))</f>
        <v>4</v>
      </c>
      <c r="N1257" s="1">
        <f t="shared" si="19"/>
        <v>37194</v>
      </c>
    </row>
    <row r="1258" spans="1:14" x14ac:dyDescent="0.35">
      <c r="A1258">
        <v>606</v>
      </c>
      <c r="B1258" s="2">
        <v>37406</v>
      </c>
      <c r="C1258">
        <v>0</v>
      </c>
      <c r="D1258">
        <v>0</v>
      </c>
      <c r="F1258">
        <v>1257</v>
      </c>
      <c r="G1258" cm="1">
        <f t="array" ref="G1258">_xlfn.IFNA(INDEX($D$2:$D$4001,_xlfn.XMATCH(G$1&amp;"-"&amp;$F1258,YEAR($B$2:$B$4001)&amp;"-"&amp;$A$2:$A$4001,0,-1)),9)</f>
        <v>4</v>
      </c>
      <c r="H1258" cm="1">
        <f t="array" ref="H1258">IF(OR(AND(G1258=9,H$1&gt;YEAR($N1258))),9,_xlfn.IFNA(INDEX($D$2:$D$4001,_xlfn.XMATCH(H$1&amp;"-"&amp;$F1258,YEAR($B$2:$B$4001)&amp;"-"&amp;$A$2:$A$4001,0,-1)),G1258))</f>
        <v>4</v>
      </c>
      <c r="I1258" cm="1">
        <f t="array" ref="I1258">IF(OR(AND(H1258=9,I$1&gt;YEAR($N1258))),9,_xlfn.IFNA(INDEX($D$2:$D$4001,_xlfn.XMATCH(I$1&amp;"-"&amp;$F1258,YEAR($B$2:$B$4001)&amp;"-"&amp;$A$2:$A$4001,0,-1)),H1258))</f>
        <v>4</v>
      </c>
      <c r="J1258" cm="1">
        <f t="array" ref="J1258">IF(OR(AND(I1258=9,J$1&gt;YEAR($N1258))),9,_xlfn.IFNA(INDEX($D$2:$D$4001,_xlfn.XMATCH(J$1&amp;"-"&amp;$F1258,YEAR($B$2:$B$4001)&amp;"-"&amp;$A$2:$A$4001,0,-1)),I1258))</f>
        <v>4</v>
      </c>
      <c r="K1258" cm="1">
        <f t="array" ref="K1258">IF(OR(AND(J1258=9,K$1&gt;YEAR($N1258))),9,_xlfn.IFNA(INDEX($D$2:$D$4001,_xlfn.XMATCH(K$1&amp;"-"&amp;$F1258,YEAR($B$2:$B$4001)&amp;"-"&amp;$A$2:$A$4001,0,-1)),J1258))</f>
        <v>4</v>
      </c>
      <c r="L1258" cm="1">
        <f t="array" ref="L1258">IF(OR(AND(K1258=9,L$1&gt;YEAR($N1258))),9,_xlfn.IFNA(INDEX($D$2:$D$4001,_xlfn.XMATCH(L$1&amp;"-"&amp;$F1258,YEAR($B$2:$B$4001)&amp;"-"&amp;$A$2:$A$4001,0,-1)),K1258))</f>
        <v>4</v>
      </c>
      <c r="M1258" cm="1">
        <f t="array" ref="M1258">IF(OR(AND(L1258=9,M$1&gt;YEAR($N1258))),9,_xlfn.IFNA(INDEX($D$2:$D$4001,_xlfn.XMATCH(M$1&amp;"-"&amp;$F1258,YEAR($B$2:$B$4001)&amp;"-"&amp;$A$2:$A$4001,0,-1)),L1258))</f>
        <v>4</v>
      </c>
      <c r="N1258" s="1">
        <f t="shared" si="19"/>
        <v>36524</v>
      </c>
    </row>
    <row r="1259" spans="1:14" x14ac:dyDescent="0.35">
      <c r="A1259">
        <v>607</v>
      </c>
      <c r="B1259" s="2">
        <v>37155</v>
      </c>
      <c r="C1259">
        <v>4</v>
      </c>
      <c r="D1259">
        <v>4</v>
      </c>
      <c r="F1259">
        <v>1258</v>
      </c>
      <c r="G1259" cm="1">
        <f t="array" ref="G1259">_xlfn.IFNA(INDEX($D$2:$D$4001,_xlfn.XMATCH(G$1&amp;"-"&amp;$F1259,YEAR($B$2:$B$4001)&amp;"-"&amp;$A$2:$A$4001,0,-1)),9)</f>
        <v>9</v>
      </c>
      <c r="H1259" cm="1">
        <f t="array" ref="H1259">IF(OR(AND(G1259=9,H$1&gt;YEAR($N1259))),9,_xlfn.IFNA(INDEX($D$2:$D$4001,_xlfn.XMATCH(H$1&amp;"-"&amp;$F1259,YEAR($B$2:$B$4001)&amp;"-"&amp;$A$2:$A$4001,0,-1)),G1259))</f>
        <v>9</v>
      </c>
      <c r="I1259" cm="1">
        <f t="array" ref="I1259">IF(OR(AND(H1259=9,I$1&gt;YEAR($N1259))),9,_xlfn.IFNA(INDEX($D$2:$D$4001,_xlfn.XMATCH(I$1&amp;"-"&amp;$F1259,YEAR($B$2:$B$4001)&amp;"-"&amp;$A$2:$A$4001,0,-1)),H1259))</f>
        <v>9</v>
      </c>
      <c r="J1259" cm="1">
        <f t="array" ref="J1259">IF(OR(AND(I1259=9,J$1&gt;YEAR($N1259))),9,_xlfn.IFNA(INDEX($D$2:$D$4001,_xlfn.XMATCH(J$1&amp;"-"&amp;$F1259,YEAR($B$2:$B$4001)&amp;"-"&amp;$A$2:$A$4001,0,-1)),I1259))</f>
        <v>9</v>
      </c>
      <c r="K1259" cm="1">
        <f t="array" ref="K1259">IF(OR(AND(J1259=9,K$1&gt;YEAR($N1259))),9,_xlfn.IFNA(INDEX($D$2:$D$4001,_xlfn.XMATCH(K$1&amp;"-"&amp;$F1259,YEAR($B$2:$B$4001)&amp;"-"&amp;$A$2:$A$4001,0,-1)),J1259))</f>
        <v>9</v>
      </c>
      <c r="L1259" cm="1">
        <f t="array" ref="L1259">IF(OR(AND(K1259=9,L$1&gt;YEAR($N1259))),9,_xlfn.IFNA(INDEX($D$2:$D$4001,_xlfn.XMATCH(L$1&amp;"-"&amp;$F1259,YEAR($B$2:$B$4001)&amp;"-"&amp;$A$2:$A$4001,0,-1)),K1259))</f>
        <v>3</v>
      </c>
      <c r="M1259" cm="1">
        <f t="array" ref="M1259">IF(OR(AND(L1259=9,M$1&gt;YEAR($N1259))),9,_xlfn.IFNA(INDEX($D$2:$D$4001,_xlfn.XMATCH(M$1&amp;"-"&amp;$F1259,YEAR($B$2:$B$4001)&amp;"-"&amp;$A$2:$A$4001,0,-1)),L1259))</f>
        <v>3</v>
      </c>
      <c r="N1259" s="1">
        <f t="shared" si="19"/>
        <v>38159</v>
      </c>
    </row>
    <row r="1260" spans="1:14" x14ac:dyDescent="0.35">
      <c r="A1260">
        <v>608</v>
      </c>
      <c r="B1260" s="2">
        <v>37032</v>
      </c>
      <c r="C1260">
        <v>2</v>
      </c>
      <c r="D1260">
        <v>2</v>
      </c>
      <c r="F1260">
        <v>1259</v>
      </c>
      <c r="G1260" cm="1">
        <f t="array" ref="G1260">_xlfn.IFNA(INDEX($D$2:$D$4001,_xlfn.XMATCH(G$1&amp;"-"&amp;$F1260,YEAR($B$2:$B$4001)&amp;"-"&amp;$A$2:$A$4001,0,-1)),9)</f>
        <v>9</v>
      </c>
      <c r="H1260" cm="1">
        <f t="array" ref="H1260">IF(OR(AND(G1260=9,H$1&gt;YEAR($N1260))),9,_xlfn.IFNA(INDEX($D$2:$D$4001,_xlfn.XMATCH(H$1&amp;"-"&amp;$F1260,YEAR($B$2:$B$4001)&amp;"-"&amp;$A$2:$A$4001,0,-1)),G1260))</f>
        <v>9</v>
      </c>
      <c r="I1260" cm="1">
        <f t="array" ref="I1260">IF(OR(AND(H1260=9,I$1&gt;YEAR($N1260))),9,_xlfn.IFNA(INDEX($D$2:$D$4001,_xlfn.XMATCH(I$1&amp;"-"&amp;$F1260,YEAR($B$2:$B$4001)&amp;"-"&amp;$A$2:$A$4001,0,-1)),H1260))</f>
        <v>9</v>
      </c>
      <c r="J1260" cm="1">
        <f t="array" ref="J1260">IF(OR(AND(I1260=9,J$1&gt;YEAR($N1260))),9,_xlfn.IFNA(INDEX($D$2:$D$4001,_xlfn.XMATCH(J$1&amp;"-"&amp;$F1260,YEAR($B$2:$B$4001)&amp;"-"&amp;$A$2:$A$4001,0,-1)),I1260))</f>
        <v>5</v>
      </c>
      <c r="K1260" cm="1">
        <f t="array" ref="K1260">IF(OR(AND(J1260=9,K$1&gt;YEAR($N1260))),9,_xlfn.IFNA(INDEX($D$2:$D$4001,_xlfn.XMATCH(K$1&amp;"-"&amp;$F1260,YEAR($B$2:$B$4001)&amp;"-"&amp;$A$2:$A$4001,0,-1)),J1260))</f>
        <v>5</v>
      </c>
      <c r="L1260" cm="1">
        <f t="array" ref="L1260">IF(OR(AND(K1260=9,L$1&gt;YEAR($N1260))),9,_xlfn.IFNA(INDEX($D$2:$D$4001,_xlfn.XMATCH(L$1&amp;"-"&amp;$F1260,YEAR($B$2:$B$4001)&amp;"-"&amp;$A$2:$A$4001,0,-1)),K1260))</f>
        <v>5</v>
      </c>
      <c r="M1260" cm="1">
        <f t="array" ref="M1260">IF(OR(AND(L1260=9,M$1&gt;YEAR($N1260))),9,_xlfn.IFNA(INDEX($D$2:$D$4001,_xlfn.XMATCH(M$1&amp;"-"&amp;$F1260,YEAR($B$2:$B$4001)&amp;"-"&amp;$A$2:$A$4001,0,-1)),L1260))</f>
        <v>4</v>
      </c>
      <c r="N1260" s="1">
        <f t="shared" si="19"/>
        <v>37397</v>
      </c>
    </row>
    <row r="1261" spans="1:14" x14ac:dyDescent="0.35">
      <c r="A1261">
        <v>609</v>
      </c>
      <c r="B1261" s="2">
        <v>37216</v>
      </c>
      <c r="C1261">
        <v>4</v>
      </c>
      <c r="D1261">
        <v>4</v>
      </c>
      <c r="F1261">
        <v>1260</v>
      </c>
      <c r="G1261" cm="1">
        <f t="array" ref="G1261">_xlfn.IFNA(INDEX($D$2:$D$4001,_xlfn.XMATCH(G$1&amp;"-"&amp;$F1261,YEAR($B$2:$B$4001)&amp;"-"&amp;$A$2:$A$4001,0,-1)),9)</f>
        <v>9</v>
      </c>
      <c r="H1261" cm="1">
        <f t="array" ref="H1261">IF(OR(AND(G1261=9,H$1&gt;YEAR($N1261))),9,_xlfn.IFNA(INDEX($D$2:$D$4001,_xlfn.XMATCH(H$1&amp;"-"&amp;$F1261,YEAR($B$2:$B$4001)&amp;"-"&amp;$A$2:$A$4001,0,-1)),G1261))</f>
        <v>4</v>
      </c>
      <c r="I1261" cm="1">
        <f t="array" ref="I1261">IF(OR(AND(H1261=9,I$1&gt;YEAR($N1261))),9,_xlfn.IFNA(INDEX($D$2:$D$4001,_xlfn.XMATCH(I$1&amp;"-"&amp;$F1261,YEAR($B$2:$B$4001)&amp;"-"&amp;$A$2:$A$4001,0,-1)),H1261))</f>
        <v>4</v>
      </c>
      <c r="J1261" cm="1">
        <f t="array" ref="J1261">IF(OR(AND(I1261=9,J$1&gt;YEAR($N1261))),9,_xlfn.IFNA(INDEX($D$2:$D$4001,_xlfn.XMATCH(J$1&amp;"-"&amp;$F1261,YEAR($B$2:$B$4001)&amp;"-"&amp;$A$2:$A$4001,0,-1)),I1261))</f>
        <v>4</v>
      </c>
      <c r="K1261" cm="1">
        <f t="array" ref="K1261">IF(OR(AND(J1261=9,K$1&gt;YEAR($N1261))),9,_xlfn.IFNA(INDEX($D$2:$D$4001,_xlfn.XMATCH(K$1&amp;"-"&amp;$F1261,YEAR($B$2:$B$4001)&amp;"-"&amp;$A$2:$A$4001,0,-1)),J1261))</f>
        <v>4</v>
      </c>
      <c r="L1261" cm="1">
        <f t="array" ref="L1261">IF(OR(AND(K1261=9,L$1&gt;YEAR($N1261))),9,_xlfn.IFNA(INDEX($D$2:$D$4001,_xlfn.XMATCH(L$1&amp;"-"&amp;$F1261,YEAR($B$2:$B$4001)&amp;"-"&amp;$A$2:$A$4001,0,-1)),K1261))</f>
        <v>4</v>
      </c>
      <c r="M1261" cm="1">
        <f t="array" ref="M1261">IF(OR(AND(L1261=9,M$1&gt;YEAR($N1261))),9,_xlfn.IFNA(INDEX($D$2:$D$4001,_xlfn.XMATCH(M$1&amp;"-"&amp;$F1261,YEAR($B$2:$B$4001)&amp;"-"&amp;$A$2:$A$4001,0,-1)),L1261))</f>
        <v>4</v>
      </c>
      <c r="N1261" s="1">
        <f t="shared" si="19"/>
        <v>36672</v>
      </c>
    </row>
    <row r="1262" spans="1:14" x14ac:dyDescent="0.35">
      <c r="A1262">
        <v>610</v>
      </c>
      <c r="B1262" s="2">
        <v>36524</v>
      </c>
      <c r="C1262">
        <v>5</v>
      </c>
      <c r="D1262">
        <v>5</v>
      </c>
      <c r="F1262">
        <v>1261</v>
      </c>
      <c r="G1262" cm="1">
        <f t="array" ref="G1262">_xlfn.IFNA(INDEX($D$2:$D$4001,_xlfn.XMATCH(G$1&amp;"-"&amp;$F1262,YEAR($B$2:$B$4001)&amp;"-"&amp;$A$2:$A$4001,0,-1)),9)</f>
        <v>4</v>
      </c>
      <c r="H1262" cm="1">
        <f t="array" ref="H1262">IF(OR(AND(G1262=9,H$1&gt;YEAR($N1262))),9,_xlfn.IFNA(INDEX($D$2:$D$4001,_xlfn.XMATCH(H$1&amp;"-"&amp;$F1262,YEAR($B$2:$B$4001)&amp;"-"&amp;$A$2:$A$4001,0,-1)),G1262))</f>
        <v>3</v>
      </c>
      <c r="I1262" cm="1">
        <f t="array" ref="I1262">IF(OR(AND(H1262=9,I$1&gt;YEAR($N1262))),9,_xlfn.IFNA(INDEX($D$2:$D$4001,_xlfn.XMATCH(I$1&amp;"-"&amp;$F1262,YEAR($B$2:$B$4001)&amp;"-"&amp;$A$2:$A$4001,0,-1)),H1262))</f>
        <v>3</v>
      </c>
      <c r="J1262" cm="1">
        <f t="array" ref="J1262">IF(OR(AND(I1262=9,J$1&gt;YEAR($N1262))),9,_xlfn.IFNA(INDEX($D$2:$D$4001,_xlfn.XMATCH(J$1&amp;"-"&amp;$F1262,YEAR($B$2:$B$4001)&amp;"-"&amp;$A$2:$A$4001,0,-1)),I1262))</f>
        <v>3</v>
      </c>
      <c r="K1262" cm="1">
        <f t="array" ref="K1262">IF(OR(AND(J1262=9,K$1&gt;YEAR($N1262))),9,_xlfn.IFNA(INDEX($D$2:$D$4001,_xlfn.XMATCH(K$1&amp;"-"&amp;$F1262,YEAR($B$2:$B$4001)&amp;"-"&amp;$A$2:$A$4001,0,-1)),J1262))</f>
        <v>3</v>
      </c>
      <c r="L1262" cm="1">
        <f t="array" ref="L1262">IF(OR(AND(K1262=9,L$1&gt;YEAR($N1262))),9,_xlfn.IFNA(INDEX($D$2:$D$4001,_xlfn.XMATCH(L$1&amp;"-"&amp;$F1262,YEAR($B$2:$B$4001)&amp;"-"&amp;$A$2:$A$4001,0,-1)),K1262))</f>
        <v>3</v>
      </c>
      <c r="M1262" cm="1">
        <f t="array" ref="M1262">IF(OR(AND(L1262=9,M$1&gt;YEAR($N1262))),9,_xlfn.IFNA(INDEX($D$2:$D$4001,_xlfn.XMATCH(M$1&amp;"-"&amp;$F1262,YEAR($B$2:$B$4001)&amp;"-"&amp;$A$2:$A$4001,0,-1)),L1262))</f>
        <v>3</v>
      </c>
      <c r="N1262" s="1">
        <f t="shared" si="19"/>
        <v>36402</v>
      </c>
    </row>
    <row r="1263" spans="1:14" x14ac:dyDescent="0.35">
      <c r="A1263">
        <v>611</v>
      </c>
      <c r="B1263" s="2">
        <v>36310</v>
      </c>
      <c r="C1263">
        <v>4</v>
      </c>
      <c r="D1263">
        <v>4</v>
      </c>
      <c r="F1263">
        <v>1262</v>
      </c>
      <c r="G1263" cm="1">
        <f t="array" ref="G1263">_xlfn.IFNA(INDEX($D$2:$D$4001,_xlfn.XMATCH(G$1&amp;"-"&amp;$F1263,YEAR($B$2:$B$4001)&amp;"-"&amp;$A$2:$A$4001,0,-1)),9)</f>
        <v>9</v>
      </c>
      <c r="H1263" cm="1">
        <f t="array" ref="H1263">IF(OR(AND(G1263=9,H$1&gt;YEAR($N1263))),9,_xlfn.IFNA(INDEX($D$2:$D$4001,_xlfn.XMATCH(H$1&amp;"-"&amp;$F1263,YEAR($B$2:$B$4001)&amp;"-"&amp;$A$2:$A$4001,0,-1)),G1263))</f>
        <v>9</v>
      </c>
      <c r="I1263" cm="1">
        <f t="array" ref="I1263">IF(OR(AND(H1263=9,I$1&gt;YEAR($N1263))),9,_xlfn.IFNA(INDEX($D$2:$D$4001,_xlfn.XMATCH(I$1&amp;"-"&amp;$F1263,YEAR($B$2:$B$4001)&amp;"-"&amp;$A$2:$A$4001,0,-1)),H1263))</f>
        <v>9</v>
      </c>
      <c r="J1263" cm="1">
        <f t="array" ref="J1263">IF(OR(AND(I1263=9,J$1&gt;YEAR($N1263))),9,_xlfn.IFNA(INDEX($D$2:$D$4001,_xlfn.XMATCH(J$1&amp;"-"&amp;$F1263,YEAR($B$2:$B$4001)&amp;"-"&amp;$A$2:$A$4001,0,-1)),I1263))</f>
        <v>3</v>
      </c>
      <c r="K1263" cm="1">
        <f t="array" ref="K1263">IF(OR(AND(J1263=9,K$1&gt;YEAR($N1263))),9,_xlfn.IFNA(INDEX($D$2:$D$4001,_xlfn.XMATCH(K$1&amp;"-"&amp;$F1263,YEAR($B$2:$B$4001)&amp;"-"&amp;$A$2:$A$4001,0,-1)),J1263))</f>
        <v>3</v>
      </c>
      <c r="L1263" cm="1">
        <f t="array" ref="L1263">IF(OR(AND(K1263=9,L$1&gt;YEAR($N1263))),9,_xlfn.IFNA(INDEX($D$2:$D$4001,_xlfn.XMATCH(L$1&amp;"-"&amp;$F1263,YEAR($B$2:$B$4001)&amp;"-"&amp;$A$2:$A$4001,0,-1)),K1263))</f>
        <v>3</v>
      </c>
      <c r="M1263" cm="1">
        <f t="array" ref="M1263">IF(OR(AND(L1263=9,M$1&gt;YEAR($N1263))),9,_xlfn.IFNA(INDEX($D$2:$D$4001,_xlfn.XMATCH(M$1&amp;"-"&amp;$F1263,YEAR($B$2:$B$4001)&amp;"-"&amp;$A$2:$A$4001,0,-1)),L1263))</f>
        <v>3</v>
      </c>
      <c r="N1263" s="1">
        <f t="shared" si="19"/>
        <v>37620</v>
      </c>
    </row>
    <row r="1264" spans="1:14" x14ac:dyDescent="0.35">
      <c r="A1264">
        <v>611</v>
      </c>
      <c r="B1264" s="2">
        <v>37406</v>
      </c>
      <c r="C1264">
        <v>4</v>
      </c>
      <c r="D1264">
        <v>4</v>
      </c>
      <c r="F1264">
        <v>1263</v>
      </c>
      <c r="G1264" cm="1">
        <f t="array" ref="G1264">_xlfn.IFNA(INDEX($D$2:$D$4001,_xlfn.XMATCH(G$1&amp;"-"&amp;$F1264,YEAR($B$2:$B$4001)&amp;"-"&amp;$A$2:$A$4001,0,-1)),9)</f>
        <v>9</v>
      </c>
      <c r="H1264" cm="1">
        <f t="array" ref="H1264">IF(OR(AND(G1264=9,H$1&gt;YEAR($N1264))),9,_xlfn.IFNA(INDEX($D$2:$D$4001,_xlfn.XMATCH(H$1&amp;"-"&amp;$F1264,YEAR($B$2:$B$4001)&amp;"-"&amp;$A$2:$A$4001,0,-1)),G1264))</f>
        <v>9</v>
      </c>
      <c r="I1264" cm="1">
        <f t="array" ref="I1264">IF(OR(AND(H1264=9,I$1&gt;YEAR($N1264))),9,_xlfn.IFNA(INDEX($D$2:$D$4001,_xlfn.XMATCH(I$1&amp;"-"&amp;$F1264,YEAR($B$2:$B$4001)&amp;"-"&amp;$A$2:$A$4001,0,-1)),H1264))</f>
        <v>9</v>
      </c>
      <c r="J1264" cm="1">
        <f t="array" ref="J1264">IF(OR(AND(I1264=9,J$1&gt;YEAR($N1264))),9,_xlfn.IFNA(INDEX($D$2:$D$4001,_xlfn.XMATCH(J$1&amp;"-"&amp;$F1264,YEAR($B$2:$B$4001)&amp;"-"&amp;$A$2:$A$4001,0,-1)),I1264))</f>
        <v>5</v>
      </c>
      <c r="K1264" cm="1">
        <f t="array" ref="K1264">IF(OR(AND(J1264=9,K$1&gt;YEAR($N1264))),9,_xlfn.IFNA(INDEX($D$2:$D$4001,_xlfn.XMATCH(K$1&amp;"-"&amp;$F1264,YEAR($B$2:$B$4001)&amp;"-"&amp;$A$2:$A$4001,0,-1)),J1264))</f>
        <v>7</v>
      </c>
      <c r="L1264" cm="1">
        <f t="array" ref="L1264">IF(OR(AND(K1264=9,L$1&gt;YEAR($N1264))),9,_xlfn.IFNA(INDEX($D$2:$D$4001,_xlfn.XMATCH(L$1&amp;"-"&amp;$F1264,YEAR($B$2:$B$4001)&amp;"-"&amp;$A$2:$A$4001,0,-1)),K1264))</f>
        <v>6</v>
      </c>
      <c r="M1264" cm="1">
        <f t="array" ref="M1264">IF(OR(AND(L1264=9,M$1&gt;YEAR($N1264))),9,_xlfn.IFNA(INDEX($D$2:$D$4001,_xlfn.XMATCH(M$1&amp;"-"&amp;$F1264,YEAR($B$2:$B$4001)&amp;"-"&amp;$A$2:$A$4001,0,-1)),L1264))</f>
        <v>6</v>
      </c>
      <c r="N1264" s="1">
        <f t="shared" si="19"/>
        <v>37406</v>
      </c>
    </row>
    <row r="1265" spans="1:14" x14ac:dyDescent="0.35">
      <c r="A1265">
        <v>611</v>
      </c>
      <c r="B1265" s="2">
        <v>37520</v>
      </c>
      <c r="C1265">
        <v>5</v>
      </c>
      <c r="D1265">
        <v>5</v>
      </c>
      <c r="F1265">
        <v>1264</v>
      </c>
      <c r="G1265" cm="1">
        <f t="array" ref="G1265">_xlfn.IFNA(INDEX($D$2:$D$4001,_xlfn.XMATCH(G$1&amp;"-"&amp;$F1265,YEAR($B$2:$B$4001)&amp;"-"&amp;$A$2:$A$4001,0,-1)),9)</f>
        <v>3</v>
      </c>
      <c r="H1265" cm="1">
        <f t="array" ref="H1265">IF(OR(AND(G1265=9,H$1&gt;YEAR($N1265))),9,_xlfn.IFNA(INDEX($D$2:$D$4001,_xlfn.XMATCH(H$1&amp;"-"&amp;$F1265,YEAR($B$2:$B$4001)&amp;"-"&amp;$A$2:$A$4001,0,-1)),G1265))</f>
        <v>3</v>
      </c>
      <c r="I1265" cm="1">
        <f t="array" ref="I1265">IF(OR(AND(H1265=9,I$1&gt;YEAR($N1265))),9,_xlfn.IFNA(INDEX($D$2:$D$4001,_xlfn.XMATCH(I$1&amp;"-"&amp;$F1265,YEAR($B$2:$B$4001)&amp;"-"&amp;$A$2:$A$4001,0,-1)),H1265))</f>
        <v>3</v>
      </c>
      <c r="J1265" cm="1">
        <f t="array" ref="J1265">IF(OR(AND(I1265=9,J$1&gt;YEAR($N1265))),9,_xlfn.IFNA(INDEX($D$2:$D$4001,_xlfn.XMATCH(J$1&amp;"-"&amp;$F1265,YEAR($B$2:$B$4001)&amp;"-"&amp;$A$2:$A$4001,0,-1)),I1265))</f>
        <v>3</v>
      </c>
      <c r="K1265" cm="1">
        <f t="array" ref="K1265">IF(OR(AND(J1265=9,K$1&gt;YEAR($N1265))),9,_xlfn.IFNA(INDEX($D$2:$D$4001,_xlfn.XMATCH(K$1&amp;"-"&amp;$F1265,YEAR($B$2:$B$4001)&amp;"-"&amp;$A$2:$A$4001,0,-1)),J1265))</f>
        <v>3</v>
      </c>
      <c r="L1265" cm="1">
        <f t="array" ref="L1265">IF(OR(AND(K1265=9,L$1&gt;YEAR($N1265))),9,_xlfn.IFNA(INDEX($D$2:$D$4001,_xlfn.XMATCH(L$1&amp;"-"&amp;$F1265,YEAR($B$2:$B$4001)&amp;"-"&amp;$A$2:$A$4001,0,-1)),K1265))</f>
        <v>3</v>
      </c>
      <c r="M1265" cm="1">
        <f t="array" ref="M1265">IF(OR(AND(L1265=9,M$1&gt;YEAR($N1265))),9,_xlfn.IFNA(INDEX($D$2:$D$4001,_xlfn.XMATCH(M$1&amp;"-"&amp;$F1265,YEAR($B$2:$B$4001)&amp;"-"&amp;$A$2:$A$4001,0,-1)),L1265))</f>
        <v>3</v>
      </c>
      <c r="N1265" s="1">
        <f t="shared" si="19"/>
        <v>36301</v>
      </c>
    </row>
    <row r="1266" spans="1:14" x14ac:dyDescent="0.35">
      <c r="A1266">
        <v>611</v>
      </c>
      <c r="B1266" s="2">
        <v>37955</v>
      </c>
      <c r="C1266">
        <v>6</v>
      </c>
      <c r="D1266">
        <v>6</v>
      </c>
      <c r="F1266">
        <v>1265</v>
      </c>
      <c r="G1266" cm="1">
        <f t="array" ref="G1266">_xlfn.IFNA(INDEX($D$2:$D$4001,_xlfn.XMATCH(G$1&amp;"-"&amp;$F1266,YEAR($B$2:$B$4001)&amp;"-"&amp;$A$2:$A$4001,0,-1)),9)</f>
        <v>3</v>
      </c>
      <c r="H1266" cm="1">
        <f t="array" ref="H1266">IF(OR(AND(G1266=9,H$1&gt;YEAR($N1266))),9,_xlfn.IFNA(INDEX($D$2:$D$4001,_xlfn.XMATCH(H$1&amp;"-"&amp;$F1266,YEAR($B$2:$B$4001)&amp;"-"&amp;$A$2:$A$4001,0,-1)),G1266))</f>
        <v>3</v>
      </c>
      <c r="I1266" cm="1">
        <f t="array" ref="I1266">IF(OR(AND(H1266=9,I$1&gt;YEAR($N1266))),9,_xlfn.IFNA(INDEX($D$2:$D$4001,_xlfn.XMATCH(I$1&amp;"-"&amp;$F1266,YEAR($B$2:$B$4001)&amp;"-"&amp;$A$2:$A$4001,0,-1)),H1266))</f>
        <v>3</v>
      </c>
      <c r="J1266" cm="1">
        <f t="array" ref="J1266">IF(OR(AND(I1266=9,J$1&gt;YEAR($N1266))),9,_xlfn.IFNA(INDEX($D$2:$D$4001,_xlfn.XMATCH(J$1&amp;"-"&amp;$F1266,YEAR($B$2:$B$4001)&amp;"-"&amp;$A$2:$A$4001,0,-1)),I1266))</f>
        <v>3</v>
      </c>
      <c r="K1266" cm="1">
        <f t="array" ref="K1266">IF(OR(AND(J1266=9,K$1&gt;YEAR($N1266))),9,_xlfn.IFNA(INDEX($D$2:$D$4001,_xlfn.XMATCH(K$1&amp;"-"&amp;$F1266,YEAR($B$2:$B$4001)&amp;"-"&amp;$A$2:$A$4001,0,-1)),J1266))</f>
        <v>3</v>
      </c>
      <c r="L1266" cm="1">
        <f t="array" ref="L1266">IF(OR(AND(K1266=9,L$1&gt;YEAR($N1266))),9,_xlfn.IFNA(INDEX($D$2:$D$4001,_xlfn.XMATCH(L$1&amp;"-"&amp;$F1266,YEAR($B$2:$B$4001)&amp;"-"&amp;$A$2:$A$4001,0,-1)),K1266))</f>
        <v>0</v>
      </c>
      <c r="M1266" cm="1">
        <f t="array" ref="M1266">IF(OR(AND(L1266=9,M$1&gt;YEAR($N1266))),9,_xlfn.IFNA(INDEX($D$2:$D$4001,_xlfn.XMATCH(M$1&amp;"-"&amp;$F1266,YEAR($B$2:$B$4001)&amp;"-"&amp;$A$2:$A$4001,0,-1)),L1266))</f>
        <v>0</v>
      </c>
      <c r="N1266" s="1">
        <f t="shared" si="19"/>
        <v>36341</v>
      </c>
    </row>
    <row r="1267" spans="1:14" x14ac:dyDescent="0.35">
      <c r="A1267">
        <v>612</v>
      </c>
      <c r="B1267" s="2">
        <v>36332</v>
      </c>
      <c r="C1267">
        <v>4</v>
      </c>
      <c r="D1267">
        <v>4</v>
      </c>
      <c r="F1267">
        <v>1266</v>
      </c>
      <c r="G1267" cm="1">
        <f t="array" ref="G1267">_xlfn.IFNA(INDEX($D$2:$D$4001,_xlfn.XMATCH(G$1&amp;"-"&amp;$F1267,YEAR($B$2:$B$4001)&amp;"-"&amp;$A$2:$A$4001,0,-1)),9)</f>
        <v>9</v>
      </c>
      <c r="H1267" cm="1">
        <f t="array" ref="H1267">IF(OR(AND(G1267=9,H$1&gt;YEAR($N1267))),9,_xlfn.IFNA(INDEX($D$2:$D$4001,_xlfn.XMATCH(H$1&amp;"-"&amp;$F1267,YEAR($B$2:$B$4001)&amp;"-"&amp;$A$2:$A$4001,0,-1)),G1267))</f>
        <v>3</v>
      </c>
      <c r="I1267" cm="1">
        <f t="array" ref="I1267">IF(OR(AND(H1267=9,I$1&gt;YEAR($N1267))),9,_xlfn.IFNA(INDEX($D$2:$D$4001,_xlfn.XMATCH(I$1&amp;"-"&amp;$F1267,YEAR($B$2:$B$4001)&amp;"-"&amp;$A$2:$A$4001,0,-1)),H1267))</f>
        <v>3</v>
      </c>
      <c r="J1267" cm="1">
        <f t="array" ref="J1267">IF(OR(AND(I1267=9,J$1&gt;YEAR($N1267))),9,_xlfn.IFNA(INDEX($D$2:$D$4001,_xlfn.XMATCH(J$1&amp;"-"&amp;$F1267,YEAR($B$2:$B$4001)&amp;"-"&amp;$A$2:$A$4001,0,-1)),I1267))</f>
        <v>4</v>
      </c>
      <c r="K1267" cm="1">
        <f t="array" ref="K1267">IF(OR(AND(J1267=9,K$1&gt;YEAR($N1267))),9,_xlfn.IFNA(INDEX($D$2:$D$4001,_xlfn.XMATCH(K$1&amp;"-"&amp;$F1267,YEAR($B$2:$B$4001)&amp;"-"&amp;$A$2:$A$4001,0,-1)),J1267))</f>
        <v>4</v>
      </c>
      <c r="L1267" cm="1">
        <f t="array" ref="L1267">IF(OR(AND(K1267=9,L$1&gt;YEAR($N1267))),9,_xlfn.IFNA(INDEX($D$2:$D$4001,_xlfn.XMATCH(L$1&amp;"-"&amp;$F1267,YEAR($B$2:$B$4001)&amp;"-"&amp;$A$2:$A$4001,0,-1)),K1267))</f>
        <v>4</v>
      </c>
      <c r="M1267" cm="1">
        <f t="array" ref="M1267">IF(OR(AND(L1267=9,M$1&gt;YEAR($N1267))),9,_xlfn.IFNA(INDEX($D$2:$D$4001,_xlfn.XMATCH(M$1&amp;"-"&amp;$F1267,YEAR($B$2:$B$4001)&amp;"-"&amp;$A$2:$A$4001,0,-1)),L1267))</f>
        <v>4</v>
      </c>
      <c r="N1267" s="1">
        <f t="shared" si="19"/>
        <v>36890</v>
      </c>
    </row>
    <row r="1268" spans="1:14" x14ac:dyDescent="0.35">
      <c r="A1268">
        <v>612</v>
      </c>
      <c r="B1268" s="2">
        <v>36768</v>
      </c>
      <c r="C1268">
        <v>3</v>
      </c>
      <c r="D1268">
        <v>3</v>
      </c>
      <c r="F1268">
        <v>1267</v>
      </c>
      <c r="G1268" cm="1">
        <f t="array" ref="G1268">_xlfn.IFNA(INDEX($D$2:$D$4001,_xlfn.XMATCH(G$1&amp;"-"&amp;$F1268,YEAR($B$2:$B$4001)&amp;"-"&amp;$A$2:$A$4001,0,-1)),9)</f>
        <v>9</v>
      </c>
      <c r="H1268" cm="1">
        <f t="array" ref="H1268">IF(OR(AND(G1268=9,H$1&gt;YEAR($N1268))),9,_xlfn.IFNA(INDEX($D$2:$D$4001,_xlfn.XMATCH(H$1&amp;"-"&amp;$F1268,YEAR($B$2:$B$4001)&amp;"-"&amp;$A$2:$A$4001,0,-1)),G1268))</f>
        <v>9</v>
      </c>
      <c r="I1268" cm="1">
        <f t="array" ref="I1268">IF(OR(AND(H1268=9,I$1&gt;YEAR($N1268))),9,_xlfn.IFNA(INDEX($D$2:$D$4001,_xlfn.XMATCH(I$1&amp;"-"&amp;$F1268,YEAR($B$2:$B$4001)&amp;"-"&amp;$A$2:$A$4001,0,-1)),H1268))</f>
        <v>9</v>
      </c>
      <c r="J1268" cm="1">
        <f t="array" ref="J1268">IF(OR(AND(I1268=9,J$1&gt;YEAR($N1268))),9,_xlfn.IFNA(INDEX($D$2:$D$4001,_xlfn.XMATCH(J$1&amp;"-"&amp;$F1268,YEAR($B$2:$B$4001)&amp;"-"&amp;$A$2:$A$4001,0,-1)),I1268))</f>
        <v>3</v>
      </c>
      <c r="K1268" cm="1">
        <f t="array" ref="K1268">IF(OR(AND(J1268=9,K$1&gt;YEAR($N1268))),9,_xlfn.IFNA(INDEX($D$2:$D$4001,_xlfn.XMATCH(K$1&amp;"-"&amp;$F1268,YEAR($B$2:$B$4001)&amp;"-"&amp;$A$2:$A$4001,0,-1)),J1268))</f>
        <v>3</v>
      </c>
      <c r="L1268" cm="1">
        <f t="array" ref="L1268">IF(OR(AND(K1268=9,L$1&gt;YEAR($N1268))),9,_xlfn.IFNA(INDEX($D$2:$D$4001,_xlfn.XMATCH(L$1&amp;"-"&amp;$F1268,YEAR($B$2:$B$4001)&amp;"-"&amp;$A$2:$A$4001,0,-1)),K1268))</f>
        <v>3</v>
      </c>
      <c r="M1268" cm="1">
        <f t="array" ref="M1268">IF(OR(AND(L1268=9,M$1&gt;YEAR($N1268))),9,_xlfn.IFNA(INDEX($D$2:$D$4001,_xlfn.XMATCH(M$1&amp;"-"&amp;$F1268,YEAR($B$2:$B$4001)&amp;"-"&amp;$A$2:$A$4001,0,-1)),L1268))</f>
        <v>3</v>
      </c>
      <c r="N1268" s="1">
        <f t="shared" si="19"/>
        <v>37406</v>
      </c>
    </row>
    <row r="1269" spans="1:14" x14ac:dyDescent="0.35">
      <c r="A1269">
        <v>612</v>
      </c>
      <c r="B1269" s="2">
        <v>37406</v>
      </c>
      <c r="C1269">
        <v>0</v>
      </c>
      <c r="D1269">
        <v>0</v>
      </c>
      <c r="F1269">
        <v>1268</v>
      </c>
      <c r="G1269" cm="1">
        <f t="array" ref="G1269">_xlfn.IFNA(INDEX($D$2:$D$4001,_xlfn.XMATCH(G$1&amp;"-"&amp;$F1269,YEAR($B$2:$B$4001)&amp;"-"&amp;$A$2:$A$4001,0,-1)),9)</f>
        <v>7</v>
      </c>
      <c r="H1269" cm="1">
        <f t="array" ref="H1269">IF(OR(AND(G1269=9,H$1&gt;YEAR($N1269))),9,_xlfn.IFNA(INDEX($D$2:$D$4001,_xlfn.XMATCH(H$1&amp;"-"&amp;$F1269,YEAR($B$2:$B$4001)&amp;"-"&amp;$A$2:$A$4001,0,-1)),G1269))</f>
        <v>7</v>
      </c>
      <c r="I1269" cm="1">
        <f t="array" ref="I1269">IF(OR(AND(H1269=9,I$1&gt;YEAR($N1269))),9,_xlfn.IFNA(INDEX($D$2:$D$4001,_xlfn.XMATCH(I$1&amp;"-"&amp;$F1269,YEAR($B$2:$B$4001)&amp;"-"&amp;$A$2:$A$4001,0,-1)),H1269))</f>
        <v>7</v>
      </c>
      <c r="J1269" cm="1">
        <f t="array" ref="J1269">IF(OR(AND(I1269=9,J$1&gt;YEAR($N1269))),9,_xlfn.IFNA(INDEX($D$2:$D$4001,_xlfn.XMATCH(J$1&amp;"-"&amp;$F1269,YEAR($B$2:$B$4001)&amp;"-"&amp;$A$2:$A$4001,0,-1)),I1269))</f>
        <v>7</v>
      </c>
      <c r="K1269" cm="1">
        <f t="array" ref="K1269">IF(OR(AND(J1269=9,K$1&gt;YEAR($N1269))),9,_xlfn.IFNA(INDEX($D$2:$D$4001,_xlfn.XMATCH(K$1&amp;"-"&amp;$F1269,YEAR($B$2:$B$4001)&amp;"-"&amp;$A$2:$A$4001,0,-1)),J1269))</f>
        <v>6</v>
      </c>
      <c r="L1269" cm="1">
        <f t="array" ref="L1269">IF(OR(AND(K1269=9,L$1&gt;YEAR($N1269))),9,_xlfn.IFNA(INDEX($D$2:$D$4001,_xlfn.XMATCH(L$1&amp;"-"&amp;$F1269,YEAR($B$2:$B$4001)&amp;"-"&amp;$A$2:$A$4001,0,-1)),K1269))</f>
        <v>6</v>
      </c>
      <c r="M1269" cm="1">
        <f t="array" ref="M1269">IF(OR(AND(L1269=9,M$1&gt;YEAR($N1269))),9,_xlfn.IFNA(INDEX($D$2:$D$4001,_xlfn.XMATCH(M$1&amp;"-"&amp;$F1269,YEAR($B$2:$B$4001)&amp;"-"&amp;$A$2:$A$4001,0,-1)),L1269))</f>
        <v>6</v>
      </c>
      <c r="N1269" s="1">
        <f t="shared" si="19"/>
        <v>36524</v>
      </c>
    </row>
    <row r="1270" spans="1:14" x14ac:dyDescent="0.35">
      <c r="A1270">
        <v>613</v>
      </c>
      <c r="B1270" s="2">
        <v>37437</v>
      </c>
      <c r="C1270">
        <v>4</v>
      </c>
      <c r="D1270">
        <v>4</v>
      </c>
      <c r="F1270">
        <v>1269</v>
      </c>
      <c r="G1270" cm="1">
        <f t="array" ref="G1270">_xlfn.IFNA(INDEX($D$2:$D$4001,_xlfn.XMATCH(G$1&amp;"-"&amp;$F1270,YEAR($B$2:$B$4001)&amp;"-"&amp;$A$2:$A$4001,0,-1)),9)</f>
        <v>9</v>
      </c>
      <c r="H1270" cm="1">
        <f t="array" ref="H1270">IF(OR(AND(G1270=9,H$1&gt;YEAR($N1270))),9,_xlfn.IFNA(INDEX($D$2:$D$4001,_xlfn.XMATCH(H$1&amp;"-"&amp;$F1270,YEAR($B$2:$B$4001)&amp;"-"&amp;$A$2:$A$4001,0,-1)),G1270))</f>
        <v>9</v>
      </c>
      <c r="I1270" cm="1">
        <f t="array" ref="I1270">IF(OR(AND(H1270=9,I$1&gt;YEAR($N1270))),9,_xlfn.IFNA(INDEX($D$2:$D$4001,_xlfn.XMATCH(I$1&amp;"-"&amp;$F1270,YEAR($B$2:$B$4001)&amp;"-"&amp;$A$2:$A$4001,0,-1)),H1270))</f>
        <v>9</v>
      </c>
      <c r="J1270" cm="1">
        <f t="array" ref="J1270">IF(OR(AND(I1270=9,J$1&gt;YEAR($N1270))),9,_xlfn.IFNA(INDEX($D$2:$D$4001,_xlfn.XMATCH(J$1&amp;"-"&amp;$F1270,YEAR($B$2:$B$4001)&amp;"-"&amp;$A$2:$A$4001,0,-1)),I1270))</f>
        <v>9</v>
      </c>
      <c r="K1270" cm="1">
        <f t="array" ref="K1270">IF(OR(AND(J1270=9,K$1&gt;YEAR($N1270))),9,_xlfn.IFNA(INDEX($D$2:$D$4001,_xlfn.XMATCH(K$1&amp;"-"&amp;$F1270,YEAR($B$2:$B$4001)&amp;"-"&amp;$A$2:$A$4001,0,-1)),J1270))</f>
        <v>9</v>
      </c>
      <c r="L1270" cm="1">
        <f t="array" ref="L1270">IF(OR(AND(K1270=9,L$1&gt;YEAR($N1270))),9,_xlfn.IFNA(INDEX($D$2:$D$4001,_xlfn.XMATCH(L$1&amp;"-"&amp;$F1270,YEAR($B$2:$B$4001)&amp;"-"&amp;$A$2:$A$4001,0,-1)),K1270))</f>
        <v>9</v>
      </c>
      <c r="M1270" cm="1">
        <f t="array" ref="M1270">IF(OR(AND(L1270=9,M$1&gt;YEAR($N1270))),9,_xlfn.IFNA(INDEX($D$2:$D$4001,_xlfn.XMATCH(M$1&amp;"-"&amp;$F1270,YEAR($B$2:$B$4001)&amp;"-"&amp;$A$2:$A$4001,0,-1)),L1270))</f>
        <v>3</v>
      </c>
      <c r="N1270" s="1">
        <f t="shared" si="19"/>
        <v>38499</v>
      </c>
    </row>
    <row r="1271" spans="1:14" x14ac:dyDescent="0.35">
      <c r="A1271">
        <v>614</v>
      </c>
      <c r="B1271" s="2">
        <v>37038</v>
      </c>
      <c r="C1271">
        <v>3</v>
      </c>
      <c r="D1271">
        <v>3</v>
      </c>
      <c r="F1271">
        <v>1270</v>
      </c>
      <c r="G1271" cm="1">
        <f t="array" ref="G1271">_xlfn.IFNA(INDEX($D$2:$D$4001,_xlfn.XMATCH(G$1&amp;"-"&amp;$F1271,YEAR($B$2:$B$4001)&amp;"-"&amp;$A$2:$A$4001,0,-1)),9)</f>
        <v>9</v>
      </c>
      <c r="H1271" cm="1">
        <f t="array" ref="H1271">IF(OR(AND(G1271=9,H$1&gt;YEAR($N1271))),9,_xlfn.IFNA(INDEX($D$2:$D$4001,_xlfn.XMATCH(H$1&amp;"-"&amp;$F1271,YEAR($B$2:$B$4001)&amp;"-"&amp;$A$2:$A$4001,0,-1)),G1271))</f>
        <v>9</v>
      </c>
      <c r="I1271" cm="1">
        <f t="array" ref="I1271">IF(OR(AND(H1271=9,I$1&gt;YEAR($N1271))),9,_xlfn.IFNA(INDEX($D$2:$D$4001,_xlfn.XMATCH(I$1&amp;"-"&amp;$F1271,YEAR($B$2:$B$4001)&amp;"-"&amp;$A$2:$A$4001,0,-1)),H1271))</f>
        <v>9</v>
      </c>
      <c r="J1271" cm="1">
        <f t="array" ref="J1271">IF(OR(AND(I1271=9,J$1&gt;YEAR($N1271))),9,_xlfn.IFNA(INDEX($D$2:$D$4001,_xlfn.XMATCH(J$1&amp;"-"&amp;$F1271,YEAR($B$2:$B$4001)&amp;"-"&amp;$A$2:$A$4001,0,-1)),I1271))</f>
        <v>9</v>
      </c>
      <c r="K1271" cm="1">
        <f t="array" ref="K1271">IF(OR(AND(J1271=9,K$1&gt;YEAR($N1271))),9,_xlfn.IFNA(INDEX($D$2:$D$4001,_xlfn.XMATCH(K$1&amp;"-"&amp;$F1271,YEAR($B$2:$B$4001)&amp;"-"&amp;$A$2:$A$4001,0,-1)),J1271))</f>
        <v>9</v>
      </c>
      <c r="L1271" cm="1">
        <f t="array" ref="L1271">IF(OR(AND(K1271=9,L$1&gt;YEAR($N1271))),9,_xlfn.IFNA(INDEX($D$2:$D$4001,_xlfn.XMATCH(L$1&amp;"-"&amp;$F1271,YEAR($B$2:$B$4001)&amp;"-"&amp;$A$2:$A$4001,0,-1)),K1271))</f>
        <v>9</v>
      </c>
      <c r="M1271" cm="1">
        <f t="array" ref="M1271">IF(OR(AND(L1271=9,M$1&gt;YEAR($N1271))),9,_xlfn.IFNA(INDEX($D$2:$D$4001,_xlfn.XMATCH(M$1&amp;"-"&amp;$F1271,YEAR($B$2:$B$4001)&amp;"-"&amp;$A$2:$A$4001,0,-1)),L1271))</f>
        <v>3</v>
      </c>
      <c r="N1271" s="1">
        <f t="shared" si="19"/>
        <v>38716</v>
      </c>
    </row>
    <row r="1272" spans="1:14" x14ac:dyDescent="0.35">
      <c r="A1272">
        <v>615</v>
      </c>
      <c r="B1272" s="2">
        <v>37406</v>
      </c>
      <c r="C1272">
        <v>4</v>
      </c>
      <c r="D1272">
        <v>4</v>
      </c>
      <c r="F1272">
        <v>1271</v>
      </c>
      <c r="G1272" cm="1">
        <f t="array" ref="G1272">_xlfn.IFNA(INDEX($D$2:$D$4001,_xlfn.XMATCH(G$1&amp;"-"&amp;$F1272,YEAR($B$2:$B$4001)&amp;"-"&amp;$A$2:$A$4001,0,-1)),9)</f>
        <v>9</v>
      </c>
      <c r="H1272" cm="1">
        <f t="array" ref="H1272">IF(OR(AND(G1272=9,H$1&gt;YEAR($N1272))),9,_xlfn.IFNA(INDEX($D$2:$D$4001,_xlfn.XMATCH(H$1&amp;"-"&amp;$F1272,YEAR($B$2:$B$4001)&amp;"-"&amp;$A$2:$A$4001,0,-1)),G1272))</f>
        <v>3</v>
      </c>
      <c r="I1272" cm="1">
        <f t="array" ref="I1272">IF(OR(AND(H1272=9,I$1&gt;YEAR($N1272))),9,_xlfn.IFNA(INDEX($D$2:$D$4001,_xlfn.XMATCH(I$1&amp;"-"&amp;$F1272,YEAR($B$2:$B$4001)&amp;"-"&amp;$A$2:$A$4001,0,-1)),H1272))</f>
        <v>3</v>
      </c>
      <c r="J1272" cm="1">
        <f t="array" ref="J1272">IF(OR(AND(I1272=9,J$1&gt;YEAR($N1272))),9,_xlfn.IFNA(INDEX($D$2:$D$4001,_xlfn.XMATCH(J$1&amp;"-"&amp;$F1272,YEAR($B$2:$B$4001)&amp;"-"&amp;$A$2:$A$4001,0,-1)),I1272))</f>
        <v>3</v>
      </c>
      <c r="K1272" cm="1">
        <f t="array" ref="K1272">IF(OR(AND(J1272=9,K$1&gt;YEAR($N1272))),9,_xlfn.IFNA(INDEX($D$2:$D$4001,_xlfn.XMATCH(K$1&amp;"-"&amp;$F1272,YEAR($B$2:$B$4001)&amp;"-"&amp;$A$2:$A$4001,0,-1)),J1272))</f>
        <v>3</v>
      </c>
      <c r="L1272" cm="1">
        <f t="array" ref="L1272">IF(OR(AND(K1272=9,L$1&gt;YEAR($N1272))),9,_xlfn.IFNA(INDEX($D$2:$D$4001,_xlfn.XMATCH(L$1&amp;"-"&amp;$F1272,YEAR($B$2:$B$4001)&amp;"-"&amp;$A$2:$A$4001,0,-1)),K1272))</f>
        <v>3</v>
      </c>
      <c r="M1272" cm="1">
        <f t="array" ref="M1272">IF(OR(AND(L1272=9,M$1&gt;YEAR($N1272))),9,_xlfn.IFNA(INDEX($D$2:$D$4001,_xlfn.XMATCH(M$1&amp;"-"&amp;$F1272,YEAR($B$2:$B$4001)&amp;"-"&amp;$A$2:$A$4001,0,-1)),L1272))</f>
        <v>3</v>
      </c>
      <c r="N1272" s="1">
        <f t="shared" si="19"/>
        <v>36667</v>
      </c>
    </row>
    <row r="1273" spans="1:14" x14ac:dyDescent="0.35">
      <c r="A1273">
        <v>615</v>
      </c>
      <c r="B1273" s="2">
        <v>37406</v>
      </c>
      <c r="C1273">
        <v>4</v>
      </c>
      <c r="D1273">
        <v>4</v>
      </c>
      <c r="F1273">
        <v>1272</v>
      </c>
      <c r="G1273" cm="1">
        <f t="array" ref="G1273">_xlfn.IFNA(INDEX($D$2:$D$4001,_xlfn.XMATCH(G$1&amp;"-"&amp;$F1273,YEAR($B$2:$B$4001)&amp;"-"&amp;$A$2:$A$4001,0,-1)),9)</f>
        <v>9</v>
      </c>
      <c r="H1273" cm="1">
        <f t="array" ref="H1273">IF(OR(AND(G1273=9,H$1&gt;YEAR($N1273))),9,_xlfn.IFNA(INDEX($D$2:$D$4001,_xlfn.XMATCH(H$1&amp;"-"&amp;$F1273,YEAR($B$2:$B$4001)&amp;"-"&amp;$A$2:$A$4001,0,-1)),G1273))</f>
        <v>3</v>
      </c>
      <c r="I1273" cm="1">
        <f t="array" ref="I1273">IF(OR(AND(H1273=9,I$1&gt;YEAR($N1273))),9,_xlfn.IFNA(INDEX($D$2:$D$4001,_xlfn.XMATCH(I$1&amp;"-"&amp;$F1273,YEAR($B$2:$B$4001)&amp;"-"&amp;$A$2:$A$4001,0,-1)),H1273))</f>
        <v>3</v>
      </c>
      <c r="J1273" cm="1">
        <f t="array" ref="J1273">IF(OR(AND(I1273=9,J$1&gt;YEAR($N1273))),9,_xlfn.IFNA(INDEX($D$2:$D$4001,_xlfn.XMATCH(J$1&amp;"-"&amp;$F1273,YEAR($B$2:$B$4001)&amp;"-"&amp;$A$2:$A$4001,0,-1)),I1273))</f>
        <v>3</v>
      </c>
      <c r="K1273" cm="1">
        <f t="array" ref="K1273">IF(OR(AND(J1273=9,K$1&gt;YEAR($N1273))),9,_xlfn.IFNA(INDEX($D$2:$D$4001,_xlfn.XMATCH(K$1&amp;"-"&amp;$F1273,YEAR($B$2:$B$4001)&amp;"-"&amp;$A$2:$A$4001,0,-1)),J1273))</f>
        <v>3</v>
      </c>
      <c r="L1273" cm="1">
        <f t="array" ref="L1273">IF(OR(AND(K1273=9,L$1&gt;YEAR($N1273))),9,_xlfn.IFNA(INDEX($D$2:$D$4001,_xlfn.XMATCH(L$1&amp;"-"&amp;$F1273,YEAR($B$2:$B$4001)&amp;"-"&amp;$A$2:$A$4001,0,-1)),K1273))</f>
        <v>3</v>
      </c>
      <c r="M1273" cm="1">
        <f t="array" ref="M1273">IF(OR(AND(L1273=9,M$1&gt;YEAR($N1273))),9,_xlfn.IFNA(INDEX($D$2:$D$4001,_xlfn.XMATCH(M$1&amp;"-"&amp;$F1273,YEAR($B$2:$B$4001)&amp;"-"&amp;$A$2:$A$4001,0,-1)),L1273))</f>
        <v>3</v>
      </c>
      <c r="N1273" s="1">
        <f t="shared" si="19"/>
        <v>36667</v>
      </c>
    </row>
    <row r="1274" spans="1:14" x14ac:dyDescent="0.35">
      <c r="A1274">
        <v>616</v>
      </c>
      <c r="B1274" s="2">
        <v>36820</v>
      </c>
      <c r="C1274">
        <v>4</v>
      </c>
      <c r="D1274">
        <v>4</v>
      </c>
      <c r="F1274">
        <v>1273</v>
      </c>
      <c r="G1274" cm="1">
        <f t="array" ref="G1274">_xlfn.IFNA(INDEX($D$2:$D$4001,_xlfn.XMATCH(G$1&amp;"-"&amp;$F1274,YEAR($B$2:$B$4001)&amp;"-"&amp;$A$2:$A$4001,0,-1)),9)</f>
        <v>9</v>
      </c>
      <c r="H1274" cm="1">
        <f t="array" ref="H1274">IF(OR(AND(G1274=9,H$1&gt;YEAR($N1274))),9,_xlfn.IFNA(INDEX($D$2:$D$4001,_xlfn.XMATCH(H$1&amp;"-"&amp;$F1274,YEAR($B$2:$B$4001)&amp;"-"&amp;$A$2:$A$4001,0,-1)),G1274))</f>
        <v>9</v>
      </c>
      <c r="I1274" cm="1">
        <f t="array" ref="I1274">IF(OR(AND(H1274=9,I$1&gt;YEAR($N1274))),9,_xlfn.IFNA(INDEX($D$2:$D$4001,_xlfn.XMATCH(I$1&amp;"-"&amp;$F1274,YEAR($B$2:$B$4001)&amp;"-"&amp;$A$2:$A$4001,0,-1)),H1274))</f>
        <v>9</v>
      </c>
      <c r="J1274" cm="1">
        <f t="array" ref="J1274">IF(OR(AND(I1274=9,J$1&gt;YEAR($N1274))),9,_xlfn.IFNA(INDEX($D$2:$D$4001,_xlfn.XMATCH(J$1&amp;"-"&amp;$F1274,YEAR($B$2:$B$4001)&amp;"-"&amp;$A$2:$A$4001,0,-1)),I1274))</f>
        <v>9</v>
      </c>
      <c r="K1274" cm="1">
        <f t="array" ref="K1274">IF(OR(AND(J1274=9,K$1&gt;YEAR($N1274))),9,_xlfn.IFNA(INDEX($D$2:$D$4001,_xlfn.XMATCH(K$1&amp;"-"&amp;$F1274,YEAR($B$2:$B$4001)&amp;"-"&amp;$A$2:$A$4001,0,-1)),J1274))</f>
        <v>9</v>
      </c>
      <c r="L1274" cm="1">
        <f t="array" ref="L1274">IF(OR(AND(K1274=9,L$1&gt;YEAR($N1274))),9,_xlfn.IFNA(INDEX($D$2:$D$4001,_xlfn.XMATCH(L$1&amp;"-"&amp;$F1274,YEAR($B$2:$B$4001)&amp;"-"&amp;$A$2:$A$4001,0,-1)),K1274))</f>
        <v>4</v>
      </c>
      <c r="M1274" cm="1">
        <f t="array" ref="M1274">IF(OR(AND(L1274=9,M$1&gt;YEAR($N1274))),9,_xlfn.IFNA(INDEX($D$2:$D$4001,_xlfn.XMATCH(M$1&amp;"-"&amp;$F1274,YEAR($B$2:$B$4001)&amp;"-"&amp;$A$2:$A$4001,0,-1)),L1274))</f>
        <v>4</v>
      </c>
      <c r="N1274" s="1">
        <f t="shared" si="19"/>
        <v>38168</v>
      </c>
    </row>
    <row r="1275" spans="1:14" x14ac:dyDescent="0.35">
      <c r="A1275">
        <v>616</v>
      </c>
      <c r="B1275" s="2">
        <v>37032</v>
      </c>
      <c r="C1275">
        <v>7</v>
      </c>
      <c r="D1275">
        <v>7</v>
      </c>
      <c r="F1275">
        <v>1274</v>
      </c>
      <c r="G1275" cm="1">
        <f t="array" ref="G1275">_xlfn.IFNA(INDEX($D$2:$D$4001,_xlfn.XMATCH(G$1&amp;"-"&amp;$F1275,YEAR($B$2:$B$4001)&amp;"-"&amp;$A$2:$A$4001,0,-1)),9)</f>
        <v>9</v>
      </c>
      <c r="H1275" cm="1">
        <f t="array" ref="H1275">IF(OR(AND(G1275=9,H$1&gt;YEAR($N1275))),9,_xlfn.IFNA(INDEX($D$2:$D$4001,_xlfn.XMATCH(H$1&amp;"-"&amp;$F1275,YEAR($B$2:$B$4001)&amp;"-"&amp;$A$2:$A$4001,0,-1)),G1275))</f>
        <v>4</v>
      </c>
      <c r="I1275" cm="1">
        <f t="array" ref="I1275">IF(OR(AND(H1275=9,I$1&gt;YEAR($N1275))),9,_xlfn.IFNA(INDEX($D$2:$D$4001,_xlfn.XMATCH(I$1&amp;"-"&amp;$F1275,YEAR($B$2:$B$4001)&amp;"-"&amp;$A$2:$A$4001,0,-1)),H1275))</f>
        <v>4</v>
      </c>
      <c r="J1275" cm="1">
        <f t="array" ref="J1275">IF(OR(AND(I1275=9,J$1&gt;YEAR($N1275))),9,_xlfn.IFNA(INDEX($D$2:$D$4001,_xlfn.XMATCH(J$1&amp;"-"&amp;$F1275,YEAR($B$2:$B$4001)&amp;"-"&amp;$A$2:$A$4001,0,-1)),I1275))</f>
        <v>4</v>
      </c>
      <c r="K1275" cm="1">
        <f t="array" ref="K1275">IF(OR(AND(J1275=9,K$1&gt;YEAR($N1275))),9,_xlfn.IFNA(INDEX($D$2:$D$4001,_xlfn.XMATCH(K$1&amp;"-"&amp;$F1275,YEAR($B$2:$B$4001)&amp;"-"&amp;$A$2:$A$4001,0,-1)),J1275))</f>
        <v>4</v>
      </c>
      <c r="L1275" cm="1">
        <f t="array" ref="L1275">IF(OR(AND(K1275=9,L$1&gt;YEAR($N1275))),9,_xlfn.IFNA(INDEX($D$2:$D$4001,_xlfn.XMATCH(L$1&amp;"-"&amp;$F1275,YEAR($B$2:$B$4001)&amp;"-"&amp;$A$2:$A$4001,0,-1)),K1275))</f>
        <v>4</v>
      </c>
      <c r="M1275" cm="1">
        <f t="array" ref="M1275">IF(OR(AND(L1275=9,M$1&gt;YEAR($N1275))),9,_xlfn.IFNA(INDEX($D$2:$D$4001,_xlfn.XMATCH(M$1&amp;"-"&amp;$F1275,YEAR($B$2:$B$4001)&amp;"-"&amp;$A$2:$A$4001,0,-1)),L1275))</f>
        <v>4</v>
      </c>
      <c r="N1275" s="1">
        <f t="shared" si="19"/>
        <v>36707</v>
      </c>
    </row>
    <row r="1276" spans="1:14" x14ac:dyDescent="0.35">
      <c r="A1276">
        <v>616</v>
      </c>
      <c r="B1276" s="2">
        <v>37041</v>
      </c>
      <c r="C1276">
        <v>6</v>
      </c>
      <c r="D1276">
        <v>6</v>
      </c>
      <c r="F1276">
        <v>1275</v>
      </c>
      <c r="G1276" cm="1">
        <f t="array" ref="G1276">_xlfn.IFNA(INDEX($D$2:$D$4001,_xlfn.XMATCH(G$1&amp;"-"&amp;$F1276,YEAR($B$2:$B$4001)&amp;"-"&amp;$A$2:$A$4001,0,-1)),9)</f>
        <v>5</v>
      </c>
      <c r="H1276" cm="1">
        <f t="array" ref="H1276">IF(OR(AND(G1276=9,H$1&gt;YEAR($N1276))),9,_xlfn.IFNA(INDEX($D$2:$D$4001,_xlfn.XMATCH(H$1&amp;"-"&amp;$F1276,YEAR($B$2:$B$4001)&amp;"-"&amp;$A$2:$A$4001,0,-1)),G1276))</f>
        <v>5</v>
      </c>
      <c r="I1276" cm="1">
        <f t="array" ref="I1276">IF(OR(AND(H1276=9,I$1&gt;YEAR($N1276))),9,_xlfn.IFNA(INDEX($D$2:$D$4001,_xlfn.XMATCH(I$1&amp;"-"&amp;$F1276,YEAR($B$2:$B$4001)&amp;"-"&amp;$A$2:$A$4001,0,-1)),H1276))</f>
        <v>5</v>
      </c>
      <c r="J1276" cm="1">
        <f t="array" ref="J1276">IF(OR(AND(I1276=9,J$1&gt;YEAR($N1276))),9,_xlfn.IFNA(INDEX($D$2:$D$4001,_xlfn.XMATCH(J$1&amp;"-"&amp;$F1276,YEAR($B$2:$B$4001)&amp;"-"&amp;$A$2:$A$4001,0,-1)),I1276))</f>
        <v>5</v>
      </c>
      <c r="K1276" cm="1">
        <f t="array" ref="K1276">IF(OR(AND(J1276=9,K$1&gt;YEAR($N1276))),9,_xlfn.IFNA(INDEX($D$2:$D$4001,_xlfn.XMATCH(K$1&amp;"-"&amp;$F1276,YEAR($B$2:$B$4001)&amp;"-"&amp;$A$2:$A$4001,0,-1)),J1276))</f>
        <v>5</v>
      </c>
      <c r="L1276" cm="1">
        <f t="array" ref="L1276">IF(OR(AND(K1276=9,L$1&gt;YEAR($N1276))),9,_xlfn.IFNA(INDEX($D$2:$D$4001,_xlfn.XMATCH(L$1&amp;"-"&amp;$F1276,YEAR($B$2:$B$4001)&amp;"-"&amp;$A$2:$A$4001,0,-1)),K1276))</f>
        <v>5</v>
      </c>
      <c r="M1276" cm="1">
        <f t="array" ref="M1276">IF(OR(AND(L1276=9,M$1&gt;YEAR($N1276))),9,_xlfn.IFNA(INDEX($D$2:$D$4001,_xlfn.XMATCH(M$1&amp;"-"&amp;$F1276,YEAR($B$2:$B$4001)&amp;"-"&amp;$A$2:$A$4001,0,-1)),L1276))</f>
        <v>5</v>
      </c>
      <c r="N1276" s="1">
        <f t="shared" si="19"/>
        <v>36332</v>
      </c>
    </row>
    <row r="1277" spans="1:14" x14ac:dyDescent="0.35">
      <c r="A1277">
        <v>616</v>
      </c>
      <c r="B1277" s="2">
        <v>37255</v>
      </c>
      <c r="C1277">
        <v>5</v>
      </c>
      <c r="D1277">
        <v>5</v>
      </c>
      <c r="F1277">
        <v>1276</v>
      </c>
      <c r="G1277" cm="1">
        <f t="array" ref="G1277">_xlfn.IFNA(INDEX($D$2:$D$4001,_xlfn.XMATCH(G$1&amp;"-"&amp;$F1277,YEAR($B$2:$B$4001)&amp;"-"&amp;$A$2:$A$4001,0,-1)),9)</f>
        <v>9</v>
      </c>
      <c r="H1277" cm="1">
        <f t="array" ref="H1277">IF(OR(AND(G1277=9,H$1&gt;YEAR($N1277))),9,_xlfn.IFNA(INDEX($D$2:$D$4001,_xlfn.XMATCH(H$1&amp;"-"&amp;$F1277,YEAR($B$2:$B$4001)&amp;"-"&amp;$A$2:$A$4001,0,-1)),G1277))</f>
        <v>9</v>
      </c>
      <c r="I1277" cm="1">
        <f t="array" ref="I1277">IF(OR(AND(H1277=9,I$1&gt;YEAR($N1277))),9,_xlfn.IFNA(INDEX($D$2:$D$4001,_xlfn.XMATCH(I$1&amp;"-"&amp;$F1277,YEAR($B$2:$B$4001)&amp;"-"&amp;$A$2:$A$4001,0,-1)),H1277))</f>
        <v>9</v>
      </c>
      <c r="J1277" cm="1">
        <f t="array" ref="J1277">IF(OR(AND(I1277=9,J$1&gt;YEAR($N1277))),9,_xlfn.IFNA(INDEX($D$2:$D$4001,_xlfn.XMATCH(J$1&amp;"-"&amp;$F1277,YEAR($B$2:$B$4001)&amp;"-"&amp;$A$2:$A$4001,0,-1)),I1277))</f>
        <v>4</v>
      </c>
      <c r="K1277" cm="1">
        <f t="array" ref="K1277">IF(OR(AND(J1277=9,K$1&gt;YEAR($N1277))),9,_xlfn.IFNA(INDEX($D$2:$D$4001,_xlfn.XMATCH(K$1&amp;"-"&amp;$F1277,YEAR($B$2:$B$4001)&amp;"-"&amp;$A$2:$A$4001,0,-1)),J1277))</f>
        <v>5</v>
      </c>
      <c r="L1277" cm="1">
        <f t="array" ref="L1277">IF(OR(AND(K1277=9,L$1&gt;YEAR($N1277))),9,_xlfn.IFNA(INDEX($D$2:$D$4001,_xlfn.XMATCH(L$1&amp;"-"&amp;$F1277,YEAR($B$2:$B$4001)&amp;"-"&amp;$A$2:$A$4001,0,-1)),K1277))</f>
        <v>5</v>
      </c>
      <c r="M1277" cm="1">
        <f t="array" ref="M1277">IF(OR(AND(L1277=9,M$1&gt;YEAR($N1277))),9,_xlfn.IFNA(INDEX($D$2:$D$4001,_xlfn.XMATCH(M$1&amp;"-"&amp;$F1277,YEAR($B$2:$B$4001)&amp;"-"&amp;$A$2:$A$4001,0,-1)),L1277))</f>
        <v>5</v>
      </c>
      <c r="N1277" s="1">
        <f t="shared" si="19"/>
        <v>37406</v>
      </c>
    </row>
    <row r="1278" spans="1:14" x14ac:dyDescent="0.35">
      <c r="A1278">
        <v>616</v>
      </c>
      <c r="B1278" s="2">
        <v>37550</v>
      </c>
      <c r="C1278">
        <v>0</v>
      </c>
      <c r="D1278">
        <v>0</v>
      </c>
      <c r="F1278">
        <v>1277</v>
      </c>
      <c r="G1278" cm="1">
        <f t="array" ref="G1278">_xlfn.IFNA(INDEX($D$2:$D$4001,_xlfn.XMATCH(G$1&amp;"-"&amp;$F1278,YEAR($B$2:$B$4001)&amp;"-"&amp;$A$2:$A$4001,0,-1)),9)</f>
        <v>9</v>
      </c>
      <c r="H1278" cm="1">
        <f t="array" ref="H1278">IF(OR(AND(G1278=9,H$1&gt;YEAR($N1278))),9,_xlfn.IFNA(INDEX($D$2:$D$4001,_xlfn.XMATCH(H$1&amp;"-"&amp;$F1278,YEAR($B$2:$B$4001)&amp;"-"&amp;$A$2:$A$4001,0,-1)),G1278))</f>
        <v>3</v>
      </c>
      <c r="I1278" cm="1">
        <f t="array" ref="I1278">IF(OR(AND(H1278=9,I$1&gt;YEAR($N1278))),9,_xlfn.IFNA(INDEX($D$2:$D$4001,_xlfn.XMATCH(I$1&amp;"-"&amp;$F1278,YEAR($B$2:$B$4001)&amp;"-"&amp;$A$2:$A$4001,0,-1)),H1278))</f>
        <v>3</v>
      </c>
      <c r="J1278" cm="1">
        <f t="array" ref="J1278">IF(OR(AND(I1278=9,J$1&gt;YEAR($N1278))),9,_xlfn.IFNA(INDEX($D$2:$D$4001,_xlfn.XMATCH(J$1&amp;"-"&amp;$F1278,YEAR($B$2:$B$4001)&amp;"-"&amp;$A$2:$A$4001,0,-1)),I1278))</f>
        <v>3</v>
      </c>
      <c r="K1278" cm="1">
        <f t="array" ref="K1278">IF(OR(AND(J1278=9,K$1&gt;YEAR($N1278))),9,_xlfn.IFNA(INDEX($D$2:$D$4001,_xlfn.XMATCH(K$1&amp;"-"&amp;$F1278,YEAR($B$2:$B$4001)&amp;"-"&amp;$A$2:$A$4001,0,-1)),J1278))</f>
        <v>1</v>
      </c>
      <c r="L1278" cm="1">
        <f t="array" ref="L1278">IF(OR(AND(K1278=9,L$1&gt;YEAR($N1278))),9,_xlfn.IFNA(INDEX($D$2:$D$4001,_xlfn.XMATCH(L$1&amp;"-"&amp;$F1278,YEAR($B$2:$B$4001)&amp;"-"&amp;$A$2:$A$4001,0,-1)),K1278))</f>
        <v>1</v>
      </c>
      <c r="M1278" cm="1">
        <f t="array" ref="M1278">IF(OR(AND(L1278=9,M$1&gt;YEAR($N1278))),9,_xlfn.IFNA(INDEX($D$2:$D$4001,_xlfn.XMATCH(M$1&amp;"-"&amp;$F1278,YEAR($B$2:$B$4001)&amp;"-"&amp;$A$2:$A$4001,0,-1)),L1278))</f>
        <v>1</v>
      </c>
      <c r="N1278" s="1">
        <f t="shared" si="19"/>
        <v>36799</v>
      </c>
    </row>
    <row r="1279" spans="1:14" x14ac:dyDescent="0.35">
      <c r="A1279">
        <v>617</v>
      </c>
      <c r="B1279" s="2">
        <v>36524</v>
      </c>
      <c r="C1279">
        <v>4</v>
      </c>
      <c r="D1279">
        <v>4</v>
      </c>
      <c r="F1279">
        <v>1278</v>
      </c>
      <c r="G1279" cm="1">
        <f t="array" ref="G1279">_xlfn.IFNA(INDEX($D$2:$D$4001,_xlfn.XMATCH(G$1&amp;"-"&amp;$F1279,YEAR($B$2:$B$4001)&amp;"-"&amp;$A$2:$A$4001,0,-1)),9)</f>
        <v>9</v>
      </c>
      <c r="H1279" cm="1">
        <f t="array" ref="H1279">IF(OR(AND(G1279=9,H$1&gt;YEAR($N1279))),9,_xlfn.IFNA(INDEX($D$2:$D$4001,_xlfn.XMATCH(H$1&amp;"-"&amp;$F1279,YEAR($B$2:$B$4001)&amp;"-"&amp;$A$2:$A$4001,0,-1)),G1279))</f>
        <v>9</v>
      </c>
      <c r="I1279" cm="1">
        <f t="array" ref="I1279">IF(OR(AND(H1279=9,I$1&gt;YEAR($N1279))),9,_xlfn.IFNA(INDEX($D$2:$D$4001,_xlfn.XMATCH(I$1&amp;"-"&amp;$F1279,YEAR($B$2:$B$4001)&amp;"-"&amp;$A$2:$A$4001,0,-1)),H1279))</f>
        <v>9</v>
      </c>
      <c r="J1279" cm="1">
        <f t="array" ref="J1279">IF(OR(AND(I1279=9,J$1&gt;YEAR($N1279))),9,_xlfn.IFNA(INDEX($D$2:$D$4001,_xlfn.XMATCH(J$1&amp;"-"&amp;$F1279,YEAR($B$2:$B$4001)&amp;"-"&amp;$A$2:$A$4001,0,-1)),I1279))</f>
        <v>9</v>
      </c>
      <c r="K1279" cm="1">
        <f t="array" ref="K1279">IF(OR(AND(J1279=9,K$1&gt;YEAR($N1279))),9,_xlfn.IFNA(INDEX($D$2:$D$4001,_xlfn.XMATCH(K$1&amp;"-"&amp;$F1279,YEAR($B$2:$B$4001)&amp;"-"&amp;$A$2:$A$4001,0,-1)),J1279))</f>
        <v>9</v>
      </c>
      <c r="L1279" cm="1">
        <f t="array" ref="L1279">IF(OR(AND(K1279=9,L$1&gt;YEAR($N1279))),9,_xlfn.IFNA(INDEX($D$2:$D$4001,_xlfn.XMATCH(L$1&amp;"-"&amp;$F1279,YEAR($B$2:$B$4001)&amp;"-"&amp;$A$2:$A$4001,0,-1)),K1279))</f>
        <v>0</v>
      </c>
      <c r="M1279" cm="1">
        <f t="array" ref="M1279">IF(OR(AND(L1279=9,M$1&gt;YEAR($N1279))),9,_xlfn.IFNA(INDEX($D$2:$D$4001,_xlfn.XMATCH(M$1&amp;"-"&amp;$F1279,YEAR($B$2:$B$4001)&amp;"-"&amp;$A$2:$A$4001,0,-1)),L1279))</f>
        <v>0</v>
      </c>
      <c r="N1279" s="1">
        <f t="shared" si="19"/>
        <v>38351</v>
      </c>
    </row>
    <row r="1280" spans="1:14" x14ac:dyDescent="0.35">
      <c r="A1280">
        <v>617</v>
      </c>
      <c r="B1280" s="2">
        <v>38655</v>
      </c>
      <c r="C1280">
        <v>4</v>
      </c>
      <c r="D1280">
        <v>4</v>
      </c>
      <c r="F1280">
        <v>1279</v>
      </c>
      <c r="G1280" cm="1">
        <f t="array" ref="G1280">_xlfn.IFNA(INDEX($D$2:$D$4001,_xlfn.XMATCH(G$1&amp;"-"&amp;$F1280,YEAR($B$2:$B$4001)&amp;"-"&amp;$A$2:$A$4001,0,-1)),9)</f>
        <v>9</v>
      </c>
      <c r="H1280" cm="1">
        <f t="array" ref="H1280">IF(OR(AND(G1280=9,H$1&gt;YEAR($N1280))),9,_xlfn.IFNA(INDEX($D$2:$D$4001,_xlfn.XMATCH(H$1&amp;"-"&amp;$F1280,YEAR($B$2:$B$4001)&amp;"-"&amp;$A$2:$A$4001,0,-1)),G1280))</f>
        <v>9</v>
      </c>
      <c r="I1280" cm="1">
        <f t="array" ref="I1280">IF(OR(AND(H1280=9,I$1&gt;YEAR($N1280))),9,_xlfn.IFNA(INDEX($D$2:$D$4001,_xlfn.XMATCH(I$1&amp;"-"&amp;$F1280,YEAR($B$2:$B$4001)&amp;"-"&amp;$A$2:$A$4001,0,-1)),H1280))</f>
        <v>9</v>
      </c>
      <c r="J1280" cm="1">
        <f t="array" ref="J1280">IF(OR(AND(I1280=9,J$1&gt;YEAR($N1280))),9,_xlfn.IFNA(INDEX($D$2:$D$4001,_xlfn.XMATCH(J$1&amp;"-"&amp;$F1280,YEAR($B$2:$B$4001)&amp;"-"&amp;$A$2:$A$4001,0,-1)),I1280))</f>
        <v>5</v>
      </c>
      <c r="K1280" cm="1">
        <f t="array" ref="K1280">IF(OR(AND(J1280=9,K$1&gt;YEAR($N1280))),9,_xlfn.IFNA(INDEX($D$2:$D$4001,_xlfn.XMATCH(K$1&amp;"-"&amp;$F1280,YEAR($B$2:$B$4001)&amp;"-"&amp;$A$2:$A$4001,0,-1)),J1280))</f>
        <v>8</v>
      </c>
      <c r="L1280" cm="1">
        <f t="array" ref="L1280">IF(OR(AND(K1280=9,L$1&gt;YEAR($N1280))),9,_xlfn.IFNA(INDEX($D$2:$D$4001,_xlfn.XMATCH(L$1&amp;"-"&amp;$F1280,YEAR($B$2:$B$4001)&amp;"-"&amp;$A$2:$A$4001,0,-1)),K1280))</f>
        <v>8</v>
      </c>
      <c r="M1280" cm="1">
        <f t="array" ref="M1280">IF(OR(AND(L1280=9,M$1&gt;YEAR($N1280))),9,_xlfn.IFNA(INDEX($D$2:$D$4001,_xlfn.XMATCH(M$1&amp;"-"&amp;$F1280,YEAR($B$2:$B$4001)&amp;"-"&amp;$A$2:$A$4001,0,-1)),L1280))</f>
        <v>8</v>
      </c>
      <c r="N1280" s="1">
        <f t="shared" si="19"/>
        <v>37550</v>
      </c>
    </row>
    <row r="1281" spans="1:14" x14ac:dyDescent="0.35">
      <c r="A1281">
        <v>618</v>
      </c>
      <c r="B1281" s="2">
        <v>36728</v>
      </c>
      <c r="C1281">
        <v>4</v>
      </c>
      <c r="D1281">
        <v>4</v>
      </c>
      <c r="F1281">
        <v>1280</v>
      </c>
      <c r="G1281" cm="1">
        <f t="array" ref="G1281">_xlfn.IFNA(INDEX($D$2:$D$4001,_xlfn.XMATCH(G$1&amp;"-"&amp;$F1281,YEAR($B$2:$B$4001)&amp;"-"&amp;$A$2:$A$4001,0,-1)),9)</f>
        <v>9</v>
      </c>
      <c r="H1281" cm="1">
        <f t="array" ref="H1281">IF(OR(AND(G1281=9,H$1&gt;YEAR($N1281))),9,_xlfn.IFNA(INDEX($D$2:$D$4001,_xlfn.XMATCH(H$1&amp;"-"&amp;$F1281,YEAR($B$2:$B$4001)&amp;"-"&amp;$A$2:$A$4001,0,-1)),G1281))</f>
        <v>3</v>
      </c>
      <c r="I1281" cm="1">
        <f t="array" ref="I1281">IF(OR(AND(H1281=9,I$1&gt;YEAR($N1281))),9,_xlfn.IFNA(INDEX($D$2:$D$4001,_xlfn.XMATCH(I$1&amp;"-"&amp;$F1281,YEAR($B$2:$B$4001)&amp;"-"&amp;$A$2:$A$4001,0,-1)),H1281))</f>
        <v>3</v>
      </c>
      <c r="J1281" cm="1">
        <f t="array" ref="J1281">IF(OR(AND(I1281=9,J$1&gt;YEAR($N1281))),9,_xlfn.IFNA(INDEX($D$2:$D$4001,_xlfn.XMATCH(J$1&amp;"-"&amp;$F1281,YEAR($B$2:$B$4001)&amp;"-"&amp;$A$2:$A$4001,0,-1)),I1281))</f>
        <v>3</v>
      </c>
      <c r="K1281" cm="1">
        <f t="array" ref="K1281">IF(OR(AND(J1281=9,K$1&gt;YEAR($N1281))),9,_xlfn.IFNA(INDEX($D$2:$D$4001,_xlfn.XMATCH(K$1&amp;"-"&amp;$F1281,YEAR($B$2:$B$4001)&amp;"-"&amp;$A$2:$A$4001,0,-1)),J1281))</f>
        <v>3</v>
      </c>
      <c r="L1281" cm="1">
        <f t="array" ref="L1281">IF(OR(AND(K1281=9,L$1&gt;YEAR($N1281))),9,_xlfn.IFNA(INDEX($D$2:$D$4001,_xlfn.XMATCH(L$1&amp;"-"&amp;$F1281,YEAR($B$2:$B$4001)&amp;"-"&amp;$A$2:$A$4001,0,-1)),K1281))</f>
        <v>3</v>
      </c>
      <c r="M1281" cm="1">
        <f t="array" ref="M1281">IF(OR(AND(L1281=9,M$1&gt;YEAR($N1281))),9,_xlfn.IFNA(INDEX($D$2:$D$4001,_xlfn.XMATCH(M$1&amp;"-"&amp;$F1281,YEAR($B$2:$B$4001)&amp;"-"&amp;$A$2:$A$4001,0,-1)),L1281))</f>
        <v>3</v>
      </c>
      <c r="N1281" s="1">
        <f t="shared" si="19"/>
        <v>36676</v>
      </c>
    </row>
    <row r="1282" spans="1:14" x14ac:dyDescent="0.35">
      <c r="A1282">
        <v>618</v>
      </c>
      <c r="B1282" s="2">
        <v>37194</v>
      </c>
      <c r="C1282">
        <v>3</v>
      </c>
      <c r="D1282">
        <v>3</v>
      </c>
      <c r="F1282">
        <v>1281</v>
      </c>
      <c r="G1282" cm="1">
        <f t="array" ref="G1282">_xlfn.IFNA(INDEX($D$2:$D$4001,_xlfn.XMATCH(G$1&amp;"-"&amp;$F1282,YEAR($B$2:$B$4001)&amp;"-"&amp;$A$2:$A$4001,0,-1)),9)</f>
        <v>9</v>
      </c>
      <c r="H1282" cm="1">
        <f t="array" ref="H1282">IF(OR(AND(G1282=9,H$1&gt;YEAR($N1282))),9,_xlfn.IFNA(INDEX($D$2:$D$4001,_xlfn.XMATCH(H$1&amp;"-"&amp;$F1282,YEAR($B$2:$B$4001)&amp;"-"&amp;$A$2:$A$4001,0,-1)),G1282))</f>
        <v>9</v>
      </c>
      <c r="I1282" cm="1">
        <f t="array" ref="I1282">IF(OR(AND(H1282=9,I$1&gt;YEAR($N1282))),9,_xlfn.IFNA(INDEX($D$2:$D$4001,_xlfn.XMATCH(I$1&amp;"-"&amp;$F1282,YEAR($B$2:$B$4001)&amp;"-"&amp;$A$2:$A$4001,0,-1)),H1282))</f>
        <v>9</v>
      </c>
      <c r="J1282" cm="1">
        <f t="array" ref="J1282">IF(OR(AND(I1282=9,J$1&gt;YEAR($N1282))),9,_xlfn.IFNA(INDEX($D$2:$D$4001,_xlfn.XMATCH(J$1&amp;"-"&amp;$F1282,YEAR($B$2:$B$4001)&amp;"-"&amp;$A$2:$A$4001,0,-1)),I1282))</f>
        <v>9</v>
      </c>
      <c r="K1282" cm="1">
        <f t="array" ref="K1282">IF(OR(AND(J1282=9,K$1&gt;YEAR($N1282))),9,_xlfn.IFNA(INDEX($D$2:$D$4001,_xlfn.XMATCH(K$1&amp;"-"&amp;$F1282,YEAR($B$2:$B$4001)&amp;"-"&amp;$A$2:$A$4001,0,-1)),J1282))</f>
        <v>9</v>
      </c>
      <c r="L1282" cm="1">
        <f t="array" ref="L1282">IF(OR(AND(K1282=9,L$1&gt;YEAR($N1282))),9,_xlfn.IFNA(INDEX($D$2:$D$4001,_xlfn.XMATCH(L$1&amp;"-"&amp;$F1282,YEAR($B$2:$B$4001)&amp;"-"&amp;$A$2:$A$4001,0,-1)),K1282))</f>
        <v>9</v>
      </c>
      <c r="M1282" cm="1">
        <f t="array" ref="M1282">IF(OR(AND(L1282=9,M$1&gt;YEAR($N1282))),9,_xlfn.IFNA(INDEX($D$2:$D$4001,_xlfn.XMATCH(M$1&amp;"-"&amp;$F1282,YEAR($B$2:$B$4001)&amp;"-"&amp;$A$2:$A$4001,0,-1)),L1282))</f>
        <v>3</v>
      </c>
      <c r="N1282" s="1">
        <f t="shared" si="19"/>
        <v>38563</v>
      </c>
    </row>
    <row r="1283" spans="1:14" x14ac:dyDescent="0.35">
      <c r="A1283">
        <v>619</v>
      </c>
      <c r="B1283" s="2">
        <v>37255</v>
      </c>
      <c r="C1283">
        <v>3</v>
      </c>
      <c r="D1283">
        <v>3</v>
      </c>
      <c r="F1283">
        <v>1282</v>
      </c>
      <c r="G1283" cm="1">
        <f t="array" ref="G1283">_xlfn.IFNA(INDEX($D$2:$D$4001,_xlfn.XMATCH(G$1&amp;"-"&amp;$F1283,YEAR($B$2:$B$4001)&amp;"-"&amp;$A$2:$A$4001,0,-1)),9)</f>
        <v>9</v>
      </c>
      <c r="H1283" cm="1">
        <f t="array" ref="H1283">IF(OR(AND(G1283=9,H$1&gt;YEAR($N1283))),9,_xlfn.IFNA(INDEX($D$2:$D$4001,_xlfn.XMATCH(H$1&amp;"-"&amp;$F1283,YEAR($B$2:$B$4001)&amp;"-"&amp;$A$2:$A$4001,0,-1)),G1283))</f>
        <v>9</v>
      </c>
      <c r="I1283" cm="1">
        <f t="array" ref="I1283">IF(OR(AND(H1283=9,I$1&gt;YEAR($N1283))),9,_xlfn.IFNA(INDEX($D$2:$D$4001,_xlfn.XMATCH(I$1&amp;"-"&amp;$F1283,YEAR($B$2:$B$4001)&amp;"-"&amp;$A$2:$A$4001,0,-1)),H1283))</f>
        <v>0</v>
      </c>
      <c r="J1283" cm="1">
        <f t="array" ref="J1283">IF(OR(AND(I1283=9,J$1&gt;YEAR($N1283))),9,_xlfn.IFNA(INDEX($D$2:$D$4001,_xlfn.XMATCH(J$1&amp;"-"&amp;$F1283,YEAR($B$2:$B$4001)&amp;"-"&amp;$A$2:$A$4001,0,-1)),I1283))</f>
        <v>0</v>
      </c>
      <c r="K1283" cm="1">
        <f t="array" ref="K1283">IF(OR(AND(J1283=9,K$1&gt;YEAR($N1283))),9,_xlfn.IFNA(INDEX($D$2:$D$4001,_xlfn.XMATCH(K$1&amp;"-"&amp;$F1283,YEAR($B$2:$B$4001)&amp;"-"&amp;$A$2:$A$4001,0,-1)),J1283))</f>
        <v>0</v>
      </c>
      <c r="L1283" cm="1">
        <f t="array" ref="L1283">IF(OR(AND(K1283=9,L$1&gt;YEAR($N1283))),9,_xlfn.IFNA(INDEX($D$2:$D$4001,_xlfn.XMATCH(L$1&amp;"-"&amp;$F1283,YEAR($B$2:$B$4001)&amp;"-"&amp;$A$2:$A$4001,0,-1)),K1283))</f>
        <v>0</v>
      </c>
      <c r="M1283" cm="1">
        <f t="array" ref="M1283">IF(OR(AND(L1283=9,M$1&gt;YEAR($N1283))),9,_xlfn.IFNA(INDEX($D$2:$D$4001,_xlfn.XMATCH(M$1&amp;"-"&amp;$F1283,YEAR($B$2:$B$4001)&amp;"-"&amp;$A$2:$A$4001,0,-1)),L1283))</f>
        <v>0</v>
      </c>
      <c r="N1283" s="1">
        <f t="shared" ref="N1283:N1346" si="20">_xlfn.MINIFS($B$2:$B$4001,$A$2:$A$4001,F1283)</f>
        <v>37032</v>
      </c>
    </row>
    <row r="1284" spans="1:14" x14ac:dyDescent="0.35">
      <c r="A1284">
        <v>620</v>
      </c>
      <c r="B1284" s="2">
        <v>37155</v>
      </c>
      <c r="C1284">
        <v>2</v>
      </c>
      <c r="D1284">
        <v>2</v>
      </c>
      <c r="F1284">
        <v>1283</v>
      </c>
      <c r="G1284" cm="1">
        <f t="array" ref="G1284">_xlfn.IFNA(INDEX($D$2:$D$4001,_xlfn.XMATCH(G$1&amp;"-"&amp;$F1284,YEAR($B$2:$B$4001)&amp;"-"&amp;$A$2:$A$4001,0,-1)),9)</f>
        <v>5</v>
      </c>
      <c r="H1284" cm="1">
        <f t="array" ref="H1284">IF(OR(AND(G1284=9,H$1&gt;YEAR($N1284))),9,_xlfn.IFNA(INDEX($D$2:$D$4001,_xlfn.XMATCH(H$1&amp;"-"&amp;$F1284,YEAR($B$2:$B$4001)&amp;"-"&amp;$A$2:$A$4001,0,-1)),G1284))</f>
        <v>5</v>
      </c>
      <c r="I1284" cm="1">
        <f t="array" ref="I1284">IF(OR(AND(H1284=9,I$1&gt;YEAR($N1284))),9,_xlfn.IFNA(INDEX($D$2:$D$4001,_xlfn.XMATCH(I$1&amp;"-"&amp;$F1284,YEAR($B$2:$B$4001)&amp;"-"&amp;$A$2:$A$4001,0,-1)),H1284))</f>
        <v>5</v>
      </c>
      <c r="J1284" cm="1">
        <f t="array" ref="J1284">IF(OR(AND(I1284=9,J$1&gt;YEAR($N1284))),9,_xlfn.IFNA(INDEX($D$2:$D$4001,_xlfn.XMATCH(J$1&amp;"-"&amp;$F1284,YEAR($B$2:$B$4001)&amp;"-"&amp;$A$2:$A$4001,0,-1)),I1284))</f>
        <v>5</v>
      </c>
      <c r="K1284" cm="1">
        <f t="array" ref="K1284">IF(OR(AND(J1284=9,K$1&gt;YEAR($N1284))),9,_xlfn.IFNA(INDEX($D$2:$D$4001,_xlfn.XMATCH(K$1&amp;"-"&amp;$F1284,YEAR($B$2:$B$4001)&amp;"-"&amp;$A$2:$A$4001,0,-1)),J1284))</f>
        <v>5</v>
      </c>
      <c r="L1284" cm="1">
        <f t="array" ref="L1284">IF(OR(AND(K1284=9,L$1&gt;YEAR($N1284))),9,_xlfn.IFNA(INDEX($D$2:$D$4001,_xlfn.XMATCH(L$1&amp;"-"&amp;$F1284,YEAR($B$2:$B$4001)&amp;"-"&amp;$A$2:$A$4001,0,-1)),K1284))</f>
        <v>5</v>
      </c>
      <c r="M1284" cm="1">
        <f t="array" ref="M1284">IF(OR(AND(L1284=9,M$1&gt;YEAR($N1284))),9,_xlfn.IFNA(INDEX($D$2:$D$4001,_xlfn.XMATCH(M$1&amp;"-"&amp;$F1284,YEAR($B$2:$B$4001)&amp;"-"&amp;$A$2:$A$4001,0,-1)),L1284))</f>
        <v>5</v>
      </c>
      <c r="N1284" s="1">
        <f t="shared" si="20"/>
        <v>36393</v>
      </c>
    </row>
    <row r="1285" spans="1:14" x14ac:dyDescent="0.35">
      <c r="A1285">
        <v>621</v>
      </c>
      <c r="B1285" s="2">
        <v>36301</v>
      </c>
      <c r="C1285">
        <v>5</v>
      </c>
      <c r="D1285">
        <v>5</v>
      </c>
      <c r="F1285">
        <v>1284</v>
      </c>
      <c r="G1285" cm="1">
        <f t="array" ref="G1285">_xlfn.IFNA(INDEX($D$2:$D$4001,_xlfn.XMATCH(G$1&amp;"-"&amp;$F1285,YEAR($B$2:$B$4001)&amp;"-"&amp;$A$2:$A$4001,0,-1)),9)</f>
        <v>3</v>
      </c>
      <c r="H1285" cm="1">
        <f t="array" ref="H1285">IF(OR(AND(G1285=9,H$1&gt;YEAR($N1285))),9,_xlfn.IFNA(INDEX($D$2:$D$4001,_xlfn.XMATCH(H$1&amp;"-"&amp;$F1285,YEAR($B$2:$B$4001)&amp;"-"&amp;$A$2:$A$4001,0,-1)),G1285))</f>
        <v>3</v>
      </c>
      <c r="I1285" cm="1">
        <f t="array" ref="I1285">IF(OR(AND(H1285=9,I$1&gt;YEAR($N1285))),9,_xlfn.IFNA(INDEX($D$2:$D$4001,_xlfn.XMATCH(I$1&amp;"-"&amp;$F1285,YEAR($B$2:$B$4001)&amp;"-"&amp;$A$2:$A$4001,0,-1)),H1285))</f>
        <v>0</v>
      </c>
      <c r="J1285" cm="1">
        <f t="array" ref="J1285">IF(OR(AND(I1285=9,J$1&gt;YEAR($N1285))),9,_xlfn.IFNA(INDEX($D$2:$D$4001,_xlfn.XMATCH(J$1&amp;"-"&amp;$F1285,YEAR($B$2:$B$4001)&amp;"-"&amp;$A$2:$A$4001,0,-1)),I1285))</f>
        <v>0</v>
      </c>
      <c r="K1285" cm="1">
        <f t="array" ref="K1285">IF(OR(AND(J1285=9,K$1&gt;YEAR($N1285))),9,_xlfn.IFNA(INDEX($D$2:$D$4001,_xlfn.XMATCH(K$1&amp;"-"&amp;$F1285,YEAR($B$2:$B$4001)&amp;"-"&amp;$A$2:$A$4001,0,-1)),J1285))</f>
        <v>0</v>
      </c>
      <c r="L1285" cm="1">
        <f t="array" ref="L1285">IF(OR(AND(K1285=9,L$1&gt;YEAR($N1285))),9,_xlfn.IFNA(INDEX($D$2:$D$4001,_xlfn.XMATCH(L$1&amp;"-"&amp;$F1285,YEAR($B$2:$B$4001)&amp;"-"&amp;$A$2:$A$4001,0,-1)),K1285))</f>
        <v>0</v>
      </c>
      <c r="M1285" cm="1">
        <f t="array" ref="M1285">IF(OR(AND(L1285=9,M$1&gt;YEAR($N1285))),9,_xlfn.IFNA(INDEX($D$2:$D$4001,_xlfn.XMATCH(M$1&amp;"-"&amp;$F1285,YEAR($B$2:$B$4001)&amp;"-"&amp;$A$2:$A$4001,0,-1)),L1285))</f>
        <v>0</v>
      </c>
      <c r="N1285" s="1">
        <f t="shared" si="20"/>
        <v>36301</v>
      </c>
    </row>
    <row r="1286" spans="1:14" x14ac:dyDescent="0.35">
      <c r="A1286">
        <v>621</v>
      </c>
      <c r="B1286" s="2">
        <v>36860</v>
      </c>
      <c r="C1286">
        <v>6</v>
      </c>
      <c r="D1286">
        <v>6</v>
      </c>
      <c r="F1286">
        <v>1285</v>
      </c>
      <c r="G1286" cm="1">
        <f t="array" ref="G1286">_xlfn.IFNA(INDEX($D$2:$D$4001,_xlfn.XMATCH(G$1&amp;"-"&amp;$F1286,YEAR($B$2:$B$4001)&amp;"-"&amp;$A$2:$A$4001,0,-1)),9)</f>
        <v>9</v>
      </c>
      <c r="H1286" cm="1">
        <f t="array" ref="H1286">IF(OR(AND(G1286=9,H$1&gt;YEAR($N1286))),9,_xlfn.IFNA(INDEX($D$2:$D$4001,_xlfn.XMATCH(H$1&amp;"-"&amp;$F1286,YEAR($B$2:$B$4001)&amp;"-"&amp;$A$2:$A$4001,0,-1)),G1286))</f>
        <v>2</v>
      </c>
      <c r="I1286" cm="1">
        <f t="array" ref="I1286">IF(OR(AND(H1286=9,I$1&gt;YEAR($N1286))),9,_xlfn.IFNA(INDEX($D$2:$D$4001,_xlfn.XMATCH(I$1&amp;"-"&amp;$F1286,YEAR($B$2:$B$4001)&amp;"-"&amp;$A$2:$A$4001,0,-1)),H1286))</f>
        <v>4</v>
      </c>
      <c r="J1286" cm="1">
        <f t="array" ref="J1286">IF(OR(AND(I1286=9,J$1&gt;YEAR($N1286))),9,_xlfn.IFNA(INDEX($D$2:$D$4001,_xlfn.XMATCH(J$1&amp;"-"&amp;$F1286,YEAR($B$2:$B$4001)&amp;"-"&amp;$A$2:$A$4001,0,-1)),I1286))</f>
        <v>4</v>
      </c>
      <c r="K1286" cm="1">
        <f t="array" ref="K1286">IF(OR(AND(J1286=9,K$1&gt;YEAR($N1286))),9,_xlfn.IFNA(INDEX($D$2:$D$4001,_xlfn.XMATCH(K$1&amp;"-"&amp;$F1286,YEAR($B$2:$B$4001)&amp;"-"&amp;$A$2:$A$4001,0,-1)),J1286))</f>
        <v>4</v>
      </c>
      <c r="L1286" cm="1">
        <f t="array" ref="L1286">IF(OR(AND(K1286=9,L$1&gt;YEAR($N1286))),9,_xlfn.IFNA(INDEX($D$2:$D$4001,_xlfn.XMATCH(L$1&amp;"-"&amp;$F1286,YEAR($B$2:$B$4001)&amp;"-"&amp;$A$2:$A$4001,0,-1)),K1286))</f>
        <v>4</v>
      </c>
      <c r="M1286" cm="1">
        <f t="array" ref="M1286">IF(OR(AND(L1286=9,M$1&gt;YEAR($N1286))),9,_xlfn.IFNA(INDEX($D$2:$D$4001,_xlfn.XMATCH(M$1&amp;"-"&amp;$F1286,YEAR($B$2:$B$4001)&amp;"-"&amp;$A$2:$A$4001,0,-1)),L1286))</f>
        <v>4</v>
      </c>
      <c r="N1286" s="1">
        <f t="shared" si="20"/>
        <v>36676</v>
      </c>
    </row>
    <row r="1287" spans="1:14" x14ac:dyDescent="0.35">
      <c r="A1287">
        <v>621</v>
      </c>
      <c r="B1287" s="2">
        <v>37164</v>
      </c>
      <c r="C1287">
        <v>5</v>
      </c>
      <c r="D1287">
        <v>5</v>
      </c>
      <c r="F1287">
        <v>1286</v>
      </c>
      <c r="G1287" cm="1">
        <f t="array" ref="G1287">_xlfn.IFNA(INDEX($D$2:$D$4001,_xlfn.XMATCH(G$1&amp;"-"&amp;$F1287,YEAR($B$2:$B$4001)&amp;"-"&amp;$A$2:$A$4001,0,-1)),9)</f>
        <v>9</v>
      </c>
      <c r="H1287" cm="1">
        <f t="array" ref="H1287">IF(OR(AND(G1287=9,H$1&gt;YEAR($N1287))),9,_xlfn.IFNA(INDEX($D$2:$D$4001,_xlfn.XMATCH(H$1&amp;"-"&amp;$F1287,YEAR($B$2:$B$4001)&amp;"-"&amp;$A$2:$A$4001,0,-1)),G1287))</f>
        <v>2</v>
      </c>
      <c r="I1287" cm="1">
        <f t="array" ref="I1287">IF(OR(AND(H1287=9,I$1&gt;YEAR($N1287))),9,_xlfn.IFNA(INDEX($D$2:$D$4001,_xlfn.XMATCH(I$1&amp;"-"&amp;$F1287,YEAR($B$2:$B$4001)&amp;"-"&amp;$A$2:$A$4001,0,-1)),H1287))</f>
        <v>2</v>
      </c>
      <c r="J1287" cm="1">
        <f t="array" ref="J1287">IF(OR(AND(I1287=9,J$1&gt;YEAR($N1287))),9,_xlfn.IFNA(INDEX($D$2:$D$4001,_xlfn.XMATCH(J$1&amp;"-"&amp;$F1287,YEAR($B$2:$B$4001)&amp;"-"&amp;$A$2:$A$4001,0,-1)),I1287))</f>
        <v>2</v>
      </c>
      <c r="K1287" cm="1">
        <f t="array" ref="K1287">IF(OR(AND(J1287=9,K$1&gt;YEAR($N1287))),9,_xlfn.IFNA(INDEX($D$2:$D$4001,_xlfn.XMATCH(K$1&amp;"-"&amp;$F1287,YEAR($B$2:$B$4001)&amp;"-"&amp;$A$2:$A$4001,0,-1)),J1287))</f>
        <v>2</v>
      </c>
      <c r="L1287" cm="1">
        <f t="array" ref="L1287">IF(OR(AND(K1287=9,L$1&gt;YEAR($N1287))),9,_xlfn.IFNA(INDEX($D$2:$D$4001,_xlfn.XMATCH(L$1&amp;"-"&amp;$F1287,YEAR($B$2:$B$4001)&amp;"-"&amp;$A$2:$A$4001,0,-1)),K1287))</f>
        <v>2</v>
      </c>
      <c r="M1287" cm="1">
        <f t="array" ref="M1287">IF(OR(AND(L1287=9,M$1&gt;YEAR($N1287))),9,_xlfn.IFNA(INDEX($D$2:$D$4001,_xlfn.XMATCH(M$1&amp;"-"&amp;$F1287,YEAR($B$2:$B$4001)&amp;"-"&amp;$A$2:$A$4001,0,-1)),L1287))</f>
        <v>2</v>
      </c>
      <c r="N1287" s="1">
        <f t="shared" si="20"/>
        <v>36676</v>
      </c>
    </row>
    <row r="1288" spans="1:14" x14ac:dyDescent="0.35">
      <c r="A1288">
        <v>622</v>
      </c>
      <c r="B1288" s="2">
        <v>37498</v>
      </c>
      <c r="C1288">
        <v>4</v>
      </c>
      <c r="D1288">
        <v>4</v>
      </c>
      <c r="F1288">
        <v>1287</v>
      </c>
      <c r="G1288" cm="1">
        <f t="array" ref="G1288">_xlfn.IFNA(INDEX($D$2:$D$4001,_xlfn.XMATCH(G$1&amp;"-"&amp;$F1288,YEAR($B$2:$B$4001)&amp;"-"&amp;$A$2:$A$4001,0,-1)),9)</f>
        <v>9</v>
      </c>
      <c r="H1288" cm="1">
        <f t="array" ref="H1288">IF(OR(AND(G1288=9,H$1&gt;YEAR($N1288))),9,_xlfn.IFNA(INDEX($D$2:$D$4001,_xlfn.XMATCH(H$1&amp;"-"&amp;$F1288,YEAR($B$2:$B$4001)&amp;"-"&amp;$A$2:$A$4001,0,-1)),G1288))</f>
        <v>5</v>
      </c>
      <c r="I1288" cm="1">
        <f t="array" ref="I1288">IF(OR(AND(H1288=9,I$1&gt;YEAR($N1288))),9,_xlfn.IFNA(INDEX($D$2:$D$4001,_xlfn.XMATCH(I$1&amp;"-"&amp;$F1288,YEAR($B$2:$B$4001)&amp;"-"&amp;$A$2:$A$4001,0,-1)),H1288))</f>
        <v>8</v>
      </c>
      <c r="J1288" cm="1">
        <f t="array" ref="J1288">IF(OR(AND(I1288=9,J$1&gt;YEAR($N1288))),9,_xlfn.IFNA(INDEX($D$2:$D$4001,_xlfn.XMATCH(J$1&amp;"-"&amp;$F1288,YEAR($B$2:$B$4001)&amp;"-"&amp;$A$2:$A$4001,0,-1)),I1288))</f>
        <v>8</v>
      </c>
      <c r="K1288" cm="1">
        <f t="array" ref="K1288">IF(OR(AND(J1288=9,K$1&gt;YEAR($N1288))),9,_xlfn.IFNA(INDEX($D$2:$D$4001,_xlfn.XMATCH(K$1&amp;"-"&amp;$F1288,YEAR($B$2:$B$4001)&amp;"-"&amp;$A$2:$A$4001,0,-1)),J1288))</f>
        <v>8</v>
      </c>
      <c r="L1288" cm="1">
        <f t="array" ref="L1288">IF(OR(AND(K1288=9,L$1&gt;YEAR($N1288))),9,_xlfn.IFNA(INDEX($D$2:$D$4001,_xlfn.XMATCH(L$1&amp;"-"&amp;$F1288,YEAR($B$2:$B$4001)&amp;"-"&amp;$A$2:$A$4001,0,-1)),K1288))</f>
        <v>8</v>
      </c>
      <c r="M1288" cm="1">
        <f t="array" ref="M1288">IF(OR(AND(L1288=9,M$1&gt;YEAR($N1288))),9,_xlfn.IFNA(INDEX($D$2:$D$4001,_xlfn.XMATCH(M$1&amp;"-"&amp;$F1288,YEAR($B$2:$B$4001)&amp;"-"&amp;$A$2:$A$4001,0,-1)),L1288))</f>
        <v>8</v>
      </c>
      <c r="N1288" s="1">
        <f t="shared" si="20"/>
        <v>36890</v>
      </c>
    </row>
    <row r="1289" spans="1:14" x14ac:dyDescent="0.35">
      <c r="A1289">
        <v>622</v>
      </c>
      <c r="B1289" s="2">
        <v>37985</v>
      </c>
      <c r="C1289">
        <v>4</v>
      </c>
      <c r="D1289">
        <v>4</v>
      </c>
      <c r="F1289">
        <v>1288</v>
      </c>
      <c r="G1289" cm="1">
        <f t="array" ref="G1289">_xlfn.IFNA(INDEX($D$2:$D$4001,_xlfn.XMATCH(G$1&amp;"-"&amp;$F1289,YEAR($B$2:$B$4001)&amp;"-"&amp;$A$2:$A$4001,0,-1)),9)</f>
        <v>9</v>
      </c>
      <c r="H1289" cm="1">
        <f t="array" ref="H1289">IF(OR(AND(G1289=9,H$1&gt;YEAR($N1289))),9,_xlfn.IFNA(INDEX($D$2:$D$4001,_xlfn.XMATCH(H$1&amp;"-"&amp;$F1289,YEAR($B$2:$B$4001)&amp;"-"&amp;$A$2:$A$4001,0,-1)),G1289))</f>
        <v>9</v>
      </c>
      <c r="I1289" cm="1">
        <f t="array" ref="I1289">IF(OR(AND(H1289=9,I$1&gt;YEAR($N1289))),9,_xlfn.IFNA(INDEX($D$2:$D$4001,_xlfn.XMATCH(I$1&amp;"-"&amp;$F1289,YEAR($B$2:$B$4001)&amp;"-"&amp;$A$2:$A$4001,0,-1)),H1289))</f>
        <v>9</v>
      </c>
      <c r="J1289" cm="1">
        <f t="array" ref="J1289">IF(OR(AND(I1289=9,J$1&gt;YEAR($N1289))),9,_xlfn.IFNA(INDEX($D$2:$D$4001,_xlfn.XMATCH(J$1&amp;"-"&amp;$F1289,YEAR($B$2:$B$4001)&amp;"-"&amp;$A$2:$A$4001,0,-1)),I1289))</f>
        <v>9</v>
      </c>
      <c r="K1289" cm="1">
        <f t="array" ref="K1289">IF(OR(AND(J1289=9,K$1&gt;YEAR($N1289))),9,_xlfn.IFNA(INDEX($D$2:$D$4001,_xlfn.XMATCH(K$1&amp;"-"&amp;$F1289,YEAR($B$2:$B$4001)&amp;"-"&amp;$A$2:$A$4001,0,-1)),J1289))</f>
        <v>9</v>
      </c>
      <c r="L1289" cm="1">
        <f t="array" ref="L1289">IF(OR(AND(K1289=9,L$1&gt;YEAR($N1289))),9,_xlfn.IFNA(INDEX($D$2:$D$4001,_xlfn.XMATCH(L$1&amp;"-"&amp;$F1289,YEAR($B$2:$B$4001)&amp;"-"&amp;$A$2:$A$4001,0,-1)),K1289))</f>
        <v>4</v>
      </c>
      <c r="M1289" cm="1">
        <f t="array" ref="M1289">IF(OR(AND(L1289=9,M$1&gt;YEAR($N1289))),9,_xlfn.IFNA(INDEX($D$2:$D$4001,_xlfn.XMATCH(M$1&amp;"-"&amp;$F1289,YEAR($B$2:$B$4001)&amp;"-"&amp;$A$2:$A$4001,0,-1)),L1289))</f>
        <v>4</v>
      </c>
      <c r="N1289" s="1">
        <f t="shared" si="20"/>
        <v>38281</v>
      </c>
    </row>
    <row r="1290" spans="1:14" x14ac:dyDescent="0.35">
      <c r="A1290">
        <v>623</v>
      </c>
      <c r="B1290" s="2">
        <v>37255</v>
      </c>
      <c r="C1290">
        <v>3</v>
      </c>
      <c r="D1290">
        <v>3</v>
      </c>
      <c r="F1290">
        <v>1289</v>
      </c>
      <c r="G1290" cm="1">
        <f t="array" ref="G1290">_xlfn.IFNA(INDEX($D$2:$D$4001,_xlfn.XMATCH(G$1&amp;"-"&amp;$F1290,YEAR($B$2:$B$4001)&amp;"-"&amp;$A$2:$A$4001,0,-1)),9)</f>
        <v>1</v>
      </c>
      <c r="H1290" cm="1">
        <f t="array" ref="H1290">IF(OR(AND(G1290=9,H$1&gt;YEAR($N1290))),9,_xlfn.IFNA(INDEX($D$2:$D$4001,_xlfn.XMATCH(H$1&amp;"-"&amp;$F1290,YEAR($B$2:$B$4001)&amp;"-"&amp;$A$2:$A$4001,0,-1)),G1290))</f>
        <v>1</v>
      </c>
      <c r="I1290" cm="1">
        <f t="array" ref="I1290">IF(OR(AND(H1290=9,I$1&gt;YEAR($N1290))),9,_xlfn.IFNA(INDEX($D$2:$D$4001,_xlfn.XMATCH(I$1&amp;"-"&amp;$F1290,YEAR($B$2:$B$4001)&amp;"-"&amp;$A$2:$A$4001,0,-1)),H1290))</f>
        <v>1</v>
      </c>
      <c r="J1290" cm="1">
        <f t="array" ref="J1290">IF(OR(AND(I1290=9,J$1&gt;YEAR($N1290))),9,_xlfn.IFNA(INDEX($D$2:$D$4001,_xlfn.XMATCH(J$1&amp;"-"&amp;$F1290,YEAR($B$2:$B$4001)&amp;"-"&amp;$A$2:$A$4001,0,-1)),I1290))</f>
        <v>1</v>
      </c>
      <c r="K1290" cm="1">
        <f t="array" ref="K1290">IF(OR(AND(J1290=9,K$1&gt;YEAR($N1290))),9,_xlfn.IFNA(INDEX($D$2:$D$4001,_xlfn.XMATCH(K$1&amp;"-"&amp;$F1290,YEAR($B$2:$B$4001)&amp;"-"&amp;$A$2:$A$4001,0,-1)),J1290))</f>
        <v>1</v>
      </c>
      <c r="L1290" cm="1">
        <f t="array" ref="L1290">IF(OR(AND(K1290=9,L$1&gt;YEAR($N1290))),9,_xlfn.IFNA(INDEX($D$2:$D$4001,_xlfn.XMATCH(L$1&amp;"-"&amp;$F1290,YEAR($B$2:$B$4001)&amp;"-"&amp;$A$2:$A$4001,0,-1)),K1290))</f>
        <v>1</v>
      </c>
      <c r="M1290" cm="1">
        <f t="array" ref="M1290">IF(OR(AND(L1290=9,M$1&gt;YEAR($N1290))),9,_xlfn.IFNA(INDEX($D$2:$D$4001,_xlfn.XMATCH(M$1&amp;"-"&amp;$F1290,YEAR($B$2:$B$4001)&amp;"-"&amp;$A$2:$A$4001,0,-1)),L1290))</f>
        <v>1</v>
      </c>
      <c r="N1290" s="1">
        <f t="shared" si="20"/>
        <v>36463</v>
      </c>
    </row>
    <row r="1291" spans="1:14" x14ac:dyDescent="0.35">
      <c r="A1291">
        <v>623</v>
      </c>
      <c r="B1291" s="2">
        <v>37620</v>
      </c>
      <c r="C1291">
        <v>3</v>
      </c>
      <c r="D1291">
        <v>3</v>
      </c>
      <c r="F1291">
        <v>1290</v>
      </c>
      <c r="G1291" cm="1">
        <f t="array" ref="G1291">_xlfn.IFNA(INDEX($D$2:$D$4001,_xlfn.XMATCH(G$1&amp;"-"&amp;$F1291,YEAR($B$2:$B$4001)&amp;"-"&amp;$A$2:$A$4001,0,-1)),9)</f>
        <v>3</v>
      </c>
      <c r="H1291" cm="1">
        <f t="array" ref="H1291">IF(OR(AND(G1291=9,H$1&gt;YEAR($N1291))),9,_xlfn.IFNA(INDEX($D$2:$D$4001,_xlfn.XMATCH(H$1&amp;"-"&amp;$F1291,YEAR($B$2:$B$4001)&amp;"-"&amp;$A$2:$A$4001,0,-1)),G1291))</f>
        <v>3</v>
      </c>
      <c r="I1291" cm="1">
        <f t="array" ref="I1291">IF(OR(AND(H1291=9,I$1&gt;YEAR($N1291))),9,_xlfn.IFNA(INDEX($D$2:$D$4001,_xlfn.XMATCH(I$1&amp;"-"&amp;$F1291,YEAR($B$2:$B$4001)&amp;"-"&amp;$A$2:$A$4001,0,-1)),H1291))</f>
        <v>3</v>
      </c>
      <c r="J1291" cm="1">
        <f t="array" ref="J1291">IF(OR(AND(I1291=9,J$1&gt;YEAR($N1291))),9,_xlfn.IFNA(INDEX($D$2:$D$4001,_xlfn.XMATCH(J$1&amp;"-"&amp;$F1291,YEAR($B$2:$B$4001)&amp;"-"&amp;$A$2:$A$4001,0,-1)),I1291))</f>
        <v>3</v>
      </c>
      <c r="K1291" cm="1">
        <f t="array" ref="K1291">IF(OR(AND(J1291=9,K$1&gt;YEAR($N1291))),9,_xlfn.IFNA(INDEX($D$2:$D$4001,_xlfn.XMATCH(K$1&amp;"-"&amp;$F1291,YEAR($B$2:$B$4001)&amp;"-"&amp;$A$2:$A$4001,0,-1)),J1291))</f>
        <v>3</v>
      </c>
      <c r="L1291" cm="1">
        <f t="array" ref="L1291">IF(OR(AND(K1291=9,L$1&gt;YEAR($N1291))),9,_xlfn.IFNA(INDEX($D$2:$D$4001,_xlfn.XMATCH(L$1&amp;"-"&amp;$F1291,YEAR($B$2:$B$4001)&amp;"-"&amp;$A$2:$A$4001,0,-1)),K1291))</f>
        <v>3</v>
      </c>
      <c r="M1291" cm="1">
        <f t="array" ref="M1291">IF(OR(AND(L1291=9,M$1&gt;YEAR($N1291))),9,_xlfn.IFNA(INDEX($D$2:$D$4001,_xlfn.XMATCH(M$1&amp;"-"&amp;$F1291,YEAR($B$2:$B$4001)&amp;"-"&amp;$A$2:$A$4001,0,-1)),L1291))</f>
        <v>3</v>
      </c>
      <c r="N1291" s="1">
        <f t="shared" si="20"/>
        <v>36463</v>
      </c>
    </row>
    <row r="1292" spans="1:14" x14ac:dyDescent="0.35">
      <c r="A1292">
        <v>624</v>
      </c>
      <c r="B1292" s="2">
        <v>37124</v>
      </c>
      <c r="C1292">
        <v>3</v>
      </c>
      <c r="D1292">
        <v>3</v>
      </c>
      <c r="F1292">
        <v>1291</v>
      </c>
      <c r="G1292" cm="1">
        <f t="array" ref="G1292">_xlfn.IFNA(INDEX($D$2:$D$4001,_xlfn.XMATCH(G$1&amp;"-"&amp;$F1292,YEAR($B$2:$B$4001)&amp;"-"&amp;$A$2:$A$4001,0,-1)),9)</f>
        <v>9</v>
      </c>
      <c r="H1292" cm="1">
        <f t="array" ref="H1292">IF(OR(AND(G1292=9,H$1&gt;YEAR($N1292))),9,_xlfn.IFNA(INDEX($D$2:$D$4001,_xlfn.XMATCH(H$1&amp;"-"&amp;$F1292,YEAR($B$2:$B$4001)&amp;"-"&amp;$A$2:$A$4001,0,-1)),G1292))</f>
        <v>2</v>
      </c>
      <c r="I1292" cm="1">
        <f t="array" ref="I1292">IF(OR(AND(H1292=9,I$1&gt;YEAR($N1292))),9,_xlfn.IFNA(INDEX($D$2:$D$4001,_xlfn.XMATCH(I$1&amp;"-"&amp;$F1292,YEAR($B$2:$B$4001)&amp;"-"&amp;$A$2:$A$4001,0,-1)),H1292))</f>
        <v>2</v>
      </c>
      <c r="J1292" cm="1">
        <f t="array" ref="J1292">IF(OR(AND(I1292=9,J$1&gt;YEAR($N1292))),9,_xlfn.IFNA(INDEX($D$2:$D$4001,_xlfn.XMATCH(J$1&amp;"-"&amp;$F1292,YEAR($B$2:$B$4001)&amp;"-"&amp;$A$2:$A$4001,0,-1)),I1292))</f>
        <v>3</v>
      </c>
      <c r="K1292" cm="1">
        <f t="array" ref="K1292">IF(OR(AND(J1292=9,K$1&gt;YEAR($N1292))),9,_xlfn.IFNA(INDEX($D$2:$D$4001,_xlfn.XMATCH(K$1&amp;"-"&amp;$F1292,YEAR($B$2:$B$4001)&amp;"-"&amp;$A$2:$A$4001,0,-1)),J1292))</f>
        <v>3</v>
      </c>
      <c r="L1292" cm="1">
        <f t="array" ref="L1292">IF(OR(AND(K1292=9,L$1&gt;YEAR($N1292))),9,_xlfn.IFNA(INDEX($D$2:$D$4001,_xlfn.XMATCH(L$1&amp;"-"&amp;$F1292,YEAR($B$2:$B$4001)&amp;"-"&amp;$A$2:$A$4001,0,-1)),K1292))</f>
        <v>2</v>
      </c>
      <c r="M1292" cm="1">
        <f t="array" ref="M1292">IF(OR(AND(L1292=9,M$1&gt;YEAR($N1292))),9,_xlfn.IFNA(INDEX($D$2:$D$4001,_xlfn.XMATCH(M$1&amp;"-"&amp;$F1292,YEAR($B$2:$B$4001)&amp;"-"&amp;$A$2:$A$4001,0,-1)),L1292))</f>
        <v>2</v>
      </c>
      <c r="N1292" s="1">
        <f t="shared" si="20"/>
        <v>36790</v>
      </c>
    </row>
    <row r="1293" spans="1:14" x14ac:dyDescent="0.35">
      <c r="A1293">
        <v>624</v>
      </c>
      <c r="B1293" s="2">
        <v>37620</v>
      </c>
      <c r="C1293">
        <v>3</v>
      </c>
      <c r="D1293">
        <v>3</v>
      </c>
      <c r="F1293">
        <v>1292</v>
      </c>
      <c r="G1293" cm="1">
        <f t="array" ref="G1293">_xlfn.IFNA(INDEX($D$2:$D$4001,_xlfn.XMATCH(G$1&amp;"-"&amp;$F1293,YEAR($B$2:$B$4001)&amp;"-"&amp;$A$2:$A$4001,0,-1)),9)</f>
        <v>9</v>
      </c>
      <c r="H1293" cm="1">
        <f t="array" ref="H1293">IF(OR(AND(G1293=9,H$1&gt;YEAR($N1293))),9,_xlfn.IFNA(INDEX($D$2:$D$4001,_xlfn.XMATCH(H$1&amp;"-"&amp;$F1293,YEAR($B$2:$B$4001)&amp;"-"&amp;$A$2:$A$4001,0,-1)),G1293))</f>
        <v>9</v>
      </c>
      <c r="I1293" cm="1">
        <f t="array" ref="I1293">IF(OR(AND(H1293=9,I$1&gt;YEAR($N1293))),9,_xlfn.IFNA(INDEX($D$2:$D$4001,_xlfn.XMATCH(I$1&amp;"-"&amp;$F1293,YEAR($B$2:$B$4001)&amp;"-"&amp;$A$2:$A$4001,0,-1)),H1293))</f>
        <v>9</v>
      </c>
      <c r="J1293" cm="1">
        <f t="array" ref="J1293">IF(OR(AND(I1293=9,J$1&gt;YEAR($N1293))),9,_xlfn.IFNA(INDEX($D$2:$D$4001,_xlfn.XMATCH(J$1&amp;"-"&amp;$F1293,YEAR($B$2:$B$4001)&amp;"-"&amp;$A$2:$A$4001,0,-1)),I1293))</f>
        <v>3</v>
      </c>
      <c r="K1293" cm="1">
        <f t="array" ref="K1293">IF(OR(AND(J1293=9,K$1&gt;YEAR($N1293))),9,_xlfn.IFNA(INDEX($D$2:$D$4001,_xlfn.XMATCH(K$1&amp;"-"&amp;$F1293,YEAR($B$2:$B$4001)&amp;"-"&amp;$A$2:$A$4001,0,-1)),J1293))</f>
        <v>3</v>
      </c>
      <c r="L1293" cm="1">
        <f t="array" ref="L1293">IF(OR(AND(K1293=9,L$1&gt;YEAR($N1293))),9,_xlfn.IFNA(INDEX($D$2:$D$4001,_xlfn.XMATCH(L$1&amp;"-"&amp;$F1293,YEAR($B$2:$B$4001)&amp;"-"&amp;$A$2:$A$4001,0,-1)),K1293))</f>
        <v>3</v>
      </c>
      <c r="M1293" cm="1">
        <f t="array" ref="M1293">IF(OR(AND(L1293=9,M$1&gt;YEAR($N1293))),9,_xlfn.IFNA(INDEX($D$2:$D$4001,_xlfn.XMATCH(M$1&amp;"-"&amp;$F1293,YEAR($B$2:$B$4001)&amp;"-"&amp;$A$2:$A$4001,0,-1)),L1293))</f>
        <v>3</v>
      </c>
      <c r="N1293" s="1">
        <f t="shared" si="20"/>
        <v>37550</v>
      </c>
    </row>
    <row r="1294" spans="1:14" x14ac:dyDescent="0.35">
      <c r="A1294">
        <v>625</v>
      </c>
      <c r="B1294" s="2">
        <v>37063</v>
      </c>
      <c r="C1294">
        <v>3</v>
      </c>
      <c r="D1294">
        <v>3</v>
      </c>
      <c r="F1294">
        <v>1293</v>
      </c>
      <c r="G1294" cm="1">
        <f t="array" ref="G1294">_xlfn.IFNA(INDEX($D$2:$D$4001,_xlfn.XMATCH(G$1&amp;"-"&amp;$F1294,YEAR($B$2:$B$4001)&amp;"-"&amp;$A$2:$A$4001,0,-1)),9)</f>
        <v>9</v>
      </c>
      <c r="H1294" cm="1">
        <f t="array" ref="H1294">IF(OR(AND(G1294=9,H$1&gt;YEAR($N1294))),9,_xlfn.IFNA(INDEX($D$2:$D$4001,_xlfn.XMATCH(H$1&amp;"-"&amp;$F1294,YEAR($B$2:$B$4001)&amp;"-"&amp;$A$2:$A$4001,0,-1)),G1294))</f>
        <v>3</v>
      </c>
      <c r="I1294" cm="1">
        <f t="array" ref="I1294">IF(OR(AND(H1294=9,I$1&gt;YEAR($N1294))),9,_xlfn.IFNA(INDEX($D$2:$D$4001,_xlfn.XMATCH(I$1&amp;"-"&amp;$F1294,YEAR($B$2:$B$4001)&amp;"-"&amp;$A$2:$A$4001,0,-1)),H1294))</f>
        <v>3</v>
      </c>
      <c r="J1294" cm="1">
        <f t="array" ref="J1294">IF(OR(AND(I1294=9,J$1&gt;YEAR($N1294))),9,_xlfn.IFNA(INDEX($D$2:$D$4001,_xlfn.XMATCH(J$1&amp;"-"&amp;$F1294,YEAR($B$2:$B$4001)&amp;"-"&amp;$A$2:$A$4001,0,-1)),I1294))</f>
        <v>3</v>
      </c>
      <c r="K1294" cm="1">
        <f t="array" ref="K1294">IF(OR(AND(J1294=9,K$1&gt;YEAR($N1294))),9,_xlfn.IFNA(INDEX($D$2:$D$4001,_xlfn.XMATCH(K$1&amp;"-"&amp;$F1294,YEAR($B$2:$B$4001)&amp;"-"&amp;$A$2:$A$4001,0,-1)),J1294))</f>
        <v>3</v>
      </c>
      <c r="L1294" cm="1">
        <f t="array" ref="L1294">IF(OR(AND(K1294=9,L$1&gt;YEAR($N1294))),9,_xlfn.IFNA(INDEX($D$2:$D$4001,_xlfn.XMATCH(L$1&amp;"-"&amp;$F1294,YEAR($B$2:$B$4001)&amp;"-"&amp;$A$2:$A$4001,0,-1)),K1294))</f>
        <v>3</v>
      </c>
      <c r="M1294" cm="1">
        <f t="array" ref="M1294">IF(OR(AND(L1294=9,M$1&gt;YEAR($N1294))),9,_xlfn.IFNA(INDEX($D$2:$D$4001,_xlfn.XMATCH(M$1&amp;"-"&amp;$F1294,YEAR($B$2:$B$4001)&amp;"-"&amp;$A$2:$A$4001,0,-1)),L1294))</f>
        <v>3</v>
      </c>
      <c r="N1294" s="1">
        <f t="shared" si="20"/>
        <v>36890</v>
      </c>
    </row>
    <row r="1295" spans="1:14" x14ac:dyDescent="0.35">
      <c r="A1295">
        <v>625</v>
      </c>
      <c r="B1295" s="2">
        <v>37620</v>
      </c>
      <c r="C1295">
        <v>3</v>
      </c>
      <c r="D1295">
        <v>3</v>
      </c>
      <c r="F1295">
        <v>1294</v>
      </c>
      <c r="G1295" cm="1">
        <f t="array" ref="G1295">_xlfn.IFNA(INDEX($D$2:$D$4001,_xlfn.XMATCH(G$1&amp;"-"&amp;$F1295,YEAR($B$2:$B$4001)&amp;"-"&amp;$A$2:$A$4001,0,-1)),9)</f>
        <v>3</v>
      </c>
      <c r="H1295" cm="1">
        <f t="array" ref="H1295">IF(OR(AND(G1295=9,H$1&gt;YEAR($N1295))),9,_xlfn.IFNA(INDEX($D$2:$D$4001,_xlfn.XMATCH(H$1&amp;"-"&amp;$F1295,YEAR($B$2:$B$4001)&amp;"-"&amp;$A$2:$A$4001,0,-1)),G1295))</f>
        <v>3</v>
      </c>
      <c r="I1295" cm="1">
        <f t="array" ref="I1295">IF(OR(AND(H1295=9,I$1&gt;YEAR($N1295))),9,_xlfn.IFNA(INDEX($D$2:$D$4001,_xlfn.XMATCH(I$1&amp;"-"&amp;$F1295,YEAR($B$2:$B$4001)&amp;"-"&amp;$A$2:$A$4001,0,-1)),H1295))</f>
        <v>3</v>
      </c>
      <c r="J1295" cm="1">
        <f t="array" ref="J1295">IF(OR(AND(I1295=9,J$1&gt;YEAR($N1295))),9,_xlfn.IFNA(INDEX($D$2:$D$4001,_xlfn.XMATCH(J$1&amp;"-"&amp;$F1295,YEAR($B$2:$B$4001)&amp;"-"&amp;$A$2:$A$4001,0,-1)),I1295))</f>
        <v>4</v>
      </c>
      <c r="K1295" cm="1">
        <f t="array" ref="K1295">IF(OR(AND(J1295=9,K$1&gt;YEAR($N1295))),9,_xlfn.IFNA(INDEX($D$2:$D$4001,_xlfn.XMATCH(K$1&amp;"-"&amp;$F1295,YEAR($B$2:$B$4001)&amp;"-"&amp;$A$2:$A$4001,0,-1)),J1295))</f>
        <v>4</v>
      </c>
      <c r="L1295" cm="1">
        <f t="array" ref="L1295">IF(OR(AND(K1295=9,L$1&gt;YEAR($N1295))),9,_xlfn.IFNA(INDEX($D$2:$D$4001,_xlfn.XMATCH(L$1&amp;"-"&amp;$F1295,YEAR($B$2:$B$4001)&amp;"-"&amp;$A$2:$A$4001,0,-1)),K1295))</f>
        <v>4</v>
      </c>
      <c r="M1295" cm="1">
        <f t="array" ref="M1295">IF(OR(AND(L1295=9,M$1&gt;YEAR($N1295))),9,_xlfn.IFNA(INDEX($D$2:$D$4001,_xlfn.XMATCH(M$1&amp;"-"&amp;$F1295,YEAR($B$2:$B$4001)&amp;"-"&amp;$A$2:$A$4001,0,-1)),L1295))</f>
        <v>4</v>
      </c>
      <c r="N1295" s="1">
        <f t="shared" si="20"/>
        <v>36301</v>
      </c>
    </row>
    <row r="1296" spans="1:14" x14ac:dyDescent="0.35">
      <c r="A1296">
        <v>626</v>
      </c>
      <c r="B1296" s="2">
        <v>36310</v>
      </c>
      <c r="C1296">
        <v>3</v>
      </c>
      <c r="D1296">
        <v>3</v>
      </c>
      <c r="F1296">
        <v>1295</v>
      </c>
      <c r="G1296" cm="1">
        <f t="array" ref="G1296">_xlfn.IFNA(INDEX($D$2:$D$4001,_xlfn.XMATCH(G$1&amp;"-"&amp;$F1296,YEAR($B$2:$B$4001)&amp;"-"&amp;$A$2:$A$4001,0,-1)),9)</f>
        <v>9</v>
      </c>
      <c r="H1296" cm="1">
        <f t="array" ref="H1296">IF(OR(AND(G1296=9,H$1&gt;YEAR($N1296))),9,_xlfn.IFNA(INDEX($D$2:$D$4001,_xlfn.XMATCH(H$1&amp;"-"&amp;$F1296,YEAR($B$2:$B$4001)&amp;"-"&amp;$A$2:$A$4001,0,-1)),G1296))</f>
        <v>9</v>
      </c>
      <c r="I1296" cm="1">
        <f t="array" ref="I1296">IF(OR(AND(H1296=9,I$1&gt;YEAR($N1296))),9,_xlfn.IFNA(INDEX($D$2:$D$4001,_xlfn.XMATCH(I$1&amp;"-"&amp;$F1296,YEAR($B$2:$B$4001)&amp;"-"&amp;$A$2:$A$4001,0,-1)),H1296))</f>
        <v>9</v>
      </c>
      <c r="J1296" cm="1">
        <f t="array" ref="J1296">IF(OR(AND(I1296=9,J$1&gt;YEAR($N1296))),9,_xlfn.IFNA(INDEX($D$2:$D$4001,_xlfn.XMATCH(J$1&amp;"-"&amp;$F1296,YEAR($B$2:$B$4001)&amp;"-"&amp;$A$2:$A$4001,0,-1)),I1296))</f>
        <v>3</v>
      </c>
      <c r="K1296" cm="1">
        <f t="array" ref="K1296">IF(OR(AND(J1296=9,K$1&gt;YEAR($N1296))),9,_xlfn.IFNA(INDEX($D$2:$D$4001,_xlfn.XMATCH(K$1&amp;"-"&amp;$F1296,YEAR($B$2:$B$4001)&amp;"-"&amp;$A$2:$A$4001,0,-1)),J1296))</f>
        <v>3</v>
      </c>
      <c r="L1296" cm="1">
        <f t="array" ref="L1296">IF(OR(AND(K1296=9,L$1&gt;YEAR($N1296))),9,_xlfn.IFNA(INDEX($D$2:$D$4001,_xlfn.XMATCH(L$1&amp;"-"&amp;$F1296,YEAR($B$2:$B$4001)&amp;"-"&amp;$A$2:$A$4001,0,-1)),K1296))</f>
        <v>3</v>
      </c>
      <c r="M1296" cm="1">
        <f t="array" ref="M1296">IF(OR(AND(L1296=9,M$1&gt;YEAR($N1296))),9,_xlfn.IFNA(INDEX($D$2:$D$4001,_xlfn.XMATCH(M$1&amp;"-"&amp;$F1296,YEAR($B$2:$B$4001)&amp;"-"&amp;$A$2:$A$4001,0,-1)),L1296))</f>
        <v>3</v>
      </c>
      <c r="N1296" s="1">
        <f t="shared" si="20"/>
        <v>37620</v>
      </c>
    </row>
    <row r="1297" spans="1:14" x14ac:dyDescent="0.35">
      <c r="A1297">
        <v>626</v>
      </c>
      <c r="B1297" s="2">
        <v>36667</v>
      </c>
      <c r="C1297">
        <v>2</v>
      </c>
      <c r="D1297">
        <v>2</v>
      </c>
      <c r="F1297">
        <v>1296</v>
      </c>
      <c r="G1297" cm="1">
        <f t="array" ref="G1297">_xlfn.IFNA(INDEX($D$2:$D$4001,_xlfn.XMATCH(G$1&amp;"-"&amp;$F1297,YEAR($B$2:$B$4001)&amp;"-"&amp;$A$2:$A$4001,0,-1)),9)</f>
        <v>9</v>
      </c>
      <c r="H1297" cm="1">
        <f t="array" ref="H1297">IF(OR(AND(G1297=9,H$1&gt;YEAR($N1297))),9,_xlfn.IFNA(INDEX($D$2:$D$4001,_xlfn.XMATCH(H$1&amp;"-"&amp;$F1297,YEAR($B$2:$B$4001)&amp;"-"&amp;$A$2:$A$4001,0,-1)),G1297))</f>
        <v>9</v>
      </c>
      <c r="I1297" cm="1">
        <f t="array" ref="I1297">IF(OR(AND(H1297=9,I$1&gt;YEAR($N1297))),9,_xlfn.IFNA(INDEX($D$2:$D$4001,_xlfn.XMATCH(I$1&amp;"-"&amp;$F1297,YEAR($B$2:$B$4001)&amp;"-"&amp;$A$2:$A$4001,0,-1)),H1297))</f>
        <v>9</v>
      </c>
      <c r="J1297" cm="1">
        <f t="array" ref="J1297">IF(OR(AND(I1297=9,J$1&gt;YEAR($N1297))),9,_xlfn.IFNA(INDEX($D$2:$D$4001,_xlfn.XMATCH(J$1&amp;"-"&amp;$F1297,YEAR($B$2:$B$4001)&amp;"-"&amp;$A$2:$A$4001,0,-1)),I1297))</f>
        <v>3</v>
      </c>
      <c r="K1297" cm="1">
        <f t="array" ref="K1297">IF(OR(AND(J1297=9,K$1&gt;YEAR($N1297))),9,_xlfn.IFNA(INDEX($D$2:$D$4001,_xlfn.XMATCH(K$1&amp;"-"&amp;$F1297,YEAR($B$2:$B$4001)&amp;"-"&amp;$A$2:$A$4001,0,-1)),J1297))</f>
        <v>3</v>
      </c>
      <c r="L1297" cm="1">
        <f t="array" ref="L1297">IF(OR(AND(K1297=9,L$1&gt;YEAR($N1297))),9,_xlfn.IFNA(INDEX($D$2:$D$4001,_xlfn.XMATCH(L$1&amp;"-"&amp;$F1297,YEAR($B$2:$B$4001)&amp;"-"&amp;$A$2:$A$4001,0,-1)),K1297))</f>
        <v>3</v>
      </c>
      <c r="M1297" cm="1">
        <f t="array" ref="M1297">IF(OR(AND(L1297=9,M$1&gt;YEAR($N1297))),9,_xlfn.IFNA(INDEX($D$2:$D$4001,_xlfn.XMATCH(M$1&amp;"-"&amp;$F1297,YEAR($B$2:$B$4001)&amp;"-"&amp;$A$2:$A$4001,0,-1)),L1297))</f>
        <v>3</v>
      </c>
      <c r="N1297" s="1">
        <f t="shared" si="20"/>
        <v>37406</v>
      </c>
    </row>
    <row r="1298" spans="1:14" x14ac:dyDescent="0.35">
      <c r="A1298">
        <v>626</v>
      </c>
      <c r="B1298" s="2">
        <v>37397</v>
      </c>
      <c r="C1298">
        <v>2</v>
      </c>
      <c r="D1298">
        <v>2</v>
      </c>
      <c r="F1298">
        <v>1297</v>
      </c>
      <c r="G1298" cm="1">
        <f t="array" ref="G1298">_xlfn.IFNA(INDEX($D$2:$D$4001,_xlfn.XMATCH(G$1&amp;"-"&amp;$F1298,YEAR($B$2:$B$4001)&amp;"-"&amp;$A$2:$A$4001,0,-1)),9)</f>
        <v>9</v>
      </c>
      <c r="H1298" cm="1">
        <f t="array" ref="H1298">IF(OR(AND(G1298=9,H$1&gt;YEAR($N1298))),9,_xlfn.IFNA(INDEX($D$2:$D$4001,_xlfn.XMATCH(H$1&amp;"-"&amp;$F1298,YEAR($B$2:$B$4001)&amp;"-"&amp;$A$2:$A$4001,0,-1)),G1298))</f>
        <v>9</v>
      </c>
      <c r="I1298" cm="1">
        <f t="array" ref="I1298">IF(OR(AND(H1298=9,I$1&gt;YEAR($N1298))),9,_xlfn.IFNA(INDEX($D$2:$D$4001,_xlfn.XMATCH(I$1&amp;"-"&amp;$F1298,YEAR($B$2:$B$4001)&amp;"-"&amp;$A$2:$A$4001,0,-1)),H1298))</f>
        <v>9</v>
      </c>
      <c r="J1298" cm="1">
        <f t="array" ref="J1298">IF(OR(AND(I1298=9,J$1&gt;YEAR($N1298))),9,_xlfn.IFNA(INDEX($D$2:$D$4001,_xlfn.XMATCH(J$1&amp;"-"&amp;$F1298,YEAR($B$2:$B$4001)&amp;"-"&amp;$A$2:$A$4001,0,-1)),I1298))</f>
        <v>4</v>
      </c>
      <c r="K1298" cm="1">
        <f t="array" ref="K1298">IF(OR(AND(J1298=9,K$1&gt;YEAR($N1298))),9,_xlfn.IFNA(INDEX($D$2:$D$4001,_xlfn.XMATCH(K$1&amp;"-"&amp;$F1298,YEAR($B$2:$B$4001)&amp;"-"&amp;$A$2:$A$4001,0,-1)),J1298))</f>
        <v>4</v>
      </c>
      <c r="L1298" cm="1">
        <f t="array" ref="L1298">IF(OR(AND(K1298=9,L$1&gt;YEAR($N1298))),9,_xlfn.IFNA(INDEX($D$2:$D$4001,_xlfn.XMATCH(L$1&amp;"-"&amp;$F1298,YEAR($B$2:$B$4001)&amp;"-"&amp;$A$2:$A$4001,0,-1)),K1298))</f>
        <v>4</v>
      </c>
      <c r="M1298" cm="1">
        <f t="array" ref="M1298">IF(OR(AND(L1298=9,M$1&gt;YEAR($N1298))),9,_xlfn.IFNA(INDEX($D$2:$D$4001,_xlfn.XMATCH(M$1&amp;"-"&amp;$F1298,YEAR($B$2:$B$4001)&amp;"-"&amp;$A$2:$A$4001,0,-1)),L1298))</f>
        <v>4</v>
      </c>
      <c r="N1298" s="1">
        <f t="shared" si="20"/>
        <v>37397</v>
      </c>
    </row>
    <row r="1299" spans="1:14" x14ac:dyDescent="0.35">
      <c r="A1299">
        <v>627</v>
      </c>
      <c r="B1299" s="2">
        <v>36698</v>
      </c>
      <c r="C1299">
        <v>3</v>
      </c>
      <c r="D1299">
        <v>3</v>
      </c>
      <c r="F1299">
        <v>1298</v>
      </c>
      <c r="G1299" cm="1">
        <f t="array" ref="G1299">_xlfn.IFNA(INDEX($D$2:$D$4001,_xlfn.XMATCH(G$1&amp;"-"&amp;$F1299,YEAR($B$2:$B$4001)&amp;"-"&amp;$A$2:$A$4001,0,-1)),9)</f>
        <v>9</v>
      </c>
      <c r="H1299" cm="1">
        <f t="array" ref="H1299">IF(OR(AND(G1299=9,H$1&gt;YEAR($N1299))),9,_xlfn.IFNA(INDEX($D$2:$D$4001,_xlfn.XMATCH(H$1&amp;"-"&amp;$F1299,YEAR($B$2:$B$4001)&amp;"-"&amp;$A$2:$A$4001,0,-1)),G1299))</f>
        <v>2</v>
      </c>
      <c r="I1299" cm="1">
        <f t="array" ref="I1299">IF(OR(AND(H1299=9,I$1&gt;YEAR($N1299))),9,_xlfn.IFNA(INDEX($D$2:$D$4001,_xlfn.XMATCH(I$1&amp;"-"&amp;$F1299,YEAR($B$2:$B$4001)&amp;"-"&amp;$A$2:$A$4001,0,-1)),H1299))</f>
        <v>2</v>
      </c>
      <c r="J1299" cm="1">
        <f t="array" ref="J1299">IF(OR(AND(I1299=9,J$1&gt;YEAR($N1299))),9,_xlfn.IFNA(INDEX($D$2:$D$4001,_xlfn.XMATCH(J$1&amp;"-"&amp;$F1299,YEAR($B$2:$B$4001)&amp;"-"&amp;$A$2:$A$4001,0,-1)),I1299))</f>
        <v>1</v>
      </c>
      <c r="K1299" cm="1">
        <f t="array" ref="K1299">IF(OR(AND(J1299=9,K$1&gt;YEAR($N1299))),9,_xlfn.IFNA(INDEX($D$2:$D$4001,_xlfn.XMATCH(K$1&amp;"-"&amp;$F1299,YEAR($B$2:$B$4001)&amp;"-"&amp;$A$2:$A$4001,0,-1)),J1299))</f>
        <v>1</v>
      </c>
      <c r="L1299" cm="1">
        <f t="array" ref="L1299">IF(OR(AND(K1299=9,L$1&gt;YEAR($N1299))),9,_xlfn.IFNA(INDEX($D$2:$D$4001,_xlfn.XMATCH(L$1&amp;"-"&amp;$F1299,YEAR($B$2:$B$4001)&amp;"-"&amp;$A$2:$A$4001,0,-1)),K1299))</f>
        <v>1</v>
      </c>
      <c r="M1299" cm="1">
        <f t="array" ref="M1299">IF(OR(AND(L1299=9,M$1&gt;YEAR($N1299))),9,_xlfn.IFNA(INDEX($D$2:$D$4001,_xlfn.XMATCH(M$1&amp;"-"&amp;$F1299,YEAR($B$2:$B$4001)&amp;"-"&amp;$A$2:$A$4001,0,-1)),L1299))</f>
        <v>1</v>
      </c>
      <c r="N1299" s="1">
        <f t="shared" si="20"/>
        <v>36667</v>
      </c>
    </row>
    <row r="1300" spans="1:14" x14ac:dyDescent="0.35">
      <c r="A1300">
        <v>628</v>
      </c>
      <c r="B1300" s="2">
        <v>36668</v>
      </c>
      <c r="C1300">
        <v>5</v>
      </c>
      <c r="D1300">
        <v>5</v>
      </c>
      <c r="F1300">
        <v>1299</v>
      </c>
      <c r="G1300" cm="1">
        <f t="array" ref="G1300">_xlfn.IFNA(INDEX($D$2:$D$4001,_xlfn.XMATCH(G$1&amp;"-"&amp;$F1300,YEAR($B$2:$B$4001)&amp;"-"&amp;$A$2:$A$4001,0,-1)),9)</f>
        <v>9</v>
      </c>
      <c r="H1300" cm="1">
        <f t="array" ref="H1300">IF(OR(AND(G1300=9,H$1&gt;YEAR($N1300))),9,_xlfn.IFNA(INDEX($D$2:$D$4001,_xlfn.XMATCH(H$1&amp;"-"&amp;$F1300,YEAR($B$2:$B$4001)&amp;"-"&amp;$A$2:$A$4001,0,-1)),G1300))</f>
        <v>9</v>
      </c>
      <c r="I1300" cm="1">
        <f t="array" ref="I1300">IF(OR(AND(H1300=9,I$1&gt;YEAR($N1300))),9,_xlfn.IFNA(INDEX($D$2:$D$4001,_xlfn.XMATCH(I$1&amp;"-"&amp;$F1300,YEAR($B$2:$B$4001)&amp;"-"&amp;$A$2:$A$4001,0,-1)),H1300))</f>
        <v>9</v>
      </c>
      <c r="J1300" cm="1">
        <f t="array" ref="J1300">IF(OR(AND(I1300=9,J$1&gt;YEAR($N1300))),9,_xlfn.IFNA(INDEX($D$2:$D$4001,_xlfn.XMATCH(J$1&amp;"-"&amp;$F1300,YEAR($B$2:$B$4001)&amp;"-"&amp;$A$2:$A$4001,0,-1)),I1300))</f>
        <v>2</v>
      </c>
      <c r="K1300" cm="1">
        <f t="array" ref="K1300">IF(OR(AND(J1300=9,K$1&gt;YEAR($N1300))),9,_xlfn.IFNA(INDEX($D$2:$D$4001,_xlfn.XMATCH(K$1&amp;"-"&amp;$F1300,YEAR($B$2:$B$4001)&amp;"-"&amp;$A$2:$A$4001,0,-1)),J1300))</f>
        <v>2</v>
      </c>
      <c r="L1300" cm="1">
        <f t="array" ref="L1300">IF(OR(AND(K1300=9,L$1&gt;YEAR($N1300))),9,_xlfn.IFNA(INDEX($D$2:$D$4001,_xlfn.XMATCH(L$1&amp;"-"&amp;$F1300,YEAR($B$2:$B$4001)&amp;"-"&amp;$A$2:$A$4001,0,-1)),K1300))</f>
        <v>2</v>
      </c>
      <c r="M1300" cm="1">
        <f t="array" ref="M1300">IF(OR(AND(L1300=9,M$1&gt;YEAR($N1300))),9,_xlfn.IFNA(INDEX($D$2:$D$4001,_xlfn.XMATCH(M$1&amp;"-"&amp;$F1300,YEAR($B$2:$B$4001)&amp;"-"&amp;$A$2:$A$4001,0,-1)),L1300))</f>
        <v>2</v>
      </c>
      <c r="N1300" s="1">
        <f t="shared" si="20"/>
        <v>37620</v>
      </c>
    </row>
    <row r="1301" spans="1:14" x14ac:dyDescent="0.35">
      <c r="A1301">
        <v>628</v>
      </c>
      <c r="B1301" s="2">
        <v>36890</v>
      </c>
      <c r="C1301">
        <v>4</v>
      </c>
      <c r="D1301">
        <v>4</v>
      </c>
      <c r="F1301">
        <v>1300</v>
      </c>
      <c r="G1301" cm="1">
        <f t="array" ref="G1301">_xlfn.IFNA(INDEX($D$2:$D$4001,_xlfn.XMATCH(G$1&amp;"-"&amp;$F1301,YEAR($B$2:$B$4001)&amp;"-"&amp;$A$2:$A$4001,0,-1)),9)</f>
        <v>5</v>
      </c>
      <c r="H1301" cm="1">
        <f t="array" ref="H1301">IF(OR(AND(G1301=9,H$1&gt;YEAR($N1301))),9,_xlfn.IFNA(INDEX($D$2:$D$4001,_xlfn.XMATCH(H$1&amp;"-"&amp;$F1301,YEAR($B$2:$B$4001)&amp;"-"&amp;$A$2:$A$4001,0,-1)),G1301))</f>
        <v>5</v>
      </c>
      <c r="I1301" cm="1">
        <f t="array" ref="I1301">IF(OR(AND(H1301=9,I$1&gt;YEAR($N1301))),9,_xlfn.IFNA(INDEX($D$2:$D$4001,_xlfn.XMATCH(I$1&amp;"-"&amp;$F1301,YEAR($B$2:$B$4001)&amp;"-"&amp;$A$2:$A$4001,0,-1)),H1301))</f>
        <v>5</v>
      </c>
      <c r="J1301" cm="1">
        <f t="array" ref="J1301">IF(OR(AND(I1301=9,J$1&gt;YEAR($N1301))),9,_xlfn.IFNA(INDEX($D$2:$D$4001,_xlfn.XMATCH(J$1&amp;"-"&amp;$F1301,YEAR($B$2:$B$4001)&amp;"-"&amp;$A$2:$A$4001,0,-1)),I1301))</f>
        <v>5</v>
      </c>
      <c r="K1301" cm="1">
        <f t="array" ref="K1301">IF(OR(AND(J1301=9,K$1&gt;YEAR($N1301))),9,_xlfn.IFNA(INDEX($D$2:$D$4001,_xlfn.XMATCH(K$1&amp;"-"&amp;$F1301,YEAR($B$2:$B$4001)&amp;"-"&amp;$A$2:$A$4001,0,-1)),J1301))</f>
        <v>0</v>
      </c>
      <c r="L1301" cm="1">
        <f t="array" ref="L1301">IF(OR(AND(K1301=9,L$1&gt;YEAR($N1301))),9,_xlfn.IFNA(INDEX($D$2:$D$4001,_xlfn.XMATCH(L$1&amp;"-"&amp;$F1301,YEAR($B$2:$B$4001)&amp;"-"&amp;$A$2:$A$4001,0,-1)),K1301))</f>
        <v>0</v>
      </c>
      <c r="M1301" cm="1">
        <f t="array" ref="M1301">IF(OR(AND(L1301=9,M$1&gt;YEAR($N1301))),9,_xlfn.IFNA(INDEX($D$2:$D$4001,_xlfn.XMATCH(M$1&amp;"-"&amp;$F1301,YEAR($B$2:$B$4001)&amp;"-"&amp;$A$2:$A$4001,0,-1)),L1301))</f>
        <v>0</v>
      </c>
      <c r="N1301" s="1">
        <f t="shared" si="20"/>
        <v>36454</v>
      </c>
    </row>
    <row r="1302" spans="1:14" x14ac:dyDescent="0.35">
      <c r="A1302">
        <v>628</v>
      </c>
      <c r="B1302" s="2">
        <v>38159</v>
      </c>
      <c r="C1302">
        <v>5</v>
      </c>
      <c r="D1302">
        <v>5</v>
      </c>
      <c r="F1302">
        <v>1301</v>
      </c>
      <c r="G1302" cm="1">
        <f t="array" ref="G1302">_xlfn.IFNA(INDEX($D$2:$D$4001,_xlfn.XMATCH(G$1&amp;"-"&amp;$F1302,YEAR($B$2:$B$4001)&amp;"-"&amp;$A$2:$A$4001,0,-1)),9)</f>
        <v>3</v>
      </c>
      <c r="H1302" cm="1">
        <f t="array" ref="H1302">IF(OR(AND(G1302=9,H$1&gt;YEAR($N1302))),9,_xlfn.IFNA(INDEX($D$2:$D$4001,_xlfn.XMATCH(H$1&amp;"-"&amp;$F1302,YEAR($B$2:$B$4001)&amp;"-"&amp;$A$2:$A$4001,0,-1)),G1302))</f>
        <v>3</v>
      </c>
      <c r="I1302" cm="1">
        <f t="array" ref="I1302">IF(OR(AND(H1302=9,I$1&gt;YEAR($N1302))),9,_xlfn.IFNA(INDEX($D$2:$D$4001,_xlfn.XMATCH(I$1&amp;"-"&amp;$F1302,YEAR($B$2:$B$4001)&amp;"-"&amp;$A$2:$A$4001,0,-1)),H1302))</f>
        <v>3</v>
      </c>
      <c r="J1302" cm="1">
        <f t="array" ref="J1302">IF(OR(AND(I1302=9,J$1&gt;YEAR($N1302))),9,_xlfn.IFNA(INDEX($D$2:$D$4001,_xlfn.XMATCH(J$1&amp;"-"&amp;$F1302,YEAR($B$2:$B$4001)&amp;"-"&amp;$A$2:$A$4001,0,-1)),I1302))</f>
        <v>3</v>
      </c>
      <c r="K1302" cm="1">
        <f t="array" ref="K1302">IF(OR(AND(J1302=9,K$1&gt;YEAR($N1302))),9,_xlfn.IFNA(INDEX($D$2:$D$4001,_xlfn.XMATCH(K$1&amp;"-"&amp;$F1302,YEAR($B$2:$B$4001)&amp;"-"&amp;$A$2:$A$4001,0,-1)),J1302))</f>
        <v>3</v>
      </c>
      <c r="L1302" cm="1">
        <f t="array" ref="L1302">IF(OR(AND(K1302=9,L$1&gt;YEAR($N1302))),9,_xlfn.IFNA(INDEX($D$2:$D$4001,_xlfn.XMATCH(L$1&amp;"-"&amp;$F1302,YEAR($B$2:$B$4001)&amp;"-"&amp;$A$2:$A$4001,0,-1)),K1302))</f>
        <v>3</v>
      </c>
      <c r="M1302" cm="1">
        <f t="array" ref="M1302">IF(OR(AND(L1302=9,M$1&gt;YEAR($N1302))),9,_xlfn.IFNA(INDEX($D$2:$D$4001,_xlfn.XMATCH(M$1&amp;"-"&amp;$F1302,YEAR($B$2:$B$4001)&amp;"-"&amp;$A$2:$A$4001,0,-1)),L1302))</f>
        <v>3</v>
      </c>
      <c r="N1302" s="1">
        <f t="shared" si="20"/>
        <v>36491</v>
      </c>
    </row>
    <row r="1303" spans="1:14" x14ac:dyDescent="0.35">
      <c r="A1303">
        <v>629</v>
      </c>
      <c r="B1303" s="2">
        <v>37985</v>
      </c>
      <c r="C1303">
        <v>3</v>
      </c>
      <c r="D1303">
        <v>3</v>
      </c>
      <c r="F1303">
        <v>1302</v>
      </c>
      <c r="G1303" cm="1">
        <f t="array" ref="G1303">_xlfn.IFNA(INDEX($D$2:$D$4001,_xlfn.XMATCH(G$1&amp;"-"&amp;$F1303,YEAR($B$2:$B$4001)&amp;"-"&amp;$A$2:$A$4001,0,-1)),9)</f>
        <v>9</v>
      </c>
      <c r="H1303" cm="1">
        <f t="array" ref="H1303">IF(OR(AND(G1303=9,H$1&gt;YEAR($N1303))),9,_xlfn.IFNA(INDEX($D$2:$D$4001,_xlfn.XMATCH(H$1&amp;"-"&amp;$F1303,YEAR($B$2:$B$4001)&amp;"-"&amp;$A$2:$A$4001,0,-1)),G1303))</f>
        <v>3</v>
      </c>
      <c r="I1303" cm="1">
        <f t="array" ref="I1303">IF(OR(AND(H1303=9,I$1&gt;YEAR($N1303))),9,_xlfn.IFNA(INDEX($D$2:$D$4001,_xlfn.XMATCH(I$1&amp;"-"&amp;$F1303,YEAR($B$2:$B$4001)&amp;"-"&amp;$A$2:$A$4001,0,-1)),H1303))</f>
        <v>3</v>
      </c>
      <c r="J1303" cm="1">
        <f t="array" ref="J1303">IF(OR(AND(I1303=9,J$1&gt;YEAR($N1303))),9,_xlfn.IFNA(INDEX($D$2:$D$4001,_xlfn.XMATCH(J$1&amp;"-"&amp;$F1303,YEAR($B$2:$B$4001)&amp;"-"&amp;$A$2:$A$4001,0,-1)),I1303))</f>
        <v>3</v>
      </c>
      <c r="K1303" cm="1">
        <f t="array" ref="K1303">IF(OR(AND(J1303=9,K$1&gt;YEAR($N1303))),9,_xlfn.IFNA(INDEX($D$2:$D$4001,_xlfn.XMATCH(K$1&amp;"-"&amp;$F1303,YEAR($B$2:$B$4001)&amp;"-"&amp;$A$2:$A$4001,0,-1)),J1303))</f>
        <v>3</v>
      </c>
      <c r="L1303" cm="1">
        <f t="array" ref="L1303">IF(OR(AND(K1303=9,L$1&gt;YEAR($N1303))),9,_xlfn.IFNA(INDEX($D$2:$D$4001,_xlfn.XMATCH(L$1&amp;"-"&amp;$F1303,YEAR($B$2:$B$4001)&amp;"-"&amp;$A$2:$A$4001,0,-1)),K1303))</f>
        <v>3</v>
      </c>
      <c r="M1303" cm="1">
        <f t="array" ref="M1303">IF(OR(AND(L1303=9,M$1&gt;YEAR($N1303))),9,_xlfn.IFNA(INDEX($D$2:$D$4001,_xlfn.XMATCH(M$1&amp;"-"&amp;$F1303,YEAR($B$2:$B$4001)&amp;"-"&amp;$A$2:$A$4001,0,-1)),L1303))</f>
        <v>3</v>
      </c>
      <c r="N1303" s="1">
        <f t="shared" si="20"/>
        <v>36820</v>
      </c>
    </row>
    <row r="1304" spans="1:14" x14ac:dyDescent="0.35">
      <c r="A1304">
        <v>630</v>
      </c>
      <c r="B1304" s="2">
        <v>36424</v>
      </c>
      <c r="C1304">
        <v>3</v>
      </c>
      <c r="D1304">
        <v>3</v>
      </c>
      <c r="F1304">
        <v>1303</v>
      </c>
      <c r="G1304" cm="1">
        <f t="array" ref="G1304">_xlfn.IFNA(INDEX($D$2:$D$4001,_xlfn.XMATCH(G$1&amp;"-"&amp;$F1304,YEAR($B$2:$B$4001)&amp;"-"&amp;$A$2:$A$4001,0,-1)),9)</f>
        <v>9</v>
      </c>
      <c r="H1304" cm="1">
        <f t="array" ref="H1304">IF(OR(AND(G1304=9,H$1&gt;YEAR($N1304))),9,_xlfn.IFNA(INDEX($D$2:$D$4001,_xlfn.XMATCH(H$1&amp;"-"&amp;$F1304,YEAR($B$2:$B$4001)&amp;"-"&amp;$A$2:$A$4001,0,-1)),G1304))</f>
        <v>9</v>
      </c>
      <c r="I1304" cm="1">
        <f t="array" ref="I1304">IF(OR(AND(H1304=9,I$1&gt;YEAR($N1304))),9,_xlfn.IFNA(INDEX($D$2:$D$4001,_xlfn.XMATCH(I$1&amp;"-"&amp;$F1304,YEAR($B$2:$B$4001)&amp;"-"&amp;$A$2:$A$4001,0,-1)),H1304))</f>
        <v>3</v>
      </c>
      <c r="J1304" cm="1">
        <f t="array" ref="J1304">IF(OR(AND(I1304=9,J$1&gt;YEAR($N1304))),9,_xlfn.IFNA(INDEX($D$2:$D$4001,_xlfn.XMATCH(J$1&amp;"-"&amp;$F1304,YEAR($B$2:$B$4001)&amp;"-"&amp;$A$2:$A$4001,0,-1)),I1304))</f>
        <v>3</v>
      </c>
      <c r="K1304" cm="1">
        <f t="array" ref="K1304">IF(OR(AND(J1304=9,K$1&gt;YEAR($N1304))),9,_xlfn.IFNA(INDEX($D$2:$D$4001,_xlfn.XMATCH(K$1&amp;"-"&amp;$F1304,YEAR($B$2:$B$4001)&amp;"-"&amp;$A$2:$A$4001,0,-1)),J1304))</f>
        <v>3</v>
      </c>
      <c r="L1304" cm="1">
        <f t="array" ref="L1304">IF(OR(AND(K1304=9,L$1&gt;YEAR($N1304))),9,_xlfn.IFNA(INDEX($D$2:$D$4001,_xlfn.XMATCH(L$1&amp;"-"&amp;$F1304,YEAR($B$2:$B$4001)&amp;"-"&amp;$A$2:$A$4001,0,-1)),K1304))</f>
        <v>3</v>
      </c>
      <c r="M1304" cm="1">
        <f t="array" ref="M1304">IF(OR(AND(L1304=9,M$1&gt;YEAR($N1304))),9,_xlfn.IFNA(INDEX($D$2:$D$4001,_xlfn.XMATCH(M$1&amp;"-"&amp;$F1304,YEAR($B$2:$B$4001)&amp;"-"&amp;$A$2:$A$4001,0,-1)),L1304))</f>
        <v>3</v>
      </c>
      <c r="N1304" s="1">
        <f t="shared" si="20"/>
        <v>37032</v>
      </c>
    </row>
    <row r="1305" spans="1:14" x14ac:dyDescent="0.35">
      <c r="A1305">
        <v>630</v>
      </c>
      <c r="B1305" s="2">
        <v>36829</v>
      </c>
      <c r="C1305">
        <v>2</v>
      </c>
      <c r="D1305">
        <v>2</v>
      </c>
      <c r="F1305">
        <v>1304</v>
      </c>
      <c r="G1305" cm="1">
        <f t="array" ref="G1305">_xlfn.IFNA(INDEX($D$2:$D$4001,_xlfn.XMATCH(G$1&amp;"-"&amp;$F1305,YEAR($B$2:$B$4001)&amp;"-"&amp;$A$2:$A$4001,0,-1)),9)</f>
        <v>0</v>
      </c>
      <c r="H1305" cm="1">
        <f t="array" ref="H1305">IF(OR(AND(G1305=9,H$1&gt;YEAR($N1305))),9,_xlfn.IFNA(INDEX($D$2:$D$4001,_xlfn.XMATCH(H$1&amp;"-"&amp;$F1305,YEAR($B$2:$B$4001)&amp;"-"&amp;$A$2:$A$4001,0,-1)),G1305))</f>
        <v>0</v>
      </c>
      <c r="I1305" cm="1">
        <f t="array" ref="I1305">IF(OR(AND(H1305=9,I$1&gt;YEAR($N1305))),9,_xlfn.IFNA(INDEX($D$2:$D$4001,_xlfn.XMATCH(I$1&amp;"-"&amp;$F1305,YEAR($B$2:$B$4001)&amp;"-"&amp;$A$2:$A$4001,0,-1)),H1305))</f>
        <v>0</v>
      </c>
      <c r="J1305" cm="1">
        <f t="array" ref="J1305">IF(OR(AND(I1305=9,J$1&gt;YEAR($N1305))),9,_xlfn.IFNA(INDEX($D$2:$D$4001,_xlfn.XMATCH(J$1&amp;"-"&amp;$F1305,YEAR($B$2:$B$4001)&amp;"-"&amp;$A$2:$A$4001,0,-1)),I1305))</f>
        <v>0</v>
      </c>
      <c r="K1305" cm="1">
        <f t="array" ref="K1305">IF(OR(AND(J1305=9,K$1&gt;YEAR($N1305))),9,_xlfn.IFNA(INDEX($D$2:$D$4001,_xlfn.XMATCH(K$1&amp;"-"&amp;$F1305,YEAR($B$2:$B$4001)&amp;"-"&amp;$A$2:$A$4001,0,-1)),J1305))</f>
        <v>0</v>
      </c>
      <c r="L1305" cm="1">
        <f t="array" ref="L1305">IF(OR(AND(K1305=9,L$1&gt;YEAR($N1305))),9,_xlfn.IFNA(INDEX($D$2:$D$4001,_xlfn.XMATCH(L$1&amp;"-"&amp;$F1305,YEAR($B$2:$B$4001)&amp;"-"&amp;$A$2:$A$4001,0,-1)),K1305))</f>
        <v>0</v>
      </c>
      <c r="M1305" cm="1">
        <f t="array" ref="M1305">IF(OR(AND(L1305=9,M$1&gt;YEAR($N1305))),9,_xlfn.IFNA(INDEX($D$2:$D$4001,_xlfn.XMATCH(M$1&amp;"-"&amp;$F1305,YEAR($B$2:$B$4001)&amp;"-"&amp;$A$2:$A$4001,0,-1)),L1305))</f>
        <v>0</v>
      </c>
      <c r="N1305" s="1">
        <f t="shared" si="20"/>
        <v>36402</v>
      </c>
    </row>
    <row r="1306" spans="1:14" x14ac:dyDescent="0.35">
      <c r="A1306">
        <v>630</v>
      </c>
      <c r="B1306" s="2">
        <v>37255</v>
      </c>
      <c r="C1306">
        <v>0</v>
      </c>
      <c r="D1306">
        <v>0</v>
      </c>
      <c r="F1306">
        <v>1305</v>
      </c>
      <c r="G1306" cm="1">
        <f t="array" ref="G1306">_xlfn.IFNA(INDEX($D$2:$D$4001,_xlfn.XMATCH(G$1&amp;"-"&amp;$F1306,YEAR($B$2:$B$4001)&amp;"-"&amp;$A$2:$A$4001,0,-1)),9)</f>
        <v>9</v>
      </c>
      <c r="H1306" cm="1">
        <f t="array" ref="H1306">IF(OR(AND(G1306=9,H$1&gt;YEAR($N1306))),9,_xlfn.IFNA(INDEX($D$2:$D$4001,_xlfn.XMATCH(H$1&amp;"-"&amp;$F1306,YEAR($B$2:$B$4001)&amp;"-"&amp;$A$2:$A$4001,0,-1)),G1306))</f>
        <v>0</v>
      </c>
      <c r="I1306" cm="1">
        <f t="array" ref="I1306">IF(OR(AND(H1306=9,I$1&gt;YEAR($N1306))),9,_xlfn.IFNA(INDEX($D$2:$D$4001,_xlfn.XMATCH(I$1&amp;"-"&amp;$F1306,YEAR($B$2:$B$4001)&amp;"-"&amp;$A$2:$A$4001,0,-1)),H1306))</f>
        <v>0</v>
      </c>
      <c r="J1306" cm="1">
        <f t="array" ref="J1306">IF(OR(AND(I1306=9,J$1&gt;YEAR($N1306))),9,_xlfn.IFNA(INDEX($D$2:$D$4001,_xlfn.XMATCH(J$1&amp;"-"&amp;$F1306,YEAR($B$2:$B$4001)&amp;"-"&amp;$A$2:$A$4001,0,-1)),I1306))</f>
        <v>0</v>
      </c>
      <c r="K1306" cm="1">
        <f t="array" ref="K1306">IF(OR(AND(J1306=9,K$1&gt;YEAR($N1306))),9,_xlfn.IFNA(INDEX($D$2:$D$4001,_xlfn.XMATCH(K$1&amp;"-"&amp;$F1306,YEAR($B$2:$B$4001)&amp;"-"&amp;$A$2:$A$4001,0,-1)),J1306))</f>
        <v>6</v>
      </c>
      <c r="L1306" cm="1">
        <f t="array" ref="L1306">IF(OR(AND(K1306=9,L$1&gt;YEAR($N1306))),9,_xlfn.IFNA(INDEX($D$2:$D$4001,_xlfn.XMATCH(L$1&amp;"-"&amp;$F1306,YEAR($B$2:$B$4001)&amp;"-"&amp;$A$2:$A$4001,0,-1)),K1306))</f>
        <v>6</v>
      </c>
      <c r="M1306" cm="1">
        <f t="array" ref="M1306">IF(OR(AND(L1306=9,M$1&gt;YEAR($N1306))),9,_xlfn.IFNA(INDEX($D$2:$D$4001,_xlfn.XMATCH(M$1&amp;"-"&amp;$F1306,YEAR($B$2:$B$4001)&amp;"-"&amp;$A$2:$A$4001,0,-1)),L1306))</f>
        <v>6</v>
      </c>
      <c r="N1306" s="1">
        <f t="shared" si="20"/>
        <v>36667</v>
      </c>
    </row>
    <row r="1307" spans="1:14" x14ac:dyDescent="0.35">
      <c r="A1307">
        <v>631</v>
      </c>
      <c r="B1307" s="2">
        <v>36362</v>
      </c>
      <c r="C1307">
        <v>4</v>
      </c>
      <c r="D1307">
        <v>4</v>
      </c>
      <c r="F1307">
        <v>1306</v>
      </c>
      <c r="G1307" cm="1">
        <f t="array" ref="G1307">_xlfn.IFNA(INDEX($D$2:$D$4001,_xlfn.XMATCH(G$1&amp;"-"&amp;$F1307,YEAR($B$2:$B$4001)&amp;"-"&amp;$A$2:$A$4001,0,-1)),9)</f>
        <v>6</v>
      </c>
      <c r="H1307" cm="1">
        <f t="array" ref="H1307">IF(OR(AND(G1307=9,H$1&gt;YEAR($N1307))),9,_xlfn.IFNA(INDEX($D$2:$D$4001,_xlfn.XMATCH(H$1&amp;"-"&amp;$F1307,YEAR($B$2:$B$4001)&amp;"-"&amp;$A$2:$A$4001,0,-1)),G1307))</f>
        <v>6</v>
      </c>
      <c r="I1307" cm="1">
        <f t="array" ref="I1307">IF(OR(AND(H1307=9,I$1&gt;YEAR($N1307))),9,_xlfn.IFNA(INDEX($D$2:$D$4001,_xlfn.XMATCH(I$1&amp;"-"&amp;$F1307,YEAR($B$2:$B$4001)&amp;"-"&amp;$A$2:$A$4001,0,-1)),H1307))</f>
        <v>6</v>
      </c>
      <c r="J1307" cm="1">
        <f t="array" ref="J1307">IF(OR(AND(I1307=9,J$1&gt;YEAR($N1307))),9,_xlfn.IFNA(INDEX($D$2:$D$4001,_xlfn.XMATCH(J$1&amp;"-"&amp;$F1307,YEAR($B$2:$B$4001)&amp;"-"&amp;$A$2:$A$4001,0,-1)),I1307))</f>
        <v>6</v>
      </c>
      <c r="K1307" cm="1">
        <f t="array" ref="K1307">IF(OR(AND(J1307=9,K$1&gt;YEAR($N1307))),9,_xlfn.IFNA(INDEX($D$2:$D$4001,_xlfn.XMATCH(K$1&amp;"-"&amp;$F1307,YEAR($B$2:$B$4001)&amp;"-"&amp;$A$2:$A$4001,0,-1)),J1307))</f>
        <v>6</v>
      </c>
      <c r="L1307" cm="1">
        <f t="array" ref="L1307">IF(OR(AND(K1307=9,L$1&gt;YEAR($N1307))),9,_xlfn.IFNA(INDEX($D$2:$D$4001,_xlfn.XMATCH(L$1&amp;"-"&amp;$F1307,YEAR($B$2:$B$4001)&amp;"-"&amp;$A$2:$A$4001,0,-1)),K1307))</f>
        <v>6</v>
      </c>
      <c r="M1307" cm="1">
        <f t="array" ref="M1307">IF(OR(AND(L1307=9,M$1&gt;YEAR($N1307))),9,_xlfn.IFNA(INDEX($D$2:$D$4001,_xlfn.XMATCH(M$1&amp;"-"&amp;$F1307,YEAR($B$2:$B$4001)&amp;"-"&amp;$A$2:$A$4001,0,-1)),L1307))</f>
        <v>6</v>
      </c>
      <c r="N1307" s="1">
        <f t="shared" si="20"/>
        <v>36402</v>
      </c>
    </row>
    <row r="1308" spans="1:14" x14ac:dyDescent="0.35">
      <c r="A1308">
        <v>631</v>
      </c>
      <c r="B1308" s="2">
        <v>36676</v>
      </c>
      <c r="C1308">
        <v>4</v>
      </c>
      <c r="D1308">
        <v>4</v>
      </c>
      <c r="F1308">
        <v>1307</v>
      </c>
      <c r="G1308" cm="1">
        <f t="array" ref="G1308">_xlfn.IFNA(INDEX($D$2:$D$4001,_xlfn.XMATCH(G$1&amp;"-"&amp;$F1308,YEAR($B$2:$B$4001)&amp;"-"&amp;$A$2:$A$4001,0,-1)),9)</f>
        <v>9</v>
      </c>
      <c r="H1308" cm="1">
        <f t="array" ref="H1308">IF(OR(AND(G1308=9,H$1&gt;YEAR($N1308))),9,_xlfn.IFNA(INDEX($D$2:$D$4001,_xlfn.XMATCH(H$1&amp;"-"&amp;$F1308,YEAR($B$2:$B$4001)&amp;"-"&amp;$A$2:$A$4001,0,-1)),G1308))</f>
        <v>9</v>
      </c>
      <c r="I1308" cm="1">
        <f t="array" ref="I1308">IF(OR(AND(H1308=9,I$1&gt;YEAR($N1308))),9,_xlfn.IFNA(INDEX($D$2:$D$4001,_xlfn.XMATCH(I$1&amp;"-"&amp;$F1308,YEAR($B$2:$B$4001)&amp;"-"&amp;$A$2:$A$4001,0,-1)),H1308))</f>
        <v>9</v>
      </c>
      <c r="J1308" cm="1">
        <f t="array" ref="J1308">IF(OR(AND(I1308=9,J$1&gt;YEAR($N1308))),9,_xlfn.IFNA(INDEX($D$2:$D$4001,_xlfn.XMATCH(J$1&amp;"-"&amp;$F1308,YEAR($B$2:$B$4001)&amp;"-"&amp;$A$2:$A$4001,0,-1)),I1308))</f>
        <v>9</v>
      </c>
      <c r="K1308" cm="1">
        <f t="array" ref="K1308">IF(OR(AND(J1308=9,K$1&gt;YEAR($N1308))),9,_xlfn.IFNA(INDEX($D$2:$D$4001,_xlfn.XMATCH(K$1&amp;"-"&amp;$F1308,YEAR($B$2:$B$4001)&amp;"-"&amp;$A$2:$A$4001,0,-1)),J1308))</f>
        <v>9</v>
      </c>
      <c r="L1308" cm="1">
        <f t="array" ref="L1308">IF(OR(AND(K1308=9,L$1&gt;YEAR($N1308))),9,_xlfn.IFNA(INDEX($D$2:$D$4001,_xlfn.XMATCH(L$1&amp;"-"&amp;$F1308,YEAR($B$2:$B$4001)&amp;"-"&amp;$A$2:$A$4001,0,-1)),K1308))</f>
        <v>0</v>
      </c>
      <c r="M1308" cm="1">
        <f t="array" ref="M1308">IF(OR(AND(L1308=9,M$1&gt;YEAR($N1308))),9,_xlfn.IFNA(INDEX($D$2:$D$4001,_xlfn.XMATCH(M$1&amp;"-"&amp;$F1308,YEAR($B$2:$B$4001)&amp;"-"&amp;$A$2:$A$4001,0,-1)),L1308))</f>
        <v>0</v>
      </c>
      <c r="N1308" s="1">
        <f t="shared" si="20"/>
        <v>38260</v>
      </c>
    </row>
    <row r="1309" spans="1:14" x14ac:dyDescent="0.35">
      <c r="A1309">
        <v>631</v>
      </c>
      <c r="B1309" s="2">
        <v>37185</v>
      </c>
      <c r="C1309">
        <v>4</v>
      </c>
      <c r="D1309">
        <v>4</v>
      </c>
      <c r="F1309">
        <v>1308</v>
      </c>
      <c r="G1309" cm="1">
        <f t="array" ref="G1309">_xlfn.IFNA(INDEX($D$2:$D$4001,_xlfn.XMATCH(G$1&amp;"-"&amp;$F1309,YEAR($B$2:$B$4001)&amp;"-"&amp;$A$2:$A$4001,0,-1)),9)</f>
        <v>0</v>
      </c>
      <c r="H1309" cm="1">
        <f t="array" ref="H1309">IF(OR(AND(G1309=9,H$1&gt;YEAR($N1309))),9,_xlfn.IFNA(INDEX($D$2:$D$4001,_xlfn.XMATCH(H$1&amp;"-"&amp;$F1309,YEAR($B$2:$B$4001)&amp;"-"&amp;$A$2:$A$4001,0,-1)),G1309))</f>
        <v>0</v>
      </c>
      <c r="I1309" cm="1">
        <f t="array" ref="I1309">IF(OR(AND(H1309=9,I$1&gt;YEAR($N1309))),9,_xlfn.IFNA(INDEX($D$2:$D$4001,_xlfn.XMATCH(I$1&amp;"-"&amp;$F1309,YEAR($B$2:$B$4001)&amp;"-"&amp;$A$2:$A$4001,0,-1)),H1309))</f>
        <v>0</v>
      </c>
      <c r="J1309" cm="1">
        <f t="array" ref="J1309">IF(OR(AND(I1309=9,J$1&gt;YEAR($N1309))),9,_xlfn.IFNA(INDEX($D$2:$D$4001,_xlfn.XMATCH(J$1&amp;"-"&amp;$F1309,YEAR($B$2:$B$4001)&amp;"-"&amp;$A$2:$A$4001,0,-1)),I1309))</f>
        <v>0</v>
      </c>
      <c r="K1309" cm="1">
        <f t="array" ref="K1309">IF(OR(AND(J1309=9,K$1&gt;YEAR($N1309))),9,_xlfn.IFNA(INDEX($D$2:$D$4001,_xlfn.XMATCH(K$1&amp;"-"&amp;$F1309,YEAR($B$2:$B$4001)&amp;"-"&amp;$A$2:$A$4001,0,-1)),J1309))</f>
        <v>0</v>
      </c>
      <c r="L1309" cm="1">
        <f t="array" ref="L1309">IF(OR(AND(K1309=9,L$1&gt;YEAR($N1309))),9,_xlfn.IFNA(INDEX($D$2:$D$4001,_xlfn.XMATCH(L$1&amp;"-"&amp;$F1309,YEAR($B$2:$B$4001)&amp;"-"&amp;$A$2:$A$4001,0,-1)),K1309))</f>
        <v>0</v>
      </c>
      <c r="M1309" cm="1">
        <f t="array" ref="M1309">IF(OR(AND(L1309=9,M$1&gt;YEAR($N1309))),9,_xlfn.IFNA(INDEX($D$2:$D$4001,_xlfn.XMATCH(M$1&amp;"-"&amp;$F1309,YEAR($B$2:$B$4001)&amp;"-"&amp;$A$2:$A$4001,0,-1)),L1309))</f>
        <v>0</v>
      </c>
      <c r="N1309" s="1">
        <f t="shared" si="20"/>
        <v>36433</v>
      </c>
    </row>
    <row r="1310" spans="1:14" x14ac:dyDescent="0.35">
      <c r="A1310">
        <v>632</v>
      </c>
      <c r="B1310" s="2">
        <v>37590</v>
      </c>
      <c r="C1310">
        <v>4</v>
      </c>
      <c r="D1310">
        <v>4</v>
      </c>
      <c r="F1310">
        <v>1309</v>
      </c>
      <c r="G1310" cm="1">
        <f t="array" ref="G1310">_xlfn.IFNA(INDEX($D$2:$D$4001,_xlfn.XMATCH(G$1&amp;"-"&amp;$F1310,YEAR($B$2:$B$4001)&amp;"-"&amp;$A$2:$A$4001,0,-1)),9)</f>
        <v>9</v>
      </c>
      <c r="H1310" cm="1">
        <f t="array" ref="H1310">IF(OR(AND(G1310=9,H$1&gt;YEAR($N1310))),9,_xlfn.IFNA(INDEX($D$2:$D$4001,_xlfn.XMATCH(H$1&amp;"-"&amp;$F1310,YEAR($B$2:$B$4001)&amp;"-"&amp;$A$2:$A$4001,0,-1)),G1310))</f>
        <v>3</v>
      </c>
      <c r="I1310" cm="1">
        <f t="array" ref="I1310">IF(OR(AND(H1310=9,I$1&gt;YEAR($N1310))),9,_xlfn.IFNA(INDEX($D$2:$D$4001,_xlfn.XMATCH(I$1&amp;"-"&amp;$F1310,YEAR($B$2:$B$4001)&amp;"-"&amp;$A$2:$A$4001,0,-1)),H1310))</f>
        <v>3</v>
      </c>
      <c r="J1310" cm="1">
        <f t="array" ref="J1310">IF(OR(AND(I1310=9,J$1&gt;YEAR($N1310))),9,_xlfn.IFNA(INDEX($D$2:$D$4001,_xlfn.XMATCH(J$1&amp;"-"&amp;$F1310,YEAR($B$2:$B$4001)&amp;"-"&amp;$A$2:$A$4001,0,-1)),I1310))</f>
        <v>3</v>
      </c>
      <c r="K1310" cm="1">
        <f t="array" ref="K1310">IF(OR(AND(J1310=9,K$1&gt;YEAR($N1310))),9,_xlfn.IFNA(INDEX($D$2:$D$4001,_xlfn.XMATCH(K$1&amp;"-"&amp;$F1310,YEAR($B$2:$B$4001)&amp;"-"&amp;$A$2:$A$4001,0,-1)),J1310))</f>
        <v>3</v>
      </c>
      <c r="L1310" cm="1">
        <f t="array" ref="L1310">IF(OR(AND(K1310=9,L$1&gt;YEAR($N1310))),9,_xlfn.IFNA(INDEX($D$2:$D$4001,_xlfn.XMATCH(L$1&amp;"-"&amp;$F1310,YEAR($B$2:$B$4001)&amp;"-"&amp;$A$2:$A$4001,0,-1)),K1310))</f>
        <v>3</v>
      </c>
      <c r="M1310" cm="1">
        <f t="array" ref="M1310">IF(OR(AND(L1310=9,M$1&gt;YEAR($N1310))),9,_xlfn.IFNA(INDEX($D$2:$D$4001,_xlfn.XMATCH(M$1&amp;"-"&amp;$F1310,YEAR($B$2:$B$4001)&amp;"-"&amp;$A$2:$A$4001,0,-1)),L1310))</f>
        <v>3</v>
      </c>
      <c r="N1310" s="1">
        <f t="shared" si="20"/>
        <v>36667</v>
      </c>
    </row>
    <row r="1311" spans="1:14" x14ac:dyDescent="0.35">
      <c r="A1311">
        <v>632</v>
      </c>
      <c r="B1311" s="2">
        <v>37985</v>
      </c>
      <c r="C1311">
        <v>4</v>
      </c>
      <c r="D1311">
        <v>4</v>
      </c>
      <c r="F1311">
        <v>1310</v>
      </c>
      <c r="G1311" cm="1">
        <f t="array" ref="G1311">_xlfn.IFNA(INDEX($D$2:$D$4001,_xlfn.XMATCH(G$1&amp;"-"&amp;$F1311,YEAR($B$2:$B$4001)&amp;"-"&amp;$A$2:$A$4001,0,-1)),9)</f>
        <v>9</v>
      </c>
      <c r="H1311" cm="1">
        <f t="array" ref="H1311">IF(OR(AND(G1311=9,H$1&gt;YEAR($N1311))),9,_xlfn.IFNA(INDEX($D$2:$D$4001,_xlfn.XMATCH(H$1&amp;"-"&amp;$F1311,YEAR($B$2:$B$4001)&amp;"-"&amp;$A$2:$A$4001,0,-1)),G1311))</f>
        <v>9</v>
      </c>
      <c r="I1311" cm="1">
        <f t="array" ref="I1311">IF(OR(AND(H1311=9,I$1&gt;YEAR($N1311))),9,_xlfn.IFNA(INDEX($D$2:$D$4001,_xlfn.XMATCH(I$1&amp;"-"&amp;$F1311,YEAR($B$2:$B$4001)&amp;"-"&amp;$A$2:$A$4001,0,-1)),H1311))</f>
        <v>9</v>
      </c>
      <c r="J1311" cm="1">
        <f t="array" ref="J1311">IF(OR(AND(I1311=9,J$1&gt;YEAR($N1311))),9,_xlfn.IFNA(INDEX($D$2:$D$4001,_xlfn.XMATCH(J$1&amp;"-"&amp;$F1311,YEAR($B$2:$B$4001)&amp;"-"&amp;$A$2:$A$4001,0,-1)),I1311))</f>
        <v>9</v>
      </c>
      <c r="K1311" cm="1">
        <f t="array" ref="K1311">IF(OR(AND(J1311=9,K$1&gt;YEAR($N1311))),9,_xlfn.IFNA(INDEX($D$2:$D$4001,_xlfn.XMATCH(K$1&amp;"-"&amp;$F1311,YEAR($B$2:$B$4001)&amp;"-"&amp;$A$2:$A$4001,0,-1)),J1311))</f>
        <v>3</v>
      </c>
      <c r="L1311" cm="1">
        <f t="array" ref="L1311">IF(OR(AND(K1311=9,L$1&gt;YEAR($N1311))),9,_xlfn.IFNA(INDEX($D$2:$D$4001,_xlfn.XMATCH(L$1&amp;"-"&amp;$F1311,YEAR($B$2:$B$4001)&amp;"-"&amp;$A$2:$A$4001,0,-1)),K1311))</f>
        <v>2</v>
      </c>
      <c r="M1311" cm="1">
        <f t="array" ref="M1311">IF(OR(AND(L1311=9,M$1&gt;YEAR($N1311))),9,_xlfn.IFNA(INDEX($D$2:$D$4001,_xlfn.XMATCH(M$1&amp;"-"&amp;$F1311,YEAR($B$2:$B$4001)&amp;"-"&amp;$A$2:$A$4001,0,-1)),L1311))</f>
        <v>2</v>
      </c>
      <c r="N1311" s="1">
        <f t="shared" si="20"/>
        <v>37769</v>
      </c>
    </row>
    <row r="1312" spans="1:14" x14ac:dyDescent="0.35">
      <c r="A1312">
        <v>632</v>
      </c>
      <c r="B1312" s="2">
        <v>38351</v>
      </c>
      <c r="C1312">
        <v>5</v>
      </c>
      <c r="D1312">
        <v>5</v>
      </c>
      <c r="F1312">
        <v>1311</v>
      </c>
      <c r="G1312" cm="1">
        <f t="array" ref="G1312">_xlfn.IFNA(INDEX($D$2:$D$4001,_xlfn.XMATCH(G$1&amp;"-"&amp;$F1312,YEAR($B$2:$B$4001)&amp;"-"&amp;$A$2:$A$4001,0,-1)),9)</f>
        <v>9</v>
      </c>
      <c r="H1312" cm="1">
        <f t="array" ref="H1312">IF(OR(AND(G1312=9,H$1&gt;YEAR($N1312))),9,_xlfn.IFNA(INDEX($D$2:$D$4001,_xlfn.XMATCH(H$1&amp;"-"&amp;$F1312,YEAR($B$2:$B$4001)&amp;"-"&amp;$A$2:$A$4001,0,-1)),G1312))</f>
        <v>9</v>
      </c>
      <c r="I1312" cm="1">
        <f t="array" ref="I1312">IF(OR(AND(H1312=9,I$1&gt;YEAR($N1312))),9,_xlfn.IFNA(INDEX($D$2:$D$4001,_xlfn.XMATCH(I$1&amp;"-"&amp;$F1312,YEAR($B$2:$B$4001)&amp;"-"&amp;$A$2:$A$4001,0,-1)),H1312))</f>
        <v>5</v>
      </c>
      <c r="J1312" cm="1">
        <f t="array" ref="J1312">IF(OR(AND(I1312=9,J$1&gt;YEAR($N1312))),9,_xlfn.IFNA(INDEX($D$2:$D$4001,_xlfn.XMATCH(J$1&amp;"-"&amp;$F1312,YEAR($B$2:$B$4001)&amp;"-"&amp;$A$2:$A$4001,0,-1)),I1312))</f>
        <v>6</v>
      </c>
      <c r="K1312" cm="1">
        <f t="array" ref="K1312">IF(OR(AND(J1312=9,K$1&gt;YEAR($N1312))),9,_xlfn.IFNA(INDEX($D$2:$D$4001,_xlfn.XMATCH(K$1&amp;"-"&amp;$F1312,YEAR($B$2:$B$4001)&amp;"-"&amp;$A$2:$A$4001,0,-1)),J1312))</f>
        <v>6</v>
      </c>
      <c r="L1312" cm="1">
        <f t="array" ref="L1312">IF(OR(AND(K1312=9,L$1&gt;YEAR($N1312))),9,_xlfn.IFNA(INDEX($D$2:$D$4001,_xlfn.XMATCH(L$1&amp;"-"&amp;$F1312,YEAR($B$2:$B$4001)&amp;"-"&amp;$A$2:$A$4001,0,-1)),K1312))</f>
        <v>6</v>
      </c>
      <c r="M1312" cm="1">
        <f t="array" ref="M1312">IF(OR(AND(L1312=9,M$1&gt;YEAR($N1312))),9,_xlfn.IFNA(INDEX($D$2:$D$4001,_xlfn.XMATCH(M$1&amp;"-"&amp;$F1312,YEAR($B$2:$B$4001)&amp;"-"&amp;$A$2:$A$4001,0,-1)),L1312))</f>
        <v>6</v>
      </c>
      <c r="N1312" s="1">
        <f t="shared" si="20"/>
        <v>37164</v>
      </c>
    </row>
    <row r="1313" spans="1:14" x14ac:dyDescent="0.35">
      <c r="A1313">
        <v>633</v>
      </c>
      <c r="B1313" s="2">
        <v>36306</v>
      </c>
      <c r="C1313">
        <v>3</v>
      </c>
      <c r="D1313">
        <v>3</v>
      </c>
      <c r="F1313">
        <v>1312</v>
      </c>
      <c r="G1313" cm="1">
        <f t="array" ref="G1313">_xlfn.IFNA(INDEX($D$2:$D$4001,_xlfn.XMATCH(G$1&amp;"-"&amp;$F1313,YEAR($B$2:$B$4001)&amp;"-"&amp;$A$2:$A$4001,0,-1)),9)</f>
        <v>9</v>
      </c>
      <c r="H1313" cm="1">
        <f t="array" ref="H1313">IF(OR(AND(G1313=9,H$1&gt;YEAR($N1313))),9,_xlfn.IFNA(INDEX($D$2:$D$4001,_xlfn.XMATCH(H$1&amp;"-"&amp;$F1313,YEAR($B$2:$B$4001)&amp;"-"&amp;$A$2:$A$4001,0,-1)),G1313))</f>
        <v>9</v>
      </c>
      <c r="I1313" cm="1">
        <f t="array" ref="I1313">IF(OR(AND(H1313=9,I$1&gt;YEAR($N1313))),9,_xlfn.IFNA(INDEX($D$2:$D$4001,_xlfn.XMATCH(I$1&amp;"-"&amp;$F1313,YEAR($B$2:$B$4001)&amp;"-"&amp;$A$2:$A$4001,0,-1)),H1313))</f>
        <v>9</v>
      </c>
      <c r="J1313" cm="1">
        <f t="array" ref="J1313">IF(OR(AND(I1313=9,J$1&gt;YEAR($N1313))),9,_xlfn.IFNA(INDEX($D$2:$D$4001,_xlfn.XMATCH(J$1&amp;"-"&amp;$F1313,YEAR($B$2:$B$4001)&amp;"-"&amp;$A$2:$A$4001,0,-1)),I1313))</f>
        <v>3</v>
      </c>
      <c r="K1313" cm="1">
        <f t="array" ref="K1313">IF(OR(AND(J1313=9,K$1&gt;YEAR($N1313))),9,_xlfn.IFNA(INDEX($D$2:$D$4001,_xlfn.XMATCH(K$1&amp;"-"&amp;$F1313,YEAR($B$2:$B$4001)&amp;"-"&amp;$A$2:$A$4001,0,-1)),J1313))</f>
        <v>3</v>
      </c>
      <c r="L1313" cm="1">
        <f t="array" ref="L1313">IF(OR(AND(K1313=9,L$1&gt;YEAR($N1313))),9,_xlfn.IFNA(INDEX($D$2:$D$4001,_xlfn.XMATCH(L$1&amp;"-"&amp;$F1313,YEAR($B$2:$B$4001)&amp;"-"&amp;$A$2:$A$4001,0,-1)),K1313))</f>
        <v>3</v>
      </c>
      <c r="M1313" cm="1">
        <f t="array" ref="M1313">IF(OR(AND(L1313=9,M$1&gt;YEAR($N1313))),9,_xlfn.IFNA(INDEX($D$2:$D$4001,_xlfn.XMATCH(M$1&amp;"-"&amp;$F1313,YEAR($B$2:$B$4001)&amp;"-"&amp;$A$2:$A$4001,0,-1)),L1313))</f>
        <v>3</v>
      </c>
      <c r="N1313" s="1">
        <f t="shared" si="20"/>
        <v>37467</v>
      </c>
    </row>
    <row r="1314" spans="1:14" x14ac:dyDescent="0.35">
      <c r="A1314">
        <v>633</v>
      </c>
      <c r="B1314" s="2">
        <v>38290</v>
      </c>
      <c r="C1314">
        <v>3</v>
      </c>
      <c r="D1314">
        <v>3</v>
      </c>
      <c r="F1314">
        <v>1313</v>
      </c>
      <c r="G1314" cm="1">
        <f t="array" ref="G1314">_xlfn.IFNA(INDEX($D$2:$D$4001,_xlfn.XMATCH(G$1&amp;"-"&amp;$F1314,YEAR($B$2:$B$4001)&amp;"-"&amp;$A$2:$A$4001,0,-1)),9)</f>
        <v>9</v>
      </c>
      <c r="H1314" cm="1">
        <f t="array" ref="H1314">IF(OR(AND(G1314=9,H$1&gt;YEAR($N1314))),9,_xlfn.IFNA(INDEX($D$2:$D$4001,_xlfn.XMATCH(H$1&amp;"-"&amp;$F1314,YEAR($B$2:$B$4001)&amp;"-"&amp;$A$2:$A$4001,0,-1)),G1314))</f>
        <v>9</v>
      </c>
      <c r="I1314" cm="1">
        <f t="array" ref="I1314">IF(OR(AND(H1314=9,I$1&gt;YEAR($N1314))),9,_xlfn.IFNA(INDEX($D$2:$D$4001,_xlfn.XMATCH(I$1&amp;"-"&amp;$F1314,YEAR($B$2:$B$4001)&amp;"-"&amp;$A$2:$A$4001,0,-1)),H1314))</f>
        <v>3</v>
      </c>
      <c r="J1314" cm="1">
        <f t="array" ref="J1314">IF(OR(AND(I1314=9,J$1&gt;YEAR($N1314))),9,_xlfn.IFNA(INDEX($D$2:$D$4001,_xlfn.XMATCH(J$1&amp;"-"&amp;$F1314,YEAR($B$2:$B$4001)&amp;"-"&amp;$A$2:$A$4001,0,-1)),I1314))</f>
        <v>0</v>
      </c>
      <c r="K1314" cm="1">
        <f t="array" ref="K1314">IF(OR(AND(J1314=9,K$1&gt;YEAR($N1314))),9,_xlfn.IFNA(INDEX($D$2:$D$4001,_xlfn.XMATCH(K$1&amp;"-"&amp;$F1314,YEAR($B$2:$B$4001)&amp;"-"&amp;$A$2:$A$4001,0,-1)),J1314))</f>
        <v>0</v>
      </c>
      <c r="L1314" cm="1">
        <f t="array" ref="L1314">IF(OR(AND(K1314=9,L$1&gt;YEAR($N1314))),9,_xlfn.IFNA(INDEX($D$2:$D$4001,_xlfn.XMATCH(L$1&amp;"-"&amp;$F1314,YEAR($B$2:$B$4001)&amp;"-"&amp;$A$2:$A$4001,0,-1)),K1314))</f>
        <v>0</v>
      </c>
      <c r="M1314" cm="1">
        <f t="array" ref="M1314">IF(OR(AND(L1314=9,M$1&gt;YEAR($N1314))),9,_xlfn.IFNA(INDEX($D$2:$D$4001,_xlfn.XMATCH(M$1&amp;"-"&amp;$F1314,YEAR($B$2:$B$4001)&amp;"-"&amp;$A$2:$A$4001,0,-1)),L1314))</f>
        <v>0</v>
      </c>
      <c r="N1314" s="1">
        <f t="shared" si="20"/>
        <v>37255</v>
      </c>
    </row>
    <row r="1315" spans="1:14" x14ac:dyDescent="0.35">
      <c r="A1315">
        <v>634</v>
      </c>
      <c r="B1315" s="2">
        <v>36676</v>
      </c>
      <c r="C1315">
        <v>4</v>
      </c>
      <c r="D1315">
        <v>4</v>
      </c>
      <c r="F1315">
        <v>1314</v>
      </c>
      <c r="G1315" cm="1">
        <f t="array" ref="G1315">_xlfn.IFNA(INDEX($D$2:$D$4001,_xlfn.XMATCH(G$1&amp;"-"&amp;$F1315,YEAR($B$2:$B$4001)&amp;"-"&amp;$A$2:$A$4001,0,-1)),9)</f>
        <v>9</v>
      </c>
      <c r="H1315" cm="1">
        <f t="array" ref="H1315">IF(OR(AND(G1315=9,H$1&gt;YEAR($N1315))),9,_xlfn.IFNA(INDEX($D$2:$D$4001,_xlfn.XMATCH(H$1&amp;"-"&amp;$F1315,YEAR($B$2:$B$4001)&amp;"-"&amp;$A$2:$A$4001,0,-1)),G1315))</f>
        <v>9</v>
      </c>
      <c r="I1315" cm="1">
        <f t="array" ref="I1315">IF(OR(AND(H1315=9,I$1&gt;YEAR($N1315))),9,_xlfn.IFNA(INDEX($D$2:$D$4001,_xlfn.XMATCH(I$1&amp;"-"&amp;$F1315,YEAR($B$2:$B$4001)&amp;"-"&amp;$A$2:$A$4001,0,-1)),H1315))</f>
        <v>9</v>
      </c>
      <c r="J1315" cm="1">
        <f t="array" ref="J1315">IF(OR(AND(I1315=9,J$1&gt;YEAR($N1315))),9,_xlfn.IFNA(INDEX($D$2:$D$4001,_xlfn.XMATCH(J$1&amp;"-"&amp;$F1315,YEAR($B$2:$B$4001)&amp;"-"&amp;$A$2:$A$4001,0,-1)),I1315))</f>
        <v>3</v>
      </c>
      <c r="K1315" cm="1">
        <f t="array" ref="K1315">IF(OR(AND(J1315=9,K$1&gt;YEAR($N1315))),9,_xlfn.IFNA(INDEX($D$2:$D$4001,_xlfn.XMATCH(K$1&amp;"-"&amp;$F1315,YEAR($B$2:$B$4001)&amp;"-"&amp;$A$2:$A$4001,0,-1)),J1315))</f>
        <v>3</v>
      </c>
      <c r="L1315" cm="1">
        <f t="array" ref="L1315">IF(OR(AND(K1315=9,L$1&gt;YEAR($N1315))),9,_xlfn.IFNA(INDEX($D$2:$D$4001,_xlfn.XMATCH(L$1&amp;"-"&amp;$F1315,YEAR($B$2:$B$4001)&amp;"-"&amp;$A$2:$A$4001,0,-1)),K1315))</f>
        <v>3</v>
      </c>
      <c r="M1315" cm="1">
        <f t="array" ref="M1315">IF(OR(AND(L1315=9,M$1&gt;YEAR($N1315))),9,_xlfn.IFNA(INDEX($D$2:$D$4001,_xlfn.XMATCH(M$1&amp;"-"&amp;$F1315,YEAR($B$2:$B$4001)&amp;"-"&amp;$A$2:$A$4001,0,-1)),L1315))</f>
        <v>4</v>
      </c>
      <c r="N1315" s="1">
        <f t="shared" si="20"/>
        <v>37397</v>
      </c>
    </row>
    <row r="1316" spans="1:14" x14ac:dyDescent="0.35">
      <c r="A1316">
        <v>634</v>
      </c>
      <c r="B1316" s="2">
        <v>37620</v>
      </c>
      <c r="C1316">
        <v>3</v>
      </c>
      <c r="D1316">
        <v>3</v>
      </c>
      <c r="F1316">
        <v>1315</v>
      </c>
      <c r="G1316" cm="1">
        <f t="array" ref="G1316">_xlfn.IFNA(INDEX($D$2:$D$4001,_xlfn.XMATCH(G$1&amp;"-"&amp;$F1316,YEAR($B$2:$B$4001)&amp;"-"&amp;$A$2:$A$4001,0,-1)),9)</f>
        <v>2</v>
      </c>
      <c r="H1316" cm="1">
        <f t="array" ref="H1316">IF(OR(AND(G1316=9,H$1&gt;YEAR($N1316))),9,_xlfn.IFNA(INDEX($D$2:$D$4001,_xlfn.XMATCH(H$1&amp;"-"&amp;$F1316,YEAR($B$2:$B$4001)&amp;"-"&amp;$A$2:$A$4001,0,-1)),G1316))</f>
        <v>2</v>
      </c>
      <c r="I1316" cm="1">
        <f t="array" ref="I1316">IF(OR(AND(H1316=9,I$1&gt;YEAR($N1316))),9,_xlfn.IFNA(INDEX($D$2:$D$4001,_xlfn.XMATCH(I$1&amp;"-"&amp;$F1316,YEAR($B$2:$B$4001)&amp;"-"&amp;$A$2:$A$4001,0,-1)),H1316))</f>
        <v>2</v>
      </c>
      <c r="J1316" cm="1">
        <f t="array" ref="J1316">IF(OR(AND(I1316=9,J$1&gt;YEAR($N1316))),9,_xlfn.IFNA(INDEX($D$2:$D$4001,_xlfn.XMATCH(J$1&amp;"-"&amp;$F1316,YEAR($B$2:$B$4001)&amp;"-"&amp;$A$2:$A$4001,0,-1)),I1316))</f>
        <v>2</v>
      </c>
      <c r="K1316" cm="1">
        <f t="array" ref="K1316">IF(OR(AND(J1316=9,K$1&gt;YEAR($N1316))),9,_xlfn.IFNA(INDEX($D$2:$D$4001,_xlfn.XMATCH(K$1&amp;"-"&amp;$F1316,YEAR($B$2:$B$4001)&amp;"-"&amp;$A$2:$A$4001,0,-1)),J1316))</f>
        <v>0</v>
      </c>
      <c r="L1316" cm="1">
        <f t="array" ref="L1316">IF(OR(AND(K1316=9,L$1&gt;YEAR($N1316))),9,_xlfn.IFNA(INDEX($D$2:$D$4001,_xlfn.XMATCH(L$1&amp;"-"&amp;$F1316,YEAR($B$2:$B$4001)&amp;"-"&amp;$A$2:$A$4001,0,-1)),K1316))</f>
        <v>0</v>
      </c>
      <c r="M1316" cm="1">
        <f t="array" ref="M1316">IF(OR(AND(L1316=9,M$1&gt;YEAR($N1316))),9,_xlfn.IFNA(INDEX($D$2:$D$4001,_xlfn.XMATCH(M$1&amp;"-"&amp;$F1316,YEAR($B$2:$B$4001)&amp;"-"&amp;$A$2:$A$4001,0,-1)),L1316))</f>
        <v>0</v>
      </c>
      <c r="N1316" s="1">
        <f t="shared" si="20"/>
        <v>36301</v>
      </c>
    </row>
    <row r="1317" spans="1:14" x14ac:dyDescent="0.35">
      <c r="A1317">
        <v>635</v>
      </c>
      <c r="B1317" s="2">
        <v>36524</v>
      </c>
      <c r="C1317">
        <v>6</v>
      </c>
      <c r="D1317">
        <v>6</v>
      </c>
      <c r="F1317">
        <v>1316</v>
      </c>
      <c r="G1317" cm="1">
        <f t="array" ref="G1317">_xlfn.IFNA(INDEX($D$2:$D$4001,_xlfn.XMATCH(G$1&amp;"-"&amp;$F1317,YEAR($B$2:$B$4001)&amp;"-"&amp;$A$2:$A$4001,0,-1)),9)</f>
        <v>9</v>
      </c>
      <c r="H1317" cm="1">
        <f t="array" ref="H1317">IF(OR(AND(G1317=9,H$1&gt;YEAR($N1317))),9,_xlfn.IFNA(INDEX($D$2:$D$4001,_xlfn.XMATCH(H$1&amp;"-"&amp;$F1317,YEAR($B$2:$B$4001)&amp;"-"&amp;$A$2:$A$4001,0,-1)),G1317))</f>
        <v>9</v>
      </c>
      <c r="I1317" cm="1">
        <f t="array" ref="I1317">IF(OR(AND(H1317=9,I$1&gt;YEAR($N1317))),9,_xlfn.IFNA(INDEX($D$2:$D$4001,_xlfn.XMATCH(I$1&amp;"-"&amp;$F1317,YEAR($B$2:$B$4001)&amp;"-"&amp;$A$2:$A$4001,0,-1)),H1317))</f>
        <v>9</v>
      </c>
      <c r="J1317" cm="1">
        <f t="array" ref="J1317">IF(OR(AND(I1317=9,J$1&gt;YEAR($N1317))),9,_xlfn.IFNA(INDEX($D$2:$D$4001,_xlfn.XMATCH(J$1&amp;"-"&amp;$F1317,YEAR($B$2:$B$4001)&amp;"-"&amp;$A$2:$A$4001,0,-1)),I1317))</f>
        <v>9</v>
      </c>
      <c r="K1317" cm="1">
        <f t="array" ref="K1317">IF(OR(AND(J1317=9,K$1&gt;YEAR($N1317))),9,_xlfn.IFNA(INDEX($D$2:$D$4001,_xlfn.XMATCH(K$1&amp;"-"&amp;$F1317,YEAR($B$2:$B$4001)&amp;"-"&amp;$A$2:$A$4001,0,-1)),J1317))</f>
        <v>5</v>
      </c>
      <c r="L1317" cm="1">
        <f t="array" ref="L1317">IF(OR(AND(K1317=9,L$1&gt;YEAR($N1317))),9,_xlfn.IFNA(INDEX($D$2:$D$4001,_xlfn.XMATCH(L$1&amp;"-"&amp;$F1317,YEAR($B$2:$B$4001)&amp;"-"&amp;$A$2:$A$4001,0,-1)),K1317))</f>
        <v>6</v>
      </c>
      <c r="M1317" cm="1">
        <f t="array" ref="M1317">IF(OR(AND(L1317=9,M$1&gt;YEAR($N1317))),9,_xlfn.IFNA(INDEX($D$2:$D$4001,_xlfn.XMATCH(M$1&amp;"-"&amp;$F1317,YEAR($B$2:$B$4001)&amp;"-"&amp;$A$2:$A$4001,0,-1)),L1317))</f>
        <v>6</v>
      </c>
      <c r="N1317" s="1">
        <f t="shared" si="20"/>
        <v>37793</v>
      </c>
    </row>
    <row r="1318" spans="1:14" x14ac:dyDescent="0.35">
      <c r="A1318">
        <v>635</v>
      </c>
      <c r="B1318" s="2">
        <v>36707</v>
      </c>
      <c r="C1318">
        <v>7</v>
      </c>
      <c r="D1318">
        <v>7</v>
      </c>
      <c r="F1318">
        <v>1317</v>
      </c>
      <c r="G1318" cm="1">
        <f t="array" ref="G1318">_xlfn.IFNA(INDEX($D$2:$D$4001,_xlfn.XMATCH(G$1&amp;"-"&amp;$F1318,YEAR($B$2:$B$4001)&amp;"-"&amp;$A$2:$A$4001,0,-1)),9)</f>
        <v>9</v>
      </c>
      <c r="H1318" cm="1">
        <f t="array" ref="H1318">IF(OR(AND(G1318=9,H$1&gt;YEAR($N1318))),9,_xlfn.IFNA(INDEX($D$2:$D$4001,_xlfn.XMATCH(H$1&amp;"-"&amp;$F1318,YEAR($B$2:$B$4001)&amp;"-"&amp;$A$2:$A$4001,0,-1)),G1318))</f>
        <v>3</v>
      </c>
      <c r="I1318" cm="1">
        <f t="array" ref="I1318">IF(OR(AND(H1318=9,I$1&gt;YEAR($N1318))),9,_xlfn.IFNA(INDEX($D$2:$D$4001,_xlfn.XMATCH(I$1&amp;"-"&amp;$F1318,YEAR($B$2:$B$4001)&amp;"-"&amp;$A$2:$A$4001,0,-1)),H1318))</f>
        <v>3</v>
      </c>
      <c r="J1318" cm="1">
        <f t="array" ref="J1318">IF(OR(AND(I1318=9,J$1&gt;YEAR($N1318))),9,_xlfn.IFNA(INDEX($D$2:$D$4001,_xlfn.XMATCH(J$1&amp;"-"&amp;$F1318,YEAR($B$2:$B$4001)&amp;"-"&amp;$A$2:$A$4001,0,-1)),I1318))</f>
        <v>3</v>
      </c>
      <c r="K1318" cm="1">
        <f t="array" ref="K1318">IF(OR(AND(J1318=9,K$1&gt;YEAR($N1318))),9,_xlfn.IFNA(INDEX($D$2:$D$4001,_xlfn.XMATCH(K$1&amp;"-"&amp;$F1318,YEAR($B$2:$B$4001)&amp;"-"&amp;$A$2:$A$4001,0,-1)),J1318))</f>
        <v>3</v>
      </c>
      <c r="L1318" cm="1">
        <f t="array" ref="L1318">IF(OR(AND(K1318=9,L$1&gt;YEAR($N1318))),9,_xlfn.IFNA(INDEX($D$2:$D$4001,_xlfn.XMATCH(L$1&amp;"-"&amp;$F1318,YEAR($B$2:$B$4001)&amp;"-"&amp;$A$2:$A$4001,0,-1)),K1318))</f>
        <v>3</v>
      </c>
      <c r="M1318" cm="1">
        <f t="array" ref="M1318">IF(OR(AND(L1318=9,M$1&gt;YEAR($N1318))),9,_xlfn.IFNA(INDEX($D$2:$D$4001,_xlfn.XMATCH(M$1&amp;"-"&amp;$F1318,YEAR($B$2:$B$4001)&amp;"-"&amp;$A$2:$A$4001,0,-1)),L1318))</f>
        <v>3</v>
      </c>
      <c r="N1318" s="1">
        <f t="shared" si="20"/>
        <v>36676</v>
      </c>
    </row>
    <row r="1319" spans="1:14" x14ac:dyDescent="0.35">
      <c r="A1319">
        <v>635</v>
      </c>
      <c r="B1319" s="2">
        <v>37823</v>
      </c>
      <c r="C1319">
        <v>0</v>
      </c>
      <c r="D1319">
        <v>0</v>
      </c>
      <c r="F1319">
        <v>1318</v>
      </c>
      <c r="G1319" cm="1">
        <f t="array" ref="G1319">_xlfn.IFNA(INDEX($D$2:$D$4001,_xlfn.XMATCH(G$1&amp;"-"&amp;$F1319,YEAR($B$2:$B$4001)&amp;"-"&amp;$A$2:$A$4001,0,-1)),9)</f>
        <v>9</v>
      </c>
      <c r="H1319" cm="1">
        <f t="array" ref="H1319">IF(OR(AND(G1319=9,H$1&gt;YEAR($N1319))),9,_xlfn.IFNA(INDEX($D$2:$D$4001,_xlfn.XMATCH(H$1&amp;"-"&amp;$F1319,YEAR($B$2:$B$4001)&amp;"-"&amp;$A$2:$A$4001,0,-1)),G1319))</f>
        <v>9</v>
      </c>
      <c r="I1319" cm="1">
        <f t="array" ref="I1319">IF(OR(AND(H1319=9,I$1&gt;YEAR($N1319))),9,_xlfn.IFNA(INDEX($D$2:$D$4001,_xlfn.XMATCH(I$1&amp;"-"&amp;$F1319,YEAR($B$2:$B$4001)&amp;"-"&amp;$A$2:$A$4001,0,-1)),H1319))</f>
        <v>9</v>
      </c>
      <c r="J1319" cm="1">
        <f t="array" ref="J1319">IF(OR(AND(I1319=9,J$1&gt;YEAR($N1319))),9,_xlfn.IFNA(INDEX($D$2:$D$4001,_xlfn.XMATCH(J$1&amp;"-"&amp;$F1319,YEAR($B$2:$B$4001)&amp;"-"&amp;$A$2:$A$4001,0,-1)),I1319))</f>
        <v>3</v>
      </c>
      <c r="K1319" cm="1">
        <f t="array" ref="K1319">IF(OR(AND(J1319=9,K$1&gt;YEAR($N1319))),9,_xlfn.IFNA(INDEX($D$2:$D$4001,_xlfn.XMATCH(K$1&amp;"-"&amp;$F1319,YEAR($B$2:$B$4001)&amp;"-"&amp;$A$2:$A$4001,0,-1)),J1319))</f>
        <v>3</v>
      </c>
      <c r="L1319" cm="1">
        <f t="array" ref="L1319">IF(OR(AND(K1319=9,L$1&gt;YEAR($N1319))),9,_xlfn.IFNA(INDEX($D$2:$D$4001,_xlfn.XMATCH(L$1&amp;"-"&amp;$F1319,YEAR($B$2:$B$4001)&amp;"-"&amp;$A$2:$A$4001,0,-1)),K1319))</f>
        <v>3</v>
      </c>
      <c r="M1319" cm="1">
        <f t="array" ref="M1319">IF(OR(AND(L1319=9,M$1&gt;YEAR($N1319))),9,_xlfn.IFNA(INDEX($D$2:$D$4001,_xlfn.XMATCH(M$1&amp;"-"&amp;$F1319,YEAR($B$2:$B$4001)&amp;"-"&amp;$A$2:$A$4001,0,-1)),L1319))</f>
        <v>3</v>
      </c>
      <c r="N1319" s="1">
        <f t="shared" si="20"/>
        <v>37397</v>
      </c>
    </row>
    <row r="1320" spans="1:14" x14ac:dyDescent="0.35">
      <c r="A1320">
        <v>636</v>
      </c>
      <c r="B1320" s="2">
        <v>37032</v>
      </c>
      <c r="C1320">
        <v>4</v>
      </c>
      <c r="D1320">
        <v>4</v>
      </c>
      <c r="F1320">
        <v>1319</v>
      </c>
      <c r="G1320" cm="1">
        <f t="array" ref="G1320">_xlfn.IFNA(INDEX($D$2:$D$4001,_xlfn.XMATCH(G$1&amp;"-"&amp;$F1320,YEAR($B$2:$B$4001)&amp;"-"&amp;$A$2:$A$4001,0,-1)),9)</f>
        <v>0</v>
      </c>
      <c r="H1320" cm="1">
        <f t="array" ref="H1320">IF(OR(AND(G1320=9,H$1&gt;YEAR($N1320))),9,_xlfn.IFNA(INDEX($D$2:$D$4001,_xlfn.XMATCH(H$1&amp;"-"&amp;$F1320,YEAR($B$2:$B$4001)&amp;"-"&amp;$A$2:$A$4001,0,-1)),G1320))</f>
        <v>0</v>
      </c>
      <c r="I1320" cm="1">
        <f t="array" ref="I1320">IF(OR(AND(H1320=9,I$1&gt;YEAR($N1320))),9,_xlfn.IFNA(INDEX($D$2:$D$4001,_xlfn.XMATCH(I$1&amp;"-"&amp;$F1320,YEAR($B$2:$B$4001)&amp;"-"&amp;$A$2:$A$4001,0,-1)),H1320))</f>
        <v>0</v>
      </c>
      <c r="J1320" cm="1">
        <f t="array" ref="J1320">IF(OR(AND(I1320=9,J$1&gt;YEAR($N1320))),9,_xlfn.IFNA(INDEX($D$2:$D$4001,_xlfn.XMATCH(J$1&amp;"-"&amp;$F1320,YEAR($B$2:$B$4001)&amp;"-"&amp;$A$2:$A$4001,0,-1)),I1320))</f>
        <v>0</v>
      </c>
      <c r="K1320" cm="1">
        <f t="array" ref="K1320">IF(OR(AND(J1320=9,K$1&gt;YEAR($N1320))),9,_xlfn.IFNA(INDEX($D$2:$D$4001,_xlfn.XMATCH(K$1&amp;"-"&amp;$F1320,YEAR($B$2:$B$4001)&amp;"-"&amp;$A$2:$A$4001,0,-1)),J1320))</f>
        <v>0</v>
      </c>
      <c r="L1320" cm="1">
        <f t="array" ref="L1320">IF(OR(AND(K1320=9,L$1&gt;YEAR($N1320))),9,_xlfn.IFNA(INDEX($D$2:$D$4001,_xlfn.XMATCH(L$1&amp;"-"&amp;$F1320,YEAR($B$2:$B$4001)&amp;"-"&amp;$A$2:$A$4001,0,-1)),K1320))</f>
        <v>0</v>
      </c>
      <c r="M1320" cm="1">
        <f t="array" ref="M1320">IF(OR(AND(L1320=9,M$1&gt;YEAR($N1320))),9,_xlfn.IFNA(INDEX($D$2:$D$4001,_xlfn.XMATCH(M$1&amp;"-"&amp;$F1320,YEAR($B$2:$B$4001)&amp;"-"&amp;$A$2:$A$4001,0,-1)),L1320))</f>
        <v>0</v>
      </c>
      <c r="N1320" s="1">
        <f t="shared" si="20"/>
        <v>36524</v>
      </c>
    </row>
    <row r="1321" spans="1:14" x14ac:dyDescent="0.35">
      <c r="A1321">
        <v>636</v>
      </c>
      <c r="B1321" s="2">
        <v>37063</v>
      </c>
      <c r="C1321">
        <v>5</v>
      </c>
      <c r="D1321">
        <v>5</v>
      </c>
      <c r="F1321">
        <v>1320</v>
      </c>
      <c r="G1321" cm="1">
        <f t="array" ref="G1321">_xlfn.IFNA(INDEX($D$2:$D$4001,_xlfn.XMATCH(G$1&amp;"-"&amp;$F1321,YEAR($B$2:$B$4001)&amp;"-"&amp;$A$2:$A$4001,0,-1)),9)</f>
        <v>9</v>
      </c>
      <c r="H1321" cm="1">
        <f t="array" ref="H1321">IF(OR(AND(G1321=9,H$1&gt;YEAR($N1321))),9,_xlfn.IFNA(INDEX($D$2:$D$4001,_xlfn.XMATCH(H$1&amp;"-"&amp;$F1321,YEAR($B$2:$B$4001)&amp;"-"&amp;$A$2:$A$4001,0,-1)),G1321))</f>
        <v>9</v>
      </c>
      <c r="I1321" cm="1">
        <f t="array" ref="I1321">IF(OR(AND(H1321=9,I$1&gt;YEAR($N1321))),9,_xlfn.IFNA(INDEX($D$2:$D$4001,_xlfn.XMATCH(I$1&amp;"-"&amp;$F1321,YEAR($B$2:$B$4001)&amp;"-"&amp;$A$2:$A$4001,0,-1)),H1321))</f>
        <v>7</v>
      </c>
      <c r="J1321" cm="1">
        <f t="array" ref="J1321">IF(OR(AND(I1321=9,J$1&gt;YEAR($N1321))),9,_xlfn.IFNA(INDEX($D$2:$D$4001,_xlfn.XMATCH(J$1&amp;"-"&amp;$F1321,YEAR($B$2:$B$4001)&amp;"-"&amp;$A$2:$A$4001,0,-1)),I1321))</f>
        <v>8</v>
      </c>
      <c r="K1321" cm="1">
        <f t="array" ref="K1321">IF(OR(AND(J1321=9,K$1&gt;YEAR($N1321))),9,_xlfn.IFNA(INDEX($D$2:$D$4001,_xlfn.XMATCH(K$1&amp;"-"&amp;$F1321,YEAR($B$2:$B$4001)&amp;"-"&amp;$A$2:$A$4001,0,-1)),J1321))</f>
        <v>8</v>
      </c>
      <c r="L1321" cm="1">
        <f t="array" ref="L1321">IF(OR(AND(K1321=9,L$1&gt;YEAR($N1321))),9,_xlfn.IFNA(INDEX($D$2:$D$4001,_xlfn.XMATCH(L$1&amp;"-"&amp;$F1321,YEAR($B$2:$B$4001)&amp;"-"&amp;$A$2:$A$4001,0,-1)),K1321))</f>
        <v>8</v>
      </c>
      <c r="M1321" cm="1">
        <f t="array" ref="M1321">IF(OR(AND(L1321=9,M$1&gt;YEAR($N1321))),9,_xlfn.IFNA(INDEX($D$2:$D$4001,_xlfn.XMATCH(M$1&amp;"-"&amp;$F1321,YEAR($B$2:$B$4001)&amp;"-"&amp;$A$2:$A$4001,0,-1)),L1321))</f>
        <v>8</v>
      </c>
      <c r="N1321" s="1">
        <f t="shared" si="20"/>
        <v>37041</v>
      </c>
    </row>
    <row r="1322" spans="1:14" x14ac:dyDescent="0.35">
      <c r="A1322">
        <v>636</v>
      </c>
      <c r="B1322" s="2">
        <v>37255</v>
      </c>
      <c r="C1322">
        <v>6</v>
      </c>
      <c r="D1322">
        <v>6</v>
      </c>
      <c r="F1322">
        <v>1321</v>
      </c>
      <c r="G1322" cm="1">
        <f t="array" ref="G1322">_xlfn.IFNA(INDEX($D$2:$D$4001,_xlfn.XMATCH(G$1&amp;"-"&amp;$F1322,YEAR($B$2:$B$4001)&amp;"-"&amp;$A$2:$A$4001,0,-1)),9)</f>
        <v>9</v>
      </c>
      <c r="H1322" cm="1">
        <f t="array" ref="H1322">IF(OR(AND(G1322=9,H$1&gt;YEAR($N1322))),9,_xlfn.IFNA(INDEX($D$2:$D$4001,_xlfn.XMATCH(H$1&amp;"-"&amp;$F1322,YEAR($B$2:$B$4001)&amp;"-"&amp;$A$2:$A$4001,0,-1)),G1322))</f>
        <v>9</v>
      </c>
      <c r="I1322" cm="1">
        <f t="array" ref="I1322">IF(OR(AND(H1322=9,I$1&gt;YEAR($N1322))),9,_xlfn.IFNA(INDEX($D$2:$D$4001,_xlfn.XMATCH(I$1&amp;"-"&amp;$F1322,YEAR($B$2:$B$4001)&amp;"-"&amp;$A$2:$A$4001,0,-1)),H1322))</f>
        <v>2</v>
      </c>
      <c r="J1322" cm="1">
        <f t="array" ref="J1322">IF(OR(AND(I1322=9,J$1&gt;YEAR($N1322))),9,_xlfn.IFNA(INDEX($D$2:$D$4001,_xlfn.XMATCH(J$1&amp;"-"&amp;$F1322,YEAR($B$2:$B$4001)&amp;"-"&amp;$A$2:$A$4001,0,-1)),I1322))</f>
        <v>2</v>
      </c>
      <c r="K1322" cm="1">
        <f t="array" ref="K1322">IF(OR(AND(J1322=9,K$1&gt;YEAR($N1322))),9,_xlfn.IFNA(INDEX($D$2:$D$4001,_xlfn.XMATCH(K$1&amp;"-"&amp;$F1322,YEAR($B$2:$B$4001)&amp;"-"&amp;$A$2:$A$4001,0,-1)),J1322))</f>
        <v>2</v>
      </c>
      <c r="L1322" cm="1">
        <f t="array" ref="L1322">IF(OR(AND(K1322=9,L$1&gt;YEAR($N1322))),9,_xlfn.IFNA(INDEX($D$2:$D$4001,_xlfn.XMATCH(L$1&amp;"-"&amp;$F1322,YEAR($B$2:$B$4001)&amp;"-"&amp;$A$2:$A$4001,0,-1)),K1322))</f>
        <v>2</v>
      </c>
      <c r="M1322" cm="1">
        <f t="array" ref="M1322">IF(OR(AND(L1322=9,M$1&gt;YEAR($N1322))),9,_xlfn.IFNA(INDEX($D$2:$D$4001,_xlfn.XMATCH(M$1&amp;"-"&amp;$F1322,YEAR($B$2:$B$4001)&amp;"-"&amp;$A$2:$A$4001,0,-1)),L1322))</f>
        <v>2</v>
      </c>
      <c r="N1322" s="1">
        <f t="shared" si="20"/>
        <v>37155</v>
      </c>
    </row>
    <row r="1323" spans="1:14" x14ac:dyDescent="0.35">
      <c r="A1323">
        <v>636</v>
      </c>
      <c r="B1323" s="2">
        <v>37402</v>
      </c>
      <c r="C1323">
        <v>6</v>
      </c>
      <c r="D1323">
        <v>6</v>
      </c>
      <c r="F1323">
        <v>1322</v>
      </c>
      <c r="G1323" cm="1">
        <f t="array" ref="G1323">_xlfn.IFNA(INDEX($D$2:$D$4001,_xlfn.XMATCH(G$1&amp;"-"&amp;$F1323,YEAR($B$2:$B$4001)&amp;"-"&amp;$A$2:$A$4001,0,-1)),9)</f>
        <v>9</v>
      </c>
      <c r="H1323" cm="1">
        <f t="array" ref="H1323">IF(OR(AND(G1323=9,H$1&gt;YEAR($N1323))),9,_xlfn.IFNA(INDEX($D$2:$D$4001,_xlfn.XMATCH(H$1&amp;"-"&amp;$F1323,YEAR($B$2:$B$4001)&amp;"-"&amp;$A$2:$A$4001,0,-1)),G1323))</f>
        <v>9</v>
      </c>
      <c r="I1323" cm="1">
        <f t="array" ref="I1323">IF(OR(AND(H1323=9,I$1&gt;YEAR($N1323))),9,_xlfn.IFNA(INDEX($D$2:$D$4001,_xlfn.XMATCH(I$1&amp;"-"&amp;$F1323,YEAR($B$2:$B$4001)&amp;"-"&amp;$A$2:$A$4001,0,-1)),H1323))</f>
        <v>9</v>
      </c>
      <c r="J1323" cm="1">
        <f t="array" ref="J1323">IF(OR(AND(I1323=9,J$1&gt;YEAR($N1323))),9,_xlfn.IFNA(INDEX($D$2:$D$4001,_xlfn.XMATCH(J$1&amp;"-"&amp;$F1323,YEAR($B$2:$B$4001)&amp;"-"&amp;$A$2:$A$4001,0,-1)),I1323))</f>
        <v>9</v>
      </c>
      <c r="K1323" cm="1">
        <f t="array" ref="K1323">IF(OR(AND(J1323=9,K$1&gt;YEAR($N1323))),9,_xlfn.IFNA(INDEX($D$2:$D$4001,_xlfn.XMATCH(K$1&amp;"-"&amp;$F1323,YEAR($B$2:$B$4001)&amp;"-"&amp;$A$2:$A$4001,0,-1)),J1323))</f>
        <v>2</v>
      </c>
      <c r="L1323" cm="1">
        <f t="array" ref="L1323">IF(OR(AND(K1323=9,L$1&gt;YEAR($N1323))),9,_xlfn.IFNA(INDEX($D$2:$D$4001,_xlfn.XMATCH(L$1&amp;"-"&amp;$F1323,YEAR($B$2:$B$4001)&amp;"-"&amp;$A$2:$A$4001,0,-1)),K1323))</f>
        <v>2</v>
      </c>
      <c r="M1323" cm="1">
        <f t="array" ref="M1323">IF(OR(AND(L1323=9,M$1&gt;YEAR($N1323))),9,_xlfn.IFNA(INDEX($D$2:$D$4001,_xlfn.XMATCH(M$1&amp;"-"&amp;$F1323,YEAR($B$2:$B$4001)&amp;"-"&amp;$A$2:$A$4001,0,-1)),L1323))</f>
        <v>2</v>
      </c>
      <c r="N1323" s="1">
        <f t="shared" si="20"/>
        <v>37771</v>
      </c>
    </row>
    <row r="1324" spans="1:14" x14ac:dyDescent="0.35">
      <c r="A1324">
        <v>636</v>
      </c>
      <c r="B1324" s="2">
        <v>37763</v>
      </c>
      <c r="C1324">
        <v>7</v>
      </c>
      <c r="D1324">
        <v>7</v>
      </c>
      <c r="F1324">
        <v>1323</v>
      </c>
      <c r="G1324" cm="1">
        <f t="array" ref="G1324">_xlfn.IFNA(INDEX($D$2:$D$4001,_xlfn.XMATCH(G$1&amp;"-"&amp;$F1324,YEAR($B$2:$B$4001)&amp;"-"&amp;$A$2:$A$4001,0,-1)),9)</f>
        <v>3</v>
      </c>
      <c r="H1324" cm="1">
        <f t="array" ref="H1324">IF(OR(AND(G1324=9,H$1&gt;YEAR($N1324))),9,_xlfn.IFNA(INDEX($D$2:$D$4001,_xlfn.XMATCH(H$1&amp;"-"&amp;$F1324,YEAR($B$2:$B$4001)&amp;"-"&amp;$A$2:$A$4001,0,-1)),G1324))</f>
        <v>3</v>
      </c>
      <c r="I1324" cm="1">
        <f t="array" ref="I1324">IF(OR(AND(H1324=9,I$1&gt;YEAR($N1324))),9,_xlfn.IFNA(INDEX($D$2:$D$4001,_xlfn.XMATCH(I$1&amp;"-"&amp;$F1324,YEAR($B$2:$B$4001)&amp;"-"&amp;$A$2:$A$4001,0,-1)),H1324))</f>
        <v>3</v>
      </c>
      <c r="J1324" cm="1">
        <f t="array" ref="J1324">IF(OR(AND(I1324=9,J$1&gt;YEAR($N1324))),9,_xlfn.IFNA(INDEX($D$2:$D$4001,_xlfn.XMATCH(J$1&amp;"-"&amp;$F1324,YEAR($B$2:$B$4001)&amp;"-"&amp;$A$2:$A$4001,0,-1)),I1324))</f>
        <v>3</v>
      </c>
      <c r="K1324" cm="1">
        <f t="array" ref="K1324">IF(OR(AND(J1324=9,K$1&gt;YEAR($N1324))),9,_xlfn.IFNA(INDEX($D$2:$D$4001,_xlfn.XMATCH(K$1&amp;"-"&amp;$F1324,YEAR($B$2:$B$4001)&amp;"-"&amp;$A$2:$A$4001,0,-1)),J1324))</f>
        <v>3</v>
      </c>
      <c r="L1324" cm="1">
        <f t="array" ref="L1324">IF(OR(AND(K1324=9,L$1&gt;YEAR($N1324))),9,_xlfn.IFNA(INDEX($D$2:$D$4001,_xlfn.XMATCH(L$1&amp;"-"&amp;$F1324,YEAR($B$2:$B$4001)&amp;"-"&amp;$A$2:$A$4001,0,-1)),K1324))</f>
        <v>3</v>
      </c>
      <c r="M1324" cm="1">
        <f t="array" ref="M1324">IF(OR(AND(L1324=9,M$1&gt;YEAR($N1324))),9,_xlfn.IFNA(INDEX($D$2:$D$4001,_xlfn.XMATCH(M$1&amp;"-"&amp;$F1324,YEAR($B$2:$B$4001)&amp;"-"&amp;$A$2:$A$4001,0,-1)),L1324))</f>
        <v>3</v>
      </c>
      <c r="N1324" s="1">
        <f t="shared" si="20"/>
        <v>36402</v>
      </c>
    </row>
    <row r="1325" spans="1:14" x14ac:dyDescent="0.35">
      <c r="A1325">
        <v>637</v>
      </c>
      <c r="B1325" s="2">
        <v>36524</v>
      </c>
      <c r="C1325">
        <v>5</v>
      </c>
      <c r="D1325">
        <v>5</v>
      </c>
      <c r="F1325">
        <v>1324</v>
      </c>
      <c r="G1325" cm="1">
        <f t="array" ref="G1325">_xlfn.IFNA(INDEX($D$2:$D$4001,_xlfn.XMATCH(G$1&amp;"-"&amp;$F1325,YEAR($B$2:$B$4001)&amp;"-"&amp;$A$2:$A$4001,0,-1)),9)</f>
        <v>9</v>
      </c>
      <c r="H1325" cm="1">
        <f t="array" ref="H1325">IF(OR(AND(G1325=9,H$1&gt;YEAR($N1325))),9,_xlfn.IFNA(INDEX($D$2:$D$4001,_xlfn.XMATCH(H$1&amp;"-"&amp;$F1325,YEAR($B$2:$B$4001)&amp;"-"&amp;$A$2:$A$4001,0,-1)),G1325))</f>
        <v>9</v>
      </c>
      <c r="I1325" cm="1">
        <f t="array" ref="I1325">IF(OR(AND(H1325=9,I$1&gt;YEAR($N1325))),9,_xlfn.IFNA(INDEX($D$2:$D$4001,_xlfn.XMATCH(I$1&amp;"-"&amp;$F1325,YEAR($B$2:$B$4001)&amp;"-"&amp;$A$2:$A$4001,0,-1)),H1325))</f>
        <v>2</v>
      </c>
      <c r="J1325" cm="1">
        <f t="array" ref="J1325">IF(OR(AND(I1325=9,J$1&gt;YEAR($N1325))),9,_xlfn.IFNA(INDEX($D$2:$D$4001,_xlfn.XMATCH(J$1&amp;"-"&amp;$F1325,YEAR($B$2:$B$4001)&amp;"-"&amp;$A$2:$A$4001,0,-1)),I1325))</f>
        <v>2</v>
      </c>
      <c r="K1325" cm="1">
        <f t="array" ref="K1325">IF(OR(AND(J1325=9,K$1&gt;YEAR($N1325))),9,_xlfn.IFNA(INDEX($D$2:$D$4001,_xlfn.XMATCH(K$1&amp;"-"&amp;$F1325,YEAR($B$2:$B$4001)&amp;"-"&amp;$A$2:$A$4001,0,-1)),J1325))</f>
        <v>2</v>
      </c>
      <c r="L1325" cm="1">
        <f t="array" ref="L1325">IF(OR(AND(K1325=9,L$1&gt;YEAR($N1325))),9,_xlfn.IFNA(INDEX($D$2:$D$4001,_xlfn.XMATCH(L$1&amp;"-"&amp;$F1325,YEAR($B$2:$B$4001)&amp;"-"&amp;$A$2:$A$4001,0,-1)),K1325))</f>
        <v>2</v>
      </c>
      <c r="M1325" cm="1">
        <f t="array" ref="M1325">IF(OR(AND(L1325=9,M$1&gt;YEAR($N1325))),9,_xlfn.IFNA(INDEX($D$2:$D$4001,_xlfn.XMATCH(M$1&amp;"-"&amp;$F1325,YEAR($B$2:$B$4001)&amp;"-"&amp;$A$2:$A$4001,0,-1)),L1325))</f>
        <v>2</v>
      </c>
      <c r="N1325" s="1">
        <f t="shared" si="20"/>
        <v>37093</v>
      </c>
    </row>
    <row r="1326" spans="1:14" x14ac:dyDescent="0.35">
      <c r="A1326">
        <v>637</v>
      </c>
      <c r="B1326" s="2">
        <v>37032</v>
      </c>
      <c r="C1326">
        <v>4</v>
      </c>
      <c r="D1326">
        <v>4</v>
      </c>
      <c r="F1326">
        <v>1325</v>
      </c>
      <c r="G1326" cm="1">
        <f t="array" ref="G1326">_xlfn.IFNA(INDEX($D$2:$D$4001,_xlfn.XMATCH(G$1&amp;"-"&amp;$F1326,YEAR($B$2:$B$4001)&amp;"-"&amp;$A$2:$A$4001,0,-1)),9)</f>
        <v>9</v>
      </c>
      <c r="H1326" cm="1">
        <f t="array" ref="H1326">IF(OR(AND(G1326=9,H$1&gt;YEAR($N1326))),9,_xlfn.IFNA(INDEX($D$2:$D$4001,_xlfn.XMATCH(H$1&amp;"-"&amp;$F1326,YEAR($B$2:$B$4001)&amp;"-"&amp;$A$2:$A$4001,0,-1)),G1326))</f>
        <v>9</v>
      </c>
      <c r="I1326" cm="1">
        <f t="array" ref="I1326">IF(OR(AND(H1326=9,I$1&gt;YEAR($N1326))),9,_xlfn.IFNA(INDEX($D$2:$D$4001,_xlfn.XMATCH(I$1&amp;"-"&amp;$F1326,YEAR($B$2:$B$4001)&amp;"-"&amp;$A$2:$A$4001,0,-1)),H1326))</f>
        <v>2</v>
      </c>
      <c r="J1326" cm="1">
        <f t="array" ref="J1326">IF(OR(AND(I1326=9,J$1&gt;YEAR($N1326))),9,_xlfn.IFNA(INDEX($D$2:$D$4001,_xlfn.XMATCH(J$1&amp;"-"&amp;$F1326,YEAR($B$2:$B$4001)&amp;"-"&amp;$A$2:$A$4001,0,-1)),I1326))</f>
        <v>0</v>
      </c>
      <c r="K1326" cm="1">
        <f t="array" ref="K1326">IF(OR(AND(J1326=9,K$1&gt;YEAR($N1326))),9,_xlfn.IFNA(INDEX($D$2:$D$4001,_xlfn.XMATCH(K$1&amp;"-"&amp;$F1326,YEAR($B$2:$B$4001)&amp;"-"&amp;$A$2:$A$4001,0,-1)),J1326))</f>
        <v>0</v>
      </c>
      <c r="L1326" cm="1">
        <f t="array" ref="L1326">IF(OR(AND(K1326=9,L$1&gt;YEAR($N1326))),9,_xlfn.IFNA(INDEX($D$2:$D$4001,_xlfn.XMATCH(L$1&amp;"-"&amp;$F1326,YEAR($B$2:$B$4001)&amp;"-"&amp;$A$2:$A$4001,0,-1)),K1326))</f>
        <v>0</v>
      </c>
      <c r="M1326" cm="1">
        <f t="array" ref="M1326">IF(OR(AND(L1326=9,M$1&gt;YEAR($N1326))),9,_xlfn.IFNA(INDEX($D$2:$D$4001,_xlfn.XMATCH(M$1&amp;"-"&amp;$F1326,YEAR($B$2:$B$4001)&amp;"-"&amp;$A$2:$A$4001,0,-1)),L1326))</f>
        <v>0</v>
      </c>
      <c r="N1326" s="1">
        <f t="shared" si="20"/>
        <v>37093</v>
      </c>
    </row>
    <row r="1327" spans="1:14" x14ac:dyDescent="0.35">
      <c r="A1327">
        <v>637</v>
      </c>
      <c r="B1327" s="2">
        <v>37072</v>
      </c>
      <c r="C1327">
        <v>3</v>
      </c>
      <c r="D1327">
        <v>3</v>
      </c>
      <c r="F1327">
        <v>1326</v>
      </c>
      <c r="G1327" cm="1">
        <f t="array" ref="G1327">_xlfn.IFNA(INDEX($D$2:$D$4001,_xlfn.XMATCH(G$1&amp;"-"&amp;$F1327,YEAR($B$2:$B$4001)&amp;"-"&amp;$A$2:$A$4001,0,-1)),9)</f>
        <v>3</v>
      </c>
      <c r="H1327" cm="1">
        <f t="array" ref="H1327">IF(OR(AND(G1327=9,H$1&gt;YEAR($N1327))),9,_xlfn.IFNA(INDEX($D$2:$D$4001,_xlfn.XMATCH(H$1&amp;"-"&amp;$F1327,YEAR($B$2:$B$4001)&amp;"-"&amp;$A$2:$A$4001,0,-1)),G1327))</f>
        <v>3</v>
      </c>
      <c r="I1327" cm="1">
        <f t="array" ref="I1327">IF(OR(AND(H1327=9,I$1&gt;YEAR($N1327))),9,_xlfn.IFNA(INDEX($D$2:$D$4001,_xlfn.XMATCH(I$1&amp;"-"&amp;$F1327,YEAR($B$2:$B$4001)&amp;"-"&amp;$A$2:$A$4001,0,-1)),H1327))</f>
        <v>3</v>
      </c>
      <c r="J1327" cm="1">
        <f t="array" ref="J1327">IF(OR(AND(I1327=9,J$1&gt;YEAR($N1327))),9,_xlfn.IFNA(INDEX($D$2:$D$4001,_xlfn.XMATCH(J$1&amp;"-"&amp;$F1327,YEAR($B$2:$B$4001)&amp;"-"&amp;$A$2:$A$4001,0,-1)),I1327))</f>
        <v>4</v>
      </c>
      <c r="K1327" cm="1">
        <f t="array" ref="K1327">IF(OR(AND(J1327=9,K$1&gt;YEAR($N1327))),9,_xlfn.IFNA(INDEX($D$2:$D$4001,_xlfn.XMATCH(K$1&amp;"-"&amp;$F1327,YEAR($B$2:$B$4001)&amp;"-"&amp;$A$2:$A$4001,0,-1)),J1327))</f>
        <v>4</v>
      </c>
      <c r="L1327" cm="1">
        <f t="array" ref="L1327">IF(OR(AND(K1327=9,L$1&gt;YEAR($N1327))),9,_xlfn.IFNA(INDEX($D$2:$D$4001,_xlfn.XMATCH(L$1&amp;"-"&amp;$F1327,YEAR($B$2:$B$4001)&amp;"-"&amp;$A$2:$A$4001,0,-1)),K1327))</f>
        <v>4</v>
      </c>
      <c r="M1327" cm="1">
        <f t="array" ref="M1327">IF(OR(AND(L1327=9,M$1&gt;YEAR($N1327))),9,_xlfn.IFNA(INDEX($D$2:$D$4001,_xlfn.XMATCH(M$1&amp;"-"&amp;$F1327,YEAR($B$2:$B$4001)&amp;"-"&amp;$A$2:$A$4001,0,-1)),L1327))</f>
        <v>4</v>
      </c>
      <c r="N1327" s="1">
        <f t="shared" si="20"/>
        <v>36463</v>
      </c>
    </row>
    <row r="1328" spans="1:14" x14ac:dyDescent="0.35">
      <c r="A1328">
        <v>637</v>
      </c>
      <c r="B1328" s="2">
        <v>38493</v>
      </c>
      <c r="C1328">
        <v>4</v>
      </c>
      <c r="D1328">
        <v>4</v>
      </c>
      <c r="F1328">
        <v>1327</v>
      </c>
      <c r="G1328" cm="1">
        <f t="array" ref="G1328">_xlfn.IFNA(INDEX($D$2:$D$4001,_xlfn.XMATCH(G$1&amp;"-"&amp;$F1328,YEAR($B$2:$B$4001)&amp;"-"&amp;$A$2:$A$4001,0,-1)),9)</f>
        <v>4</v>
      </c>
      <c r="H1328" cm="1">
        <f t="array" ref="H1328">IF(OR(AND(G1328=9,H$1&gt;YEAR($N1328))),9,_xlfn.IFNA(INDEX($D$2:$D$4001,_xlfn.XMATCH(H$1&amp;"-"&amp;$F1328,YEAR($B$2:$B$4001)&amp;"-"&amp;$A$2:$A$4001,0,-1)),G1328))</f>
        <v>4</v>
      </c>
      <c r="I1328" cm="1">
        <f t="array" ref="I1328">IF(OR(AND(H1328=9,I$1&gt;YEAR($N1328))),9,_xlfn.IFNA(INDEX($D$2:$D$4001,_xlfn.XMATCH(I$1&amp;"-"&amp;$F1328,YEAR($B$2:$B$4001)&amp;"-"&amp;$A$2:$A$4001,0,-1)),H1328))</f>
        <v>4</v>
      </c>
      <c r="J1328" cm="1">
        <f t="array" ref="J1328">IF(OR(AND(I1328=9,J$1&gt;YEAR($N1328))),9,_xlfn.IFNA(INDEX($D$2:$D$4001,_xlfn.XMATCH(J$1&amp;"-"&amp;$F1328,YEAR($B$2:$B$4001)&amp;"-"&amp;$A$2:$A$4001,0,-1)),I1328))</f>
        <v>4</v>
      </c>
      <c r="K1328" cm="1">
        <f t="array" ref="K1328">IF(OR(AND(J1328=9,K$1&gt;YEAR($N1328))),9,_xlfn.IFNA(INDEX($D$2:$D$4001,_xlfn.XMATCH(K$1&amp;"-"&amp;$F1328,YEAR($B$2:$B$4001)&amp;"-"&amp;$A$2:$A$4001,0,-1)),J1328))</f>
        <v>4</v>
      </c>
      <c r="L1328" cm="1">
        <f t="array" ref="L1328">IF(OR(AND(K1328=9,L$1&gt;YEAR($N1328))),9,_xlfn.IFNA(INDEX($D$2:$D$4001,_xlfn.XMATCH(L$1&amp;"-"&amp;$F1328,YEAR($B$2:$B$4001)&amp;"-"&amp;$A$2:$A$4001,0,-1)),K1328))</f>
        <v>4</v>
      </c>
      <c r="M1328" cm="1">
        <f t="array" ref="M1328">IF(OR(AND(L1328=9,M$1&gt;YEAR($N1328))),9,_xlfn.IFNA(INDEX($D$2:$D$4001,_xlfn.XMATCH(M$1&amp;"-"&amp;$F1328,YEAR($B$2:$B$4001)&amp;"-"&amp;$A$2:$A$4001,0,-1)),L1328))</f>
        <v>4</v>
      </c>
      <c r="N1328" s="1">
        <f t="shared" si="20"/>
        <v>36301</v>
      </c>
    </row>
    <row r="1329" spans="1:14" x14ac:dyDescent="0.35">
      <c r="A1329">
        <v>638</v>
      </c>
      <c r="B1329" s="2">
        <v>37125</v>
      </c>
      <c r="C1329">
        <v>2</v>
      </c>
      <c r="D1329">
        <v>2</v>
      </c>
      <c r="F1329">
        <v>1328</v>
      </c>
      <c r="G1329" cm="1">
        <f t="array" ref="G1329">_xlfn.IFNA(INDEX($D$2:$D$4001,_xlfn.XMATCH(G$1&amp;"-"&amp;$F1329,YEAR($B$2:$B$4001)&amp;"-"&amp;$A$2:$A$4001,0,-1)),9)</f>
        <v>9</v>
      </c>
      <c r="H1329" cm="1">
        <f t="array" ref="H1329">IF(OR(AND(G1329=9,H$1&gt;YEAR($N1329))),9,_xlfn.IFNA(INDEX($D$2:$D$4001,_xlfn.XMATCH(H$1&amp;"-"&amp;$F1329,YEAR($B$2:$B$4001)&amp;"-"&amp;$A$2:$A$4001,0,-1)),G1329))</f>
        <v>9</v>
      </c>
      <c r="I1329" cm="1">
        <f t="array" ref="I1329">IF(OR(AND(H1329=9,I$1&gt;YEAR($N1329))),9,_xlfn.IFNA(INDEX($D$2:$D$4001,_xlfn.XMATCH(I$1&amp;"-"&amp;$F1329,YEAR($B$2:$B$4001)&amp;"-"&amp;$A$2:$A$4001,0,-1)),H1329))</f>
        <v>9</v>
      </c>
      <c r="J1329" cm="1">
        <f t="array" ref="J1329">IF(OR(AND(I1329=9,J$1&gt;YEAR($N1329))),9,_xlfn.IFNA(INDEX($D$2:$D$4001,_xlfn.XMATCH(J$1&amp;"-"&amp;$F1329,YEAR($B$2:$B$4001)&amp;"-"&amp;$A$2:$A$4001,0,-1)),I1329))</f>
        <v>0</v>
      </c>
      <c r="K1329" cm="1">
        <f t="array" ref="K1329">IF(OR(AND(J1329=9,K$1&gt;YEAR($N1329))),9,_xlfn.IFNA(INDEX($D$2:$D$4001,_xlfn.XMATCH(K$1&amp;"-"&amp;$F1329,YEAR($B$2:$B$4001)&amp;"-"&amp;$A$2:$A$4001,0,-1)),J1329))</f>
        <v>0</v>
      </c>
      <c r="L1329" cm="1">
        <f t="array" ref="L1329">IF(OR(AND(K1329=9,L$1&gt;YEAR($N1329))),9,_xlfn.IFNA(INDEX($D$2:$D$4001,_xlfn.XMATCH(L$1&amp;"-"&amp;$F1329,YEAR($B$2:$B$4001)&amp;"-"&amp;$A$2:$A$4001,0,-1)),K1329))</f>
        <v>0</v>
      </c>
      <c r="M1329" cm="1">
        <f t="array" ref="M1329">IF(OR(AND(L1329=9,M$1&gt;YEAR($N1329))),9,_xlfn.IFNA(INDEX($D$2:$D$4001,_xlfn.XMATCH(M$1&amp;"-"&amp;$F1329,YEAR($B$2:$B$4001)&amp;"-"&amp;$A$2:$A$4001,0,-1)),L1329))</f>
        <v>0</v>
      </c>
      <c r="N1329" s="1">
        <f t="shared" si="20"/>
        <v>37558</v>
      </c>
    </row>
    <row r="1330" spans="1:14" x14ac:dyDescent="0.35">
      <c r="A1330">
        <v>638</v>
      </c>
      <c r="B1330" s="2">
        <v>38351</v>
      </c>
      <c r="C1330">
        <v>2</v>
      </c>
      <c r="D1330">
        <v>2</v>
      </c>
      <c r="F1330">
        <v>1329</v>
      </c>
      <c r="G1330" cm="1">
        <f t="array" ref="G1330">_xlfn.IFNA(INDEX($D$2:$D$4001,_xlfn.XMATCH(G$1&amp;"-"&amp;$F1330,YEAR($B$2:$B$4001)&amp;"-"&amp;$A$2:$A$4001,0,-1)),9)</f>
        <v>6</v>
      </c>
      <c r="H1330" cm="1">
        <f t="array" ref="H1330">IF(OR(AND(G1330=9,H$1&gt;YEAR($N1330))),9,_xlfn.IFNA(INDEX($D$2:$D$4001,_xlfn.XMATCH(H$1&amp;"-"&amp;$F1330,YEAR($B$2:$B$4001)&amp;"-"&amp;$A$2:$A$4001,0,-1)),G1330))</f>
        <v>7</v>
      </c>
      <c r="I1330" cm="1">
        <f t="array" ref="I1330">IF(OR(AND(H1330=9,I$1&gt;YEAR($N1330))),9,_xlfn.IFNA(INDEX($D$2:$D$4001,_xlfn.XMATCH(I$1&amp;"-"&amp;$F1330,YEAR($B$2:$B$4001)&amp;"-"&amp;$A$2:$A$4001,0,-1)),H1330))</f>
        <v>0</v>
      </c>
      <c r="J1330" cm="1">
        <f t="array" ref="J1330">IF(OR(AND(I1330=9,J$1&gt;YEAR($N1330))),9,_xlfn.IFNA(INDEX($D$2:$D$4001,_xlfn.XMATCH(J$1&amp;"-"&amp;$F1330,YEAR($B$2:$B$4001)&amp;"-"&amp;$A$2:$A$4001,0,-1)),I1330))</f>
        <v>0</v>
      </c>
      <c r="K1330" cm="1">
        <f t="array" ref="K1330">IF(OR(AND(J1330=9,K$1&gt;YEAR($N1330))),9,_xlfn.IFNA(INDEX($D$2:$D$4001,_xlfn.XMATCH(K$1&amp;"-"&amp;$F1330,YEAR($B$2:$B$4001)&amp;"-"&amp;$A$2:$A$4001,0,-1)),J1330))</f>
        <v>0</v>
      </c>
      <c r="L1330" cm="1">
        <f t="array" ref="L1330">IF(OR(AND(K1330=9,L$1&gt;YEAR($N1330))),9,_xlfn.IFNA(INDEX($D$2:$D$4001,_xlfn.XMATCH(L$1&amp;"-"&amp;$F1330,YEAR($B$2:$B$4001)&amp;"-"&amp;$A$2:$A$4001,0,-1)),K1330))</f>
        <v>0</v>
      </c>
      <c r="M1330" cm="1">
        <f t="array" ref="M1330">IF(OR(AND(L1330=9,M$1&gt;YEAR($N1330))),9,_xlfn.IFNA(INDEX($D$2:$D$4001,_xlfn.XMATCH(M$1&amp;"-"&amp;$F1330,YEAR($B$2:$B$4001)&amp;"-"&amp;$A$2:$A$4001,0,-1)),L1330))</f>
        <v>0</v>
      </c>
      <c r="N1330" s="1">
        <f t="shared" si="20"/>
        <v>36524</v>
      </c>
    </row>
    <row r="1331" spans="1:14" x14ac:dyDescent="0.35">
      <c r="A1331">
        <v>639</v>
      </c>
      <c r="B1331" s="2">
        <v>36433</v>
      </c>
      <c r="C1331">
        <v>6</v>
      </c>
      <c r="D1331">
        <v>6</v>
      </c>
      <c r="F1331">
        <v>1330</v>
      </c>
      <c r="G1331" cm="1">
        <f t="array" ref="G1331">_xlfn.IFNA(INDEX($D$2:$D$4001,_xlfn.XMATCH(G$1&amp;"-"&amp;$F1331,YEAR($B$2:$B$4001)&amp;"-"&amp;$A$2:$A$4001,0,-1)),9)</f>
        <v>4</v>
      </c>
      <c r="H1331" cm="1">
        <f t="array" ref="H1331">IF(OR(AND(G1331=9,H$1&gt;YEAR($N1331))),9,_xlfn.IFNA(INDEX($D$2:$D$4001,_xlfn.XMATCH(H$1&amp;"-"&amp;$F1331,YEAR($B$2:$B$4001)&amp;"-"&amp;$A$2:$A$4001,0,-1)),G1331))</f>
        <v>4</v>
      </c>
      <c r="I1331" cm="1">
        <f t="array" ref="I1331">IF(OR(AND(H1331=9,I$1&gt;YEAR($N1331))),9,_xlfn.IFNA(INDEX($D$2:$D$4001,_xlfn.XMATCH(I$1&amp;"-"&amp;$F1331,YEAR($B$2:$B$4001)&amp;"-"&amp;$A$2:$A$4001,0,-1)),H1331))</f>
        <v>4</v>
      </c>
      <c r="J1331" cm="1">
        <f t="array" ref="J1331">IF(OR(AND(I1331=9,J$1&gt;YEAR($N1331))),9,_xlfn.IFNA(INDEX($D$2:$D$4001,_xlfn.XMATCH(J$1&amp;"-"&amp;$F1331,YEAR($B$2:$B$4001)&amp;"-"&amp;$A$2:$A$4001,0,-1)),I1331))</f>
        <v>5</v>
      </c>
      <c r="K1331" cm="1">
        <f t="array" ref="K1331">IF(OR(AND(J1331=9,K$1&gt;YEAR($N1331))),9,_xlfn.IFNA(INDEX($D$2:$D$4001,_xlfn.XMATCH(K$1&amp;"-"&amp;$F1331,YEAR($B$2:$B$4001)&amp;"-"&amp;$A$2:$A$4001,0,-1)),J1331))</f>
        <v>5</v>
      </c>
      <c r="L1331" cm="1">
        <f t="array" ref="L1331">IF(OR(AND(K1331=9,L$1&gt;YEAR($N1331))),9,_xlfn.IFNA(INDEX($D$2:$D$4001,_xlfn.XMATCH(L$1&amp;"-"&amp;$F1331,YEAR($B$2:$B$4001)&amp;"-"&amp;$A$2:$A$4001,0,-1)),K1331))</f>
        <v>5</v>
      </c>
      <c r="M1331" cm="1">
        <f t="array" ref="M1331">IF(OR(AND(L1331=9,M$1&gt;YEAR($N1331))),9,_xlfn.IFNA(INDEX($D$2:$D$4001,_xlfn.XMATCH(M$1&amp;"-"&amp;$F1331,YEAR($B$2:$B$4001)&amp;"-"&amp;$A$2:$A$4001,0,-1)),L1331))</f>
        <v>5</v>
      </c>
      <c r="N1331" s="1">
        <f t="shared" si="20"/>
        <v>36524</v>
      </c>
    </row>
    <row r="1332" spans="1:14" x14ac:dyDescent="0.35">
      <c r="A1332">
        <v>639</v>
      </c>
      <c r="B1332" s="2">
        <v>36676</v>
      </c>
      <c r="C1332">
        <v>5</v>
      </c>
      <c r="D1332">
        <v>5</v>
      </c>
      <c r="F1332">
        <v>1331</v>
      </c>
      <c r="G1332" cm="1">
        <f t="array" ref="G1332">_xlfn.IFNA(INDEX($D$2:$D$4001,_xlfn.XMATCH(G$1&amp;"-"&amp;$F1332,YEAR($B$2:$B$4001)&amp;"-"&amp;$A$2:$A$4001,0,-1)),9)</f>
        <v>9</v>
      </c>
      <c r="H1332" cm="1">
        <f t="array" ref="H1332">IF(OR(AND(G1332=9,H$1&gt;YEAR($N1332))),9,_xlfn.IFNA(INDEX($D$2:$D$4001,_xlfn.XMATCH(H$1&amp;"-"&amp;$F1332,YEAR($B$2:$B$4001)&amp;"-"&amp;$A$2:$A$4001,0,-1)),G1332))</f>
        <v>9</v>
      </c>
      <c r="I1332" cm="1">
        <f t="array" ref="I1332">IF(OR(AND(H1332=9,I$1&gt;YEAR($N1332))),9,_xlfn.IFNA(INDEX($D$2:$D$4001,_xlfn.XMATCH(I$1&amp;"-"&amp;$F1332,YEAR($B$2:$B$4001)&amp;"-"&amp;$A$2:$A$4001,0,-1)),H1332))</f>
        <v>9</v>
      </c>
      <c r="J1332" cm="1">
        <f t="array" ref="J1332">IF(OR(AND(I1332=9,J$1&gt;YEAR($N1332))),9,_xlfn.IFNA(INDEX($D$2:$D$4001,_xlfn.XMATCH(J$1&amp;"-"&amp;$F1332,YEAR($B$2:$B$4001)&amp;"-"&amp;$A$2:$A$4001,0,-1)),I1332))</f>
        <v>9</v>
      </c>
      <c r="K1332" cm="1">
        <f t="array" ref="K1332">IF(OR(AND(J1332=9,K$1&gt;YEAR($N1332))),9,_xlfn.IFNA(INDEX($D$2:$D$4001,_xlfn.XMATCH(K$1&amp;"-"&amp;$F1332,YEAR($B$2:$B$4001)&amp;"-"&amp;$A$2:$A$4001,0,-1)),J1332))</f>
        <v>9</v>
      </c>
      <c r="L1332" cm="1">
        <f t="array" ref="L1332">IF(OR(AND(K1332=9,L$1&gt;YEAR($N1332))),9,_xlfn.IFNA(INDEX($D$2:$D$4001,_xlfn.XMATCH(L$1&amp;"-"&amp;$F1332,YEAR($B$2:$B$4001)&amp;"-"&amp;$A$2:$A$4001,0,-1)),K1332))</f>
        <v>2</v>
      </c>
      <c r="M1332" cm="1">
        <f t="array" ref="M1332">IF(OR(AND(L1332=9,M$1&gt;YEAR($N1332))),9,_xlfn.IFNA(INDEX($D$2:$D$4001,_xlfn.XMATCH(M$1&amp;"-"&amp;$F1332,YEAR($B$2:$B$4001)&amp;"-"&amp;$A$2:$A$4001,0,-1)),L1332))</f>
        <v>2</v>
      </c>
      <c r="N1332" s="1">
        <f t="shared" si="20"/>
        <v>38290</v>
      </c>
    </row>
    <row r="1333" spans="1:14" x14ac:dyDescent="0.35">
      <c r="A1333">
        <v>639</v>
      </c>
      <c r="B1333" s="2">
        <v>38128</v>
      </c>
      <c r="C1333">
        <v>0</v>
      </c>
      <c r="D1333">
        <v>0</v>
      </c>
      <c r="F1333">
        <v>1332</v>
      </c>
      <c r="G1333" cm="1">
        <f t="array" ref="G1333">_xlfn.IFNA(INDEX($D$2:$D$4001,_xlfn.XMATCH(G$1&amp;"-"&amp;$F1333,YEAR($B$2:$B$4001)&amp;"-"&amp;$A$2:$A$4001,0,-1)),9)</f>
        <v>9</v>
      </c>
      <c r="H1333" cm="1">
        <f t="array" ref="H1333">IF(OR(AND(G1333=9,H$1&gt;YEAR($N1333))),9,_xlfn.IFNA(INDEX($D$2:$D$4001,_xlfn.XMATCH(H$1&amp;"-"&amp;$F1333,YEAR($B$2:$B$4001)&amp;"-"&amp;$A$2:$A$4001,0,-1)),G1333))</f>
        <v>9</v>
      </c>
      <c r="I1333" cm="1">
        <f t="array" ref="I1333">IF(OR(AND(H1333=9,I$1&gt;YEAR($N1333))),9,_xlfn.IFNA(INDEX($D$2:$D$4001,_xlfn.XMATCH(I$1&amp;"-"&amp;$F1333,YEAR($B$2:$B$4001)&amp;"-"&amp;$A$2:$A$4001,0,-1)),H1333))</f>
        <v>0</v>
      </c>
      <c r="J1333" cm="1">
        <f t="array" ref="J1333">IF(OR(AND(I1333=9,J$1&gt;YEAR($N1333))),9,_xlfn.IFNA(INDEX($D$2:$D$4001,_xlfn.XMATCH(J$1&amp;"-"&amp;$F1333,YEAR($B$2:$B$4001)&amp;"-"&amp;$A$2:$A$4001,0,-1)),I1333))</f>
        <v>0</v>
      </c>
      <c r="K1333" cm="1">
        <f t="array" ref="K1333">IF(OR(AND(J1333=9,K$1&gt;YEAR($N1333))),9,_xlfn.IFNA(INDEX($D$2:$D$4001,_xlfn.XMATCH(K$1&amp;"-"&amp;$F1333,YEAR($B$2:$B$4001)&amp;"-"&amp;$A$2:$A$4001,0,-1)),J1333))</f>
        <v>0</v>
      </c>
      <c r="L1333" cm="1">
        <f t="array" ref="L1333">IF(OR(AND(K1333=9,L$1&gt;YEAR($N1333))),9,_xlfn.IFNA(INDEX($D$2:$D$4001,_xlfn.XMATCH(L$1&amp;"-"&amp;$F1333,YEAR($B$2:$B$4001)&amp;"-"&amp;$A$2:$A$4001,0,-1)),K1333))</f>
        <v>0</v>
      </c>
      <c r="M1333" cm="1">
        <f t="array" ref="M1333">IF(OR(AND(L1333=9,M$1&gt;YEAR($N1333))),9,_xlfn.IFNA(INDEX($D$2:$D$4001,_xlfn.XMATCH(M$1&amp;"-"&amp;$F1333,YEAR($B$2:$B$4001)&amp;"-"&amp;$A$2:$A$4001,0,-1)),L1333))</f>
        <v>0</v>
      </c>
      <c r="N1333" s="1">
        <f t="shared" si="20"/>
        <v>37041</v>
      </c>
    </row>
    <row r="1334" spans="1:14" x14ac:dyDescent="0.35">
      <c r="A1334">
        <v>640</v>
      </c>
      <c r="B1334" s="2">
        <v>37032</v>
      </c>
      <c r="C1334">
        <v>4</v>
      </c>
      <c r="D1334">
        <v>4</v>
      </c>
      <c r="F1334">
        <v>1333</v>
      </c>
      <c r="G1334" cm="1">
        <f t="array" ref="G1334">_xlfn.IFNA(INDEX($D$2:$D$4001,_xlfn.XMATCH(G$1&amp;"-"&amp;$F1334,YEAR($B$2:$B$4001)&amp;"-"&amp;$A$2:$A$4001,0,-1)),9)</f>
        <v>5</v>
      </c>
      <c r="H1334" cm="1">
        <f t="array" ref="H1334">IF(OR(AND(G1334=9,H$1&gt;YEAR($N1334))),9,_xlfn.IFNA(INDEX($D$2:$D$4001,_xlfn.XMATCH(H$1&amp;"-"&amp;$F1334,YEAR($B$2:$B$4001)&amp;"-"&amp;$A$2:$A$4001,0,-1)),G1334))</f>
        <v>5</v>
      </c>
      <c r="I1334" cm="1">
        <f t="array" ref="I1334">IF(OR(AND(H1334=9,I$1&gt;YEAR($N1334))),9,_xlfn.IFNA(INDEX($D$2:$D$4001,_xlfn.XMATCH(I$1&amp;"-"&amp;$F1334,YEAR($B$2:$B$4001)&amp;"-"&amp;$A$2:$A$4001,0,-1)),H1334))</f>
        <v>5</v>
      </c>
      <c r="J1334" cm="1">
        <f t="array" ref="J1334">IF(OR(AND(I1334=9,J$1&gt;YEAR($N1334))),9,_xlfn.IFNA(INDEX($D$2:$D$4001,_xlfn.XMATCH(J$1&amp;"-"&amp;$F1334,YEAR($B$2:$B$4001)&amp;"-"&amp;$A$2:$A$4001,0,-1)),I1334))</f>
        <v>5</v>
      </c>
      <c r="K1334" cm="1">
        <f t="array" ref="K1334">IF(OR(AND(J1334=9,K$1&gt;YEAR($N1334))),9,_xlfn.IFNA(INDEX($D$2:$D$4001,_xlfn.XMATCH(K$1&amp;"-"&amp;$F1334,YEAR($B$2:$B$4001)&amp;"-"&amp;$A$2:$A$4001,0,-1)),J1334))</f>
        <v>5</v>
      </c>
      <c r="L1334" cm="1">
        <f t="array" ref="L1334">IF(OR(AND(K1334=9,L$1&gt;YEAR($N1334))),9,_xlfn.IFNA(INDEX($D$2:$D$4001,_xlfn.XMATCH(L$1&amp;"-"&amp;$F1334,YEAR($B$2:$B$4001)&amp;"-"&amp;$A$2:$A$4001,0,-1)),K1334))</f>
        <v>5</v>
      </c>
      <c r="M1334" cm="1">
        <f t="array" ref="M1334">IF(OR(AND(L1334=9,M$1&gt;YEAR($N1334))),9,_xlfn.IFNA(INDEX($D$2:$D$4001,_xlfn.XMATCH(M$1&amp;"-"&amp;$F1334,YEAR($B$2:$B$4001)&amp;"-"&amp;$A$2:$A$4001,0,-1)),L1334))</f>
        <v>5</v>
      </c>
      <c r="N1334" s="1">
        <f t="shared" si="20"/>
        <v>36524</v>
      </c>
    </row>
    <row r="1335" spans="1:14" x14ac:dyDescent="0.35">
      <c r="A1335">
        <v>640</v>
      </c>
      <c r="B1335" s="2">
        <v>37458</v>
      </c>
      <c r="C1335">
        <v>3</v>
      </c>
      <c r="D1335">
        <v>3</v>
      </c>
      <c r="F1335">
        <v>1334</v>
      </c>
      <c r="G1335" cm="1">
        <f t="array" ref="G1335">_xlfn.IFNA(INDEX($D$2:$D$4001,_xlfn.XMATCH(G$1&amp;"-"&amp;$F1335,YEAR($B$2:$B$4001)&amp;"-"&amp;$A$2:$A$4001,0,-1)),9)</f>
        <v>9</v>
      </c>
      <c r="H1335" cm="1">
        <f t="array" ref="H1335">IF(OR(AND(G1335=9,H$1&gt;YEAR($N1335))),9,_xlfn.IFNA(INDEX($D$2:$D$4001,_xlfn.XMATCH(H$1&amp;"-"&amp;$F1335,YEAR($B$2:$B$4001)&amp;"-"&amp;$A$2:$A$4001,0,-1)),G1335))</f>
        <v>9</v>
      </c>
      <c r="I1335" cm="1">
        <f t="array" ref="I1335">IF(OR(AND(H1335=9,I$1&gt;YEAR($N1335))),9,_xlfn.IFNA(INDEX($D$2:$D$4001,_xlfn.XMATCH(I$1&amp;"-"&amp;$F1335,YEAR($B$2:$B$4001)&amp;"-"&amp;$A$2:$A$4001,0,-1)),H1335))</f>
        <v>9</v>
      </c>
      <c r="J1335" cm="1">
        <f t="array" ref="J1335">IF(OR(AND(I1335=9,J$1&gt;YEAR($N1335))),9,_xlfn.IFNA(INDEX($D$2:$D$4001,_xlfn.XMATCH(J$1&amp;"-"&amp;$F1335,YEAR($B$2:$B$4001)&amp;"-"&amp;$A$2:$A$4001,0,-1)),I1335))</f>
        <v>0</v>
      </c>
      <c r="K1335" cm="1">
        <f t="array" ref="K1335">IF(OR(AND(J1335=9,K$1&gt;YEAR($N1335))),9,_xlfn.IFNA(INDEX($D$2:$D$4001,_xlfn.XMATCH(K$1&amp;"-"&amp;$F1335,YEAR($B$2:$B$4001)&amp;"-"&amp;$A$2:$A$4001,0,-1)),J1335))</f>
        <v>0</v>
      </c>
      <c r="L1335" cm="1">
        <f t="array" ref="L1335">IF(OR(AND(K1335=9,L$1&gt;YEAR($N1335))),9,_xlfn.IFNA(INDEX($D$2:$D$4001,_xlfn.XMATCH(L$1&amp;"-"&amp;$F1335,YEAR($B$2:$B$4001)&amp;"-"&amp;$A$2:$A$4001,0,-1)),K1335))</f>
        <v>0</v>
      </c>
      <c r="M1335" cm="1">
        <f t="array" ref="M1335">IF(OR(AND(L1335=9,M$1&gt;YEAR($N1335))),9,_xlfn.IFNA(INDEX($D$2:$D$4001,_xlfn.XMATCH(M$1&amp;"-"&amp;$F1335,YEAR($B$2:$B$4001)&amp;"-"&amp;$A$2:$A$4001,0,-1)),L1335))</f>
        <v>0</v>
      </c>
      <c r="N1335" s="1">
        <f t="shared" si="20"/>
        <v>37437</v>
      </c>
    </row>
    <row r="1336" spans="1:14" x14ac:dyDescent="0.35">
      <c r="A1336">
        <v>641</v>
      </c>
      <c r="B1336" s="2">
        <v>36524</v>
      </c>
      <c r="C1336">
        <v>4</v>
      </c>
      <c r="D1336">
        <v>4</v>
      </c>
      <c r="F1336">
        <v>1335</v>
      </c>
      <c r="G1336" cm="1">
        <f t="array" ref="G1336">_xlfn.IFNA(INDEX($D$2:$D$4001,_xlfn.XMATCH(G$1&amp;"-"&amp;$F1336,YEAR($B$2:$B$4001)&amp;"-"&amp;$A$2:$A$4001,0,-1)),9)</f>
        <v>9</v>
      </c>
      <c r="H1336" cm="1">
        <f t="array" ref="H1336">IF(OR(AND(G1336=9,H$1&gt;YEAR($N1336))),9,_xlfn.IFNA(INDEX($D$2:$D$4001,_xlfn.XMATCH(H$1&amp;"-"&amp;$F1336,YEAR($B$2:$B$4001)&amp;"-"&amp;$A$2:$A$4001,0,-1)),G1336))</f>
        <v>9</v>
      </c>
      <c r="I1336" cm="1">
        <f t="array" ref="I1336">IF(OR(AND(H1336=9,I$1&gt;YEAR($N1336))),9,_xlfn.IFNA(INDEX($D$2:$D$4001,_xlfn.XMATCH(I$1&amp;"-"&amp;$F1336,YEAR($B$2:$B$4001)&amp;"-"&amp;$A$2:$A$4001,0,-1)),H1336))</f>
        <v>9</v>
      </c>
      <c r="J1336" cm="1">
        <f t="array" ref="J1336">IF(OR(AND(I1336=9,J$1&gt;YEAR($N1336))),9,_xlfn.IFNA(INDEX($D$2:$D$4001,_xlfn.XMATCH(J$1&amp;"-"&amp;$F1336,YEAR($B$2:$B$4001)&amp;"-"&amp;$A$2:$A$4001,0,-1)),I1336))</f>
        <v>2</v>
      </c>
      <c r="K1336" cm="1">
        <f t="array" ref="K1336">IF(OR(AND(J1336=9,K$1&gt;YEAR($N1336))),9,_xlfn.IFNA(INDEX($D$2:$D$4001,_xlfn.XMATCH(K$1&amp;"-"&amp;$F1336,YEAR($B$2:$B$4001)&amp;"-"&amp;$A$2:$A$4001,0,-1)),J1336))</f>
        <v>2</v>
      </c>
      <c r="L1336" cm="1">
        <f t="array" ref="L1336">IF(OR(AND(K1336=9,L$1&gt;YEAR($N1336))),9,_xlfn.IFNA(INDEX($D$2:$D$4001,_xlfn.XMATCH(L$1&amp;"-"&amp;$F1336,YEAR($B$2:$B$4001)&amp;"-"&amp;$A$2:$A$4001,0,-1)),K1336))</f>
        <v>3</v>
      </c>
      <c r="M1336" cm="1">
        <f t="array" ref="M1336">IF(OR(AND(L1336=9,M$1&gt;YEAR($N1336))),9,_xlfn.IFNA(INDEX($D$2:$D$4001,_xlfn.XMATCH(M$1&amp;"-"&amp;$F1336,YEAR($B$2:$B$4001)&amp;"-"&amp;$A$2:$A$4001,0,-1)),L1336))</f>
        <v>3</v>
      </c>
      <c r="N1336" s="1">
        <f t="shared" si="20"/>
        <v>37620</v>
      </c>
    </row>
    <row r="1337" spans="1:14" x14ac:dyDescent="0.35">
      <c r="A1337">
        <v>641</v>
      </c>
      <c r="B1337" s="2">
        <v>36860</v>
      </c>
      <c r="C1337">
        <v>5</v>
      </c>
      <c r="D1337">
        <v>5</v>
      </c>
      <c r="F1337">
        <v>1336</v>
      </c>
      <c r="G1337" cm="1">
        <f t="array" ref="G1337">_xlfn.IFNA(INDEX($D$2:$D$4001,_xlfn.XMATCH(G$1&amp;"-"&amp;$F1337,YEAR($B$2:$B$4001)&amp;"-"&amp;$A$2:$A$4001,0,-1)),9)</f>
        <v>9</v>
      </c>
      <c r="H1337" cm="1">
        <f t="array" ref="H1337">IF(OR(AND(G1337=9,H$1&gt;YEAR($N1337))),9,_xlfn.IFNA(INDEX($D$2:$D$4001,_xlfn.XMATCH(H$1&amp;"-"&amp;$F1337,YEAR($B$2:$B$4001)&amp;"-"&amp;$A$2:$A$4001,0,-1)),G1337))</f>
        <v>9</v>
      </c>
      <c r="I1337" cm="1">
        <f t="array" ref="I1337">IF(OR(AND(H1337=9,I$1&gt;YEAR($N1337))),9,_xlfn.IFNA(INDEX($D$2:$D$4001,_xlfn.XMATCH(I$1&amp;"-"&amp;$F1337,YEAR($B$2:$B$4001)&amp;"-"&amp;$A$2:$A$4001,0,-1)),H1337))</f>
        <v>9</v>
      </c>
      <c r="J1337" cm="1">
        <f t="array" ref="J1337">IF(OR(AND(I1337=9,J$1&gt;YEAR($N1337))),9,_xlfn.IFNA(INDEX($D$2:$D$4001,_xlfn.XMATCH(J$1&amp;"-"&amp;$F1337,YEAR($B$2:$B$4001)&amp;"-"&amp;$A$2:$A$4001,0,-1)),I1337))</f>
        <v>2</v>
      </c>
      <c r="K1337" cm="1">
        <f t="array" ref="K1337">IF(OR(AND(J1337=9,K$1&gt;YEAR($N1337))),9,_xlfn.IFNA(INDEX($D$2:$D$4001,_xlfn.XMATCH(K$1&amp;"-"&amp;$F1337,YEAR($B$2:$B$4001)&amp;"-"&amp;$A$2:$A$4001,0,-1)),J1337))</f>
        <v>2</v>
      </c>
      <c r="L1337" cm="1">
        <f t="array" ref="L1337">IF(OR(AND(K1337=9,L$1&gt;YEAR($N1337))),9,_xlfn.IFNA(INDEX($D$2:$D$4001,_xlfn.XMATCH(L$1&amp;"-"&amp;$F1337,YEAR($B$2:$B$4001)&amp;"-"&amp;$A$2:$A$4001,0,-1)),K1337))</f>
        <v>2</v>
      </c>
      <c r="M1337" cm="1">
        <f t="array" ref="M1337">IF(OR(AND(L1337=9,M$1&gt;YEAR($N1337))),9,_xlfn.IFNA(INDEX($D$2:$D$4001,_xlfn.XMATCH(M$1&amp;"-"&amp;$F1337,YEAR($B$2:$B$4001)&amp;"-"&amp;$A$2:$A$4001,0,-1)),L1337))</f>
        <v>2</v>
      </c>
      <c r="N1337" s="1">
        <f t="shared" si="20"/>
        <v>37492</v>
      </c>
    </row>
    <row r="1338" spans="1:14" x14ac:dyDescent="0.35">
      <c r="A1338">
        <v>641</v>
      </c>
      <c r="B1338" s="2">
        <v>36890</v>
      </c>
      <c r="C1338">
        <v>6</v>
      </c>
      <c r="D1338">
        <v>6</v>
      </c>
      <c r="F1338">
        <v>1337</v>
      </c>
      <c r="G1338" cm="1">
        <f t="array" ref="G1338">_xlfn.IFNA(INDEX($D$2:$D$4001,_xlfn.XMATCH(G$1&amp;"-"&amp;$F1338,YEAR($B$2:$B$4001)&amp;"-"&amp;$A$2:$A$4001,0,-1)),9)</f>
        <v>9</v>
      </c>
      <c r="H1338" cm="1">
        <f t="array" ref="H1338">IF(OR(AND(G1338=9,H$1&gt;YEAR($N1338))),9,_xlfn.IFNA(INDEX($D$2:$D$4001,_xlfn.XMATCH(H$1&amp;"-"&amp;$F1338,YEAR($B$2:$B$4001)&amp;"-"&amp;$A$2:$A$4001,0,-1)),G1338))</f>
        <v>9</v>
      </c>
      <c r="I1338" cm="1">
        <f t="array" ref="I1338">IF(OR(AND(H1338=9,I$1&gt;YEAR($N1338))),9,_xlfn.IFNA(INDEX($D$2:$D$4001,_xlfn.XMATCH(I$1&amp;"-"&amp;$F1338,YEAR($B$2:$B$4001)&amp;"-"&amp;$A$2:$A$4001,0,-1)),H1338))</f>
        <v>9</v>
      </c>
      <c r="J1338" cm="1">
        <f t="array" ref="J1338">IF(OR(AND(I1338=9,J$1&gt;YEAR($N1338))),9,_xlfn.IFNA(INDEX($D$2:$D$4001,_xlfn.XMATCH(J$1&amp;"-"&amp;$F1338,YEAR($B$2:$B$4001)&amp;"-"&amp;$A$2:$A$4001,0,-1)),I1338))</f>
        <v>9</v>
      </c>
      <c r="K1338" cm="1">
        <f t="array" ref="K1338">IF(OR(AND(J1338=9,K$1&gt;YEAR($N1338))),9,_xlfn.IFNA(INDEX($D$2:$D$4001,_xlfn.XMATCH(K$1&amp;"-"&amp;$F1338,YEAR($B$2:$B$4001)&amp;"-"&amp;$A$2:$A$4001,0,-1)),J1338))</f>
        <v>3</v>
      </c>
      <c r="L1338" cm="1">
        <f t="array" ref="L1338">IF(OR(AND(K1338=9,L$1&gt;YEAR($N1338))),9,_xlfn.IFNA(INDEX($D$2:$D$4001,_xlfn.XMATCH(L$1&amp;"-"&amp;$F1338,YEAR($B$2:$B$4001)&amp;"-"&amp;$A$2:$A$4001,0,-1)),K1338))</f>
        <v>3</v>
      </c>
      <c r="M1338" cm="1">
        <f t="array" ref="M1338">IF(OR(AND(L1338=9,M$1&gt;YEAR($N1338))),9,_xlfn.IFNA(INDEX($D$2:$D$4001,_xlfn.XMATCH(M$1&amp;"-"&amp;$F1338,YEAR($B$2:$B$4001)&amp;"-"&amp;$A$2:$A$4001,0,-1)),L1338))</f>
        <v>3</v>
      </c>
      <c r="N1338" s="1">
        <f t="shared" si="20"/>
        <v>37985</v>
      </c>
    </row>
    <row r="1339" spans="1:14" x14ac:dyDescent="0.35">
      <c r="A1339">
        <v>641</v>
      </c>
      <c r="B1339" s="2">
        <v>37406</v>
      </c>
      <c r="C1339">
        <v>7</v>
      </c>
      <c r="D1339">
        <v>7</v>
      </c>
      <c r="F1339">
        <v>1338</v>
      </c>
      <c r="G1339" cm="1">
        <f t="array" ref="G1339">_xlfn.IFNA(INDEX($D$2:$D$4001,_xlfn.XMATCH(G$1&amp;"-"&amp;$F1339,YEAR($B$2:$B$4001)&amp;"-"&amp;$A$2:$A$4001,0,-1)),9)</f>
        <v>9</v>
      </c>
      <c r="H1339" cm="1">
        <f t="array" ref="H1339">IF(OR(AND(G1339=9,H$1&gt;YEAR($N1339))),9,_xlfn.IFNA(INDEX($D$2:$D$4001,_xlfn.XMATCH(H$1&amp;"-"&amp;$F1339,YEAR($B$2:$B$4001)&amp;"-"&amp;$A$2:$A$4001,0,-1)),G1339))</f>
        <v>9</v>
      </c>
      <c r="I1339" cm="1">
        <f t="array" ref="I1339">IF(OR(AND(H1339=9,I$1&gt;YEAR($N1339))),9,_xlfn.IFNA(INDEX($D$2:$D$4001,_xlfn.XMATCH(I$1&amp;"-"&amp;$F1339,YEAR($B$2:$B$4001)&amp;"-"&amp;$A$2:$A$4001,0,-1)),H1339))</f>
        <v>9</v>
      </c>
      <c r="J1339" cm="1">
        <f t="array" ref="J1339">IF(OR(AND(I1339=9,J$1&gt;YEAR($N1339))),9,_xlfn.IFNA(INDEX($D$2:$D$4001,_xlfn.XMATCH(J$1&amp;"-"&amp;$F1339,YEAR($B$2:$B$4001)&amp;"-"&amp;$A$2:$A$4001,0,-1)),I1339))</f>
        <v>9</v>
      </c>
      <c r="K1339" cm="1">
        <f t="array" ref="K1339">IF(OR(AND(J1339=9,K$1&gt;YEAR($N1339))),9,_xlfn.IFNA(INDEX($D$2:$D$4001,_xlfn.XMATCH(K$1&amp;"-"&amp;$F1339,YEAR($B$2:$B$4001)&amp;"-"&amp;$A$2:$A$4001,0,-1)),J1339))</f>
        <v>9</v>
      </c>
      <c r="L1339" cm="1">
        <f t="array" ref="L1339">IF(OR(AND(K1339=9,L$1&gt;YEAR($N1339))),9,_xlfn.IFNA(INDEX($D$2:$D$4001,_xlfn.XMATCH(L$1&amp;"-"&amp;$F1339,YEAR($B$2:$B$4001)&amp;"-"&amp;$A$2:$A$4001,0,-1)),K1339))</f>
        <v>0</v>
      </c>
      <c r="M1339" cm="1">
        <f t="array" ref="M1339">IF(OR(AND(L1339=9,M$1&gt;YEAR($N1339))),9,_xlfn.IFNA(INDEX($D$2:$D$4001,_xlfn.XMATCH(M$1&amp;"-"&amp;$F1339,YEAR($B$2:$B$4001)&amp;"-"&amp;$A$2:$A$4001,0,-1)),L1339))</f>
        <v>0</v>
      </c>
      <c r="N1339" s="1">
        <f t="shared" si="20"/>
        <v>38321</v>
      </c>
    </row>
    <row r="1340" spans="1:14" x14ac:dyDescent="0.35">
      <c r="A1340">
        <v>641</v>
      </c>
      <c r="B1340" s="2">
        <v>37467</v>
      </c>
      <c r="C1340">
        <v>6</v>
      </c>
      <c r="D1340">
        <v>6</v>
      </c>
      <c r="F1340">
        <v>1339</v>
      </c>
      <c r="G1340" cm="1">
        <f t="array" ref="G1340">_xlfn.IFNA(INDEX($D$2:$D$4001,_xlfn.XMATCH(G$1&amp;"-"&amp;$F1340,YEAR($B$2:$B$4001)&amp;"-"&amp;$A$2:$A$4001,0,-1)),9)</f>
        <v>9</v>
      </c>
      <c r="H1340" cm="1">
        <f t="array" ref="H1340">IF(OR(AND(G1340=9,H$1&gt;YEAR($N1340))),9,_xlfn.IFNA(INDEX($D$2:$D$4001,_xlfn.XMATCH(H$1&amp;"-"&amp;$F1340,YEAR($B$2:$B$4001)&amp;"-"&amp;$A$2:$A$4001,0,-1)),G1340))</f>
        <v>4</v>
      </c>
      <c r="I1340" cm="1">
        <f t="array" ref="I1340">IF(OR(AND(H1340=9,I$1&gt;YEAR($N1340))),9,_xlfn.IFNA(INDEX($D$2:$D$4001,_xlfn.XMATCH(I$1&amp;"-"&amp;$F1340,YEAR($B$2:$B$4001)&amp;"-"&amp;$A$2:$A$4001,0,-1)),H1340))</f>
        <v>4</v>
      </c>
      <c r="J1340" cm="1">
        <f t="array" ref="J1340">IF(OR(AND(I1340=9,J$1&gt;YEAR($N1340))),9,_xlfn.IFNA(INDEX($D$2:$D$4001,_xlfn.XMATCH(J$1&amp;"-"&amp;$F1340,YEAR($B$2:$B$4001)&amp;"-"&amp;$A$2:$A$4001,0,-1)),I1340))</f>
        <v>4</v>
      </c>
      <c r="K1340" cm="1">
        <f t="array" ref="K1340">IF(OR(AND(J1340=9,K$1&gt;YEAR($N1340))),9,_xlfn.IFNA(INDEX($D$2:$D$4001,_xlfn.XMATCH(K$1&amp;"-"&amp;$F1340,YEAR($B$2:$B$4001)&amp;"-"&amp;$A$2:$A$4001,0,-1)),J1340))</f>
        <v>4</v>
      </c>
      <c r="L1340" cm="1">
        <f t="array" ref="L1340">IF(OR(AND(K1340=9,L$1&gt;YEAR($N1340))),9,_xlfn.IFNA(INDEX($D$2:$D$4001,_xlfn.XMATCH(L$1&amp;"-"&amp;$F1340,YEAR($B$2:$B$4001)&amp;"-"&amp;$A$2:$A$4001,0,-1)),K1340))</f>
        <v>4</v>
      </c>
      <c r="M1340" cm="1">
        <f t="array" ref="M1340">IF(OR(AND(L1340=9,M$1&gt;YEAR($N1340))),9,_xlfn.IFNA(INDEX($D$2:$D$4001,_xlfn.XMATCH(M$1&amp;"-"&amp;$F1340,YEAR($B$2:$B$4001)&amp;"-"&amp;$A$2:$A$4001,0,-1)),L1340))</f>
        <v>4</v>
      </c>
      <c r="N1340" s="1">
        <f t="shared" si="20"/>
        <v>36667</v>
      </c>
    </row>
    <row r="1341" spans="1:14" x14ac:dyDescent="0.35">
      <c r="A1341">
        <v>641</v>
      </c>
      <c r="B1341" s="2">
        <v>37590</v>
      </c>
      <c r="C1341">
        <v>7</v>
      </c>
      <c r="D1341">
        <v>7</v>
      </c>
      <c r="F1341">
        <v>1340</v>
      </c>
      <c r="G1341" cm="1">
        <f t="array" ref="G1341">_xlfn.IFNA(INDEX($D$2:$D$4001,_xlfn.XMATCH(G$1&amp;"-"&amp;$F1341,YEAR($B$2:$B$4001)&amp;"-"&amp;$A$2:$A$4001,0,-1)),9)</f>
        <v>9</v>
      </c>
      <c r="H1341" cm="1">
        <f t="array" ref="H1341">IF(OR(AND(G1341=9,H$1&gt;YEAR($N1341))),9,_xlfn.IFNA(INDEX($D$2:$D$4001,_xlfn.XMATCH(H$1&amp;"-"&amp;$F1341,YEAR($B$2:$B$4001)&amp;"-"&amp;$A$2:$A$4001,0,-1)),G1341))</f>
        <v>9</v>
      </c>
      <c r="I1341" cm="1">
        <f t="array" ref="I1341">IF(OR(AND(H1341=9,I$1&gt;YEAR($N1341))),9,_xlfn.IFNA(INDEX($D$2:$D$4001,_xlfn.XMATCH(I$1&amp;"-"&amp;$F1341,YEAR($B$2:$B$4001)&amp;"-"&amp;$A$2:$A$4001,0,-1)),H1341))</f>
        <v>9</v>
      </c>
      <c r="J1341" cm="1">
        <f t="array" ref="J1341">IF(OR(AND(I1341=9,J$1&gt;YEAR($N1341))),9,_xlfn.IFNA(INDEX($D$2:$D$4001,_xlfn.XMATCH(J$1&amp;"-"&amp;$F1341,YEAR($B$2:$B$4001)&amp;"-"&amp;$A$2:$A$4001,0,-1)),I1341))</f>
        <v>0</v>
      </c>
      <c r="K1341" cm="1">
        <f t="array" ref="K1341">IF(OR(AND(J1341=9,K$1&gt;YEAR($N1341))),9,_xlfn.IFNA(INDEX($D$2:$D$4001,_xlfn.XMATCH(K$1&amp;"-"&amp;$F1341,YEAR($B$2:$B$4001)&amp;"-"&amp;$A$2:$A$4001,0,-1)),J1341))</f>
        <v>0</v>
      </c>
      <c r="L1341" cm="1">
        <f t="array" ref="L1341">IF(OR(AND(K1341=9,L$1&gt;YEAR($N1341))),9,_xlfn.IFNA(INDEX($D$2:$D$4001,_xlfn.XMATCH(L$1&amp;"-"&amp;$F1341,YEAR($B$2:$B$4001)&amp;"-"&amp;$A$2:$A$4001,0,-1)),K1341))</f>
        <v>0</v>
      </c>
      <c r="M1341" cm="1">
        <f t="array" ref="M1341">IF(OR(AND(L1341=9,M$1&gt;YEAR($N1341))),9,_xlfn.IFNA(INDEX($D$2:$D$4001,_xlfn.XMATCH(M$1&amp;"-"&amp;$F1341,YEAR($B$2:$B$4001)&amp;"-"&amp;$A$2:$A$4001,0,-1)),L1341))</f>
        <v>0</v>
      </c>
      <c r="N1341" s="1">
        <f t="shared" si="20"/>
        <v>37620</v>
      </c>
    </row>
    <row r="1342" spans="1:14" x14ac:dyDescent="0.35">
      <c r="A1342">
        <v>641</v>
      </c>
      <c r="B1342" s="2">
        <v>37620</v>
      </c>
      <c r="C1342">
        <v>8</v>
      </c>
      <c r="D1342">
        <v>8</v>
      </c>
      <c r="F1342">
        <v>1341</v>
      </c>
      <c r="G1342" cm="1">
        <f t="array" ref="G1342">_xlfn.IFNA(INDEX($D$2:$D$4001,_xlfn.XMATCH(G$1&amp;"-"&amp;$F1342,YEAR($B$2:$B$4001)&amp;"-"&amp;$A$2:$A$4001,0,-1)),9)</f>
        <v>9</v>
      </c>
      <c r="H1342" cm="1">
        <f t="array" ref="H1342">IF(OR(AND(G1342=9,H$1&gt;YEAR($N1342))),9,_xlfn.IFNA(INDEX($D$2:$D$4001,_xlfn.XMATCH(H$1&amp;"-"&amp;$F1342,YEAR($B$2:$B$4001)&amp;"-"&amp;$A$2:$A$4001,0,-1)),G1342))</f>
        <v>9</v>
      </c>
      <c r="I1342" cm="1">
        <f t="array" ref="I1342">IF(OR(AND(H1342=9,I$1&gt;YEAR($N1342))),9,_xlfn.IFNA(INDEX($D$2:$D$4001,_xlfn.XMATCH(I$1&amp;"-"&amp;$F1342,YEAR($B$2:$B$4001)&amp;"-"&amp;$A$2:$A$4001,0,-1)),H1342))</f>
        <v>9</v>
      </c>
      <c r="J1342" cm="1">
        <f t="array" ref="J1342">IF(OR(AND(I1342=9,J$1&gt;YEAR($N1342))),9,_xlfn.IFNA(INDEX($D$2:$D$4001,_xlfn.XMATCH(J$1&amp;"-"&amp;$F1342,YEAR($B$2:$B$4001)&amp;"-"&amp;$A$2:$A$4001,0,-1)),I1342))</f>
        <v>4</v>
      </c>
      <c r="K1342" cm="1">
        <f t="array" ref="K1342">IF(OR(AND(J1342=9,K$1&gt;YEAR($N1342))),9,_xlfn.IFNA(INDEX($D$2:$D$4001,_xlfn.XMATCH(K$1&amp;"-"&amp;$F1342,YEAR($B$2:$B$4001)&amp;"-"&amp;$A$2:$A$4001,0,-1)),J1342))</f>
        <v>4</v>
      </c>
      <c r="L1342" cm="1">
        <f t="array" ref="L1342">IF(OR(AND(K1342=9,L$1&gt;YEAR($N1342))),9,_xlfn.IFNA(INDEX($D$2:$D$4001,_xlfn.XMATCH(L$1&amp;"-"&amp;$F1342,YEAR($B$2:$B$4001)&amp;"-"&amp;$A$2:$A$4001,0,-1)),K1342))</f>
        <v>4</v>
      </c>
      <c r="M1342" cm="1">
        <f t="array" ref="M1342">IF(OR(AND(L1342=9,M$1&gt;YEAR($N1342))),9,_xlfn.IFNA(INDEX($D$2:$D$4001,_xlfn.XMATCH(M$1&amp;"-"&amp;$F1342,YEAR($B$2:$B$4001)&amp;"-"&amp;$A$2:$A$4001,0,-1)),L1342))</f>
        <v>4</v>
      </c>
      <c r="N1342" s="1">
        <f t="shared" si="20"/>
        <v>37620</v>
      </c>
    </row>
    <row r="1343" spans="1:14" x14ac:dyDescent="0.35">
      <c r="A1343">
        <v>641</v>
      </c>
      <c r="B1343" s="2">
        <v>37854</v>
      </c>
      <c r="C1343">
        <v>0</v>
      </c>
      <c r="D1343">
        <v>8</v>
      </c>
      <c r="F1343">
        <v>1342</v>
      </c>
      <c r="G1343" cm="1">
        <f t="array" ref="G1343">_xlfn.IFNA(INDEX($D$2:$D$4001,_xlfn.XMATCH(G$1&amp;"-"&amp;$F1343,YEAR($B$2:$B$4001)&amp;"-"&amp;$A$2:$A$4001,0,-1)),9)</f>
        <v>9</v>
      </c>
      <c r="H1343" cm="1">
        <f t="array" ref="H1343">IF(OR(AND(G1343=9,H$1&gt;YEAR($N1343))),9,_xlfn.IFNA(INDEX($D$2:$D$4001,_xlfn.XMATCH(H$1&amp;"-"&amp;$F1343,YEAR($B$2:$B$4001)&amp;"-"&amp;$A$2:$A$4001,0,-1)),G1343))</f>
        <v>3</v>
      </c>
      <c r="I1343" cm="1">
        <f t="array" ref="I1343">IF(OR(AND(H1343=9,I$1&gt;YEAR($N1343))),9,_xlfn.IFNA(INDEX($D$2:$D$4001,_xlfn.XMATCH(I$1&amp;"-"&amp;$F1343,YEAR($B$2:$B$4001)&amp;"-"&amp;$A$2:$A$4001,0,-1)),H1343))</f>
        <v>3</v>
      </c>
      <c r="J1343" cm="1">
        <f t="array" ref="J1343">IF(OR(AND(I1343=9,J$1&gt;YEAR($N1343))),9,_xlfn.IFNA(INDEX($D$2:$D$4001,_xlfn.XMATCH(J$1&amp;"-"&amp;$F1343,YEAR($B$2:$B$4001)&amp;"-"&amp;$A$2:$A$4001,0,-1)),I1343))</f>
        <v>3</v>
      </c>
      <c r="K1343" cm="1">
        <f t="array" ref="K1343">IF(OR(AND(J1343=9,K$1&gt;YEAR($N1343))),9,_xlfn.IFNA(INDEX($D$2:$D$4001,_xlfn.XMATCH(K$1&amp;"-"&amp;$F1343,YEAR($B$2:$B$4001)&amp;"-"&amp;$A$2:$A$4001,0,-1)),J1343))</f>
        <v>3</v>
      </c>
      <c r="L1343" cm="1">
        <f t="array" ref="L1343">IF(OR(AND(K1343=9,L$1&gt;YEAR($N1343))),9,_xlfn.IFNA(INDEX($D$2:$D$4001,_xlfn.XMATCH(L$1&amp;"-"&amp;$F1343,YEAR($B$2:$B$4001)&amp;"-"&amp;$A$2:$A$4001,0,-1)),K1343))</f>
        <v>4</v>
      </c>
      <c r="M1343" cm="1">
        <f t="array" ref="M1343">IF(OR(AND(L1343=9,M$1&gt;YEAR($N1343))),9,_xlfn.IFNA(INDEX($D$2:$D$4001,_xlfn.XMATCH(M$1&amp;"-"&amp;$F1343,YEAR($B$2:$B$4001)&amp;"-"&amp;$A$2:$A$4001,0,-1)),L1343))</f>
        <v>4</v>
      </c>
      <c r="N1343" s="1">
        <f t="shared" si="20"/>
        <v>36676</v>
      </c>
    </row>
    <row r="1344" spans="1:14" x14ac:dyDescent="0.35">
      <c r="A1344">
        <v>642</v>
      </c>
      <c r="B1344" s="2">
        <v>38260</v>
      </c>
      <c r="C1344">
        <v>1</v>
      </c>
      <c r="D1344">
        <v>1</v>
      </c>
      <c r="F1344">
        <v>1343</v>
      </c>
      <c r="G1344" cm="1">
        <f t="array" ref="G1344">_xlfn.IFNA(INDEX($D$2:$D$4001,_xlfn.XMATCH(G$1&amp;"-"&amp;$F1344,YEAR($B$2:$B$4001)&amp;"-"&amp;$A$2:$A$4001,0,-1)),9)</f>
        <v>6</v>
      </c>
      <c r="H1344" cm="1">
        <f t="array" ref="H1344">IF(OR(AND(G1344=9,H$1&gt;YEAR($N1344))),9,_xlfn.IFNA(INDEX($D$2:$D$4001,_xlfn.XMATCH(H$1&amp;"-"&amp;$F1344,YEAR($B$2:$B$4001)&amp;"-"&amp;$A$2:$A$4001,0,-1)),G1344))</f>
        <v>6</v>
      </c>
      <c r="I1344" cm="1">
        <f t="array" ref="I1344">IF(OR(AND(H1344=9,I$1&gt;YEAR($N1344))),9,_xlfn.IFNA(INDEX($D$2:$D$4001,_xlfn.XMATCH(I$1&amp;"-"&amp;$F1344,YEAR($B$2:$B$4001)&amp;"-"&amp;$A$2:$A$4001,0,-1)),H1344))</f>
        <v>6</v>
      </c>
      <c r="J1344" cm="1">
        <f t="array" ref="J1344">IF(OR(AND(I1344=9,J$1&gt;YEAR($N1344))),9,_xlfn.IFNA(INDEX($D$2:$D$4001,_xlfn.XMATCH(J$1&amp;"-"&amp;$F1344,YEAR($B$2:$B$4001)&amp;"-"&amp;$A$2:$A$4001,0,-1)),I1344))</f>
        <v>6</v>
      </c>
      <c r="K1344" cm="1">
        <f t="array" ref="K1344">IF(OR(AND(J1344=9,K$1&gt;YEAR($N1344))),9,_xlfn.IFNA(INDEX($D$2:$D$4001,_xlfn.XMATCH(K$1&amp;"-"&amp;$F1344,YEAR($B$2:$B$4001)&amp;"-"&amp;$A$2:$A$4001,0,-1)),J1344))</f>
        <v>0</v>
      </c>
      <c r="L1344" cm="1">
        <f t="array" ref="L1344">IF(OR(AND(K1344=9,L$1&gt;YEAR($N1344))),9,_xlfn.IFNA(INDEX($D$2:$D$4001,_xlfn.XMATCH(L$1&amp;"-"&amp;$F1344,YEAR($B$2:$B$4001)&amp;"-"&amp;$A$2:$A$4001,0,-1)),K1344))</f>
        <v>0</v>
      </c>
      <c r="M1344" cm="1">
        <f t="array" ref="M1344">IF(OR(AND(L1344=9,M$1&gt;YEAR($N1344))),9,_xlfn.IFNA(INDEX($D$2:$D$4001,_xlfn.XMATCH(M$1&amp;"-"&amp;$F1344,YEAR($B$2:$B$4001)&amp;"-"&amp;$A$2:$A$4001,0,-1)),L1344))</f>
        <v>0</v>
      </c>
      <c r="N1344" s="1">
        <f t="shared" si="20"/>
        <v>36301</v>
      </c>
    </row>
    <row r="1345" spans="1:14" x14ac:dyDescent="0.35">
      <c r="A1345">
        <v>643</v>
      </c>
      <c r="B1345" s="2">
        <v>37093</v>
      </c>
      <c r="C1345">
        <v>3</v>
      </c>
      <c r="D1345">
        <v>3</v>
      </c>
      <c r="F1345">
        <v>1344</v>
      </c>
      <c r="G1345" cm="1">
        <f t="array" ref="G1345">_xlfn.IFNA(INDEX($D$2:$D$4001,_xlfn.XMATCH(G$1&amp;"-"&amp;$F1345,YEAR($B$2:$B$4001)&amp;"-"&amp;$A$2:$A$4001,0,-1)),9)</f>
        <v>6</v>
      </c>
      <c r="H1345" cm="1">
        <f t="array" ref="H1345">IF(OR(AND(G1345=9,H$1&gt;YEAR($N1345))),9,_xlfn.IFNA(INDEX($D$2:$D$4001,_xlfn.XMATCH(H$1&amp;"-"&amp;$F1345,YEAR($B$2:$B$4001)&amp;"-"&amp;$A$2:$A$4001,0,-1)),G1345))</f>
        <v>6</v>
      </c>
      <c r="I1345" cm="1">
        <f t="array" ref="I1345">IF(OR(AND(H1345=9,I$1&gt;YEAR($N1345))),9,_xlfn.IFNA(INDEX($D$2:$D$4001,_xlfn.XMATCH(I$1&amp;"-"&amp;$F1345,YEAR($B$2:$B$4001)&amp;"-"&amp;$A$2:$A$4001,0,-1)),H1345))</f>
        <v>6</v>
      </c>
      <c r="J1345" cm="1">
        <f t="array" ref="J1345">IF(OR(AND(I1345=9,J$1&gt;YEAR($N1345))),9,_xlfn.IFNA(INDEX($D$2:$D$4001,_xlfn.XMATCH(J$1&amp;"-"&amp;$F1345,YEAR($B$2:$B$4001)&amp;"-"&amp;$A$2:$A$4001,0,-1)),I1345))</f>
        <v>6</v>
      </c>
      <c r="K1345" cm="1">
        <f t="array" ref="K1345">IF(OR(AND(J1345=9,K$1&gt;YEAR($N1345))),9,_xlfn.IFNA(INDEX($D$2:$D$4001,_xlfn.XMATCH(K$1&amp;"-"&amp;$F1345,YEAR($B$2:$B$4001)&amp;"-"&amp;$A$2:$A$4001,0,-1)),J1345))</f>
        <v>7</v>
      </c>
      <c r="L1345" cm="1">
        <f t="array" ref="L1345">IF(OR(AND(K1345=9,L$1&gt;YEAR($N1345))),9,_xlfn.IFNA(INDEX($D$2:$D$4001,_xlfn.XMATCH(L$1&amp;"-"&amp;$F1345,YEAR($B$2:$B$4001)&amp;"-"&amp;$A$2:$A$4001,0,-1)),K1345))</f>
        <v>7</v>
      </c>
      <c r="M1345" cm="1">
        <f t="array" ref="M1345">IF(OR(AND(L1345=9,M$1&gt;YEAR($N1345))),9,_xlfn.IFNA(INDEX($D$2:$D$4001,_xlfn.XMATCH(M$1&amp;"-"&amp;$F1345,YEAR($B$2:$B$4001)&amp;"-"&amp;$A$2:$A$4001,0,-1)),L1345))</f>
        <v>8</v>
      </c>
      <c r="N1345" s="1">
        <f t="shared" si="20"/>
        <v>36524</v>
      </c>
    </row>
    <row r="1346" spans="1:14" x14ac:dyDescent="0.35">
      <c r="A1346">
        <v>644</v>
      </c>
      <c r="B1346" s="2">
        <v>36524</v>
      </c>
      <c r="C1346">
        <v>4</v>
      </c>
      <c r="D1346">
        <v>4</v>
      </c>
      <c r="F1346">
        <v>1345</v>
      </c>
      <c r="G1346" cm="1">
        <f t="array" ref="G1346">_xlfn.IFNA(INDEX($D$2:$D$4001,_xlfn.XMATCH(G$1&amp;"-"&amp;$F1346,YEAR($B$2:$B$4001)&amp;"-"&amp;$A$2:$A$4001,0,-1)),9)</f>
        <v>9</v>
      </c>
      <c r="H1346" cm="1">
        <f t="array" ref="H1346">IF(OR(AND(G1346=9,H$1&gt;YEAR($N1346))),9,_xlfn.IFNA(INDEX($D$2:$D$4001,_xlfn.XMATCH(H$1&amp;"-"&amp;$F1346,YEAR($B$2:$B$4001)&amp;"-"&amp;$A$2:$A$4001,0,-1)),G1346))</f>
        <v>9</v>
      </c>
      <c r="I1346" cm="1">
        <f t="array" ref="I1346">IF(OR(AND(H1346=9,I$1&gt;YEAR($N1346))),9,_xlfn.IFNA(INDEX($D$2:$D$4001,_xlfn.XMATCH(I$1&amp;"-"&amp;$F1346,YEAR($B$2:$B$4001)&amp;"-"&amp;$A$2:$A$4001,0,-1)),H1346))</f>
        <v>9</v>
      </c>
      <c r="J1346" cm="1">
        <f t="array" ref="J1346">IF(OR(AND(I1346=9,J$1&gt;YEAR($N1346))),9,_xlfn.IFNA(INDEX($D$2:$D$4001,_xlfn.XMATCH(J$1&amp;"-"&amp;$F1346,YEAR($B$2:$B$4001)&amp;"-"&amp;$A$2:$A$4001,0,-1)),I1346))</f>
        <v>9</v>
      </c>
      <c r="K1346" cm="1">
        <f t="array" ref="K1346">IF(OR(AND(J1346=9,K$1&gt;YEAR($N1346))),9,_xlfn.IFNA(INDEX($D$2:$D$4001,_xlfn.XMATCH(K$1&amp;"-"&amp;$F1346,YEAR($B$2:$B$4001)&amp;"-"&amp;$A$2:$A$4001,0,-1)),J1346))</f>
        <v>0</v>
      </c>
      <c r="L1346" cm="1">
        <f t="array" ref="L1346">IF(OR(AND(K1346=9,L$1&gt;YEAR($N1346))),9,_xlfn.IFNA(INDEX($D$2:$D$4001,_xlfn.XMATCH(L$1&amp;"-"&amp;$F1346,YEAR($B$2:$B$4001)&amp;"-"&amp;$A$2:$A$4001,0,-1)),K1346))</f>
        <v>0</v>
      </c>
      <c r="M1346" cm="1">
        <f t="array" ref="M1346">IF(OR(AND(L1346=9,M$1&gt;YEAR($N1346))),9,_xlfn.IFNA(INDEX($D$2:$D$4001,_xlfn.XMATCH(M$1&amp;"-"&amp;$F1346,YEAR($B$2:$B$4001)&amp;"-"&amp;$A$2:$A$4001,0,-1)),L1346))</f>
        <v>0</v>
      </c>
      <c r="N1346" s="1">
        <f t="shared" si="20"/>
        <v>37863</v>
      </c>
    </row>
    <row r="1347" spans="1:14" x14ac:dyDescent="0.35">
      <c r="A1347">
        <v>645</v>
      </c>
      <c r="B1347" s="2">
        <v>36310</v>
      </c>
      <c r="C1347">
        <v>6</v>
      </c>
      <c r="D1347">
        <v>6</v>
      </c>
      <c r="F1347">
        <v>1346</v>
      </c>
      <c r="G1347" cm="1">
        <f t="array" ref="G1347">_xlfn.IFNA(INDEX($D$2:$D$4001,_xlfn.XMATCH(G$1&amp;"-"&amp;$F1347,YEAR($B$2:$B$4001)&amp;"-"&amp;$A$2:$A$4001,0,-1)),9)</f>
        <v>4</v>
      </c>
      <c r="H1347" cm="1">
        <f t="array" ref="H1347">IF(OR(AND(G1347=9,H$1&gt;YEAR($N1347))),9,_xlfn.IFNA(INDEX($D$2:$D$4001,_xlfn.XMATCH(H$1&amp;"-"&amp;$F1347,YEAR($B$2:$B$4001)&amp;"-"&amp;$A$2:$A$4001,0,-1)),G1347))</f>
        <v>4</v>
      </c>
      <c r="I1347" cm="1">
        <f t="array" ref="I1347">IF(OR(AND(H1347=9,I$1&gt;YEAR($N1347))),9,_xlfn.IFNA(INDEX($D$2:$D$4001,_xlfn.XMATCH(I$1&amp;"-"&amp;$F1347,YEAR($B$2:$B$4001)&amp;"-"&amp;$A$2:$A$4001,0,-1)),H1347))</f>
        <v>4</v>
      </c>
      <c r="J1347" cm="1">
        <f t="array" ref="J1347">IF(OR(AND(I1347=9,J$1&gt;YEAR($N1347))),9,_xlfn.IFNA(INDEX($D$2:$D$4001,_xlfn.XMATCH(J$1&amp;"-"&amp;$F1347,YEAR($B$2:$B$4001)&amp;"-"&amp;$A$2:$A$4001,0,-1)),I1347))</f>
        <v>4</v>
      </c>
      <c r="K1347" cm="1">
        <f t="array" ref="K1347">IF(OR(AND(J1347=9,K$1&gt;YEAR($N1347))),9,_xlfn.IFNA(INDEX($D$2:$D$4001,_xlfn.XMATCH(K$1&amp;"-"&amp;$F1347,YEAR($B$2:$B$4001)&amp;"-"&amp;$A$2:$A$4001,0,-1)),J1347))</f>
        <v>4</v>
      </c>
      <c r="L1347" cm="1">
        <f t="array" ref="L1347">IF(OR(AND(K1347=9,L$1&gt;YEAR($N1347))),9,_xlfn.IFNA(INDEX($D$2:$D$4001,_xlfn.XMATCH(L$1&amp;"-"&amp;$F1347,YEAR($B$2:$B$4001)&amp;"-"&amp;$A$2:$A$4001,0,-1)),K1347))</f>
        <v>4</v>
      </c>
      <c r="M1347" cm="1">
        <f t="array" ref="M1347">IF(OR(AND(L1347=9,M$1&gt;YEAR($N1347))),9,_xlfn.IFNA(INDEX($D$2:$D$4001,_xlfn.XMATCH(M$1&amp;"-"&amp;$F1347,YEAR($B$2:$B$4001)&amp;"-"&amp;$A$2:$A$4001,0,-1)),L1347))</f>
        <v>4</v>
      </c>
      <c r="N1347" s="1">
        <f t="shared" ref="N1347:N1410" si="21">_xlfn.MINIFS($B$2:$B$4001,$A$2:$A$4001,F1347)</f>
        <v>36524</v>
      </c>
    </row>
    <row r="1348" spans="1:14" x14ac:dyDescent="0.35">
      <c r="A1348">
        <v>645</v>
      </c>
      <c r="B1348" s="2">
        <v>37032</v>
      </c>
      <c r="C1348">
        <v>7</v>
      </c>
      <c r="D1348">
        <v>7</v>
      </c>
      <c r="F1348">
        <v>1347</v>
      </c>
      <c r="G1348" cm="1">
        <f t="array" ref="G1348">_xlfn.IFNA(INDEX($D$2:$D$4001,_xlfn.XMATCH(G$1&amp;"-"&amp;$F1348,YEAR($B$2:$B$4001)&amp;"-"&amp;$A$2:$A$4001,0,-1)),9)</f>
        <v>6</v>
      </c>
      <c r="H1348" cm="1">
        <f t="array" ref="H1348">IF(OR(AND(G1348=9,H$1&gt;YEAR($N1348))),9,_xlfn.IFNA(INDEX($D$2:$D$4001,_xlfn.XMATCH(H$1&amp;"-"&amp;$F1348,YEAR($B$2:$B$4001)&amp;"-"&amp;$A$2:$A$4001,0,-1)),G1348))</f>
        <v>6</v>
      </c>
      <c r="I1348" cm="1">
        <f t="array" ref="I1348">IF(OR(AND(H1348=9,I$1&gt;YEAR($N1348))),9,_xlfn.IFNA(INDEX($D$2:$D$4001,_xlfn.XMATCH(I$1&amp;"-"&amp;$F1348,YEAR($B$2:$B$4001)&amp;"-"&amp;$A$2:$A$4001,0,-1)),H1348))</f>
        <v>6</v>
      </c>
      <c r="J1348" cm="1">
        <f t="array" ref="J1348">IF(OR(AND(I1348=9,J$1&gt;YEAR($N1348))),9,_xlfn.IFNA(INDEX($D$2:$D$4001,_xlfn.XMATCH(J$1&amp;"-"&amp;$F1348,YEAR($B$2:$B$4001)&amp;"-"&amp;$A$2:$A$4001,0,-1)),I1348))</f>
        <v>6</v>
      </c>
      <c r="K1348" cm="1">
        <f t="array" ref="K1348">IF(OR(AND(J1348=9,K$1&gt;YEAR($N1348))),9,_xlfn.IFNA(INDEX($D$2:$D$4001,_xlfn.XMATCH(K$1&amp;"-"&amp;$F1348,YEAR($B$2:$B$4001)&amp;"-"&amp;$A$2:$A$4001,0,-1)),J1348))</f>
        <v>0</v>
      </c>
      <c r="L1348" cm="1">
        <f t="array" ref="L1348">IF(OR(AND(K1348=9,L$1&gt;YEAR($N1348))),9,_xlfn.IFNA(INDEX($D$2:$D$4001,_xlfn.XMATCH(L$1&amp;"-"&amp;$F1348,YEAR($B$2:$B$4001)&amp;"-"&amp;$A$2:$A$4001,0,-1)),K1348))</f>
        <v>0</v>
      </c>
      <c r="M1348" cm="1">
        <f t="array" ref="M1348">IF(OR(AND(L1348=9,M$1&gt;YEAR($N1348))),9,_xlfn.IFNA(INDEX($D$2:$D$4001,_xlfn.XMATCH(M$1&amp;"-"&amp;$F1348,YEAR($B$2:$B$4001)&amp;"-"&amp;$A$2:$A$4001,0,-1)),L1348))</f>
        <v>0</v>
      </c>
      <c r="N1348" s="1">
        <f t="shared" si="21"/>
        <v>36301</v>
      </c>
    </row>
    <row r="1349" spans="1:14" x14ac:dyDescent="0.35">
      <c r="A1349">
        <v>645</v>
      </c>
      <c r="B1349" s="2">
        <v>37255</v>
      </c>
      <c r="C1349">
        <v>7</v>
      </c>
      <c r="D1349">
        <v>7</v>
      </c>
      <c r="F1349">
        <v>1348</v>
      </c>
      <c r="G1349" cm="1">
        <f t="array" ref="G1349">_xlfn.IFNA(INDEX($D$2:$D$4001,_xlfn.XMATCH(G$1&amp;"-"&amp;$F1349,YEAR($B$2:$B$4001)&amp;"-"&amp;$A$2:$A$4001,0,-1)),9)</f>
        <v>9</v>
      </c>
      <c r="H1349" cm="1">
        <f t="array" ref="H1349">IF(OR(AND(G1349=9,H$1&gt;YEAR($N1349))),9,_xlfn.IFNA(INDEX($D$2:$D$4001,_xlfn.XMATCH(H$1&amp;"-"&amp;$F1349,YEAR($B$2:$B$4001)&amp;"-"&amp;$A$2:$A$4001,0,-1)),G1349))</f>
        <v>2</v>
      </c>
      <c r="I1349" cm="1">
        <f t="array" ref="I1349">IF(OR(AND(H1349=9,I$1&gt;YEAR($N1349))),9,_xlfn.IFNA(INDEX($D$2:$D$4001,_xlfn.XMATCH(I$1&amp;"-"&amp;$F1349,YEAR($B$2:$B$4001)&amp;"-"&amp;$A$2:$A$4001,0,-1)),H1349))</f>
        <v>2</v>
      </c>
      <c r="J1349" cm="1">
        <f t="array" ref="J1349">IF(OR(AND(I1349=9,J$1&gt;YEAR($N1349))),9,_xlfn.IFNA(INDEX($D$2:$D$4001,_xlfn.XMATCH(J$1&amp;"-"&amp;$F1349,YEAR($B$2:$B$4001)&amp;"-"&amp;$A$2:$A$4001,0,-1)),I1349))</f>
        <v>2</v>
      </c>
      <c r="K1349" cm="1">
        <f t="array" ref="K1349">IF(OR(AND(J1349=9,K$1&gt;YEAR($N1349))),9,_xlfn.IFNA(INDEX($D$2:$D$4001,_xlfn.XMATCH(K$1&amp;"-"&amp;$F1349,YEAR($B$2:$B$4001)&amp;"-"&amp;$A$2:$A$4001,0,-1)),J1349))</f>
        <v>2</v>
      </c>
      <c r="L1349" cm="1">
        <f t="array" ref="L1349">IF(OR(AND(K1349=9,L$1&gt;YEAR($N1349))),9,_xlfn.IFNA(INDEX($D$2:$D$4001,_xlfn.XMATCH(L$1&amp;"-"&amp;$F1349,YEAR($B$2:$B$4001)&amp;"-"&amp;$A$2:$A$4001,0,-1)),K1349))</f>
        <v>2</v>
      </c>
      <c r="M1349" cm="1">
        <f t="array" ref="M1349">IF(OR(AND(L1349=9,M$1&gt;YEAR($N1349))),9,_xlfn.IFNA(INDEX($D$2:$D$4001,_xlfn.XMATCH(M$1&amp;"-"&amp;$F1349,YEAR($B$2:$B$4001)&amp;"-"&amp;$A$2:$A$4001,0,-1)),L1349))</f>
        <v>2</v>
      </c>
      <c r="N1349" s="1">
        <f t="shared" si="21"/>
        <v>36851</v>
      </c>
    </row>
    <row r="1350" spans="1:14" x14ac:dyDescent="0.35">
      <c r="A1350">
        <v>645</v>
      </c>
      <c r="B1350" s="2">
        <v>37255</v>
      </c>
      <c r="C1350">
        <v>0</v>
      </c>
      <c r="D1350">
        <v>0</v>
      </c>
      <c r="F1350">
        <v>1349</v>
      </c>
      <c r="G1350" cm="1">
        <f t="array" ref="G1350">_xlfn.IFNA(INDEX($D$2:$D$4001,_xlfn.XMATCH(G$1&amp;"-"&amp;$F1350,YEAR($B$2:$B$4001)&amp;"-"&amp;$A$2:$A$4001,0,-1)),9)</f>
        <v>5</v>
      </c>
      <c r="H1350" cm="1">
        <f t="array" ref="H1350">IF(OR(AND(G1350=9,H$1&gt;YEAR($N1350))),9,_xlfn.IFNA(INDEX($D$2:$D$4001,_xlfn.XMATCH(H$1&amp;"-"&amp;$F1350,YEAR($B$2:$B$4001)&amp;"-"&amp;$A$2:$A$4001,0,-1)),G1350))</f>
        <v>5</v>
      </c>
      <c r="I1350" cm="1">
        <f t="array" ref="I1350">IF(OR(AND(H1350=9,I$1&gt;YEAR($N1350))),9,_xlfn.IFNA(INDEX($D$2:$D$4001,_xlfn.XMATCH(I$1&amp;"-"&amp;$F1350,YEAR($B$2:$B$4001)&amp;"-"&amp;$A$2:$A$4001,0,-1)),H1350))</f>
        <v>5</v>
      </c>
      <c r="J1350" cm="1">
        <f t="array" ref="J1350">IF(OR(AND(I1350=9,J$1&gt;YEAR($N1350))),9,_xlfn.IFNA(INDEX($D$2:$D$4001,_xlfn.XMATCH(J$1&amp;"-"&amp;$F1350,YEAR($B$2:$B$4001)&amp;"-"&amp;$A$2:$A$4001,0,-1)),I1350))</f>
        <v>6</v>
      </c>
      <c r="K1350" cm="1">
        <f t="array" ref="K1350">IF(OR(AND(J1350=9,K$1&gt;YEAR($N1350))),9,_xlfn.IFNA(INDEX($D$2:$D$4001,_xlfn.XMATCH(K$1&amp;"-"&amp;$F1350,YEAR($B$2:$B$4001)&amp;"-"&amp;$A$2:$A$4001,0,-1)),J1350))</f>
        <v>6</v>
      </c>
      <c r="L1350" cm="1">
        <f t="array" ref="L1350">IF(OR(AND(K1350=9,L$1&gt;YEAR($N1350))),9,_xlfn.IFNA(INDEX($D$2:$D$4001,_xlfn.XMATCH(L$1&amp;"-"&amp;$F1350,YEAR($B$2:$B$4001)&amp;"-"&amp;$A$2:$A$4001,0,-1)),K1350))</f>
        <v>6</v>
      </c>
      <c r="M1350" cm="1">
        <f t="array" ref="M1350">IF(OR(AND(L1350=9,M$1&gt;YEAR($N1350))),9,_xlfn.IFNA(INDEX($D$2:$D$4001,_xlfn.XMATCH(M$1&amp;"-"&amp;$F1350,YEAR($B$2:$B$4001)&amp;"-"&amp;$A$2:$A$4001,0,-1)),L1350))</f>
        <v>5</v>
      </c>
      <c r="N1350" s="1">
        <f t="shared" si="21"/>
        <v>36310</v>
      </c>
    </row>
    <row r="1351" spans="1:14" x14ac:dyDescent="0.35">
      <c r="A1351">
        <v>646</v>
      </c>
      <c r="B1351" s="2">
        <v>36310</v>
      </c>
      <c r="C1351">
        <v>3</v>
      </c>
      <c r="D1351">
        <v>3</v>
      </c>
      <c r="F1351">
        <v>1350</v>
      </c>
      <c r="G1351" cm="1">
        <f t="array" ref="G1351">_xlfn.IFNA(INDEX($D$2:$D$4001,_xlfn.XMATCH(G$1&amp;"-"&amp;$F1351,YEAR($B$2:$B$4001)&amp;"-"&amp;$A$2:$A$4001,0,-1)),9)</f>
        <v>4</v>
      </c>
      <c r="H1351" cm="1">
        <f t="array" ref="H1351">IF(OR(AND(G1351=9,H$1&gt;YEAR($N1351))),9,_xlfn.IFNA(INDEX($D$2:$D$4001,_xlfn.XMATCH(H$1&amp;"-"&amp;$F1351,YEAR($B$2:$B$4001)&amp;"-"&amp;$A$2:$A$4001,0,-1)),G1351))</f>
        <v>4</v>
      </c>
      <c r="I1351" cm="1">
        <f t="array" ref="I1351">IF(OR(AND(H1351=9,I$1&gt;YEAR($N1351))),9,_xlfn.IFNA(INDEX($D$2:$D$4001,_xlfn.XMATCH(I$1&amp;"-"&amp;$F1351,YEAR($B$2:$B$4001)&amp;"-"&amp;$A$2:$A$4001,0,-1)),H1351))</f>
        <v>4</v>
      </c>
      <c r="J1351" cm="1">
        <f t="array" ref="J1351">IF(OR(AND(I1351=9,J$1&gt;YEAR($N1351))),9,_xlfn.IFNA(INDEX($D$2:$D$4001,_xlfn.XMATCH(J$1&amp;"-"&amp;$F1351,YEAR($B$2:$B$4001)&amp;"-"&amp;$A$2:$A$4001,0,-1)),I1351))</f>
        <v>5</v>
      </c>
      <c r="K1351" cm="1">
        <f t="array" ref="K1351">IF(OR(AND(J1351=9,K$1&gt;YEAR($N1351))),9,_xlfn.IFNA(INDEX($D$2:$D$4001,_xlfn.XMATCH(K$1&amp;"-"&amp;$F1351,YEAR($B$2:$B$4001)&amp;"-"&amp;$A$2:$A$4001,0,-1)),J1351))</f>
        <v>5</v>
      </c>
      <c r="L1351" cm="1">
        <f t="array" ref="L1351">IF(OR(AND(K1351=9,L$1&gt;YEAR($N1351))),9,_xlfn.IFNA(INDEX($D$2:$D$4001,_xlfn.XMATCH(L$1&amp;"-"&amp;$F1351,YEAR($B$2:$B$4001)&amp;"-"&amp;$A$2:$A$4001,0,-1)),K1351))</f>
        <v>4</v>
      </c>
      <c r="M1351" cm="1">
        <f t="array" ref="M1351">IF(OR(AND(L1351=9,M$1&gt;YEAR($N1351))),9,_xlfn.IFNA(INDEX($D$2:$D$4001,_xlfn.XMATCH(M$1&amp;"-"&amp;$F1351,YEAR($B$2:$B$4001)&amp;"-"&amp;$A$2:$A$4001,0,-1)),L1351))</f>
        <v>0</v>
      </c>
      <c r="N1351" s="1">
        <f t="shared" si="21"/>
        <v>36433</v>
      </c>
    </row>
    <row r="1352" spans="1:14" x14ac:dyDescent="0.35">
      <c r="A1352">
        <v>646</v>
      </c>
      <c r="B1352" s="2">
        <v>38351</v>
      </c>
      <c r="C1352">
        <v>3</v>
      </c>
      <c r="D1352">
        <v>3</v>
      </c>
      <c r="F1352">
        <v>1351</v>
      </c>
      <c r="G1352" cm="1">
        <f t="array" ref="G1352">_xlfn.IFNA(INDEX($D$2:$D$4001,_xlfn.XMATCH(G$1&amp;"-"&amp;$F1352,YEAR($B$2:$B$4001)&amp;"-"&amp;$A$2:$A$4001,0,-1)),9)</f>
        <v>5</v>
      </c>
      <c r="H1352" cm="1">
        <f t="array" ref="H1352">IF(OR(AND(G1352=9,H$1&gt;YEAR($N1352))),9,_xlfn.IFNA(INDEX($D$2:$D$4001,_xlfn.XMATCH(H$1&amp;"-"&amp;$F1352,YEAR($B$2:$B$4001)&amp;"-"&amp;$A$2:$A$4001,0,-1)),G1352))</f>
        <v>5</v>
      </c>
      <c r="I1352" cm="1">
        <f t="array" ref="I1352">IF(OR(AND(H1352=9,I$1&gt;YEAR($N1352))),9,_xlfn.IFNA(INDEX($D$2:$D$4001,_xlfn.XMATCH(I$1&amp;"-"&amp;$F1352,YEAR($B$2:$B$4001)&amp;"-"&amp;$A$2:$A$4001,0,-1)),H1352))</f>
        <v>4</v>
      </c>
      <c r="J1352" cm="1">
        <f t="array" ref="J1352">IF(OR(AND(I1352=9,J$1&gt;YEAR($N1352))),9,_xlfn.IFNA(INDEX($D$2:$D$4001,_xlfn.XMATCH(J$1&amp;"-"&amp;$F1352,YEAR($B$2:$B$4001)&amp;"-"&amp;$A$2:$A$4001,0,-1)),I1352))</f>
        <v>4</v>
      </c>
      <c r="K1352" cm="1">
        <f t="array" ref="K1352">IF(OR(AND(J1352=9,K$1&gt;YEAR($N1352))),9,_xlfn.IFNA(INDEX($D$2:$D$4001,_xlfn.XMATCH(K$1&amp;"-"&amp;$F1352,YEAR($B$2:$B$4001)&amp;"-"&amp;$A$2:$A$4001,0,-1)),J1352))</f>
        <v>4</v>
      </c>
      <c r="L1352" cm="1">
        <f t="array" ref="L1352">IF(OR(AND(K1352=9,L$1&gt;YEAR($N1352))),9,_xlfn.IFNA(INDEX($D$2:$D$4001,_xlfn.XMATCH(L$1&amp;"-"&amp;$F1352,YEAR($B$2:$B$4001)&amp;"-"&amp;$A$2:$A$4001,0,-1)),K1352))</f>
        <v>4</v>
      </c>
      <c r="M1352" cm="1">
        <f t="array" ref="M1352">IF(OR(AND(L1352=9,M$1&gt;YEAR($N1352))),9,_xlfn.IFNA(INDEX($D$2:$D$4001,_xlfn.XMATCH(M$1&amp;"-"&amp;$F1352,YEAR($B$2:$B$4001)&amp;"-"&amp;$A$2:$A$4001,0,-1)),L1352))</f>
        <v>4</v>
      </c>
      <c r="N1352" s="1">
        <f t="shared" si="21"/>
        <v>36301</v>
      </c>
    </row>
    <row r="1353" spans="1:14" x14ac:dyDescent="0.35">
      <c r="A1353">
        <v>647</v>
      </c>
      <c r="B1353" s="2">
        <v>36860</v>
      </c>
      <c r="C1353">
        <v>4</v>
      </c>
      <c r="D1353">
        <v>4</v>
      </c>
      <c r="F1353">
        <v>1352</v>
      </c>
      <c r="G1353" cm="1">
        <f t="array" ref="G1353">_xlfn.IFNA(INDEX($D$2:$D$4001,_xlfn.XMATCH(G$1&amp;"-"&amp;$F1353,YEAR($B$2:$B$4001)&amp;"-"&amp;$A$2:$A$4001,0,-1)),9)</f>
        <v>5</v>
      </c>
      <c r="H1353" cm="1">
        <f t="array" ref="H1353">IF(OR(AND(G1353=9,H$1&gt;YEAR($N1353))),9,_xlfn.IFNA(INDEX($D$2:$D$4001,_xlfn.XMATCH(H$1&amp;"-"&amp;$F1353,YEAR($B$2:$B$4001)&amp;"-"&amp;$A$2:$A$4001,0,-1)),G1353))</f>
        <v>5</v>
      </c>
      <c r="I1353" cm="1">
        <f t="array" ref="I1353">IF(OR(AND(H1353=9,I$1&gt;YEAR($N1353))),9,_xlfn.IFNA(INDEX($D$2:$D$4001,_xlfn.XMATCH(I$1&amp;"-"&amp;$F1353,YEAR($B$2:$B$4001)&amp;"-"&amp;$A$2:$A$4001,0,-1)),H1353))</f>
        <v>4</v>
      </c>
      <c r="J1353" cm="1">
        <f t="array" ref="J1353">IF(OR(AND(I1353=9,J$1&gt;YEAR($N1353))),9,_xlfn.IFNA(INDEX($D$2:$D$4001,_xlfn.XMATCH(J$1&amp;"-"&amp;$F1353,YEAR($B$2:$B$4001)&amp;"-"&amp;$A$2:$A$4001,0,-1)),I1353))</f>
        <v>4</v>
      </c>
      <c r="K1353" cm="1">
        <f t="array" ref="K1353">IF(OR(AND(J1353=9,K$1&gt;YEAR($N1353))),9,_xlfn.IFNA(INDEX($D$2:$D$4001,_xlfn.XMATCH(K$1&amp;"-"&amp;$F1353,YEAR($B$2:$B$4001)&amp;"-"&amp;$A$2:$A$4001,0,-1)),J1353))</f>
        <v>4</v>
      </c>
      <c r="L1353" cm="1">
        <f t="array" ref="L1353">IF(OR(AND(K1353=9,L$1&gt;YEAR($N1353))),9,_xlfn.IFNA(INDEX($D$2:$D$4001,_xlfn.XMATCH(L$1&amp;"-"&amp;$F1353,YEAR($B$2:$B$4001)&amp;"-"&amp;$A$2:$A$4001,0,-1)),K1353))</f>
        <v>4</v>
      </c>
      <c r="M1353" cm="1">
        <f t="array" ref="M1353">IF(OR(AND(L1353=9,M$1&gt;YEAR($N1353))),9,_xlfn.IFNA(INDEX($D$2:$D$4001,_xlfn.XMATCH(M$1&amp;"-"&amp;$F1353,YEAR($B$2:$B$4001)&amp;"-"&amp;$A$2:$A$4001,0,-1)),L1353))</f>
        <v>4</v>
      </c>
      <c r="N1353" s="1">
        <f t="shared" si="21"/>
        <v>36494</v>
      </c>
    </row>
    <row r="1354" spans="1:14" x14ac:dyDescent="0.35">
      <c r="A1354">
        <v>647</v>
      </c>
      <c r="B1354" s="2">
        <v>37529</v>
      </c>
      <c r="C1354">
        <v>4</v>
      </c>
      <c r="D1354">
        <v>4</v>
      </c>
      <c r="F1354">
        <v>1353</v>
      </c>
      <c r="G1354" cm="1">
        <f t="array" ref="G1354">_xlfn.IFNA(INDEX($D$2:$D$4001,_xlfn.XMATCH(G$1&amp;"-"&amp;$F1354,YEAR($B$2:$B$4001)&amp;"-"&amp;$A$2:$A$4001,0,-1)),9)</f>
        <v>9</v>
      </c>
      <c r="H1354" cm="1">
        <f t="array" ref="H1354">IF(OR(AND(G1354=9,H$1&gt;YEAR($N1354))),9,_xlfn.IFNA(INDEX($D$2:$D$4001,_xlfn.XMATCH(H$1&amp;"-"&amp;$F1354,YEAR($B$2:$B$4001)&amp;"-"&amp;$A$2:$A$4001,0,-1)),G1354))</f>
        <v>9</v>
      </c>
      <c r="I1354" cm="1">
        <f t="array" ref="I1354">IF(OR(AND(H1354=9,I$1&gt;YEAR($N1354))),9,_xlfn.IFNA(INDEX($D$2:$D$4001,_xlfn.XMATCH(I$1&amp;"-"&amp;$F1354,YEAR($B$2:$B$4001)&amp;"-"&amp;$A$2:$A$4001,0,-1)),H1354))</f>
        <v>9</v>
      </c>
      <c r="J1354" cm="1">
        <f t="array" ref="J1354">IF(OR(AND(I1354=9,J$1&gt;YEAR($N1354))),9,_xlfn.IFNA(INDEX($D$2:$D$4001,_xlfn.XMATCH(J$1&amp;"-"&amp;$F1354,YEAR($B$2:$B$4001)&amp;"-"&amp;$A$2:$A$4001,0,-1)),I1354))</f>
        <v>9</v>
      </c>
      <c r="K1354" cm="1">
        <f t="array" ref="K1354">IF(OR(AND(J1354=9,K$1&gt;YEAR($N1354))),9,_xlfn.IFNA(INDEX($D$2:$D$4001,_xlfn.XMATCH(K$1&amp;"-"&amp;$F1354,YEAR($B$2:$B$4001)&amp;"-"&amp;$A$2:$A$4001,0,-1)),J1354))</f>
        <v>9</v>
      </c>
      <c r="L1354" cm="1">
        <f t="array" ref="L1354">IF(OR(AND(K1354=9,L$1&gt;YEAR($N1354))),9,_xlfn.IFNA(INDEX($D$2:$D$4001,_xlfn.XMATCH(L$1&amp;"-"&amp;$F1354,YEAR($B$2:$B$4001)&amp;"-"&amp;$A$2:$A$4001,0,-1)),K1354))</f>
        <v>4</v>
      </c>
      <c r="M1354" cm="1">
        <f t="array" ref="M1354">IF(OR(AND(L1354=9,M$1&gt;YEAR($N1354))),9,_xlfn.IFNA(INDEX($D$2:$D$4001,_xlfn.XMATCH(M$1&amp;"-"&amp;$F1354,YEAR($B$2:$B$4001)&amp;"-"&amp;$A$2:$A$4001,0,-1)),L1354))</f>
        <v>4</v>
      </c>
      <c r="N1354" s="1">
        <f t="shared" si="21"/>
        <v>38342</v>
      </c>
    </row>
    <row r="1355" spans="1:14" x14ac:dyDescent="0.35">
      <c r="A1355">
        <v>648</v>
      </c>
      <c r="B1355" s="2">
        <v>37041</v>
      </c>
      <c r="C1355">
        <v>3</v>
      </c>
      <c r="D1355">
        <v>3</v>
      </c>
      <c r="F1355">
        <v>1354</v>
      </c>
      <c r="G1355" cm="1">
        <f t="array" ref="G1355">_xlfn.IFNA(INDEX($D$2:$D$4001,_xlfn.XMATCH(G$1&amp;"-"&amp;$F1355,YEAR($B$2:$B$4001)&amp;"-"&amp;$A$2:$A$4001,0,-1)),9)</f>
        <v>9</v>
      </c>
      <c r="H1355" cm="1">
        <f t="array" ref="H1355">IF(OR(AND(G1355=9,H$1&gt;YEAR($N1355))),9,_xlfn.IFNA(INDEX($D$2:$D$4001,_xlfn.XMATCH(H$1&amp;"-"&amp;$F1355,YEAR($B$2:$B$4001)&amp;"-"&amp;$A$2:$A$4001,0,-1)),G1355))</f>
        <v>4</v>
      </c>
      <c r="I1355" cm="1">
        <f t="array" ref="I1355">IF(OR(AND(H1355=9,I$1&gt;YEAR($N1355))),9,_xlfn.IFNA(INDEX($D$2:$D$4001,_xlfn.XMATCH(I$1&amp;"-"&amp;$F1355,YEAR($B$2:$B$4001)&amp;"-"&amp;$A$2:$A$4001,0,-1)),H1355))</f>
        <v>4</v>
      </c>
      <c r="J1355" cm="1">
        <f t="array" ref="J1355">IF(OR(AND(I1355=9,J$1&gt;YEAR($N1355))),9,_xlfn.IFNA(INDEX($D$2:$D$4001,_xlfn.XMATCH(J$1&amp;"-"&amp;$F1355,YEAR($B$2:$B$4001)&amp;"-"&amp;$A$2:$A$4001,0,-1)),I1355))</f>
        <v>4</v>
      </c>
      <c r="K1355" cm="1">
        <f t="array" ref="K1355">IF(OR(AND(J1355=9,K$1&gt;YEAR($N1355))),9,_xlfn.IFNA(INDEX($D$2:$D$4001,_xlfn.XMATCH(K$1&amp;"-"&amp;$F1355,YEAR($B$2:$B$4001)&amp;"-"&amp;$A$2:$A$4001,0,-1)),J1355))</f>
        <v>4</v>
      </c>
      <c r="L1355" cm="1">
        <f t="array" ref="L1355">IF(OR(AND(K1355=9,L$1&gt;YEAR($N1355))),9,_xlfn.IFNA(INDEX($D$2:$D$4001,_xlfn.XMATCH(L$1&amp;"-"&amp;$F1355,YEAR($B$2:$B$4001)&amp;"-"&amp;$A$2:$A$4001,0,-1)),K1355))</f>
        <v>3</v>
      </c>
      <c r="M1355" cm="1">
        <f t="array" ref="M1355">IF(OR(AND(L1355=9,M$1&gt;YEAR($N1355))),9,_xlfn.IFNA(INDEX($D$2:$D$4001,_xlfn.XMATCH(M$1&amp;"-"&amp;$F1355,YEAR($B$2:$B$4001)&amp;"-"&amp;$A$2:$A$4001,0,-1)),L1355))</f>
        <v>3</v>
      </c>
      <c r="N1355" s="1">
        <f t="shared" si="21"/>
        <v>36820</v>
      </c>
    </row>
    <row r="1356" spans="1:14" x14ac:dyDescent="0.35">
      <c r="A1356">
        <v>649</v>
      </c>
      <c r="B1356" s="2">
        <v>37063</v>
      </c>
      <c r="C1356">
        <v>6</v>
      </c>
      <c r="D1356">
        <v>6</v>
      </c>
      <c r="F1356">
        <v>1355</v>
      </c>
      <c r="G1356" cm="1">
        <f t="array" ref="G1356">_xlfn.IFNA(INDEX($D$2:$D$4001,_xlfn.XMATCH(G$1&amp;"-"&amp;$F1356,YEAR($B$2:$B$4001)&amp;"-"&amp;$A$2:$A$4001,0,-1)),9)</f>
        <v>9</v>
      </c>
      <c r="H1356" cm="1">
        <f t="array" ref="H1356">IF(OR(AND(G1356=9,H$1&gt;YEAR($N1356))),9,_xlfn.IFNA(INDEX($D$2:$D$4001,_xlfn.XMATCH(H$1&amp;"-"&amp;$F1356,YEAR($B$2:$B$4001)&amp;"-"&amp;$A$2:$A$4001,0,-1)),G1356))</f>
        <v>9</v>
      </c>
      <c r="I1356" cm="1">
        <f t="array" ref="I1356">IF(OR(AND(H1356=9,I$1&gt;YEAR($N1356))),9,_xlfn.IFNA(INDEX($D$2:$D$4001,_xlfn.XMATCH(I$1&amp;"-"&amp;$F1356,YEAR($B$2:$B$4001)&amp;"-"&amp;$A$2:$A$4001,0,-1)),H1356))</f>
        <v>9</v>
      </c>
      <c r="J1356" cm="1">
        <f t="array" ref="J1356">IF(OR(AND(I1356=9,J$1&gt;YEAR($N1356))),9,_xlfn.IFNA(INDEX($D$2:$D$4001,_xlfn.XMATCH(J$1&amp;"-"&amp;$F1356,YEAR($B$2:$B$4001)&amp;"-"&amp;$A$2:$A$4001,0,-1)),I1356))</f>
        <v>9</v>
      </c>
      <c r="K1356" cm="1">
        <f t="array" ref="K1356">IF(OR(AND(J1356=9,K$1&gt;YEAR($N1356))),9,_xlfn.IFNA(INDEX($D$2:$D$4001,_xlfn.XMATCH(K$1&amp;"-"&amp;$F1356,YEAR($B$2:$B$4001)&amp;"-"&amp;$A$2:$A$4001,0,-1)),J1356))</f>
        <v>9</v>
      </c>
      <c r="L1356" cm="1">
        <f t="array" ref="L1356">IF(OR(AND(K1356=9,L$1&gt;YEAR($N1356))),9,_xlfn.IFNA(INDEX($D$2:$D$4001,_xlfn.XMATCH(L$1&amp;"-"&amp;$F1356,YEAR($B$2:$B$4001)&amp;"-"&amp;$A$2:$A$4001,0,-1)),K1356))</f>
        <v>3</v>
      </c>
      <c r="M1356" cm="1">
        <f t="array" ref="M1356">IF(OR(AND(L1356=9,M$1&gt;YEAR($N1356))),9,_xlfn.IFNA(INDEX($D$2:$D$4001,_xlfn.XMATCH(M$1&amp;"-"&amp;$F1356,YEAR($B$2:$B$4001)&amp;"-"&amp;$A$2:$A$4001,0,-1)),L1356))</f>
        <v>3</v>
      </c>
      <c r="N1356" s="1">
        <f t="shared" si="21"/>
        <v>38312</v>
      </c>
    </row>
    <row r="1357" spans="1:14" x14ac:dyDescent="0.35">
      <c r="A1357">
        <v>649</v>
      </c>
      <c r="B1357" s="2">
        <v>37255</v>
      </c>
      <c r="C1357">
        <v>6</v>
      </c>
      <c r="D1357">
        <v>6</v>
      </c>
      <c r="F1357">
        <v>1356</v>
      </c>
      <c r="G1357" cm="1">
        <f t="array" ref="G1357">_xlfn.IFNA(INDEX($D$2:$D$4001,_xlfn.XMATCH(G$1&amp;"-"&amp;$F1357,YEAR($B$2:$B$4001)&amp;"-"&amp;$A$2:$A$4001,0,-1)),9)</f>
        <v>9</v>
      </c>
      <c r="H1357" cm="1">
        <f t="array" ref="H1357">IF(OR(AND(G1357=9,H$1&gt;YEAR($N1357))),9,_xlfn.IFNA(INDEX($D$2:$D$4001,_xlfn.XMATCH(H$1&amp;"-"&amp;$F1357,YEAR($B$2:$B$4001)&amp;"-"&amp;$A$2:$A$4001,0,-1)),G1357))</f>
        <v>9</v>
      </c>
      <c r="I1357" cm="1">
        <f t="array" ref="I1357">IF(OR(AND(H1357=9,I$1&gt;YEAR($N1357))),9,_xlfn.IFNA(INDEX($D$2:$D$4001,_xlfn.XMATCH(I$1&amp;"-"&amp;$F1357,YEAR($B$2:$B$4001)&amp;"-"&amp;$A$2:$A$4001,0,-1)),H1357))</f>
        <v>6</v>
      </c>
      <c r="J1357" cm="1">
        <f t="array" ref="J1357">IF(OR(AND(I1357=9,J$1&gt;YEAR($N1357))),9,_xlfn.IFNA(INDEX($D$2:$D$4001,_xlfn.XMATCH(J$1&amp;"-"&amp;$F1357,YEAR($B$2:$B$4001)&amp;"-"&amp;$A$2:$A$4001,0,-1)),I1357))</f>
        <v>6</v>
      </c>
      <c r="K1357" cm="1">
        <f t="array" ref="K1357">IF(OR(AND(J1357=9,K$1&gt;YEAR($N1357))),9,_xlfn.IFNA(INDEX($D$2:$D$4001,_xlfn.XMATCH(K$1&amp;"-"&amp;$F1357,YEAR($B$2:$B$4001)&amp;"-"&amp;$A$2:$A$4001,0,-1)),J1357))</f>
        <v>0</v>
      </c>
      <c r="L1357" cm="1">
        <f t="array" ref="L1357">IF(OR(AND(K1357=9,L$1&gt;YEAR($N1357))),9,_xlfn.IFNA(INDEX($D$2:$D$4001,_xlfn.XMATCH(L$1&amp;"-"&amp;$F1357,YEAR($B$2:$B$4001)&amp;"-"&amp;$A$2:$A$4001,0,-1)),K1357))</f>
        <v>0</v>
      </c>
      <c r="M1357" cm="1">
        <f t="array" ref="M1357">IF(OR(AND(L1357=9,M$1&gt;YEAR($N1357))),9,_xlfn.IFNA(INDEX($D$2:$D$4001,_xlfn.XMATCH(M$1&amp;"-"&amp;$F1357,YEAR($B$2:$B$4001)&amp;"-"&amp;$A$2:$A$4001,0,-1)),L1357))</f>
        <v>0</v>
      </c>
      <c r="N1357" s="1">
        <f t="shared" si="21"/>
        <v>37255</v>
      </c>
    </row>
    <row r="1358" spans="1:14" x14ac:dyDescent="0.35">
      <c r="A1358">
        <v>649</v>
      </c>
      <c r="B1358" s="2">
        <v>37399</v>
      </c>
      <c r="C1358">
        <v>6</v>
      </c>
      <c r="D1358">
        <v>6</v>
      </c>
      <c r="F1358">
        <v>1357</v>
      </c>
      <c r="G1358" cm="1">
        <f t="array" ref="G1358">_xlfn.IFNA(INDEX($D$2:$D$4001,_xlfn.XMATCH(G$1&amp;"-"&amp;$F1358,YEAR($B$2:$B$4001)&amp;"-"&amp;$A$2:$A$4001,0,-1)),9)</f>
        <v>0</v>
      </c>
      <c r="H1358" cm="1">
        <f t="array" ref="H1358">IF(OR(AND(G1358=9,H$1&gt;YEAR($N1358))),9,_xlfn.IFNA(INDEX($D$2:$D$4001,_xlfn.XMATCH(H$1&amp;"-"&amp;$F1358,YEAR($B$2:$B$4001)&amp;"-"&amp;$A$2:$A$4001,0,-1)),G1358))</f>
        <v>0</v>
      </c>
      <c r="I1358" cm="1">
        <f t="array" ref="I1358">IF(OR(AND(H1358=9,I$1&gt;YEAR($N1358))),9,_xlfn.IFNA(INDEX($D$2:$D$4001,_xlfn.XMATCH(I$1&amp;"-"&amp;$F1358,YEAR($B$2:$B$4001)&amp;"-"&amp;$A$2:$A$4001,0,-1)),H1358))</f>
        <v>0</v>
      </c>
      <c r="J1358" cm="1">
        <f t="array" ref="J1358">IF(OR(AND(I1358=9,J$1&gt;YEAR($N1358))),9,_xlfn.IFNA(INDEX($D$2:$D$4001,_xlfn.XMATCH(J$1&amp;"-"&amp;$F1358,YEAR($B$2:$B$4001)&amp;"-"&amp;$A$2:$A$4001,0,-1)),I1358))</f>
        <v>0</v>
      </c>
      <c r="K1358" cm="1">
        <f t="array" ref="K1358">IF(OR(AND(J1358=9,K$1&gt;YEAR($N1358))),9,_xlfn.IFNA(INDEX($D$2:$D$4001,_xlfn.XMATCH(K$1&amp;"-"&amp;$F1358,YEAR($B$2:$B$4001)&amp;"-"&amp;$A$2:$A$4001,0,-1)),J1358))</f>
        <v>0</v>
      </c>
      <c r="L1358" cm="1">
        <f t="array" ref="L1358">IF(OR(AND(K1358=9,L$1&gt;YEAR($N1358))),9,_xlfn.IFNA(INDEX($D$2:$D$4001,_xlfn.XMATCH(L$1&amp;"-"&amp;$F1358,YEAR($B$2:$B$4001)&amp;"-"&amp;$A$2:$A$4001,0,-1)),K1358))</f>
        <v>0</v>
      </c>
      <c r="M1358" cm="1">
        <f t="array" ref="M1358">IF(OR(AND(L1358=9,M$1&gt;YEAR($N1358))),9,_xlfn.IFNA(INDEX($D$2:$D$4001,_xlfn.XMATCH(M$1&amp;"-"&amp;$F1358,YEAR($B$2:$B$4001)&amp;"-"&amp;$A$2:$A$4001,0,-1)),L1358))</f>
        <v>0</v>
      </c>
      <c r="N1358" s="1">
        <f t="shared" si="21"/>
        <v>36402</v>
      </c>
    </row>
    <row r="1359" spans="1:14" x14ac:dyDescent="0.35">
      <c r="A1359">
        <v>649</v>
      </c>
      <c r="B1359" s="2">
        <v>37924</v>
      </c>
      <c r="C1359">
        <v>7</v>
      </c>
      <c r="D1359">
        <v>7</v>
      </c>
      <c r="F1359">
        <v>1358</v>
      </c>
      <c r="G1359" cm="1">
        <f t="array" ref="G1359">_xlfn.IFNA(INDEX($D$2:$D$4001,_xlfn.XMATCH(G$1&amp;"-"&amp;$F1359,YEAR($B$2:$B$4001)&amp;"-"&amp;$A$2:$A$4001,0,-1)),9)</f>
        <v>4</v>
      </c>
      <c r="H1359" cm="1">
        <f t="array" ref="H1359">IF(OR(AND(G1359=9,H$1&gt;YEAR($N1359))),9,_xlfn.IFNA(INDEX($D$2:$D$4001,_xlfn.XMATCH(H$1&amp;"-"&amp;$F1359,YEAR($B$2:$B$4001)&amp;"-"&amp;$A$2:$A$4001,0,-1)),G1359))</f>
        <v>4</v>
      </c>
      <c r="I1359" cm="1">
        <f t="array" ref="I1359">IF(OR(AND(H1359=9,I$1&gt;YEAR($N1359))),9,_xlfn.IFNA(INDEX($D$2:$D$4001,_xlfn.XMATCH(I$1&amp;"-"&amp;$F1359,YEAR($B$2:$B$4001)&amp;"-"&amp;$A$2:$A$4001,0,-1)),H1359))</f>
        <v>4</v>
      </c>
      <c r="J1359" cm="1">
        <f t="array" ref="J1359">IF(OR(AND(I1359=9,J$1&gt;YEAR($N1359))),9,_xlfn.IFNA(INDEX($D$2:$D$4001,_xlfn.XMATCH(J$1&amp;"-"&amp;$F1359,YEAR($B$2:$B$4001)&amp;"-"&amp;$A$2:$A$4001,0,-1)),I1359))</f>
        <v>0</v>
      </c>
      <c r="K1359" cm="1">
        <f t="array" ref="K1359">IF(OR(AND(J1359=9,K$1&gt;YEAR($N1359))),9,_xlfn.IFNA(INDEX($D$2:$D$4001,_xlfn.XMATCH(K$1&amp;"-"&amp;$F1359,YEAR($B$2:$B$4001)&amp;"-"&amp;$A$2:$A$4001,0,-1)),J1359))</f>
        <v>0</v>
      </c>
      <c r="L1359" cm="1">
        <f t="array" ref="L1359">IF(OR(AND(K1359=9,L$1&gt;YEAR($N1359))),9,_xlfn.IFNA(INDEX($D$2:$D$4001,_xlfn.XMATCH(L$1&amp;"-"&amp;$F1359,YEAR($B$2:$B$4001)&amp;"-"&amp;$A$2:$A$4001,0,-1)),K1359))</f>
        <v>0</v>
      </c>
      <c r="M1359" cm="1">
        <f t="array" ref="M1359">IF(OR(AND(L1359=9,M$1&gt;YEAR($N1359))),9,_xlfn.IFNA(INDEX($D$2:$D$4001,_xlfn.XMATCH(M$1&amp;"-"&amp;$F1359,YEAR($B$2:$B$4001)&amp;"-"&amp;$A$2:$A$4001,0,-1)),L1359))</f>
        <v>0</v>
      </c>
      <c r="N1359" s="1">
        <f t="shared" si="21"/>
        <v>36301</v>
      </c>
    </row>
    <row r="1360" spans="1:14" x14ac:dyDescent="0.35">
      <c r="A1360">
        <v>650</v>
      </c>
      <c r="B1360" s="2">
        <v>36310</v>
      </c>
      <c r="C1360">
        <v>4</v>
      </c>
      <c r="D1360">
        <v>4</v>
      </c>
      <c r="F1360">
        <v>1359</v>
      </c>
      <c r="G1360" cm="1">
        <f t="array" ref="G1360">_xlfn.IFNA(INDEX($D$2:$D$4001,_xlfn.XMATCH(G$1&amp;"-"&amp;$F1360,YEAR($B$2:$B$4001)&amp;"-"&amp;$A$2:$A$4001,0,-1)),9)</f>
        <v>4</v>
      </c>
      <c r="H1360" cm="1">
        <f t="array" ref="H1360">IF(OR(AND(G1360=9,H$1&gt;YEAR($N1360))),9,_xlfn.IFNA(INDEX($D$2:$D$4001,_xlfn.XMATCH(H$1&amp;"-"&amp;$F1360,YEAR($B$2:$B$4001)&amp;"-"&amp;$A$2:$A$4001,0,-1)),G1360))</f>
        <v>4</v>
      </c>
      <c r="I1360" cm="1">
        <f t="array" ref="I1360">IF(OR(AND(H1360=9,I$1&gt;YEAR($N1360))),9,_xlfn.IFNA(INDEX($D$2:$D$4001,_xlfn.XMATCH(I$1&amp;"-"&amp;$F1360,YEAR($B$2:$B$4001)&amp;"-"&amp;$A$2:$A$4001,0,-1)),H1360))</f>
        <v>4</v>
      </c>
      <c r="J1360" cm="1">
        <f t="array" ref="J1360">IF(OR(AND(I1360=9,J$1&gt;YEAR($N1360))),9,_xlfn.IFNA(INDEX($D$2:$D$4001,_xlfn.XMATCH(J$1&amp;"-"&amp;$F1360,YEAR($B$2:$B$4001)&amp;"-"&amp;$A$2:$A$4001,0,-1)),I1360))</f>
        <v>4</v>
      </c>
      <c r="K1360" cm="1">
        <f t="array" ref="K1360">IF(OR(AND(J1360=9,K$1&gt;YEAR($N1360))),9,_xlfn.IFNA(INDEX($D$2:$D$4001,_xlfn.XMATCH(K$1&amp;"-"&amp;$F1360,YEAR($B$2:$B$4001)&amp;"-"&amp;$A$2:$A$4001,0,-1)),J1360))</f>
        <v>4</v>
      </c>
      <c r="L1360" cm="1">
        <f t="array" ref="L1360">IF(OR(AND(K1360=9,L$1&gt;YEAR($N1360))),9,_xlfn.IFNA(INDEX($D$2:$D$4001,_xlfn.XMATCH(L$1&amp;"-"&amp;$F1360,YEAR($B$2:$B$4001)&amp;"-"&amp;$A$2:$A$4001,0,-1)),K1360))</f>
        <v>4</v>
      </c>
      <c r="M1360" cm="1">
        <f t="array" ref="M1360">IF(OR(AND(L1360=9,M$1&gt;YEAR($N1360))),9,_xlfn.IFNA(INDEX($D$2:$D$4001,_xlfn.XMATCH(M$1&amp;"-"&amp;$F1360,YEAR($B$2:$B$4001)&amp;"-"&amp;$A$2:$A$4001,0,-1)),L1360))</f>
        <v>4</v>
      </c>
      <c r="N1360" s="1">
        <f t="shared" si="21"/>
        <v>36524</v>
      </c>
    </row>
    <row r="1361" spans="1:14" x14ac:dyDescent="0.35">
      <c r="A1361">
        <v>650</v>
      </c>
      <c r="B1361" s="2">
        <v>36759</v>
      </c>
      <c r="C1361">
        <v>3</v>
      </c>
      <c r="D1361">
        <v>3</v>
      </c>
      <c r="F1361">
        <v>1360</v>
      </c>
      <c r="G1361" cm="1">
        <f t="array" ref="G1361">_xlfn.IFNA(INDEX($D$2:$D$4001,_xlfn.XMATCH(G$1&amp;"-"&amp;$F1361,YEAR($B$2:$B$4001)&amp;"-"&amp;$A$2:$A$4001,0,-1)),9)</f>
        <v>5</v>
      </c>
      <c r="H1361" cm="1">
        <f t="array" ref="H1361">IF(OR(AND(G1361=9,H$1&gt;YEAR($N1361))),9,_xlfn.IFNA(INDEX($D$2:$D$4001,_xlfn.XMATCH(H$1&amp;"-"&amp;$F1361,YEAR($B$2:$B$4001)&amp;"-"&amp;$A$2:$A$4001,0,-1)),G1361))</f>
        <v>5</v>
      </c>
      <c r="I1361" cm="1">
        <f t="array" ref="I1361">IF(OR(AND(H1361=9,I$1&gt;YEAR($N1361))),9,_xlfn.IFNA(INDEX($D$2:$D$4001,_xlfn.XMATCH(I$1&amp;"-"&amp;$F1361,YEAR($B$2:$B$4001)&amp;"-"&amp;$A$2:$A$4001,0,-1)),H1361))</f>
        <v>4</v>
      </c>
      <c r="J1361" cm="1">
        <f t="array" ref="J1361">IF(OR(AND(I1361=9,J$1&gt;YEAR($N1361))),9,_xlfn.IFNA(INDEX($D$2:$D$4001,_xlfn.XMATCH(J$1&amp;"-"&amp;$F1361,YEAR($B$2:$B$4001)&amp;"-"&amp;$A$2:$A$4001,0,-1)),I1361))</f>
        <v>4</v>
      </c>
      <c r="K1361" cm="1">
        <f t="array" ref="K1361">IF(OR(AND(J1361=9,K$1&gt;YEAR($N1361))),9,_xlfn.IFNA(INDEX($D$2:$D$4001,_xlfn.XMATCH(K$1&amp;"-"&amp;$F1361,YEAR($B$2:$B$4001)&amp;"-"&amp;$A$2:$A$4001,0,-1)),J1361))</f>
        <v>4</v>
      </c>
      <c r="L1361" cm="1">
        <f t="array" ref="L1361">IF(OR(AND(K1361=9,L$1&gt;YEAR($N1361))),9,_xlfn.IFNA(INDEX($D$2:$D$4001,_xlfn.XMATCH(L$1&amp;"-"&amp;$F1361,YEAR($B$2:$B$4001)&amp;"-"&amp;$A$2:$A$4001,0,-1)),K1361))</f>
        <v>4</v>
      </c>
      <c r="M1361" cm="1">
        <f t="array" ref="M1361">IF(OR(AND(L1361=9,M$1&gt;YEAR($N1361))),9,_xlfn.IFNA(INDEX($D$2:$D$4001,_xlfn.XMATCH(M$1&amp;"-"&amp;$F1361,YEAR($B$2:$B$4001)&amp;"-"&amp;$A$2:$A$4001,0,-1)),L1361))</f>
        <v>4</v>
      </c>
      <c r="N1361" s="1">
        <f t="shared" si="21"/>
        <v>36301</v>
      </c>
    </row>
    <row r="1362" spans="1:14" x14ac:dyDescent="0.35">
      <c r="A1362">
        <v>650</v>
      </c>
      <c r="B1362" s="2">
        <v>37155</v>
      </c>
      <c r="C1362">
        <v>4</v>
      </c>
      <c r="D1362">
        <v>4</v>
      </c>
      <c r="F1362">
        <v>1361</v>
      </c>
      <c r="G1362" cm="1">
        <f t="array" ref="G1362">_xlfn.IFNA(INDEX($D$2:$D$4001,_xlfn.XMATCH(G$1&amp;"-"&amp;$F1362,YEAR($B$2:$B$4001)&amp;"-"&amp;$A$2:$A$4001,0,-1)),9)</f>
        <v>9</v>
      </c>
      <c r="H1362" cm="1">
        <f t="array" ref="H1362">IF(OR(AND(G1362=9,H$1&gt;YEAR($N1362))),9,_xlfn.IFNA(INDEX($D$2:$D$4001,_xlfn.XMATCH(H$1&amp;"-"&amp;$F1362,YEAR($B$2:$B$4001)&amp;"-"&amp;$A$2:$A$4001,0,-1)),G1362))</f>
        <v>9</v>
      </c>
      <c r="I1362" cm="1">
        <f t="array" ref="I1362">IF(OR(AND(H1362=9,I$1&gt;YEAR($N1362))),9,_xlfn.IFNA(INDEX($D$2:$D$4001,_xlfn.XMATCH(I$1&amp;"-"&amp;$F1362,YEAR($B$2:$B$4001)&amp;"-"&amp;$A$2:$A$4001,0,-1)),H1362))</f>
        <v>3</v>
      </c>
      <c r="J1362" cm="1">
        <f t="array" ref="J1362">IF(OR(AND(I1362=9,J$1&gt;YEAR($N1362))),9,_xlfn.IFNA(INDEX($D$2:$D$4001,_xlfn.XMATCH(J$1&amp;"-"&amp;$F1362,YEAR($B$2:$B$4001)&amp;"-"&amp;$A$2:$A$4001,0,-1)),I1362))</f>
        <v>4</v>
      </c>
      <c r="K1362" cm="1">
        <f t="array" ref="K1362">IF(OR(AND(J1362=9,K$1&gt;YEAR($N1362))),9,_xlfn.IFNA(INDEX($D$2:$D$4001,_xlfn.XMATCH(K$1&amp;"-"&amp;$F1362,YEAR($B$2:$B$4001)&amp;"-"&amp;$A$2:$A$4001,0,-1)),J1362))</f>
        <v>4</v>
      </c>
      <c r="L1362" cm="1">
        <f t="array" ref="L1362">IF(OR(AND(K1362=9,L$1&gt;YEAR($N1362))),9,_xlfn.IFNA(INDEX($D$2:$D$4001,_xlfn.XMATCH(L$1&amp;"-"&amp;$F1362,YEAR($B$2:$B$4001)&amp;"-"&amp;$A$2:$A$4001,0,-1)),K1362))</f>
        <v>6</v>
      </c>
      <c r="M1362" cm="1">
        <f t="array" ref="M1362">IF(OR(AND(L1362=9,M$1&gt;YEAR($N1362))),9,_xlfn.IFNA(INDEX($D$2:$D$4001,_xlfn.XMATCH(M$1&amp;"-"&amp;$F1362,YEAR($B$2:$B$4001)&amp;"-"&amp;$A$2:$A$4001,0,-1)),L1362))</f>
        <v>0</v>
      </c>
      <c r="N1362" s="1">
        <f t="shared" si="21"/>
        <v>37255</v>
      </c>
    </row>
    <row r="1363" spans="1:14" x14ac:dyDescent="0.35">
      <c r="A1363">
        <v>650</v>
      </c>
      <c r="B1363" s="2">
        <v>37255</v>
      </c>
      <c r="C1363">
        <v>4</v>
      </c>
      <c r="D1363">
        <v>4</v>
      </c>
      <c r="F1363">
        <v>1362</v>
      </c>
      <c r="G1363" cm="1">
        <f t="array" ref="G1363">_xlfn.IFNA(INDEX($D$2:$D$4001,_xlfn.XMATCH(G$1&amp;"-"&amp;$F1363,YEAR($B$2:$B$4001)&amp;"-"&amp;$A$2:$A$4001,0,-1)),9)</f>
        <v>4</v>
      </c>
      <c r="H1363" cm="1">
        <f t="array" ref="H1363">IF(OR(AND(G1363=9,H$1&gt;YEAR($N1363))),9,_xlfn.IFNA(INDEX($D$2:$D$4001,_xlfn.XMATCH(H$1&amp;"-"&amp;$F1363,YEAR($B$2:$B$4001)&amp;"-"&amp;$A$2:$A$4001,0,-1)),G1363))</f>
        <v>4</v>
      </c>
      <c r="I1363" cm="1">
        <f t="array" ref="I1363">IF(OR(AND(H1363=9,I$1&gt;YEAR($N1363))),9,_xlfn.IFNA(INDEX($D$2:$D$4001,_xlfn.XMATCH(I$1&amp;"-"&amp;$F1363,YEAR($B$2:$B$4001)&amp;"-"&amp;$A$2:$A$4001,0,-1)),H1363))</f>
        <v>4</v>
      </c>
      <c r="J1363" cm="1">
        <f t="array" ref="J1363">IF(OR(AND(I1363=9,J$1&gt;YEAR($N1363))),9,_xlfn.IFNA(INDEX($D$2:$D$4001,_xlfn.XMATCH(J$1&amp;"-"&amp;$F1363,YEAR($B$2:$B$4001)&amp;"-"&amp;$A$2:$A$4001,0,-1)),I1363))</f>
        <v>4</v>
      </c>
      <c r="K1363" cm="1">
        <f t="array" ref="K1363">IF(OR(AND(J1363=9,K$1&gt;YEAR($N1363))),9,_xlfn.IFNA(INDEX($D$2:$D$4001,_xlfn.XMATCH(K$1&amp;"-"&amp;$F1363,YEAR($B$2:$B$4001)&amp;"-"&amp;$A$2:$A$4001,0,-1)),J1363))</f>
        <v>4</v>
      </c>
      <c r="L1363" cm="1">
        <f t="array" ref="L1363">IF(OR(AND(K1363=9,L$1&gt;YEAR($N1363))),9,_xlfn.IFNA(INDEX($D$2:$D$4001,_xlfn.XMATCH(L$1&amp;"-"&amp;$F1363,YEAR($B$2:$B$4001)&amp;"-"&amp;$A$2:$A$4001,0,-1)),K1363))</f>
        <v>4</v>
      </c>
      <c r="M1363" cm="1">
        <f t="array" ref="M1363">IF(OR(AND(L1363=9,M$1&gt;YEAR($N1363))),9,_xlfn.IFNA(INDEX($D$2:$D$4001,_xlfn.XMATCH(M$1&amp;"-"&amp;$F1363,YEAR($B$2:$B$4001)&amp;"-"&amp;$A$2:$A$4001,0,-1)),L1363))</f>
        <v>4</v>
      </c>
      <c r="N1363" s="1">
        <f t="shared" si="21"/>
        <v>36463</v>
      </c>
    </row>
    <row r="1364" spans="1:14" x14ac:dyDescent="0.35">
      <c r="A1364">
        <v>650</v>
      </c>
      <c r="B1364" s="2">
        <v>37489</v>
      </c>
      <c r="C1364">
        <v>4</v>
      </c>
      <c r="D1364">
        <v>4</v>
      </c>
      <c r="F1364">
        <v>1363</v>
      </c>
      <c r="G1364" cm="1">
        <f t="array" ref="G1364">_xlfn.IFNA(INDEX($D$2:$D$4001,_xlfn.XMATCH(G$1&amp;"-"&amp;$F1364,YEAR($B$2:$B$4001)&amp;"-"&amp;$A$2:$A$4001,0,-1)),9)</f>
        <v>9</v>
      </c>
      <c r="H1364" cm="1">
        <f t="array" ref="H1364">IF(OR(AND(G1364=9,H$1&gt;YEAR($N1364))),9,_xlfn.IFNA(INDEX($D$2:$D$4001,_xlfn.XMATCH(H$1&amp;"-"&amp;$F1364,YEAR($B$2:$B$4001)&amp;"-"&amp;$A$2:$A$4001,0,-1)),G1364))</f>
        <v>9</v>
      </c>
      <c r="I1364" cm="1">
        <f t="array" ref="I1364">IF(OR(AND(H1364=9,I$1&gt;YEAR($N1364))),9,_xlfn.IFNA(INDEX($D$2:$D$4001,_xlfn.XMATCH(I$1&amp;"-"&amp;$F1364,YEAR($B$2:$B$4001)&amp;"-"&amp;$A$2:$A$4001,0,-1)),H1364))</f>
        <v>4</v>
      </c>
      <c r="J1364" cm="1">
        <f t="array" ref="J1364">IF(OR(AND(I1364=9,J$1&gt;YEAR($N1364))),9,_xlfn.IFNA(INDEX($D$2:$D$4001,_xlfn.XMATCH(J$1&amp;"-"&amp;$F1364,YEAR($B$2:$B$4001)&amp;"-"&amp;$A$2:$A$4001,0,-1)),I1364))</f>
        <v>4</v>
      </c>
      <c r="K1364" cm="1">
        <f t="array" ref="K1364">IF(OR(AND(J1364=9,K$1&gt;YEAR($N1364))),9,_xlfn.IFNA(INDEX($D$2:$D$4001,_xlfn.XMATCH(K$1&amp;"-"&amp;$F1364,YEAR($B$2:$B$4001)&amp;"-"&amp;$A$2:$A$4001,0,-1)),J1364))</f>
        <v>4</v>
      </c>
      <c r="L1364" cm="1">
        <f t="array" ref="L1364">IF(OR(AND(K1364=9,L$1&gt;YEAR($N1364))),9,_xlfn.IFNA(INDEX($D$2:$D$4001,_xlfn.XMATCH(L$1&amp;"-"&amp;$F1364,YEAR($B$2:$B$4001)&amp;"-"&amp;$A$2:$A$4001,0,-1)),K1364))</f>
        <v>4</v>
      </c>
      <c r="M1364" cm="1">
        <f t="array" ref="M1364">IF(OR(AND(L1364=9,M$1&gt;YEAR($N1364))),9,_xlfn.IFNA(INDEX($D$2:$D$4001,_xlfn.XMATCH(M$1&amp;"-"&amp;$F1364,YEAR($B$2:$B$4001)&amp;"-"&amp;$A$2:$A$4001,0,-1)),L1364))</f>
        <v>4</v>
      </c>
      <c r="N1364" s="1">
        <f t="shared" si="21"/>
        <v>37255</v>
      </c>
    </row>
    <row r="1365" spans="1:14" x14ac:dyDescent="0.35">
      <c r="A1365">
        <v>650</v>
      </c>
      <c r="B1365" s="2">
        <v>38493</v>
      </c>
      <c r="C1365">
        <v>4</v>
      </c>
      <c r="D1365">
        <v>4</v>
      </c>
      <c r="F1365">
        <v>1364</v>
      </c>
      <c r="G1365" cm="1">
        <f t="array" ref="G1365">_xlfn.IFNA(INDEX($D$2:$D$4001,_xlfn.XMATCH(G$1&amp;"-"&amp;$F1365,YEAR($B$2:$B$4001)&amp;"-"&amp;$A$2:$A$4001,0,-1)),9)</f>
        <v>9</v>
      </c>
      <c r="H1365" cm="1">
        <f t="array" ref="H1365">IF(OR(AND(G1365=9,H$1&gt;YEAR($N1365))),9,_xlfn.IFNA(INDEX($D$2:$D$4001,_xlfn.XMATCH(H$1&amp;"-"&amp;$F1365,YEAR($B$2:$B$4001)&amp;"-"&amp;$A$2:$A$4001,0,-1)),G1365))</f>
        <v>9</v>
      </c>
      <c r="I1365" cm="1">
        <f t="array" ref="I1365">IF(OR(AND(H1365=9,I$1&gt;YEAR($N1365))),9,_xlfn.IFNA(INDEX($D$2:$D$4001,_xlfn.XMATCH(I$1&amp;"-"&amp;$F1365,YEAR($B$2:$B$4001)&amp;"-"&amp;$A$2:$A$4001,0,-1)),H1365))</f>
        <v>9</v>
      </c>
      <c r="J1365" cm="1">
        <f t="array" ref="J1365">IF(OR(AND(I1365=9,J$1&gt;YEAR($N1365))),9,_xlfn.IFNA(INDEX($D$2:$D$4001,_xlfn.XMATCH(J$1&amp;"-"&amp;$F1365,YEAR($B$2:$B$4001)&amp;"-"&amp;$A$2:$A$4001,0,-1)),I1365))</f>
        <v>9</v>
      </c>
      <c r="K1365" cm="1">
        <f t="array" ref="K1365">IF(OR(AND(J1365=9,K$1&gt;YEAR($N1365))),9,_xlfn.IFNA(INDEX($D$2:$D$4001,_xlfn.XMATCH(K$1&amp;"-"&amp;$F1365,YEAR($B$2:$B$4001)&amp;"-"&amp;$A$2:$A$4001,0,-1)),J1365))</f>
        <v>9</v>
      </c>
      <c r="L1365" cm="1">
        <f t="array" ref="L1365">IF(OR(AND(K1365=9,L$1&gt;YEAR($N1365))),9,_xlfn.IFNA(INDEX($D$2:$D$4001,_xlfn.XMATCH(L$1&amp;"-"&amp;$F1365,YEAR($B$2:$B$4001)&amp;"-"&amp;$A$2:$A$4001,0,-1)),K1365))</f>
        <v>9</v>
      </c>
      <c r="M1365" cm="1">
        <f t="array" ref="M1365">IF(OR(AND(L1365=9,M$1&gt;YEAR($N1365))),9,_xlfn.IFNA(INDEX($D$2:$D$4001,_xlfn.XMATCH(M$1&amp;"-"&amp;$F1365,YEAR($B$2:$B$4001)&amp;"-"&amp;$A$2:$A$4001,0,-1)),L1365))</f>
        <v>2</v>
      </c>
      <c r="N1365" s="1">
        <f t="shared" si="21"/>
        <v>38594</v>
      </c>
    </row>
    <row r="1366" spans="1:14" x14ac:dyDescent="0.35">
      <c r="A1366">
        <v>651</v>
      </c>
      <c r="B1366" s="2">
        <v>36667</v>
      </c>
      <c r="C1366">
        <v>4</v>
      </c>
      <c r="D1366">
        <v>4</v>
      </c>
      <c r="F1366">
        <v>1365</v>
      </c>
      <c r="G1366" cm="1">
        <f t="array" ref="G1366">_xlfn.IFNA(INDEX($D$2:$D$4001,_xlfn.XMATCH(G$1&amp;"-"&amp;$F1366,YEAR($B$2:$B$4001)&amp;"-"&amp;$A$2:$A$4001,0,-1)),9)</f>
        <v>9</v>
      </c>
      <c r="H1366" cm="1">
        <f t="array" ref="H1366">IF(OR(AND(G1366=9,H$1&gt;YEAR($N1366))),9,_xlfn.IFNA(INDEX($D$2:$D$4001,_xlfn.XMATCH(H$1&amp;"-"&amp;$F1366,YEAR($B$2:$B$4001)&amp;"-"&amp;$A$2:$A$4001,0,-1)),G1366))</f>
        <v>9</v>
      </c>
      <c r="I1366" cm="1">
        <f t="array" ref="I1366">IF(OR(AND(H1366=9,I$1&gt;YEAR($N1366))),9,_xlfn.IFNA(INDEX($D$2:$D$4001,_xlfn.XMATCH(I$1&amp;"-"&amp;$F1366,YEAR($B$2:$B$4001)&amp;"-"&amp;$A$2:$A$4001,0,-1)),H1366))</f>
        <v>9</v>
      </c>
      <c r="J1366" cm="1">
        <f t="array" ref="J1366">IF(OR(AND(I1366=9,J$1&gt;YEAR($N1366))),9,_xlfn.IFNA(INDEX($D$2:$D$4001,_xlfn.XMATCH(J$1&amp;"-"&amp;$F1366,YEAR($B$2:$B$4001)&amp;"-"&amp;$A$2:$A$4001,0,-1)),I1366))</f>
        <v>4</v>
      </c>
      <c r="K1366" cm="1">
        <f t="array" ref="K1366">IF(OR(AND(J1366=9,K$1&gt;YEAR($N1366))),9,_xlfn.IFNA(INDEX($D$2:$D$4001,_xlfn.XMATCH(K$1&amp;"-"&amp;$F1366,YEAR($B$2:$B$4001)&amp;"-"&amp;$A$2:$A$4001,0,-1)),J1366))</f>
        <v>4</v>
      </c>
      <c r="L1366" cm="1">
        <f t="array" ref="L1366">IF(OR(AND(K1366=9,L$1&gt;YEAR($N1366))),9,_xlfn.IFNA(INDEX($D$2:$D$4001,_xlfn.XMATCH(L$1&amp;"-"&amp;$F1366,YEAR($B$2:$B$4001)&amp;"-"&amp;$A$2:$A$4001,0,-1)),K1366))</f>
        <v>4</v>
      </c>
      <c r="M1366" cm="1">
        <f t="array" ref="M1366">IF(OR(AND(L1366=9,M$1&gt;YEAR($N1366))),9,_xlfn.IFNA(INDEX($D$2:$D$4001,_xlfn.XMATCH(M$1&amp;"-"&amp;$F1366,YEAR($B$2:$B$4001)&amp;"-"&amp;$A$2:$A$4001,0,-1)),L1366))</f>
        <v>4</v>
      </c>
      <c r="N1366" s="1">
        <f t="shared" si="21"/>
        <v>37397</v>
      </c>
    </row>
    <row r="1367" spans="1:14" x14ac:dyDescent="0.35">
      <c r="A1367">
        <v>651</v>
      </c>
      <c r="B1367" s="2">
        <v>37255</v>
      </c>
      <c r="C1367">
        <v>4</v>
      </c>
      <c r="D1367">
        <v>4</v>
      </c>
      <c r="F1367">
        <v>1366</v>
      </c>
      <c r="G1367" cm="1">
        <f t="array" ref="G1367">_xlfn.IFNA(INDEX($D$2:$D$4001,_xlfn.XMATCH(G$1&amp;"-"&amp;$F1367,YEAR($B$2:$B$4001)&amp;"-"&amp;$A$2:$A$4001,0,-1)),9)</f>
        <v>9</v>
      </c>
      <c r="H1367" cm="1">
        <f t="array" ref="H1367">IF(OR(AND(G1367=9,H$1&gt;YEAR($N1367))),9,_xlfn.IFNA(INDEX($D$2:$D$4001,_xlfn.XMATCH(H$1&amp;"-"&amp;$F1367,YEAR($B$2:$B$4001)&amp;"-"&amp;$A$2:$A$4001,0,-1)),G1367))</f>
        <v>9</v>
      </c>
      <c r="I1367" cm="1">
        <f t="array" ref="I1367">IF(OR(AND(H1367=9,I$1&gt;YEAR($N1367))),9,_xlfn.IFNA(INDEX($D$2:$D$4001,_xlfn.XMATCH(I$1&amp;"-"&amp;$F1367,YEAR($B$2:$B$4001)&amp;"-"&amp;$A$2:$A$4001,0,-1)),H1367))</f>
        <v>9</v>
      </c>
      <c r="J1367" cm="1">
        <f t="array" ref="J1367">IF(OR(AND(I1367=9,J$1&gt;YEAR($N1367))),9,_xlfn.IFNA(INDEX($D$2:$D$4001,_xlfn.XMATCH(J$1&amp;"-"&amp;$F1367,YEAR($B$2:$B$4001)&amp;"-"&amp;$A$2:$A$4001,0,-1)),I1367))</f>
        <v>9</v>
      </c>
      <c r="K1367" cm="1">
        <f t="array" ref="K1367">IF(OR(AND(J1367=9,K$1&gt;YEAR($N1367))),9,_xlfn.IFNA(INDEX($D$2:$D$4001,_xlfn.XMATCH(K$1&amp;"-"&amp;$F1367,YEAR($B$2:$B$4001)&amp;"-"&amp;$A$2:$A$4001,0,-1)),J1367))</f>
        <v>9</v>
      </c>
      <c r="L1367" cm="1">
        <f t="array" ref="L1367">IF(OR(AND(K1367=9,L$1&gt;YEAR($N1367))),9,_xlfn.IFNA(INDEX($D$2:$D$4001,_xlfn.XMATCH(L$1&amp;"-"&amp;$F1367,YEAR($B$2:$B$4001)&amp;"-"&amp;$A$2:$A$4001,0,-1)),K1367))</f>
        <v>2</v>
      </c>
      <c r="M1367" cm="1">
        <f t="array" ref="M1367">IF(OR(AND(L1367=9,M$1&gt;YEAR($N1367))),9,_xlfn.IFNA(INDEX($D$2:$D$4001,_xlfn.XMATCH(M$1&amp;"-"&amp;$F1367,YEAR($B$2:$B$4001)&amp;"-"&amp;$A$2:$A$4001,0,-1)),L1367))</f>
        <v>2</v>
      </c>
      <c r="N1367" s="1">
        <f t="shared" si="21"/>
        <v>38220</v>
      </c>
    </row>
    <row r="1368" spans="1:14" x14ac:dyDescent="0.35">
      <c r="A1368">
        <v>652</v>
      </c>
      <c r="B1368" s="2">
        <v>36304</v>
      </c>
      <c r="C1368">
        <v>5</v>
      </c>
      <c r="D1368">
        <v>5</v>
      </c>
      <c r="F1368">
        <v>1367</v>
      </c>
      <c r="G1368" cm="1">
        <f t="array" ref="G1368">_xlfn.IFNA(INDEX($D$2:$D$4001,_xlfn.XMATCH(G$1&amp;"-"&amp;$F1368,YEAR($B$2:$B$4001)&amp;"-"&amp;$A$2:$A$4001,0,-1)),9)</f>
        <v>9</v>
      </c>
      <c r="H1368" cm="1">
        <f t="array" ref="H1368">IF(OR(AND(G1368=9,H$1&gt;YEAR($N1368))),9,_xlfn.IFNA(INDEX($D$2:$D$4001,_xlfn.XMATCH(H$1&amp;"-"&amp;$F1368,YEAR($B$2:$B$4001)&amp;"-"&amp;$A$2:$A$4001,0,-1)),G1368))</f>
        <v>9</v>
      </c>
      <c r="I1368" cm="1">
        <f t="array" ref="I1368">IF(OR(AND(H1368=9,I$1&gt;YEAR($N1368))),9,_xlfn.IFNA(INDEX($D$2:$D$4001,_xlfn.XMATCH(I$1&amp;"-"&amp;$F1368,YEAR($B$2:$B$4001)&amp;"-"&amp;$A$2:$A$4001,0,-1)),H1368))</f>
        <v>4</v>
      </c>
      <c r="J1368" cm="1">
        <f t="array" ref="J1368">IF(OR(AND(I1368=9,J$1&gt;YEAR($N1368))),9,_xlfn.IFNA(INDEX($D$2:$D$4001,_xlfn.XMATCH(J$1&amp;"-"&amp;$F1368,YEAR($B$2:$B$4001)&amp;"-"&amp;$A$2:$A$4001,0,-1)),I1368))</f>
        <v>4</v>
      </c>
      <c r="K1368" cm="1">
        <f t="array" ref="K1368">IF(OR(AND(J1368=9,K$1&gt;YEAR($N1368))),9,_xlfn.IFNA(INDEX($D$2:$D$4001,_xlfn.XMATCH(K$1&amp;"-"&amp;$F1368,YEAR($B$2:$B$4001)&amp;"-"&amp;$A$2:$A$4001,0,-1)),J1368))</f>
        <v>4</v>
      </c>
      <c r="L1368" cm="1">
        <f t="array" ref="L1368">IF(OR(AND(K1368=9,L$1&gt;YEAR($N1368))),9,_xlfn.IFNA(INDEX($D$2:$D$4001,_xlfn.XMATCH(L$1&amp;"-"&amp;$F1368,YEAR($B$2:$B$4001)&amp;"-"&amp;$A$2:$A$4001,0,-1)),K1368))</f>
        <v>4</v>
      </c>
      <c r="M1368" cm="1">
        <f t="array" ref="M1368">IF(OR(AND(L1368=9,M$1&gt;YEAR($N1368))),9,_xlfn.IFNA(INDEX($D$2:$D$4001,_xlfn.XMATCH(M$1&amp;"-"&amp;$F1368,YEAR($B$2:$B$4001)&amp;"-"&amp;$A$2:$A$4001,0,-1)),L1368))</f>
        <v>4</v>
      </c>
      <c r="N1368" s="1">
        <f t="shared" si="21"/>
        <v>37164</v>
      </c>
    </row>
    <row r="1369" spans="1:14" x14ac:dyDescent="0.35">
      <c r="A1369">
        <v>652</v>
      </c>
      <c r="B1369" s="2">
        <v>37762</v>
      </c>
      <c r="C1369">
        <v>0</v>
      </c>
      <c r="D1369">
        <v>0</v>
      </c>
      <c r="F1369">
        <v>1368</v>
      </c>
      <c r="G1369" cm="1">
        <f t="array" ref="G1369">_xlfn.IFNA(INDEX($D$2:$D$4001,_xlfn.XMATCH(G$1&amp;"-"&amp;$F1369,YEAR($B$2:$B$4001)&amp;"-"&amp;$A$2:$A$4001,0,-1)),9)</f>
        <v>9</v>
      </c>
      <c r="H1369" cm="1">
        <f t="array" ref="H1369">IF(OR(AND(G1369=9,H$1&gt;YEAR($N1369))),9,_xlfn.IFNA(INDEX($D$2:$D$4001,_xlfn.XMATCH(H$1&amp;"-"&amp;$F1369,YEAR($B$2:$B$4001)&amp;"-"&amp;$A$2:$A$4001,0,-1)),G1369))</f>
        <v>9</v>
      </c>
      <c r="I1369" cm="1">
        <f t="array" ref="I1369">IF(OR(AND(H1369=9,I$1&gt;YEAR($N1369))),9,_xlfn.IFNA(INDEX($D$2:$D$4001,_xlfn.XMATCH(I$1&amp;"-"&amp;$F1369,YEAR($B$2:$B$4001)&amp;"-"&amp;$A$2:$A$4001,0,-1)),H1369))</f>
        <v>4</v>
      </c>
      <c r="J1369" cm="1">
        <f t="array" ref="J1369">IF(OR(AND(I1369=9,J$1&gt;YEAR($N1369))),9,_xlfn.IFNA(INDEX($D$2:$D$4001,_xlfn.XMATCH(J$1&amp;"-"&amp;$F1369,YEAR($B$2:$B$4001)&amp;"-"&amp;$A$2:$A$4001,0,-1)),I1369))</f>
        <v>4</v>
      </c>
      <c r="K1369" cm="1">
        <f t="array" ref="K1369">IF(OR(AND(J1369=9,K$1&gt;YEAR($N1369))),9,_xlfn.IFNA(INDEX($D$2:$D$4001,_xlfn.XMATCH(K$1&amp;"-"&amp;$F1369,YEAR($B$2:$B$4001)&amp;"-"&amp;$A$2:$A$4001,0,-1)),J1369))</f>
        <v>4</v>
      </c>
      <c r="L1369" cm="1">
        <f t="array" ref="L1369">IF(OR(AND(K1369=9,L$1&gt;YEAR($N1369))),9,_xlfn.IFNA(INDEX($D$2:$D$4001,_xlfn.XMATCH(L$1&amp;"-"&amp;$F1369,YEAR($B$2:$B$4001)&amp;"-"&amp;$A$2:$A$4001,0,-1)),K1369))</f>
        <v>4</v>
      </c>
      <c r="M1369" cm="1">
        <f t="array" ref="M1369">IF(OR(AND(L1369=9,M$1&gt;YEAR($N1369))),9,_xlfn.IFNA(INDEX($D$2:$D$4001,_xlfn.XMATCH(M$1&amp;"-"&amp;$F1369,YEAR($B$2:$B$4001)&amp;"-"&amp;$A$2:$A$4001,0,-1)),L1369))</f>
        <v>4</v>
      </c>
      <c r="N1369" s="1">
        <f t="shared" si="21"/>
        <v>37032</v>
      </c>
    </row>
    <row r="1370" spans="1:14" x14ac:dyDescent="0.35">
      <c r="A1370">
        <v>653</v>
      </c>
      <c r="B1370" s="2">
        <v>37155</v>
      </c>
      <c r="C1370">
        <v>4</v>
      </c>
      <c r="D1370">
        <v>4</v>
      </c>
      <c r="F1370">
        <v>1369</v>
      </c>
      <c r="G1370" cm="1">
        <f t="array" ref="G1370">_xlfn.IFNA(INDEX($D$2:$D$4001,_xlfn.XMATCH(G$1&amp;"-"&amp;$F1370,YEAR($B$2:$B$4001)&amp;"-"&amp;$A$2:$A$4001,0,-1)),9)</f>
        <v>9</v>
      </c>
      <c r="H1370" cm="1">
        <f t="array" ref="H1370">IF(OR(AND(G1370=9,H$1&gt;YEAR($N1370))),9,_xlfn.IFNA(INDEX($D$2:$D$4001,_xlfn.XMATCH(H$1&amp;"-"&amp;$F1370,YEAR($B$2:$B$4001)&amp;"-"&amp;$A$2:$A$4001,0,-1)),G1370))</f>
        <v>9</v>
      </c>
      <c r="I1370" cm="1">
        <f t="array" ref="I1370">IF(OR(AND(H1370=9,I$1&gt;YEAR($N1370))),9,_xlfn.IFNA(INDEX($D$2:$D$4001,_xlfn.XMATCH(I$1&amp;"-"&amp;$F1370,YEAR($B$2:$B$4001)&amp;"-"&amp;$A$2:$A$4001,0,-1)),H1370))</f>
        <v>9</v>
      </c>
      <c r="J1370" cm="1">
        <f t="array" ref="J1370">IF(OR(AND(I1370=9,J$1&gt;YEAR($N1370))),9,_xlfn.IFNA(INDEX($D$2:$D$4001,_xlfn.XMATCH(J$1&amp;"-"&amp;$F1370,YEAR($B$2:$B$4001)&amp;"-"&amp;$A$2:$A$4001,0,-1)),I1370))</f>
        <v>9</v>
      </c>
      <c r="K1370" cm="1">
        <f t="array" ref="K1370">IF(OR(AND(J1370=9,K$1&gt;YEAR($N1370))),9,_xlfn.IFNA(INDEX($D$2:$D$4001,_xlfn.XMATCH(K$1&amp;"-"&amp;$F1370,YEAR($B$2:$B$4001)&amp;"-"&amp;$A$2:$A$4001,0,-1)),J1370))</f>
        <v>9</v>
      </c>
      <c r="L1370" cm="1">
        <f t="array" ref="L1370">IF(OR(AND(K1370=9,L$1&gt;YEAR($N1370))),9,_xlfn.IFNA(INDEX($D$2:$D$4001,_xlfn.XMATCH(L$1&amp;"-"&amp;$F1370,YEAR($B$2:$B$4001)&amp;"-"&amp;$A$2:$A$4001,0,-1)),K1370))</f>
        <v>3</v>
      </c>
      <c r="M1370" cm="1">
        <f t="array" ref="M1370">IF(OR(AND(L1370=9,M$1&gt;YEAR($N1370))),9,_xlfn.IFNA(INDEX($D$2:$D$4001,_xlfn.XMATCH(M$1&amp;"-"&amp;$F1370,YEAR($B$2:$B$4001)&amp;"-"&amp;$A$2:$A$4001,0,-1)),L1370))</f>
        <v>0</v>
      </c>
      <c r="N1370" s="1">
        <f t="shared" si="21"/>
        <v>38351</v>
      </c>
    </row>
    <row r="1371" spans="1:14" x14ac:dyDescent="0.35">
      <c r="A1371">
        <v>653</v>
      </c>
      <c r="B1371" s="2">
        <v>38716</v>
      </c>
      <c r="C1371">
        <v>4</v>
      </c>
      <c r="D1371">
        <v>4</v>
      </c>
      <c r="F1371">
        <v>1370</v>
      </c>
      <c r="G1371" cm="1">
        <f t="array" ref="G1371">_xlfn.IFNA(INDEX($D$2:$D$4001,_xlfn.XMATCH(G$1&amp;"-"&amp;$F1371,YEAR($B$2:$B$4001)&amp;"-"&amp;$A$2:$A$4001,0,-1)),9)</f>
        <v>4</v>
      </c>
      <c r="H1371" cm="1">
        <f t="array" ref="H1371">IF(OR(AND(G1371=9,H$1&gt;YEAR($N1371))),9,_xlfn.IFNA(INDEX($D$2:$D$4001,_xlfn.XMATCH(H$1&amp;"-"&amp;$F1371,YEAR($B$2:$B$4001)&amp;"-"&amp;$A$2:$A$4001,0,-1)),G1371))</f>
        <v>4</v>
      </c>
      <c r="I1371" cm="1">
        <f t="array" ref="I1371">IF(OR(AND(H1371=9,I$1&gt;YEAR($N1371))),9,_xlfn.IFNA(INDEX($D$2:$D$4001,_xlfn.XMATCH(I$1&amp;"-"&amp;$F1371,YEAR($B$2:$B$4001)&amp;"-"&amp;$A$2:$A$4001,0,-1)),H1371))</f>
        <v>4</v>
      </c>
      <c r="J1371" cm="1">
        <f t="array" ref="J1371">IF(OR(AND(I1371=9,J$1&gt;YEAR($N1371))),9,_xlfn.IFNA(INDEX($D$2:$D$4001,_xlfn.XMATCH(J$1&amp;"-"&amp;$F1371,YEAR($B$2:$B$4001)&amp;"-"&amp;$A$2:$A$4001,0,-1)),I1371))</f>
        <v>4</v>
      </c>
      <c r="K1371" cm="1">
        <f t="array" ref="K1371">IF(OR(AND(J1371=9,K$1&gt;YEAR($N1371))),9,_xlfn.IFNA(INDEX($D$2:$D$4001,_xlfn.XMATCH(K$1&amp;"-"&amp;$F1371,YEAR($B$2:$B$4001)&amp;"-"&amp;$A$2:$A$4001,0,-1)),J1371))</f>
        <v>4</v>
      </c>
      <c r="L1371" cm="1">
        <f t="array" ref="L1371">IF(OR(AND(K1371=9,L$1&gt;YEAR($N1371))),9,_xlfn.IFNA(INDEX($D$2:$D$4001,_xlfn.XMATCH(L$1&amp;"-"&amp;$F1371,YEAR($B$2:$B$4001)&amp;"-"&amp;$A$2:$A$4001,0,-1)),K1371))</f>
        <v>4</v>
      </c>
      <c r="M1371" cm="1">
        <f t="array" ref="M1371">IF(OR(AND(L1371=9,M$1&gt;YEAR($N1371))),9,_xlfn.IFNA(INDEX($D$2:$D$4001,_xlfn.XMATCH(M$1&amp;"-"&amp;$F1371,YEAR($B$2:$B$4001)&amp;"-"&amp;$A$2:$A$4001,0,-1)),L1371))</f>
        <v>4</v>
      </c>
      <c r="N1371" s="1">
        <f t="shared" si="21"/>
        <v>36371</v>
      </c>
    </row>
    <row r="1372" spans="1:14" x14ac:dyDescent="0.35">
      <c r="A1372">
        <v>654</v>
      </c>
      <c r="B1372" s="2">
        <v>36301</v>
      </c>
      <c r="C1372">
        <v>4</v>
      </c>
      <c r="D1372">
        <v>4</v>
      </c>
      <c r="F1372">
        <v>1371</v>
      </c>
      <c r="G1372" cm="1">
        <f t="array" ref="G1372">_xlfn.IFNA(INDEX($D$2:$D$4001,_xlfn.XMATCH(G$1&amp;"-"&amp;$F1372,YEAR($B$2:$B$4001)&amp;"-"&amp;$A$2:$A$4001,0,-1)),9)</f>
        <v>9</v>
      </c>
      <c r="H1372" cm="1">
        <f t="array" ref="H1372">IF(OR(AND(G1372=9,H$1&gt;YEAR($N1372))),9,_xlfn.IFNA(INDEX($D$2:$D$4001,_xlfn.XMATCH(H$1&amp;"-"&amp;$F1372,YEAR($B$2:$B$4001)&amp;"-"&amp;$A$2:$A$4001,0,-1)),G1372))</f>
        <v>9</v>
      </c>
      <c r="I1372" cm="1">
        <f t="array" ref="I1372">IF(OR(AND(H1372=9,I$1&gt;YEAR($N1372))),9,_xlfn.IFNA(INDEX($D$2:$D$4001,_xlfn.XMATCH(I$1&amp;"-"&amp;$F1372,YEAR($B$2:$B$4001)&amp;"-"&amp;$A$2:$A$4001,0,-1)),H1372))</f>
        <v>0</v>
      </c>
      <c r="J1372" cm="1">
        <f t="array" ref="J1372">IF(OR(AND(I1372=9,J$1&gt;YEAR($N1372))),9,_xlfn.IFNA(INDEX($D$2:$D$4001,_xlfn.XMATCH(J$1&amp;"-"&amp;$F1372,YEAR($B$2:$B$4001)&amp;"-"&amp;$A$2:$A$4001,0,-1)),I1372))</f>
        <v>0</v>
      </c>
      <c r="K1372" cm="1">
        <f t="array" ref="K1372">IF(OR(AND(J1372=9,K$1&gt;YEAR($N1372))),9,_xlfn.IFNA(INDEX($D$2:$D$4001,_xlfn.XMATCH(K$1&amp;"-"&amp;$F1372,YEAR($B$2:$B$4001)&amp;"-"&amp;$A$2:$A$4001,0,-1)),J1372))</f>
        <v>0</v>
      </c>
      <c r="L1372" cm="1">
        <f t="array" ref="L1372">IF(OR(AND(K1372=9,L$1&gt;YEAR($N1372))),9,_xlfn.IFNA(INDEX($D$2:$D$4001,_xlfn.XMATCH(L$1&amp;"-"&amp;$F1372,YEAR($B$2:$B$4001)&amp;"-"&amp;$A$2:$A$4001,0,-1)),K1372))</f>
        <v>0</v>
      </c>
      <c r="M1372" cm="1">
        <f t="array" ref="M1372">IF(OR(AND(L1372=9,M$1&gt;YEAR($N1372))),9,_xlfn.IFNA(INDEX($D$2:$D$4001,_xlfn.XMATCH(M$1&amp;"-"&amp;$F1372,YEAR($B$2:$B$4001)&amp;"-"&amp;$A$2:$A$4001,0,-1)),L1372))</f>
        <v>0</v>
      </c>
      <c r="N1372" s="1">
        <f t="shared" si="21"/>
        <v>37255</v>
      </c>
    </row>
    <row r="1373" spans="1:14" x14ac:dyDescent="0.35">
      <c r="A1373">
        <v>654</v>
      </c>
      <c r="B1373" s="2">
        <v>37225</v>
      </c>
      <c r="C1373">
        <v>0</v>
      </c>
      <c r="D1373">
        <v>0</v>
      </c>
      <c r="F1373">
        <v>1372</v>
      </c>
      <c r="G1373" cm="1">
        <f t="array" ref="G1373">_xlfn.IFNA(INDEX($D$2:$D$4001,_xlfn.XMATCH(G$1&amp;"-"&amp;$F1373,YEAR($B$2:$B$4001)&amp;"-"&amp;$A$2:$A$4001,0,-1)),9)</f>
        <v>9</v>
      </c>
      <c r="H1373" cm="1">
        <f t="array" ref="H1373">IF(OR(AND(G1373=9,H$1&gt;YEAR($N1373))),9,_xlfn.IFNA(INDEX($D$2:$D$4001,_xlfn.XMATCH(H$1&amp;"-"&amp;$F1373,YEAR($B$2:$B$4001)&amp;"-"&amp;$A$2:$A$4001,0,-1)),G1373))</f>
        <v>9</v>
      </c>
      <c r="I1373" cm="1">
        <f t="array" ref="I1373">IF(OR(AND(H1373=9,I$1&gt;YEAR($N1373))),9,_xlfn.IFNA(INDEX($D$2:$D$4001,_xlfn.XMATCH(I$1&amp;"-"&amp;$F1373,YEAR($B$2:$B$4001)&amp;"-"&amp;$A$2:$A$4001,0,-1)),H1373))</f>
        <v>9</v>
      </c>
      <c r="J1373" cm="1">
        <f t="array" ref="J1373">IF(OR(AND(I1373=9,J$1&gt;YEAR($N1373))),9,_xlfn.IFNA(INDEX($D$2:$D$4001,_xlfn.XMATCH(J$1&amp;"-"&amp;$F1373,YEAR($B$2:$B$4001)&amp;"-"&amp;$A$2:$A$4001,0,-1)),I1373))</f>
        <v>9</v>
      </c>
      <c r="K1373" cm="1">
        <f t="array" ref="K1373">IF(OR(AND(J1373=9,K$1&gt;YEAR($N1373))),9,_xlfn.IFNA(INDEX($D$2:$D$4001,_xlfn.XMATCH(K$1&amp;"-"&amp;$F1373,YEAR($B$2:$B$4001)&amp;"-"&amp;$A$2:$A$4001,0,-1)),J1373))</f>
        <v>9</v>
      </c>
      <c r="L1373" cm="1">
        <f t="array" ref="L1373">IF(OR(AND(K1373=9,L$1&gt;YEAR($N1373))),9,_xlfn.IFNA(INDEX($D$2:$D$4001,_xlfn.XMATCH(L$1&amp;"-"&amp;$F1373,YEAR($B$2:$B$4001)&amp;"-"&amp;$A$2:$A$4001,0,-1)),K1373))</f>
        <v>0</v>
      </c>
      <c r="M1373" cm="1">
        <f t="array" ref="M1373">IF(OR(AND(L1373=9,M$1&gt;YEAR($N1373))),9,_xlfn.IFNA(INDEX($D$2:$D$4001,_xlfn.XMATCH(M$1&amp;"-"&amp;$F1373,YEAR($B$2:$B$4001)&amp;"-"&amp;$A$2:$A$4001,0,-1)),L1373))</f>
        <v>0</v>
      </c>
      <c r="N1373" s="1">
        <f t="shared" si="21"/>
        <v>38342</v>
      </c>
    </row>
    <row r="1374" spans="1:14" x14ac:dyDescent="0.35">
      <c r="A1374">
        <v>655</v>
      </c>
      <c r="B1374" s="2">
        <v>37246</v>
      </c>
      <c r="C1374">
        <v>2</v>
      </c>
      <c r="D1374">
        <v>2</v>
      </c>
      <c r="F1374">
        <v>1373</v>
      </c>
      <c r="G1374" cm="1">
        <f t="array" ref="G1374">_xlfn.IFNA(INDEX($D$2:$D$4001,_xlfn.XMATCH(G$1&amp;"-"&amp;$F1374,YEAR($B$2:$B$4001)&amp;"-"&amp;$A$2:$A$4001,0,-1)),9)</f>
        <v>7</v>
      </c>
      <c r="H1374" cm="1">
        <f t="array" ref="H1374">IF(OR(AND(G1374=9,H$1&gt;YEAR($N1374))),9,_xlfn.IFNA(INDEX($D$2:$D$4001,_xlfn.XMATCH(H$1&amp;"-"&amp;$F1374,YEAR($B$2:$B$4001)&amp;"-"&amp;$A$2:$A$4001,0,-1)),G1374))</f>
        <v>7</v>
      </c>
      <c r="I1374" cm="1">
        <f t="array" ref="I1374">IF(OR(AND(H1374=9,I$1&gt;YEAR($N1374))),9,_xlfn.IFNA(INDEX($D$2:$D$4001,_xlfn.XMATCH(I$1&amp;"-"&amp;$F1374,YEAR($B$2:$B$4001)&amp;"-"&amp;$A$2:$A$4001,0,-1)),H1374))</f>
        <v>0</v>
      </c>
      <c r="J1374" cm="1">
        <f t="array" ref="J1374">IF(OR(AND(I1374=9,J$1&gt;YEAR($N1374))),9,_xlfn.IFNA(INDEX($D$2:$D$4001,_xlfn.XMATCH(J$1&amp;"-"&amp;$F1374,YEAR($B$2:$B$4001)&amp;"-"&amp;$A$2:$A$4001,0,-1)),I1374))</f>
        <v>0</v>
      </c>
      <c r="K1374" cm="1">
        <f t="array" ref="K1374">IF(OR(AND(J1374=9,K$1&gt;YEAR($N1374))),9,_xlfn.IFNA(INDEX($D$2:$D$4001,_xlfn.XMATCH(K$1&amp;"-"&amp;$F1374,YEAR($B$2:$B$4001)&amp;"-"&amp;$A$2:$A$4001,0,-1)),J1374))</f>
        <v>0</v>
      </c>
      <c r="L1374" cm="1">
        <f t="array" ref="L1374">IF(OR(AND(K1374=9,L$1&gt;YEAR($N1374))),9,_xlfn.IFNA(INDEX($D$2:$D$4001,_xlfn.XMATCH(L$1&amp;"-"&amp;$F1374,YEAR($B$2:$B$4001)&amp;"-"&amp;$A$2:$A$4001,0,-1)),K1374))</f>
        <v>0</v>
      </c>
      <c r="M1374" cm="1">
        <f t="array" ref="M1374">IF(OR(AND(L1374=9,M$1&gt;YEAR($N1374))),9,_xlfn.IFNA(INDEX($D$2:$D$4001,_xlfn.XMATCH(M$1&amp;"-"&amp;$F1374,YEAR($B$2:$B$4001)&amp;"-"&amp;$A$2:$A$4001,0,-1)),L1374))</f>
        <v>0</v>
      </c>
      <c r="N1374" s="1">
        <f t="shared" si="21"/>
        <v>36301</v>
      </c>
    </row>
    <row r="1375" spans="1:14" x14ac:dyDescent="0.35">
      <c r="A1375">
        <v>656</v>
      </c>
      <c r="B1375" s="2">
        <v>37127</v>
      </c>
      <c r="C1375">
        <v>2</v>
      </c>
      <c r="D1375">
        <v>2</v>
      </c>
      <c r="F1375">
        <v>1374</v>
      </c>
      <c r="G1375" cm="1">
        <f t="array" ref="G1375">_xlfn.IFNA(INDEX($D$2:$D$4001,_xlfn.XMATCH(G$1&amp;"-"&amp;$F1375,YEAR($B$2:$B$4001)&amp;"-"&amp;$A$2:$A$4001,0,-1)),9)</f>
        <v>5</v>
      </c>
      <c r="H1375" cm="1">
        <f t="array" ref="H1375">IF(OR(AND(G1375=9,H$1&gt;YEAR($N1375))),9,_xlfn.IFNA(INDEX($D$2:$D$4001,_xlfn.XMATCH(H$1&amp;"-"&amp;$F1375,YEAR($B$2:$B$4001)&amp;"-"&amp;$A$2:$A$4001,0,-1)),G1375))</f>
        <v>5</v>
      </c>
      <c r="I1375" cm="1">
        <f t="array" ref="I1375">IF(OR(AND(H1375=9,I$1&gt;YEAR($N1375))),9,_xlfn.IFNA(INDEX($D$2:$D$4001,_xlfn.XMATCH(I$1&amp;"-"&amp;$F1375,YEAR($B$2:$B$4001)&amp;"-"&amp;$A$2:$A$4001,0,-1)),H1375))</f>
        <v>4</v>
      </c>
      <c r="J1375" cm="1">
        <f t="array" ref="J1375">IF(OR(AND(I1375=9,J$1&gt;YEAR($N1375))),9,_xlfn.IFNA(INDEX($D$2:$D$4001,_xlfn.XMATCH(J$1&amp;"-"&amp;$F1375,YEAR($B$2:$B$4001)&amp;"-"&amp;$A$2:$A$4001,0,-1)),I1375))</f>
        <v>4</v>
      </c>
      <c r="K1375" cm="1">
        <f t="array" ref="K1375">IF(OR(AND(J1375=9,K$1&gt;YEAR($N1375))),9,_xlfn.IFNA(INDEX($D$2:$D$4001,_xlfn.XMATCH(K$1&amp;"-"&amp;$F1375,YEAR($B$2:$B$4001)&amp;"-"&amp;$A$2:$A$4001,0,-1)),J1375))</f>
        <v>4</v>
      </c>
      <c r="L1375" cm="1">
        <f t="array" ref="L1375">IF(OR(AND(K1375=9,L$1&gt;YEAR($N1375))),9,_xlfn.IFNA(INDEX($D$2:$D$4001,_xlfn.XMATCH(L$1&amp;"-"&amp;$F1375,YEAR($B$2:$B$4001)&amp;"-"&amp;$A$2:$A$4001,0,-1)),K1375))</f>
        <v>4</v>
      </c>
      <c r="M1375" cm="1">
        <f t="array" ref="M1375">IF(OR(AND(L1375=9,M$1&gt;YEAR($N1375))),9,_xlfn.IFNA(INDEX($D$2:$D$4001,_xlfn.XMATCH(M$1&amp;"-"&amp;$F1375,YEAR($B$2:$B$4001)&amp;"-"&amp;$A$2:$A$4001,0,-1)),L1375))</f>
        <v>4</v>
      </c>
      <c r="N1375" s="1">
        <f t="shared" si="21"/>
        <v>36301</v>
      </c>
    </row>
    <row r="1376" spans="1:14" x14ac:dyDescent="0.35">
      <c r="A1376">
        <v>656</v>
      </c>
      <c r="B1376" s="2">
        <v>37255</v>
      </c>
      <c r="C1376">
        <v>1</v>
      </c>
      <c r="D1376">
        <v>1</v>
      </c>
      <c r="F1376">
        <v>1375</v>
      </c>
      <c r="G1376" cm="1">
        <f t="array" ref="G1376">_xlfn.IFNA(INDEX($D$2:$D$4001,_xlfn.XMATCH(G$1&amp;"-"&amp;$F1376,YEAR($B$2:$B$4001)&amp;"-"&amp;$A$2:$A$4001,0,-1)),9)</f>
        <v>9</v>
      </c>
      <c r="H1376" cm="1">
        <f t="array" ref="H1376">IF(OR(AND(G1376=9,H$1&gt;YEAR($N1376))),9,_xlfn.IFNA(INDEX($D$2:$D$4001,_xlfn.XMATCH(H$1&amp;"-"&amp;$F1376,YEAR($B$2:$B$4001)&amp;"-"&amp;$A$2:$A$4001,0,-1)),G1376))</f>
        <v>9</v>
      </c>
      <c r="I1376" cm="1">
        <f t="array" ref="I1376">IF(OR(AND(H1376=9,I$1&gt;YEAR($N1376))),9,_xlfn.IFNA(INDEX($D$2:$D$4001,_xlfn.XMATCH(I$1&amp;"-"&amp;$F1376,YEAR($B$2:$B$4001)&amp;"-"&amp;$A$2:$A$4001,0,-1)),H1376))</f>
        <v>9</v>
      </c>
      <c r="J1376" cm="1">
        <f t="array" ref="J1376">IF(OR(AND(I1376=9,J$1&gt;YEAR($N1376))),9,_xlfn.IFNA(INDEX($D$2:$D$4001,_xlfn.XMATCH(J$1&amp;"-"&amp;$F1376,YEAR($B$2:$B$4001)&amp;"-"&amp;$A$2:$A$4001,0,-1)),I1376))</f>
        <v>3</v>
      </c>
      <c r="K1376" cm="1">
        <f t="array" ref="K1376">IF(OR(AND(J1376=9,K$1&gt;YEAR($N1376))),9,_xlfn.IFNA(INDEX($D$2:$D$4001,_xlfn.XMATCH(K$1&amp;"-"&amp;$F1376,YEAR($B$2:$B$4001)&amp;"-"&amp;$A$2:$A$4001,0,-1)),J1376))</f>
        <v>3</v>
      </c>
      <c r="L1376" cm="1">
        <f t="array" ref="L1376">IF(OR(AND(K1376=9,L$1&gt;YEAR($N1376))),9,_xlfn.IFNA(INDEX($D$2:$D$4001,_xlfn.XMATCH(L$1&amp;"-"&amp;$F1376,YEAR($B$2:$B$4001)&amp;"-"&amp;$A$2:$A$4001,0,-1)),K1376))</f>
        <v>3</v>
      </c>
      <c r="M1376" cm="1">
        <f t="array" ref="M1376">IF(OR(AND(L1376=9,M$1&gt;YEAR($N1376))),9,_xlfn.IFNA(INDEX($D$2:$D$4001,_xlfn.XMATCH(M$1&amp;"-"&amp;$F1376,YEAR($B$2:$B$4001)&amp;"-"&amp;$A$2:$A$4001,0,-1)),L1376))</f>
        <v>3</v>
      </c>
      <c r="N1376" s="1">
        <f t="shared" si="21"/>
        <v>37620</v>
      </c>
    </row>
    <row r="1377" spans="1:14" x14ac:dyDescent="0.35">
      <c r="A1377">
        <v>656</v>
      </c>
      <c r="B1377" s="2">
        <v>38128</v>
      </c>
      <c r="C1377">
        <v>2</v>
      </c>
      <c r="D1377">
        <v>2</v>
      </c>
      <c r="F1377">
        <v>1376</v>
      </c>
      <c r="G1377" cm="1">
        <f t="array" ref="G1377">_xlfn.IFNA(INDEX($D$2:$D$4001,_xlfn.XMATCH(G$1&amp;"-"&amp;$F1377,YEAR($B$2:$B$4001)&amp;"-"&amp;$A$2:$A$4001,0,-1)),9)</f>
        <v>9</v>
      </c>
      <c r="H1377" cm="1">
        <f t="array" ref="H1377">IF(OR(AND(G1377=9,H$1&gt;YEAR($N1377))),9,_xlfn.IFNA(INDEX($D$2:$D$4001,_xlfn.XMATCH(H$1&amp;"-"&amp;$F1377,YEAR($B$2:$B$4001)&amp;"-"&amp;$A$2:$A$4001,0,-1)),G1377))</f>
        <v>9</v>
      </c>
      <c r="I1377" cm="1">
        <f t="array" ref="I1377">IF(OR(AND(H1377=9,I$1&gt;YEAR($N1377))),9,_xlfn.IFNA(INDEX($D$2:$D$4001,_xlfn.XMATCH(I$1&amp;"-"&amp;$F1377,YEAR($B$2:$B$4001)&amp;"-"&amp;$A$2:$A$4001,0,-1)),H1377))</f>
        <v>9</v>
      </c>
      <c r="J1377" cm="1">
        <f t="array" ref="J1377">IF(OR(AND(I1377=9,J$1&gt;YEAR($N1377))),9,_xlfn.IFNA(INDEX($D$2:$D$4001,_xlfn.XMATCH(J$1&amp;"-"&amp;$F1377,YEAR($B$2:$B$4001)&amp;"-"&amp;$A$2:$A$4001,0,-1)),I1377))</f>
        <v>1</v>
      </c>
      <c r="K1377" cm="1">
        <f t="array" ref="K1377">IF(OR(AND(J1377=9,K$1&gt;YEAR($N1377))),9,_xlfn.IFNA(INDEX($D$2:$D$4001,_xlfn.XMATCH(K$1&amp;"-"&amp;$F1377,YEAR($B$2:$B$4001)&amp;"-"&amp;$A$2:$A$4001,0,-1)),J1377))</f>
        <v>1</v>
      </c>
      <c r="L1377" cm="1">
        <f t="array" ref="L1377">IF(OR(AND(K1377=9,L$1&gt;YEAR($N1377))),9,_xlfn.IFNA(INDEX($D$2:$D$4001,_xlfn.XMATCH(L$1&amp;"-"&amp;$F1377,YEAR($B$2:$B$4001)&amp;"-"&amp;$A$2:$A$4001,0,-1)),K1377))</f>
        <v>1</v>
      </c>
      <c r="M1377" cm="1">
        <f t="array" ref="M1377">IF(OR(AND(L1377=9,M$1&gt;YEAR($N1377))),9,_xlfn.IFNA(INDEX($D$2:$D$4001,_xlfn.XMATCH(M$1&amp;"-"&amp;$F1377,YEAR($B$2:$B$4001)&amp;"-"&amp;$A$2:$A$4001,0,-1)),L1377))</f>
        <v>1</v>
      </c>
      <c r="N1377" s="1">
        <f t="shared" si="21"/>
        <v>37489</v>
      </c>
    </row>
    <row r="1378" spans="1:14" x14ac:dyDescent="0.35">
      <c r="A1378">
        <v>657</v>
      </c>
      <c r="B1378" s="2">
        <v>37218</v>
      </c>
      <c r="C1378">
        <v>2</v>
      </c>
      <c r="D1378">
        <v>2</v>
      </c>
      <c r="F1378">
        <v>1377</v>
      </c>
      <c r="G1378" cm="1">
        <f t="array" ref="G1378">_xlfn.IFNA(INDEX($D$2:$D$4001,_xlfn.XMATCH(G$1&amp;"-"&amp;$F1378,YEAR($B$2:$B$4001)&amp;"-"&amp;$A$2:$A$4001,0,-1)),9)</f>
        <v>9</v>
      </c>
      <c r="H1378" cm="1">
        <f t="array" ref="H1378">IF(OR(AND(G1378=9,H$1&gt;YEAR($N1378))),9,_xlfn.IFNA(INDEX($D$2:$D$4001,_xlfn.XMATCH(H$1&amp;"-"&amp;$F1378,YEAR($B$2:$B$4001)&amp;"-"&amp;$A$2:$A$4001,0,-1)),G1378))</f>
        <v>9</v>
      </c>
      <c r="I1378" cm="1">
        <f t="array" ref="I1378">IF(OR(AND(H1378=9,I$1&gt;YEAR($N1378))),9,_xlfn.IFNA(INDEX($D$2:$D$4001,_xlfn.XMATCH(I$1&amp;"-"&amp;$F1378,YEAR($B$2:$B$4001)&amp;"-"&amp;$A$2:$A$4001,0,-1)),H1378))</f>
        <v>9</v>
      </c>
      <c r="J1378" cm="1">
        <f t="array" ref="J1378">IF(OR(AND(I1378=9,J$1&gt;YEAR($N1378))),9,_xlfn.IFNA(INDEX($D$2:$D$4001,_xlfn.XMATCH(J$1&amp;"-"&amp;$F1378,YEAR($B$2:$B$4001)&amp;"-"&amp;$A$2:$A$4001,0,-1)),I1378))</f>
        <v>9</v>
      </c>
      <c r="K1378" cm="1">
        <f t="array" ref="K1378">IF(OR(AND(J1378=9,K$1&gt;YEAR($N1378))),9,_xlfn.IFNA(INDEX($D$2:$D$4001,_xlfn.XMATCH(K$1&amp;"-"&amp;$F1378,YEAR($B$2:$B$4001)&amp;"-"&amp;$A$2:$A$4001,0,-1)),J1378))</f>
        <v>3</v>
      </c>
      <c r="L1378" cm="1">
        <f t="array" ref="L1378">IF(OR(AND(K1378=9,L$1&gt;YEAR($N1378))),9,_xlfn.IFNA(INDEX($D$2:$D$4001,_xlfn.XMATCH(L$1&amp;"-"&amp;$F1378,YEAR($B$2:$B$4001)&amp;"-"&amp;$A$2:$A$4001,0,-1)),K1378))</f>
        <v>3</v>
      </c>
      <c r="M1378" cm="1">
        <f t="array" ref="M1378">IF(OR(AND(L1378=9,M$1&gt;YEAR($N1378))),9,_xlfn.IFNA(INDEX($D$2:$D$4001,_xlfn.XMATCH(M$1&amp;"-"&amp;$F1378,YEAR($B$2:$B$4001)&amp;"-"&amp;$A$2:$A$4001,0,-1)),L1378))</f>
        <v>3</v>
      </c>
      <c r="N1378" s="1">
        <f t="shared" si="21"/>
        <v>37762</v>
      </c>
    </row>
    <row r="1379" spans="1:14" x14ac:dyDescent="0.35">
      <c r="A1379">
        <v>657</v>
      </c>
      <c r="B1379" s="2">
        <v>37255</v>
      </c>
      <c r="C1379">
        <v>2</v>
      </c>
      <c r="D1379">
        <v>2</v>
      </c>
      <c r="F1379">
        <v>1378</v>
      </c>
      <c r="G1379" cm="1">
        <f t="array" ref="G1379">_xlfn.IFNA(INDEX($D$2:$D$4001,_xlfn.XMATCH(G$1&amp;"-"&amp;$F1379,YEAR($B$2:$B$4001)&amp;"-"&amp;$A$2:$A$4001,0,-1)),9)</f>
        <v>9</v>
      </c>
      <c r="H1379" cm="1">
        <f t="array" ref="H1379">IF(OR(AND(G1379=9,H$1&gt;YEAR($N1379))),9,_xlfn.IFNA(INDEX($D$2:$D$4001,_xlfn.XMATCH(H$1&amp;"-"&amp;$F1379,YEAR($B$2:$B$4001)&amp;"-"&amp;$A$2:$A$4001,0,-1)),G1379))</f>
        <v>9</v>
      </c>
      <c r="I1379" cm="1">
        <f t="array" ref="I1379">IF(OR(AND(H1379=9,I$1&gt;YEAR($N1379))),9,_xlfn.IFNA(INDEX($D$2:$D$4001,_xlfn.XMATCH(I$1&amp;"-"&amp;$F1379,YEAR($B$2:$B$4001)&amp;"-"&amp;$A$2:$A$4001,0,-1)),H1379))</f>
        <v>3</v>
      </c>
      <c r="J1379" cm="1">
        <f t="array" ref="J1379">IF(OR(AND(I1379=9,J$1&gt;YEAR($N1379))),9,_xlfn.IFNA(INDEX($D$2:$D$4001,_xlfn.XMATCH(J$1&amp;"-"&amp;$F1379,YEAR($B$2:$B$4001)&amp;"-"&amp;$A$2:$A$4001,0,-1)),I1379))</f>
        <v>3</v>
      </c>
      <c r="K1379" cm="1">
        <f t="array" ref="K1379">IF(OR(AND(J1379=9,K$1&gt;YEAR($N1379))),9,_xlfn.IFNA(INDEX($D$2:$D$4001,_xlfn.XMATCH(K$1&amp;"-"&amp;$F1379,YEAR($B$2:$B$4001)&amp;"-"&amp;$A$2:$A$4001,0,-1)),J1379))</f>
        <v>3</v>
      </c>
      <c r="L1379" cm="1">
        <f t="array" ref="L1379">IF(OR(AND(K1379=9,L$1&gt;YEAR($N1379))),9,_xlfn.IFNA(INDEX($D$2:$D$4001,_xlfn.XMATCH(L$1&amp;"-"&amp;$F1379,YEAR($B$2:$B$4001)&amp;"-"&amp;$A$2:$A$4001,0,-1)),K1379))</f>
        <v>3</v>
      </c>
      <c r="M1379" cm="1">
        <f t="array" ref="M1379">IF(OR(AND(L1379=9,M$1&gt;YEAR($N1379))),9,_xlfn.IFNA(INDEX($D$2:$D$4001,_xlfn.XMATCH(M$1&amp;"-"&amp;$F1379,YEAR($B$2:$B$4001)&amp;"-"&amp;$A$2:$A$4001,0,-1)),L1379))</f>
        <v>3</v>
      </c>
      <c r="N1379" s="1">
        <f t="shared" si="21"/>
        <v>37255</v>
      </c>
    </row>
    <row r="1380" spans="1:14" x14ac:dyDescent="0.35">
      <c r="A1380">
        <v>658</v>
      </c>
      <c r="B1380" s="2">
        <v>36890</v>
      </c>
      <c r="C1380">
        <v>1</v>
      </c>
      <c r="D1380">
        <v>1</v>
      </c>
      <c r="F1380">
        <v>1379</v>
      </c>
      <c r="G1380" cm="1">
        <f t="array" ref="G1380">_xlfn.IFNA(INDEX($D$2:$D$4001,_xlfn.XMATCH(G$1&amp;"-"&amp;$F1380,YEAR($B$2:$B$4001)&amp;"-"&amp;$A$2:$A$4001,0,-1)),9)</f>
        <v>9</v>
      </c>
      <c r="H1380" cm="1">
        <f t="array" ref="H1380">IF(OR(AND(G1380=9,H$1&gt;YEAR($N1380))),9,_xlfn.IFNA(INDEX($D$2:$D$4001,_xlfn.XMATCH(H$1&amp;"-"&amp;$F1380,YEAR($B$2:$B$4001)&amp;"-"&amp;$A$2:$A$4001,0,-1)),G1380))</f>
        <v>9</v>
      </c>
      <c r="I1380" cm="1">
        <f t="array" ref="I1380">IF(OR(AND(H1380=9,I$1&gt;YEAR($N1380))),9,_xlfn.IFNA(INDEX($D$2:$D$4001,_xlfn.XMATCH(I$1&amp;"-"&amp;$F1380,YEAR($B$2:$B$4001)&amp;"-"&amp;$A$2:$A$4001,0,-1)),H1380))</f>
        <v>9</v>
      </c>
      <c r="J1380" cm="1">
        <f t="array" ref="J1380">IF(OR(AND(I1380=9,J$1&gt;YEAR($N1380))),9,_xlfn.IFNA(INDEX($D$2:$D$4001,_xlfn.XMATCH(J$1&amp;"-"&amp;$F1380,YEAR($B$2:$B$4001)&amp;"-"&amp;$A$2:$A$4001,0,-1)),I1380))</f>
        <v>4</v>
      </c>
      <c r="K1380" cm="1">
        <f t="array" ref="K1380">IF(OR(AND(J1380=9,K$1&gt;YEAR($N1380))),9,_xlfn.IFNA(INDEX($D$2:$D$4001,_xlfn.XMATCH(K$1&amp;"-"&amp;$F1380,YEAR($B$2:$B$4001)&amp;"-"&amp;$A$2:$A$4001,0,-1)),J1380))</f>
        <v>4</v>
      </c>
      <c r="L1380" cm="1">
        <f t="array" ref="L1380">IF(OR(AND(K1380=9,L$1&gt;YEAR($N1380))),9,_xlfn.IFNA(INDEX($D$2:$D$4001,_xlfn.XMATCH(L$1&amp;"-"&amp;$F1380,YEAR($B$2:$B$4001)&amp;"-"&amp;$A$2:$A$4001,0,-1)),K1380))</f>
        <v>4</v>
      </c>
      <c r="M1380" cm="1">
        <f t="array" ref="M1380">IF(OR(AND(L1380=9,M$1&gt;YEAR($N1380))),9,_xlfn.IFNA(INDEX($D$2:$D$4001,_xlfn.XMATCH(M$1&amp;"-"&amp;$F1380,YEAR($B$2:$B$4001)&amp;"-"&amp;$A$2:$A$4001,0,-1)),L1380))</f>
        <v>4</v>
      </c>
      <c r="N1380" s="1">
        <f t="shared" si="21"/>
        <v>37399</v>
      </c>
    </row>
    <row r="1381" spans="1:14" x14ac:dyDescent="0.35">
      <c r="A1381">
        <v>659</v>
      </c>
      <c r="B1381" s="2">
        <v>37620</v>
      </c>
      <c r="C1381">
        <v>3</v>
      </c>
      <c r="D1381">
        <v>3</v>
      </c>
      <c r="F1381">
        <v>1380</v>
      </c>
      <c r="G1381" cm="1">
        <f t="array" ref="G1381">_xlfn.IFNA(INDEX($D$2:$D$4001,_xlfn.XMATCH(G$1&amp;"-"&amp;$F1381,YEAR($B$2:$B$4001)&amp;"-"&amp;$A$2:$A$4001,0,-1)),9)</f>
        <v>9</v>
      </c>
      <c r="H1381" cm="1">
        <f t="array" ref="H1381">IF(OR(AND(G1381=9,H$1&gt;YEAR($N1381))),9,_xlfn.IFNA(INDEX($D$2:$D$4001,_xlfn.XMATCH(H$1&amp;"-"&amp;$F1381,YEAR($B$2:$B$4001)&amp;"-"&amp;$A$2:$A$4001,0,-1)),G1381))</f>
        <v>3</v>
      </c>
      <c r="I1381" cm="1">
        <f t="array" ref="I1381">IF(OR(AND(H1381=9,I$1&gt;YEAR($N1381))),9,_xlfn.IFNA(INDEX($D$2:$D$4001,_xlfn.XMATCH(I$1&amp;"-"&amp;$F1381,YEAR($B$2:$B$4001)&amp;"-"&amp;$A$2:$A$4001,0,-1)),H1381))</f>
        <v>6</v>
      </c>
      <c r="J1381" cm="1">
        <f t="array" ref="J1381">IF(OR(AND(I1381=9,J$1&gt;YEAR($N1381))),9,_xlfn.IFNA(INDEX($D$2:$D$4001,_xlfn.XMATCH(J$1&amp;"-"&amp;$F1381,YEAR($B$2:$B$4001)&amp;"-"&amp;$A$2:$A$4001,0,-1)),I1381))</f>
        <v>4</v>
      </c>
      <c r="K1381" cm="1">
        <f t="array" ref="K1381">IF(OR(AND(J1381=9,K$1&gt;YEAR($N1381))),9,_xlfn.IFNA(INDEX($D$2:$D$4001,_xlfn.XMATCH(K$1&amp;"-"&amp;$F1381,YEAR($B$2:$B$4001)&amp;"-"&amp;$A$2:$A$4001,0,-1)),J1381))</f>
        <v>4</v>
      </c>
      <c r="L1381" cm="1">
        <f t="array" ref="L1381">IF(OR(AND(K1381=9,L$1&gt;YEAR($N1381))),9,_xlfn.IFNA(INDEX($D$2:$D$4001,_xlfn.XMATCH(L$1&amp;"-"&amp;$F1381,YEAR($B$2:$B$4001)&amp;"-"&amp;$A$2:$A$4001,0,-1)),K1381))</f>
        <v>4</v>
      </c>
      <c r="M1381" cm="1">
        <f t="array" ref="M1381">IF(OR(AND(L1381=9,M$1&gt;YEAR($N1381))),9,_xlfn.IFNA(INDEX($D$2:$D$4001,_xlfn.XMATCH(M$1&amp;"-"&amp;$F1381,YEAR($B$2:$B$4001)&amp;"-"&amp;$A$2:$A$4001,0,-1)),L1381))</f>
        <v>3</v>
      </c>
      <c r="N1381" s="1">
        <f t="shared" si="21"/>
        <v>36669</v>
      </c>
    </row>
    <row r="1382" spans="1:14" x14ac:dyDescent="0.35">
      <c r="A1382">
        <v>660</v>
      </c>
      <c r="B1382" s="2">
        <v>36454</v>
      </c>
      <c r="C1382">
        <v>3</v>
      </c>
      <c r="D1382">
        <v>3</v>
      </c>
      <c r="F1382">
        <v>1381</v>
      </c>
      <c r="G1382" cm="1">
        <f t="array" ref="G1382">_xlfn.IFNA(INDEX($D$2:$D$4001,_xlfn.XMATCH(G$1&amp;"-"&amp;$F1382,YEAR($B$2:$B$4001)&amp;"-"&amp;$A$2:$A$4001,0,-1)),9)</f>
        <v>9</v>
      </c>
      <c r="H1382" cm="1">
        <f t="array" ref="H1382">IF(OR(AND(G1382=9,H$1&gt;YEAR($N1382))),9,_xlfn.IFNA(INDEX($D$2:$D$4001,_xlfn.XMATCH(H$1&amp;"-"&amp;$F1382,YEAR($B$2:$B$4001)&amp;"-"&amp;$A$2:$A$4001,0,-1)),G1382))</f>
        <v>4</v>
      </c>
      <c r="I1382" cm="1">
        <f t="array" ref="I1382">IF(OR(AND(H1382=9,I$1&gt;YEAR($N1382))),9,_xlfn.IFNA(INDEX($D$2:$D$4001,_xlfn.XMATCH(I$1&amp;"-"&amp;$F1382,YEAR($B$2:$B$4001)&amp;"-"&amp;$A$2:$A$4001,0,-1)),H1382))</f>
        <v>8</v>
      </c>
      <c r="J1382" cm="1">
        <f t="array" ref="J1382">IF(OR(AND(I1382=9,J$1&gt;YEAR($N1382))),9,_xlfn.IFNA(INDEX($D$2:$D$4001,_xlfn.XMATCH(J$1&amp;"-"&amp;$F1382,YEAR($B$2:$B$4001)&amp;"-"&amp;$A$2:$A$4001,0,-1)),I1382))</f>
        <v>8</v>
      </c>
      <c r="K1382" cm="1">
        <f t="array" ref="K1382">IF(OR(AND(J1382=9,K$1&gt;YEAR($N1382))),9,_xlfn.IFNA(INDEX($D$2:$D$4001,_xlfn.XMATCH(K$1&amp;"-"&amp;$F1382,YEAR($B$2:$B$4001)&amp;"-"&amp;$A$2:$A$4001,0,-1)),J1382))</f>
        <v>8</v>
      </c>
      <c r="L1382" cm="1">
        <f t="array" ref="L1382">IF(OR(AND(K1382=9,L$1&gt;YEAR($N1382))),9,_xlfn.IFNA(INDEX($D$2:$D$4001,_xlfn.XMATCH(L$1&amp;"-"&amp;$F1382,YEAR($B$2:$B$4001)&amp;"-"&amp;$A$2:$A$4001,0,-1)),K1382))</f>
        <v>8</v>
      </c>
      <c r="M1382" cm="1">
        <f t="array" ref="M1382">IF(OR(AND(L1382=9,M$1&gt;YEAR($N1382))),9,_xlfn.IFNA(INDEX($D$2:$D$4001,_xlfn.XMATCH(M$1&amp;"-"&amp;$F1382,YEAR($B$2:$B$4001)&amp;"-"&amp;$A$2:$A$4001,0,-1)),L1382))</f>
        <v>8</v>
      </c>
      <c r="N1382" s="1">
        <f t="shared" si="21"/>
        <v>36676</v>
      </c>
    </row>
    <row r="1383" spans="1:14" x14ac:dyDescent="0.35">
      <c r="A1383">
        <v>660</v>
      </c>
      <c r="B1383" s="2">
        <v>36524</v>
      </c>
      <c r="C1383">
        <v>3</v>
      </c>
      <c r="D1383">
        <v>3</v>
      </c>
      <c r="F1383">
        <v>1382</v>
      </c>
      <c r="G1383" cm="1">
        <f t="array" ref="G1383">_xlfn.IFNA(INDEX($D$2:$D$4001,_xlfn.XMATCH(G$1&amp;"-"&amp;$F1383,YEAR($B$2:$B$4001)&amp;"-"&amp;$A$2:$A$4001,0,-1)),9)</f>
        <v>9</v>
      </c>
      <c r="H1383" cm="1">
        <f t="array" ref="H1383">IF(OR(AND(G1383=9,H$1&gt;YEAR($N1383))),9,_xlfn.IFNA(INDEX($D$2:$D$4001,_xlfn.XMATCH(H$1&amp;"-"&amp;$F1383,YEAR($B$2:$B$4001)&amp;"-"&amp;$A$2:$A$4001,0,-1)),G1383))</f>
        <v>9</v>
      </c>
      <c r="I1383" cm="1">
        <f t="array" ref="I1383">IF(OR(AND(H1383=9,I$1&gt;YEAR($N1383))),9,_xlfn.IFNA(INDEX($D$2:$D$4001,_xlfn.XMATCH(I$1&amp;"-"&amp;$F1383,YEAR($B$2:$B$4001)&amp;"-"&amp;$A$2:$A$4001,0,-1)),H1383))</f>
        <v>4</v>
      </c>
      <c r="J1383" cm="1">
        <f t="array" ref="J1383">IF(OR(AND(I1383=9,J$1&gt;YEAR($N1383))),9,_xlfn.IFNA(INDEX($D$2:$D$4001,_xlfn.XMATCH(J$1&amp;"-"&amp;$F1383,YEAR($B$2:$B$4001)&amp;"-"&amp;$A$2:$A$4001,0,-1)),I1383))</f>
        <v>5</v>
      </c>
      <c r="K1383" cm="1">
        <f t="array" ref="K1383">IF(OR(AND(J1383=9,K$1&gt;YEAR($N1383))),9,_xlfn.IFNA(INDEX($D$2:$D$4001,_xlfn.XMATCH(K$1&amp;"-"&amp;$F1383,YEAR($B$2:$B$4001)&amp;"-"&amp;$A$2:$A$4001,0,-1)),J1383))</f>
        <v>5</v>
      </c>
      <c r="L1383" cm="1">
        <f t="array" ref="L1383">IF(OR(AND(K1383=9,L$1&gt;YEAR($N1383))),9,_xlfn.IFNA(INDEX($D$2:$D$4001,_xlfn.XMATCH(L$1&amp;"-"&amp;$F1383,YEAR($B$2:$B$4001)&amp;"-"&amp;$A$2:$A$4001,0,-1)),K1383))</f>
        <v>5</v>
      </c>
      <c r="M1383" cm="1">
        <f t="array" ref="M1383">IF(OR(AND(L1383=9,M$1&gt;YEAR($N1383))),9,_xlfn.IFNA(INDEX($D$2:$D$4001,_xlfn.XMATCH(M$1&amp;"-"&amp;$F1383,YEAR($B$2:$B$4001)&amp;"-"&amp;$A$2:$A$4001,0,-1)),L1383))</f>
        <v>5</v>
      </c>
      <c r="N1383" s="1">
        <f t="shared" si="21"/>
        <v>37216</v>
      </c>
    </row>
    <row r="1384" spans="1:14" x14ac:dyDescent="0.35">
      <c r="A1384">
        <v>660</v>
      </c>
      <c r="B1384" s="2">
        <v>37255</v>
      </c>
      <c r="C1384">
        <v>4</v>
      </c>
      <c r="D1384">
        <v>4</v>
      </c>
      <c r="F1384">
        <v>1383</v>
      </c>
      <c r="G1384" cm="1">
        <f t="array" ref="G1384">_xlfn.IFNA(INDEX($D$2:$D$4001,_xlfn.XMATCH(G$1&amp;"-"&amp;$F1384,YEAR($B$2:$B$4001)&amp;"-"&amp;$A$2:$A$4001,0,-1)),9)</f>
        <v>9</v>
      </c>
      <c r="H1384" cm="1">
        <f t="array" ref="H1384">IF(OR(AND(G1384=9,H$1&gt;YEAR($N1384))),9,_xlfn.IFNA(INDEX($D$2:$D$4001,_xlfn.XMATCH(H$1&amp;"-"&amp;$F1384,YEAR($B$2:$B$4001)&amp;"-"&amp;$A$2:$A$4001,0,-1)),G1384))</f>
        <v>9</v>
      </c>
      <c r="I1384" cm="1">
        <f t="array" ref="I1384">IF(OR(AND(H1384=9,I$1&gt;YEAR($N1384))),9,_xlfn.IFNA(INDEX($D$2:$D$4001,_xlfn.XMATCH(I$1&amp;"-"&amp;$F1384,YEAR($B$2:$B$4001)&amp;"-"&amp;$A$2:$A$4001,0,-1)),H1384))</f>
        <v>9</v>
      </c>
      <c r="J1384" cm="1">
        <f t="array" ref="J1384">IF(OR(AND(I1384=9,J$1&gt;YEAR($N1384))),9,_xlfn.IFNA(INDEX($D$2:$D$4001,_xlfn.XMATCH(J$1&amp;"-"&amp;$F1384,YEAR($B$2:$B$4001)&amp;"-"&amp;$A$2:$A$4001,0,-1)),I1384))</f>
        <v>3</v>
      </c>
      <c r="K1384" cm="1">
        <f t="array" ref="K1384">IF(OR(AND(J1384=9,K$1&gt;YEAR($N1384))),9,_xlfn.IFNA(INDEX($D$2:$D$4001,_xlfn.XMATCH(K$1&amp;"-"&amp;$F1384,YEAR($B$2:$B$4001)&amp;"-"&amp;$A$2:$A$4001,0,-1)),J1384))</f>
        <v>3</v>
      </c>
      <c r="L1384" cm="1">
        <f t="array" ref="L1384">IF(OR(AND(K1384=9,L$1&gt;YEAR($N1384))),9,_xlfn.IFNA(INDEX($D$2:$D$4001,_xlfn.XMATCH(L$1&amp;"-"&amp;$F1384,YEAR($B$2:$B$4001)&amp;"-"&amp;$A$2:$A$4001,0,-1)),K1384))</f>
        <v>3</v>
      </c>
      <c r="M1384" cm="1">
        <f t="array" ref="M1384">IF(OR(AND(L1384=9,M$1&gt;YEAR($N1384))),9,_xlfn.IFNA(INDEX($D$2:$D$4001,_xlfn.XMATCH(M$1&amp;"-"&amp;$F1384,YEAR($B$2:$B$4001)&amp;"-"&amp;$A$2:$A$4001,0,-1)),L1384))</f>
        <v>3</v>
      </c>
      <c r="N1384" s="1">
        <f t="shared" si="21"/>
        <v>37406</v>
      </c>
    </row>
    <row r="1385" spans="1:14" x14ac:dyDescent="0.35">
      <c r="A1385">
        <v>660</v>
      </c>
      <c r="B1385" s="2">
        <v>38502</v>
      </c>
      <c r="C1385">
        <v>4</v>
      </c>
      <c r="D1385">
        <v>4</v>
      </c>
      <c r="F1385">
        <v>1384</v>
      </c>
      <c r="G1385" cm="1">
        <f t="array" ref="G1385">_xlfn.IFNA(INDEX($D$2:$D$4001,_xlfn.XMATCH(G$1&amp;"-"&amp;$F1385,YEAR($B$2:$B$4001)&amp;"-"&amp;$A$2:$A$4001,0,-1)),9)</f>
        <v>9</v>
      </c>
      <c r="H1385" cm="1">
        <f t="array" ref="H1385">IF(OR(AND(G1385=9,H$1&gt;YEAR($N1385))),9,_xlfn.IFNA(INDEX($D$2:$D$4001,_xlfn.XMATCH(H$1&amp;"-"&amp;$F1385,YEAR($B$2:$B$4001)&amp;"-"&amp;$A$2:$A$4001,0,-1)),G1385))</f>
        <v>9</v>
      </c>
      <c r="I1385" cm="1">
        <f t="array" ref="I1385">IF(OR(AND(H1385=9,I$1&gt;YEAR($N1385))),9,_xlfn.IFNA(INDEX($D$2:$D$4001,_xlfn.XMATCH(I$1&amp;"-"&amp;$F1385,YEAR($B$2:$B$4001)&amp;"-"&amp;$A$2:$A$4001,0,-1)),H1385))</f>
        <v>9</v>
      </c>
      <c r="J1385" cm="1">
        <f t="array" ref="J1385">IF(OR(AND(I1385=9,J$1&gt;YEAR($N1385))),9,_xlfn.IFNA(INDEX($D$2:$D$4001,_xlfn.XMATCH(J$1&amp;"-"&amp;$F1385,YEAR($B$2:$B$4001)&amp;"-"&amp;$A$2:$A$4001,0,-1)),I1385))</f>
        <v>4</v>
      </c>
      <c r="K1385" cm="1">
        <f t="array" ref="K1385">IF(OR(AND(J1385=9,K$1&gt;YEAR($N1385))),9,_xlfn.IFNA(INDEX($D$2:$D$4001,_xlfn.XMATCH(K$1&amp;"-"&amp;$F1385,YEAR($B$2:$B$4001)&amp;"-"&amp;$A$2:$A$4001,0,-1)),J1385))</f>
        <v>4</v>
      </c>
      <c r="L1385" cm="1">
        <f t="array" ref="L1385">IF(OR(AND(K1385=9,L$1&gt;YEAR($N1385))),9,_xlfn.IFNA(INDEX($D$2:$D$4001,_xlfn.XMATCH(L$1&amp;"-"&amp;$F1385,YEAR($B$2:$B$4001)&amp;"-"&amp;$A$2:$A$4001,0,-1)),K1385))</f>
        <v>3</v>
      </c>
      <c r="M1385" cm="1">
        <f t="array" ref="M1385">IF(OR(AND(L1385=9,M$1&gt;YEAR($N1385))),9,_xlfn.IFNA(INDEX($D$2:$D$4001,_xlfn.XMATCH(M$1&amp;"-"&amp;$F1385,YEAR($B$2:$B$4001)&amp;"-"&amp;$A$2:$A$4001,0,-1)),L1385))</f>
        <v>3</v>
      </c>
      <c r="N1385" s="1">
        <f t="shared" si="21"/>
        <v>37620</v>
      </c>
    </row>
    <row r="1386" spans="1:14" x14ac:dyDescent="0.35">
      <c r="A1386">
        <v>661</v>
      </c>
      <c r="B1386" s="2">
        <v>37397</v>
      </c>
      <c r="C1386">
        <v>4</v>
      </c>
      <c r="D1386">
        <v>4</v>
      </c>
      <c r="F1386">
        <v>1385</v>
      </c>
      <c r="G1386" cm="1">
        <f t="array" ref="G1386">_xlfn.IFNA(INDEX($D$2:$D$4001,_xlfn.XMATCH(G$1&amp;"-"&amp;$F1386,YEAR($B$2:$B$4001)&amp;"-"&amp;$A$2:$A$4001,0,-1)),9)</f>
        <v>9</v>
      </c>
      <c r="H1386" cm="1">
        <f t="array" ref="H1386">IF(OR(AND(G1386=9,H$1&gt;YEAR($N1386))),9,_xlfn.IFNA(INDEX($D$2:$D$4001,_xlfn.XMATCH(H$1&amp;"-"&amp;$F1386,YEAR($B$2:$B$4001)&amp;"-"&amp;$A$2:$A$4001,0,-1)),G1386))</f>
        <v>9</v>
      </c>
      <c r="I1386" cm="1">
        <f t="array" ref="I1386">IF(OR(AND(H1386=9,I$1&gt;YEAR($N1386))),9,_xlfn.IFNA(INDEX($D$2:$D$4001,_xlfn.XMATCH(I$1&amp;"-"&amp;$F1386,YEAR($B$2:$B$4001)&amp;"-"&amp;$A$2:$A$4001,0,-1)),H1386))</f>
        <v>4</v>
      </c>
      <c r="J1386" cm="1">
        <f t="array" ref="J1386">IF(OR(AND(I1386=9,J$1&gt;YEAR($N1386))),9,_xlfn.IFNA(INDEX($D$2:$D$4001,_xlfn.XMATCH(J$1&amp;"-"&amp;$F1386,YEAR($B$2:$B$4001)&amp;"-"&amp;$A$2:$A$4001,0,-1)),I1386))</f>
        <v>5</v>
      </c>
      <c r="K1386" cm="1">
        <f t="array" ref="K1386">IF(OR(AND(J1386=9,K$1&gt;YEAR($N1386))),9,_xlfn.IFNA(INDEX($D$2:$D$4001,_xlfn.XMATCH(K$1&amp;"-"&amp;$F1386,YEAR($B$2:$B$4001)&amp;"-"&amp;$A$2:$A$4001,0,-1)),J1386))</f>
        <v>5</v>
      </c>
      <c r="L1386" cm="1">
        <f t="array" ref="L1386">IF(OR(AND(K1386=9,L$1&gt;YEAR($N1386))),9,_xlfn.IFNA(INDEX($D$2:$D$4001,_xlfn.XMATCH(L$1&amp;"-"&amp;$F1386,YEAR($B$2:$B$4001)&amp;"-"&amp;$A$2:$A$4001,0,-1)),K1386))</f>
        <v>5</v>
      </c>
      <c r="M1386" cm="1">
        <f t="array" ref="M1386">IF(OR(AND(L1386=9,M$1&gt;YEAR($N1386))),9,_xlfn.IFNA(INDEX($D$2:$D$4001,_xlfn.XMATCH(M$1&amp;"-"&amp;$F1386,YEAR($B$2:$B$4001)&amp;"-"&amp;$A$2:$A$4001,0,-1)),L1386))</f>
        <v>5</v>
      </c>
      <c r="N1386" s="1">
        <f t="shared" si="21"/>
        <v>37037</v>
      </c>
    </row>
    <row r="1387" spans="1:14" x14ac:dyDescent="0.35">
      <c r="A1387">
        <v>661</v>
      </c>
      <c r="B1387" s="2">
        <v>38493</v>
      </c>
      <c r="C1387">
        <v>0</v>
      </c>
      <c r="D1387">
        <v>0</v>
      </c>
      <c r="F1387">
        <v>1386</v>
      </c>
      <c r="G1387" cm="1">
        <f t="array" ref="G1387">_xlfn.IFNA(INDEX($D$2:$D$4001,_xlfn.XMATCH(G$1&amp;"-"&amp;$F1387,YEAR($B$2:$B$4001)&amp;"-"&amp;$A$2:$A$4001,0,-1)),9)</f>
        <v>9</v>
      </c>
      <c r="H1387" cm="1">
        <f t="array" ref="H1387">IF(OR(AND(G1387=9,H$1&gt;YEAR($N1387))),9,_xlfn.IFNA(INDEX($D$2:$D$4001,_xlfn.XMATCH(H$1&amp;"-"&amp;$F1387,YEAR($B$2:$B$4001)&amp;"-"&amp;$A$2:$A$4001,0,-1)),G1387))</f>
        <v>9</v>
      </c>
      <c r="I1387" cm="1">
        <f t="array" ref="I1387">IF(OR(AND(H1387=9,I$1&gt;YEAR($N1387))),9,_xlfn.IFNA(INDEX($D$2:$D$4001,_xlfn.XMATCH(I$1&amp;"-"&amp;$F1387,YEAR($B$2:$B$4001)&amp;"-"&amp;$A$2:$A$4001,0,-1)),H1387))</f>
        <v>9</v>
      </c>
      <c r="J1387" cm="1">
        <f t="array" ref="J1387">IF(OR(AND(I1387=9,J$1&gt;YEAR($N1387))),9,_xlfn.IFNA(INDEX($D$2:$D$4001,_xlfn.XMATCH(J$1&amp;"-"&amp;$F1387,YEAR($B$2:$B$4001)&amp;"-"&amp;$A$2:$A$4001,0,-1)),I1387))</f>
        <v>9</v>
      </c>
      <c r="K1387" cm="1">
        <f t="array" ref="K1387">IF(OR(AND(J1387=9,K$1&gt;YEAR($N1387))),9,_xlfn.IFNA(INDEX($D$2:$D$4001,_xlfn.XMATCH(K$1&amp;"-"&amp;$F1387,YEAR($B$2:$B$4001)&amp;"-"&amp;$A$2:$A$4001,0,-1)),J1387))</f>
        <v>9</v>
      </c>
      <c r="L1387" cm="1">
        <f t="array" ref="L1387">IF(OR(AND(K1387=9,L$1&gt;YEAR($N1387))),9,_xlfn.IFNA(INDEX($D$2:$D$4001,_xlfn.XMATCH(L$1&amp;"-"&amp;$F1387,YEAR($B$2:$B$4001)&amp;"-"&amp;$A$2:$A$4001,0,-1)),K1387))</f>
        <v>4</v>
      </c>
      <c r="M1387" cm="1">
        <f t="array" ref="M1387">IF(OR(AND(L1387=9,M$1&gt;YEAR($N1387))),9,_xlfn.IFNA(INDEX($D$2:$D$4001,_xlfn.XMATCH(M$1&amp;"-"&amp;$F1387,YEAR($B$2:$B$4001)&amp;"-"&amp;$A$2:$A$4001,0,-1)),L1387))</f>
        <v>4</v>
      </c>
      <c r="N1387" s="1">
        <f t="shared" si="21"/>
        <v>38351</v>
      </c>
    </row>
    <row r="1388" spans="1:14" x14ac:dyDescent="0.35">
      <c r="A1388">
        <v>662</v>
      </c>
      <c r="B1388" s="2">
        <v>38189</v>
      </c>
      <c r="C1388">
        <v>6</v>
      </c>
      <c r="D1388">
        <v>6</v>
      </c>
      <c r="F1388">
        <v>1387</v>
      </c>
      <c r="G1388" cm="1">
        <f t="array" ref="G1388">_xlfn.IFNA(INDEX($D$2:$D$4001,_xlfn.XMATCH(G$1&amp;"-"&amp;$F1388,YEAR($B$2:$B$4001)&amp;"-"&amp;$A$2:$A$4001,0,-1)),9)</f>
        <v>9</v>
      </c>
      <c r="H1388" cm="1">
        <f t="array" ref="H1388">IF(OR(AND(G1388=9,H$1&gt;YEAR($N1388))),9,_xlfn.IFNA(INDEX($D$2:$D$4001,_xlfn.XMATCH(H$1&amp;"-"&amp;$F1388,YEAR($B$2:$B$4001)&amp;"-"&amp;$A$2:$A$4001,0,-1)),G1388))</f>
        <v>9</v>
      </c>
      <c r="I1388" cm="1">
        <f t="array" ref="I1388">IF(OR(AND(H1388=9,I$1&gt;YEAR($N1388))),9,_xlfn.IFNA(INDEX($D$2:$D$4001,_xlfn.XMATCH(I$1&amp;"-"&amp;$F1388,YEAR($B$2:$B$4001)&amp;"-"&amp;$A$2:$A$4001,0,-1)),H1388))</f>
        <v>5</v>
      </c>
      <c r="J1388" cm="1">
        <f t="array" ref="J1388">IF(OR(AND(I1388=9,J$1&gt;YEAR($N1388))),9,_xlfn.IFNA(INDEX($D$2:$D$4001,_xlfn.XMATCH(J$1&amp;"-"&amp;$F1388,YEAR($B$2:$B$4001)&amp;"-"&amp;$A$2:$A$4001,0,-1)),I1388))</f>
        <v>5</v>
      </c>
      <c r="K1388" cm="1">
        <f t="array" ref="K1388">IF(OR(AND(J1388=9,K$1&gt;YEAR($N1388))),9,_xlfn.IFNA(INDEX($D$2:$D$4001,_xlfn.XMATCH(K$1&amp;"-"&amp;$F1388,YEAR($B$2:$B$4001)&amp;"-"&amp;$A$2:$A$4001,0,-1)),J1388))</f>
        <v>7</v>
      </c>
      <c r="L1388" cm="1">
        <f t="array" ref="L1388">IF(OR(AND(K1388=9,L$1&gt;YEAR($N1388))),9,_xlfn.IFNA(INDEX($D$2:$D$4001,_xlfn.XMATCH(L$1&amp;"-"&amp;$F1388,YEAR($B$2:$B$4001)&amp;"-"&amp;$A$2:$A$4001,0,-1)),K1388))</f>
        <v>7</v>
      </c>
      <c r="M1388" cm="1">
        <f t="array" ref="M1388">IF(OR(AND(L1388=9,M$1&gt;YEAR($N1388))),9,_xlfn.IFNA(INDEX($D$2:$D$4001,_xlfn.XMATCH(M$1&amp;"-"&amp;$F1388,YEAR($B$2:$B$4001)&amp;"-"&amp;$A$2:$A$4001,0,-1)),L1388))</f>
        <v>7</v>
      </c>
      <c r="N1388" s="1">
        <f t="shared" si="21"/>
        <v>37063</v>
      </c>
    </row>
    <row r="1389" spans="1:14" x14ac:dyDescent="0.35">
      <c r="A1389">
        <v>663</v>
      </c>
      <c r="B1389" s="2">
        <v>36667</v>
      </c>
      <c r="C1389">
        <v>3</v>
      </c>
      <c r="D1389">
        <v>3</v>
      </c>
      <c r="F1389">
        <v>1388</v>
      </c>
      <c r="G1389" cm="1">
        <f t="array" ref="G1389">_xlfn.IFNA(INDEX($D$2:$D$4001,_xlfn.XMATCH(G$1&amp;"-"&amp;$F1389,YEAR($B$2:$B$4001)&amp;"-"&amp;$A$2:$A$4001,0,-1)),9)</f>
        <v>9</v>
      </c>
      <c r="H1389" cm="1">
        <f t="array" ref="H1389">IF(OR(AND(G1389=9,H$1&gt;YEAR($N1389))),9,_xlfn.IFNA(INDEX($D$2:$D$4001,_xlfn.XMATCH(H$1&amp;"-"&amp;$F1389,YEAR($B$2:$B$4001)&amp;"-"&amp;$A$2:$A$4001,0,-1)),G1389))</f>
        <v>2</v>
      </c>
      <c r="I1389" cm="1">
        <f t="array" ref="I1389">IF(OR(AND(H1389=9,I$1&gt;YEAR($N1389))),9,_xlfn.IFNA(INDEX($D$2:$D$4001,_xlfn.XMATCH(I$1&amp;"-"&amp;$F1389,YEAR($B$2:$B$4001)&amp;"-"&amp;$A$2:$A$4001,0,-1)),H1389))</f>
        <v>2</v>
      </c>
      <c r="J1389" cm="1">
        <f t="array" ref="J1389">IF(OR(AND(I1389=9,J$1&gt;YEAR($N1389))),9,_xlfn.IFNA(INDEX($D$2:$D$4001,_xlfn.XMATCH(J$1&amp;"-"&amp;$F1389,YEAR($B$2:$B$4001)&amp;"-"&amp;$A$2:$A$4001,0,-1)),I1389))</f>
        <v>2</v>
      </c>
      <c r="K1389" cm="1">
        <f t="array" ref="K1389">IF(OR(AND(J1389=9,K$1&gt;YEAR($N1389))),9,_xlfn.IFNA(INDEX($D$2:$D$4001,_xlfn.XMATCH(K$1&amp;"-"&amp;$F1389,YEAR($B$2:$B$4001)&amp;"-"&amp;$A$2:$A$4001,0,-1)),J1389))</f>
        <v>2</v>
      </c>
      <c r="L1389" cm="1">
        <f t="array" ref="L1389">IF(OR(AND(K1389=9,L$1&gt;YEAR($N1389))),9,_xlfn.IFNA(INDEX($D$2:$D$4001,_xlfn.XMATCH(L$1&amp;"-"&amp;$F1389,YEAR($B$2:$B$4001)&amp;"-"&amp;$A$2:$A$4001,0,-1)),K1389))</f>
        <v>2</v>
      </c>
      <c r="M1389" cm="1">
        <f t="array" ref="M1389">IF(OR(AND(L1389=9,M$1&gt;YEAR($N1389))),9,_xlfn.IFNA(INDEX($D$2:$D$4001,_xlfn.XMATCH(M$1&amp;"-"&amp;$F1389,YEAR($B$2:$B$4001)&amp;"-"&amp;$A$2:$A$4001,0,-1)),L1389))</f>
        <v>2</v>
      </c>
      <c r="N1389" s="1">
        <f t="shared" si="21"/>
        <v>36667</v>
      </c>
    </row>
    <row r="1390" spans="1:14" x14ac:dyDescent="0.35">
      <c r="A1390">
        <v>663</v>
      </c>
      <c r="B1390" s="2">
        <v>37155</v>
      </c>
      <c r="C1390">
        <v>4</v>
      </c>
      <c r="D1390">
        <v>4</v>
      </c>
      <c r="F1390">
        <v>1389</v>
      </c>
      <c r="G1390" cm="1">
        <f t="array" ref="G1390">_xlfn.IFNA(INDEX($D$2:$D$4001,_xlfn.XMATCH(G$1&amp;"-"&amp;$F1390,YEAR($B$2:$B$4001)&amp;"-"&amp;$A$2:$A$4001,0,-1)),9)</f>
        <v>9</v>
      </c>
      <c r="H1390" cm="1">
        <f t="array" ref="H1390">IF(OR(AND(G1390=9,H$1&gt;YEAR($N1390))),9,_xlfn.IFNA(INDEX($D$2:$D$4001,_xlfn.XMATCH(H$1&amp;"-"&amp;$F1390,YEAR($B$2:$B$4001)&amp;"-"&amp;$A$2:$A$4001,0,-1)),G1390))</f>
        <v>3</v>
      </c>
      <c r="I1390" cm="1">
        <f t="array" ref="I1390">IF(OR(AND(H1390=9,I$1&gt;YEAR($N1390))),9,_xlfn.IFNA(INDEX($D$2:$D$4001,_xlfn.XMATCH(I$1&amp;"-"&amp;$F1390,YEAR($B$2:$B$4001)&amp;"-"&amp;$A$2:$A$4001,0,-1)),H1390))</f>
        <v>3</v>
      </c>
      <c r="J1390" cm="1">
        <f t="array" ref="J1390">IF(OR(AND(I1390=9,J$1&gt;YEAR($N1390))),9,_xlfn.IFNA(INDEX($D$2:$D$4001,_xlfn.XMATCH(J$1&amp;"-"&amp;$F1390,YEAR($B$2:$B$4001)&amp;"-"&amp;$A$2:$A$4001,0,-1)),I1390))</f>
        <v>3</v>
      </c>
      <c r="K1390" cm="1">
        <f t="array" ref="K1390">IF(OR(AND(J1390=9,K$1&gt;YEAR($N1390))),9,_xlfn.IFNA(INDEX($D$2:$D$4001,_xlfn.XMATCH(K$1&amp;"-"&amp;$F1390,YEAR($B$2:$B$4001)&amp;"-"&amp;$A$2:$A$4001,0,-1)),J1390))</f>
        <v>3</v>
      </c>
      <c r="L1390" cm="1">
        <f t="array" ref="L1390">IF(OR(AND(K1390=9,L$1&gt;YEAR($N1390))),9,_xlfn.IFNA(INDEX($D$2:$D$4001,_xlfn.XMATCH(L$1&amp;"-"&amp;$F1390,YEAR($B$2:$B$4001)&amp;"-"&amp;$A$2:$A$4001,0,-1)),K1390))</f>
        <v>3</v>
      </c>
      <c r="M1390" cm="1">
        <f t="array" ref="M1390">IF(OR(AND(L1390=9,M$1&gt;YEAR($N1390))),9,_xlfn.IFNA(INDEX($D$2:$D$4001,_xlfn.XMATCH(M$1&amp;"-"&amp;$F1390,YEAR($B$2:$B$4001)&amp;"-"&amp;$A$2:$A$4001,0,-1)),L1390))</f>
        <v>3</v>
      </c>
      <c r="N1390" s="1">
        <f t="shared" si="21"/>
        <v>36890</v>
      </c>
    </row>
    <row r="1391" spans="1:14" x14ac:dyDescent="0.35">
      <c r="A1391">
        <v>663</v>
      </c>
      <c r="B1391" s="2">
        <v>37255</v>
      </c>
      <c r="C1391">
        <v>3</v>
      </c>
      <c r="D1391">
        <v>3</v>
      </c>
      <c r="F1391">
        <v>1390</v>
      </c>
      <c r="G1391" cm="1">
        <f t="array" ref="G1391">_xlfn.IFNA(INDEX($D$2:$D$4001,_xlfn.XMATCH(G$1&amp;"-"&amp;$F1391,YEAR($B$2:$B$4001)&amp;"-"&amp;$A$2:$A$4001,0,-1)),9)</f>
        <v>9</v>
      </c>
      <c r="H1391" cm="1">
        <f t="array" ref="H1391">IF(OR(AND(G1391=9,H$1&gt;YEAR($N1391))),9,_xlfn.IFNA(INDEX($D$2:$D$4001,_xlfn.XMATCH(H$1&amp;"-"&amp;$F1391,YEAR($B$2:$B$4001)&amp;"-"&amp;$A$2:$A$4001,0,-1)),G1391))</f>
        <v>9</v>
      </c>
      <c r="I1391" cm="1">
        <f t="array" ref="I1391">IF(OR(AND(H1391=9,I$1&gt;YEAR($N1391))),9,_xlfn.IFNA(INDEX($D$2:$D$4001,_xlfn.XMATCH(I$1&amp;"-"&amp;$F1391,YEAR($B$2:$B$4001)&amp;"-"&amp;$A$2:$A$4001,0,-1)),H1391))</f>
        <v>9</v>
      </c>
      <c r="J1391" cm="1">
        <f t="array" ref="J1391">IF(OR(AND(I1391=9,J$1&gt;YEAR($N1391))),9,_xlfn.IFNA(INDEX($D$2:$D$4001,_xlfn.XMATCH(J$1&amp;"-"&amp;$F1391,YEAR($B$2:$B$4001)&amp;"-"&amp;$A$2:$A$4001,0,-1)),I1391))</f>
        <v>6</v>
      </c>
      <c r="K1391" cm="1">
        <f t="array" ref="K1391">IF(OR(AND(J1391=9,K$1&gt;YEAR($N1391))),9,_xlfn.IFNA(INDEX($D$2:$D$4001,_xlfn.XMATCH(K$1&amp;"-"&amp;$F1391,YEAR($B$2:$B$4001)&amp;"-"&amp;$A$2:$A$4001,0,-1)),J1391))</f>
        <v>6</v>
      </c>
      <c r="L1391" cm="1">
        <f t="array" ref="L1391">IF(OR(AND(K1391=9,L$1&gt;YEAR($N1391))),9,_xlfn.IFNA(INDEX($D$2:$D$4001,_xlfn.XMATCH(L$1&amp;"-"&amp;$F1391,YEAR($B$2:$B$4001)&amp;"-"&amp;$A$2:$A$4001,0,-1)),K1391))</f>
        <v>5</v>
      </c>
      <c r="M1391" cm="1">
        <f t="array" ref="M1391">IF(OR(AND(L1391=9,M$1&gt;YEAR($N1391))),9,_xlfn.IFNA(INDEX($D$2:$D$4001,_xlfn.XMATCH(M$1&amp;"-"&amp;$F1391,YEAR($B$2:$B$4001)&amp;"-"&amp;$A$2:$A$4001,0,-1)),L1391))</f>
        <v>5</v>
      </c>
      <c r="N1391" s="1">
        <f t="shared" si="21"/>
        <v>37397</v>
      </c>
    </row>
    <row r="1392" spans="1:14" x14ac:dyDescent="0.35">
      <c r="A1392">
        <v>663</v>
      </c>
      <c r="B1392" s="2">
        <v>37406</v>
      </c>
      <c r="C1392">
        <v>4</v>
      </c>
      <c r="D1392">
        <v>4</v>
      </c>
      <c r="F1392">
        <v>1391</v>
      </c>
      <c r="G1392" cm="1">
        <f t="array" ref="G1392">_xlfn.IFNA(INDEX($D$2:$D$4001,_xlfn.XMATCH(G$1&amp;"-"&amp;$F1392,YEAR($B$2:$B$4001)&amp;"-"&amp;$A$2:$A$4001,0,-1)),9)</f>
        <v>9</v>
      </c>
      <c r="H1392" cm="1">
        <f t="array" ref="H1392">IF(OR(AND(G1392=9,H$1&gt;YEAR($N1392))),9,_xlfn.IFNA(INDEX($D$2:$D$4001,_xlfn.XMATCH(H$1&amp;"-"&amp;$F1392,YEAR($B$2:$B$4001)&amp;"-"&amp;$A$2:$A$4001,0,-1)),G1392))</f>
        <v>9</v>
      </c>
      <c r="I1392" cm="1">
        <f t="array" ref="I1392">IF(OR(AND(H1392=9,I$1&gt;YEAR($N1392))),9,_xlfn.IFNA(INDEX($D$2:$D$4001,_xlfn.XMATCH(I$1&amp;"-"&amp;$F1392,YEAR($B$2:$B$4001)&amp;"-"&amp;$A$2:$A$4001,0,-1)),H1392))</f>
        <v>9</v>
      </c>
      <c r="J1392" cm="1">
        <f t="array" ref="J1392">IF(OR(AND(I1392=9,J$1&gt;YEAR($N1392))),9,_xlfn.IFNA(INDEX($D$2:$D$4001,_xlfn.XMATCH(J$1&amp;"-"&amp;$F1392,YEAR($B$2:$B$4001)&amp;"-"&amp;$A$2:$A$4001,0,-1)),I1392))</f>
        <v>4</v>
      </c>
      <c r="K1392" cm="1">
        <f t="array" ref="K1392">IF(OR(AND(J1392=9,K$1&gt;YEAR($N1392))),9,_xlfn.IFNA(INDEX($D$2:$D$4001,_xlfn.XMATCH(K$1&amp;"-"&amp;$F1392,YEAR($B$2:$B$4001)&amp;"-"&amp;$A$2:$A$4001,0,-1)),J1392))</f>
        <v>4</v>
      </c>
      <c r="L1392" cm="1">
        <f t="array" ref="L1392">IF(OR(AND(K1392=9,L$1&gt;YEAR($N1392))),9,_xlfn.IFNA(INDEX($D$2:$D$4001,_xlfn.XMATCH(L$1&amp;"-"&amp;$F1392,YEAR($B$2:$B$4001)&amp;"-"&amp;$A$2:$A$4001,0,-1)),K1392))</f>
        <v>4</v>
      </c>
      <c r="M1392" cm="1">
        <f t="array" ref="M1392">IF(OR(AND(L1392=9,M$1&gt;YEAR($N1392))),9,_xlfn.IFNA(INDEX($D$2:$D$4001,_xlfn.XMATCH(M$1&amp;"-"&amp;$F1392,YEAR($B$2:$B$4001)&amp;"-"&amp;$A$2:$A$4001,0,-1)),L1392))</f>
        <v>4</v>
      </c>
      <c r="N1392" s="1">
        <f t="shared" si="21"/>
        <v>37397</v>
      </c>
    </row>
    <row r="1393" spans="1:14" x14ac:dyDescent="0.35">
      <c r="A1393">
        <v>663</v>
      </c>
      <c r="B1393" s="2">
        <v>37428</v>
      </c>
      <c r="C1393">
        <v>5</v>
      </c>
      <c r="D1393">
        <v>5</v>
      </c>
      <c r="F1393">
        <v>1392</v>
      </c>
      <c r="G1393" cm="1">
        <f t="array" ref="G1393">_xlfn.IFNA(INDEX($D$2:$D$4001,_xlfn.XMATCH(G$1&amp;"-"&amp;$F1393,YEAR($B$2:$B$4001)&amp;"-"&amp;$A$2:$A$4001,0,-1)),9)</f>
        <v>6</v>
      </c>
      <c r="H1393" cm="1">
        <f t="array" ref="H1393">IF(OR(AND(G1393=9,H$1&gt;YEAR($N1393))),9,_xlfn.IFNA(INDEX($D$2:$D$4001,_xlfn.XMATCH(H$1&amp;"-"&amp;$F1393,YEAR($B$2:$B$4001)&amp;"-"&amp;$A$2:$A$4001,0,-1)),G1393))</f>
        <v>0</v>
      </c>
      <c r="I1393" cm="1">
        <f t="array" ref="I1393">IF(OR(AND(H1393=9,I$1&gt;YEAR($N1393))),9,_xlfn.IFNA(INDEX($D$2:$D$4001,_xlfn.XMATCH(I$1&amp;"-"&amp;$F1393,YEAR($B$2:$B$4001)&amp;"-"&amp;$A$2:$A$4001,0,-1)),H1393))</f>
        <v>0</v>
      </c>
      <c r="J1393" cm="1">
        <f t="array" ref="J1393">IF(OR(AND(I1393=9,J$1&gt;YEAR($N1393))),9,_xlfn.IFNA(INDEX($D$2:$D$4001,_xlfn.XMATCH(J$1&amp;"-"&amp;$F1393,YEAR($B$2:$B$4001)&amp;"-"&amp;$A$2:$A$4001,0,-1)),I1393))</f>
        <v>0</v>
      </c>
      <c r="K1393" cm="1">
        <f t="array" ref="K1393">IF(OR(AND(J1393=9,K$1&gt;YEAR($N1393))),9,_xlfn.IFNA(INDEX($D$2:$D$4001,_xlfn.XMATCH(K$1&amp;"-"&amp;$F1393,YEAR($B$2:$B$4001)&amp;"-"&amp;$A$2:$A$4001,0,-1)),J1393))</f>
        <v>0</v>
      </c>
      <c r="L1393" cm="1">
        <f t="array" ref="L1393">IF(OR(AND(K1393=9,L$1&gt;YEAR($N1393))),9,_xlfn.IFNA(INDEX($D$2:$D$4001,_xlfn.XMATCH(L$1&amp;"-"&amp;$F1393,YEAR($B$2:$B$4001)&amp;"-"&amp;$A$2:$A$4001,0,-1)),K1393))</f>
        <v>0</v>
      </c>
      <c r="M1393" cm="1">
        <f t="array" ref="M1393">IF(OR(AND(L1393=9,M$1&gt;YEAR($N1393))),9,_xlfn.IFNA(INDEX($D$2:$D$4001,_xlfn.XMATCH(M$1&amp;"-"&amp;$F1393,YEAR($B$2:$B$4001)&amp;"-"&amp;$A$2:$A$4001,0,-1)),L1393))</f>
        <v>0</v>
      </c>
      <c r="N1393" s="1">
        <f t="shared" si="21"/>
        <v>36332</v>
      </c>
    </row>
    <row r="1394" spans="1:14" x14ac:dyDescent="0.35">
      <c r="A1394">
        <v>664</v>
      </c>
      <c r="B1394" s="2">
        <v>37102</v>
      </c>
      <c r="C1394">
        <v>3</v>
      </c>
      <c r="D1394">
        <v>3</v>
      </c>
      <c r="F1394">
        <v>1393</v>
      </c>
      <c r="G1394" cm="1">
        <f t="array" ref="G1394">_xlfn.IFNA(INDEX($D$2:$D$4001,_xlfn.XMATCH(G$1&amp;"-"&amp;$F1394,YEAR($B$2:$B$4001)&amp;"-"&amp;$A$2:$A$4001,0,-1)),9)</f>
        <v>9</v>
      </c>
      <c r="H1394" cm="1">
        <f t="array" ref="H1394">IF(OR(AND(G1394=9,H$1&gt;YEAR($N1394))),9,_xlfn.IFNA(INDEX($D$2:$D$4001,_xlfn.XMATCH(H$1&amp;"-"&amp;$F1394,YEAR($B$2:$B$4001)&amp;"-"&amp;$A$2:$A$4001,0,-1)),G1394))</f>
        <v>2</v>
      </c>
      <c r="I1394" cm="1">
        <f t="array" ref="I1394">IF(OR(AND(H1394=9,I$1&gt;YEAR($N1394))),9,_xlfn.IFNA(INDEX($D$2:$D$4001,_xlfn.XMATCH(I$1&amp;"-"&amp;$F1394,YEAR($B$2:$B$4001)&amp;"-"&amp;$A$2:$A$4001,0,-1)),H1394))</f>
        <v>2</v>
      </c>
      <c r="J1394" cm="1">
        <f t="array" ref="J1394">IF(OR(AND(I1394=9,J$1&gt;YEAR($N1394))),9,_xlfn.IFNA(INDEX($D$2:$D$4001,_xlfn.XMATCH(J$1&amp;"-"&amp;$F1394,YEAR($B$2:$B$4001)&amp;"-"&amp;$A$2:$A$4001,0,-1)),I1394))</f>
        <v>2</v>
      </c>
      <c r="K1394" cm="1">
        <f t="array" ref="K1394">IF(OR(AND(J1394=9,K$1&gt;YEAR($N1394))),9,_xlfn.IFNA(INDEX($D$2:$D$4001,_xlfn.XMATCH(K$1&amp;"-"&amp;$F1394,YEAR($B$2:$B$4001)&amp;"-"&amp;$A$2:$A$4001,0,-1)),J1394))</f>
        <v>2</v>
      </c>
      <c r="L1394" cm="1">
        <f t="array" ref="L1394">IF(OR(AND(K1394=9,L$1&gt;YEAR($N1394))),9,_xlfn.IFNA(INDEX($D$2:$D$4001,_xlfn.XMATCH(L$1&amp;"-"&amp;$F1394,YEAR($B$2:$B$4001)&amp;"-"&amp;$A$2:$A$4001,0,-1)),K1394))</f>
        <v>2</v>
      </c>
      <c r="M1394" cm="1">
        <f t="array" ref="M1394">IF(OR(AND(L1394=9,M$1&gt;YEAR($N1394))),9,_xlfn.IFNA(INDEX($D$2:$D$4001,_xlfn.XMATCH(M$1&amp;"-"&amp;$F1394,YEAR($B$2:$B$4001)&amp;"-"&amp;$A$2:$A$4001,0,-1)),L1394))</f>
        <v>2</v>
      </c>
      <c r="N1394" s="1">
        <f t="shared" si="21"/>
        <v>36799</v>
      </c>
    </row>
    <row r="1395" spans="1:14" x14ac:dyDescent="0.35">
      <c r="A1395">
        <v>665</v>
      </c>
      <c r="B1395" s="2">
        <v>38220</v>
      </c>
      <c r="C1395">
        <v>4</v>
      </c>
      <c r="D1395">
        <v>4</v>
      </c>
      <c r="F1395">
        <v>1394</v>
      </c>
      <c r="G1395" cm="1">
        <f t="array" ref="G1395">_xlfn.IFNA(INDEX($D$2:$D$4001,_xlfn.XMATCH(G$1&amp;"-"&amp;$F1395,YEAR($B$2:$B$4001)&amp;"-"&amp;$A$2:$A$4001,0,-1)),9)</f>
        <v>9</v>
      </c>
      <c r="H1395" cm="1">
        <f t="array" ref="H1395">IF(OR(AND(G1395=9,H$1&gt;YEAR($N1395))),9,_xlfn.IFNA(INDEX($D$2:$D$4001,_xlfn.XMATCH(H$1&amp;"-"&amp;$F1395,YEAR($B$2:$B$4001)&amp;"-"&amp;$A$2:$A$4001,0,-1)),G1395))</f>
        <v>9</v>
      </c>
      <c r="I1395" cm="1">
        <f t="array" ref="I1395">IF(OR(AND(H1395=9,I$1&gt;YEAR($N1395))),9,_xlfn.IFNA(INDEX($D$2:$D$4001,_xlfn.XMATCH(I$1&amp;"-"&amp;$F1395,YEAR($B$2:$B$4001)&amp;"-"&amp;$A$2:$A$4001,0,-1)),H1395))</f>
        <v>9</v>
      </c>
      <c r="J1395" cm="1">
        <f t="array" ref="J1395">IF(OR(AND(I1395=9,J$1&gt;YEAR($N1395))),9,_xlfn.IFNA(INDEX($D$2:$D$4001,_xlfn.XMATCH(J$1&amp;"-"&amp;$F1395,YEAR($B$2:$B$4001)&amp;"-"&amp;$A$2:$A$4001,0,-1)),I1395))</f>
        <v>3</v>
      </c>
      <c r="K1395" cm="1">
        <f t="array" ref="K1395">IF(OR(AND(J1395=9,K$1&gt;YEAR($N1395))),9,_xlfn.IFNA(INDEX($D$2:$D$4001,_xlfn.XMATCH(K$1&amp;"-"&amp;$F1395,YEAR($B$2:$B$4001)&amp;"-"&amp;$A$2:$A$4001,0,-1)),J1395))</f>
        <v>0</v>
      </c>
      <c r="L1395" cm="1">
        <f t="array" ref="L1395">IF(OR(AND(K1395=9,L$1&gt;YEAR($N1395))),9,_xlfn.IFNA(INDEX($D$2:$D$4001,_xlfn.XMATCH(L$1&amp;"-"&amp;$F1395,YEAR($B$2:$B$4001)&amp;"-"&amp;$A$2:$A$4001,0,-1)),K1395))</f>
        <v>0</v>
      </c>
      <c r="M1395" cm="1">
        <f t="array" ref="M1395">IF(OR(AND(L1395=9,M$1&gt;YEAR($N1395))),9,_xlfn.IFNA(INDEX($D$2:$D$4001,_xlfn.XMATCH(M$1&amp;"-"&amp;$F1395,YEAR($B$2:$B$4001)&amp;"-"&amp;$A$2:$A$4001,0,-1)),L1395))</f>
        <v>0</v>
      </c>
      <c r="N1395" s="1">
        <f t="shared" si="21"/>
        <v>37489</v>
      </c>
    </row>
    <row r="1396" spans="1:14" x14ac:dyDescent="0.35">
      <c r="A1396">
        <v>666</v>
      </c>
      <c r="B1396" s="2">
        <v>36524</v>
      </c>
      <c r="C1396">
        <v>2</v>
      </c>
      <c r="D1396">
        <v>2</v>
      </c>
      <c r="F1396">
        <v>1395</v>
      </c>
      <c r="G1396" cm="1">
        <f t="array" ref="G1396">_xlfn.IFNA(INDEX($D$2:$D$4001,_xlfn.XMATCH(G$1&amp;"-"&amp;$F1396,YEAR($B$2:$B$4001)&amp;"-"&amp;$A$2:$A$4001,0,-1)),9)</f>
        <v>9</v>
      </c>
      <c r="H1396" cm="1">
        <f t="array" ref="H1396">IF(OR(AND(G1396=9,H$1&gt;YEAR($N1396))),9,_xlfn.IFNA(INDEX($D$2:$D$4001,_xlfn.XMATCH(H$1&amp;"-"&amp;$F1396,YEAR($B$2:$B$4001)&amp;"-"&amp;$A$2:$A$4001,0,-1)),G1396))</f>
        <v>9</v>
      </c>
      <c r="I1396" cm="1">
        <f t="array" ref="I1396">IF(OR(AND(H1396=9,I$1&gt;YEAR($N1396))),9,_xlfn.IFNA(INDEX($D$2:$D$4001,_xlfn.XMATCH(I$1&amp;"-"&amp;$F1396,YEAR($B$2:$B$4001)&amp;"-"&amp;$A$2:$A$4001,0,-1)),H1396))</f>
        <v>4</v>
      </c>
      <c r="J1396" cm="1">
        <f t="array" ref="J1396">IF(OR(AND(I1396=9,J$1&gt;YEAR($N1396))),9,_xlfn.IFNA(INDEX($D$2:$D$4001,_xlfn.XMATCH(J$1&amp;"-"&amp;$F1396,YEAR($B$2:$B$4001)&amp;"-"&amp;$A$2:$A$4001,0,-1)),I1396))</f>
        <v>5</v>
      </c>
      <c r="K1396" cm="1">
        <f t="array" ref="K1396">IF(OR(AND(J1396=9,K$1&gt;YEAR($N1396))),9,_xlfn.IFNA(INDEX($D$2:$D$4001,_xlfn.XMATCH(K$1&amp;"-"&amp;$F1396,YEAR($B$2:$B$4001)&amp;"-"&amp;$A$2:$A$4001,0,-1)),J1396))</f>
        <v>8</v>
      </c>
      <c r="L1396" cm="1">
        <f t="array" ref="L1396">IF(OR(AND(K1396=9,L$1&gt;YEAR($N1396))),9,_xlfn.IFNA(INDEX($D$2:$D$4001,_xlfn.XMATCH(L$1&amp;"-"&amp;$F1396,YEAR($B$2:$B$4001)&amp;"-"&amp;$A$2:$A$4001,0,-1)),K1396))</f>
        <v>8</v>
      </c>
      <c r="M1396" cm="1">
        <f t="array" ref="M1396">IF(OR(AND(L1396=9,M$1&gt;YEAR($N1396))),9,_xlfn.IFNA(INDEX($D$2:$D$4001,_xlfn.XMATCH(M$1&amp;"-"&amp;$F1396,YEAR($B$2:$B$4001)&amp;"-"&amp;$A$2:$A$4001,0,-1)),L1396))</f>
        <v>8</v>
      </c>
      <c r="N1396" s="1">
        <f t="shared" si="21"/>
        <v>37216</v>
      </c>
    </row>
    <row r="1397" spans="1:14" x14ac:dyDescent="0.35">
      <c r="A1397">
        <v>666</v>
      </c>
      <c r="B1397" s="2">
        <v>38198</v>
      </c>
      <c r="C1397">
        <v>0</v>
      </c>
      <c r="D1397">
        <v>0</v>
      </c>
      <c r="F1397">
        <v>1396</v>
      </c>
      <c r="G1397" cm="1">
        <f t="array" ref="G1397">_xlfn.IFNA(INDEX($D$2:$D$4001,_xlfn.XMATCH(G$1&amp;"-"&amp;$F1397,YEAR($B$2:$B$4001)&amp;"-"&amp;$A$2:$A$4001,0,-1)),9)</f>
        <v>9</v>
      </c>
      <c r="H1397" cm="1">
        <f t="array" ref="H1397">IF(OR(AND(G1397=9,H$1&gt;YEAR($N1397))),9,_xlfn.IFNA(INDEX($D$2:$D$4001,_xlfn.XMATCH(H$1&amp;"-"&amp;$F1397,YEAR($B$2:$B$4001)&amp;"-"&amp;$A$2:$A$4001,0,-1)),G1397))</f>
        <v>9</v>
      </c>
      <c r="I1397" cm="1">
        <f t="array" ref="I1397">IF(OR(AND(H1397=9,I$1&gt;YEAR($N1397))),9,_xlfn.IFNA(INDEX($D$2:$D$4001,_xlfn.XMATCH(I$1&amp;"-"&amp;$F1397,YEAR($B$2:$B$4001)&amp;"-"&amp;$A$2:$A$4001,0,-1)),H1397))</f>
        <v>9</v>
      </c>
      <c r="J1397" cm="1">
        <f t="array" ref="J1397">IF(OR(AND(I1397=9,J$1&gt;YEAR($N1397))),9,_xlfn.IFNA(INDEX($D$2:$D$4001,_xlfn.XMATCH(J$1&amp;"-"&amp;$F1397,YEAR($B$2:$B$4001)&amp;"-"&amp;$A$2:$A$4001,0,-1)),I1397))</f>
        <v>9</v>
      </c>
      <c r="K1397" cm="1">
        <f t="array" ref="K1397">IF(OR(AND(J1397=9,K$1&gt;YEAR($N1397))),9,_xlfn.IFNA(INDEX($D$2:$D$4001,_xlfn.XMATCH(K$1&amp;"-"&amp;$F1397,YEAR($B$2:$B$4001)&amp;"-"&amp;$A$2:$A$4001,0,-1)),J1397))</f>
        <v>9</v>
      </c>
      <c r="L1397" cm="1">
        <f t="array" ref="L1397">IF(OR(AND(K1397=9,L$1&gt;YEAR($N1397))),9,_xlfn.IFNA(INDEX($D$2:$D$4001,_xlfn.XMATCH(L$1&amp;"-"&amp;$F1397,YEAR($B$2:$B$4001)&amp;"-"&amp;$A$2:$A$4001,0,-1)),K1397))</f>
        <v>2</v>
      </c>
      <c r="M1397" cm="1">
        <f t="array" ref="M1397">IF(OR(AND(L1397=9,M$1&gt;YEAR($N1397))),9,_xlfn.IFNA(INDEX($D$2:$D$4001,_xlfn.XMATCH(M$1&amp;"-"&amp;$F1397,YEAR($B$2:$B$4001)&amp;"-"&amp;$A$2:$A$4001,0,-1)),L1397))</f>
        <v>2</v>
      </c>
      <c r="N1397" s="1">
        <f t="shared" si="21"/>
        <v>38128</v>
      </c>
    </row>
    <row r="1398" spans="1:14" x14ac:dyDescent="0.35">
      <c r="A1398">
        <v>667</v>
      </c>
      <c r="B1398" s="2">
        <v>37102</v>
      </c>
      <c r="C1398">
        <v>6</v>
      </c>
      <c r="D1398">
        <v>6</v>
      </c>
      <c r="F1398">
        <v>1397</v>
      </c>
      <c r="G1398" cm="1">
        <f t="array" ref="G1398">_xlfn.IFNA(INDEX($D$2:$D$4001,_xlfn.XMATCH(G$1&amp;"-"&amp;$F1398,YEAR($B$2:$B$4001)&amp;"-"&amp;$A$2:$A$4001,0,-1)),9)</f>
        <v>9</v>
      </c>
      <c r="H1398" cm="1">
        <f t="array" ref="H1398">IF(OR(AND(G1398=9,H$1&gt;YEAR($N1398))),9,_xlfn.IFNA(INDEX($D$2:$D$4001,_xlfn.XMATCH(H$1&amp;"-"&amp;$F1398,YEAR($B$2:$B$4001)&amp;"-"&amp;$A$2:$A$4001,0,-1)),G1398))</f>
        <v>9</v>
      </c>
      <c r="I1398" cm="1">
        <f t="array" ref="I1398">IF(OR(AND(H1398=9,I$1&gt;YEAR($N1398))),9,_xlfn.IFNA(INDEX($D$2:$D$4001,_xlfn.XMATCH(I$1&amp;"-"&amp;$F1398,YEAR($B$2:$B$4001)&amp;"-"&amp;$A$2:$A$4001,0,-1)),H1398))</f>
        <v>9</v>
      </c>
      <c r="J1398" cm="1">
        <f t="array" ref="J1398">IF(OR(AND(I1398=9,J$1&gt;YEAR($N1398))),9,_xlfn.IFNA(INDEX($D$2:$D$4001,_xlfn.XMATCH(J$1&amp;"-"&amp;$F1398,YEAR($B$2:$B$4001)&amp;"-"&amp;$A$2:$A$4001,0,-1)),I1398))</f>
        <v>3</v>
      </c>
      <c r="K1398" cm="1">
        <f t="array" ref="K1398">IF(OR(AND(J1398=9,K$1&gt;YEAR($N1398))),9,_xlfn.IFNA(INDEX($D$2:$D$4001,_xlfn.XMATCH(K$1&amp;"-"&amp;$F1398,YEAR($B$2:$B$4001)&amp;"-"&amp;$A$2:$A$4001,0,-1)),J1398))</f>
        <v>3</v>
      </c>
      <c r="L1398" cm="1">
        <f t="array" ref="L1398">IF(OR(AND(K1398=9,L$1&gt;YEAR($N1398))),9,_xlfn.IFNA(INDEX($D$2:$D$4001,_xlfn.XMATCH(L$1&amp;"-"&amp;$F1398,YEAR($B$2:$B$4001)&amp;"-"&amp;$A$2:$A$4001,0,-1)),K1398))</f>
        <v>3</v>
      </c>
      <c r="M1398" cm="1">
        <f t="array" ref="M1398">IF(OR(AND(L1398=9,M$1&gt;YEAR($N1398))),9,_xlfn.IFNA(INDEX($D$2:$D$4001,_xlfn.XMATCH(M$1&amp;"-"&amp;$F1398,YEAR($B$2:$B$4001)&amp;"-"&amp;$A$2:$A$4001,0,-1)),L1398))</f>
        <v>3</v>
      </c>
      <c r="N1398" s="1">
        <f t="shared" si="21"/>
        <v>37581</v>
      </c>
    </row>
    <row r="1399" spans="1:14" x14ac:dyDescent="0.35">
      <c r="A1399">
        <v>668</v>
      </c>
      <c r="B1399" s="2">
        <v>36890</v>
      </c>
      <c r="C1399">
        <v>3</v>
      </c>
      <c r="D1399">
        <v>3</v>
      </c>
      <c r="F1399">
        <v>1398</v>
      </c>
      <c r="G1399" cm="1">
        <f t="array" ref="G1399">_xlfn.IFNA(INDEX($D$2:$D$4001,_xlfn.XMATCH(G$1&amp;"-"&amp;$F1399,YEAR($B$2:$B$4001)&amp;"-"&amp;$A$2:$A$4001,0,-1)),9)</f>
        <v>9</v>
      </c>
      <c r="H1399" cm="1">
        <f t="array" ref="H1399">IF(OR(AND(G1399=9,H$1&gt;YEAR($N1399))),9,_xlfn.IFNA(INDEX($D$2:$D$4001,_xlfn.XMATCH(H$1&amp;"-"&amp;$F1399,YEAR($B$2:$B$4001)&amp;"-"&amp;$A$2:$A$4001,0,-1)),G1399))</f>
        <v>9</v>
      </c>
      <c r="I1399" cm="1">
        <f t="array" ref="I1399">IF(OR(AND(H1399=9,I$1&gt;YEAR($N1399))),9,_xlfn.IFNA(INDEX($D$2:$D$4001,_xlfn.XMATCH(I$1&amp;"-"&amp;$F1399,YEAR($B$2:$B$4001)&amp;"-"&amp;$A$2:$A$4001,0,-1)),H1399))</f>
        <v>9</v>
      </c>
      <c r="J1399" cm="1">
        <f t="array" ref="J1399">IF(OR(AND(I1399=9,J$1&gt;YEAR($N1399))),9,_xlfn.IFNA(INDEX($D$2:$D$4001,_xlfn.XMATCH(J$1&amp;"-"&amp;$F1399,YEAR($B$2:$B$4001)&amp;"-"&amp;$A$2:$A$4001,0,-1)),I1399))</f>
        <v>3</v>
      </c>
      <c r="K1399" cm="1">
        <f t="array" ref="K1399">IF(OR(AND(J1399=9,K$1&gt;YEAR($N1399))),9,_xlfn.IFNA(INDEX($D$2:$D$4001,_xlfn.XMATCH(K$1&amp;"-"&amp;$F1399,YEAR($B$2:$B$4001)&amp;"-"&amp;$A$2:$A$4001,0,-1)),J1399))</f>
        <v>3</v>
      </c>
      <c r="L1399" cm="1">
        <f t="array" ref="L1399">IF(OR(AND(K1399=9,L$1&gt;YEAR($N1399))),9,_xlfn.IFNA(INDEX($D$2:$D$4001,_xlfn.XMATCH(L$1&amp;"-"&amp;$F1399,YEAR($B$2:$B$4001)&amp;"-"&amp;$A$2:$A$4001,0,-1)),K1399))</f>
        <v>3</v>
      </c>
      <c r="M1399" cm="1">
        <f t="array" ref="M1399">IF(OR(AND(L1399=9,M$1&gt;YEAR($N1399))),9,_xlfn.IFNA(INDEX($D$2:$D$4001,_xlfn.XMATCH(M$1&amp;"-"&amp;$F1399,YEAR($B$2:$B$4001)&amp;"-"&amp;$A$2:$A$4001,0,-1)),L1399))</f>
        <v>0</v>
      </c>
      <c r="N1399" s="1">
        <f t="shared" si="21"/>
        <v>37581</v>
      </c>
    </row>
    <row r="1400" spans="1:14" x14ac:dyDescent="0.35">
      <c r="A1400">
        <v>668</v>
      </c>
      <c r="B1400" s="2">
        <v>37133</v>
      </c>
      <c r="C1400">
        <v>3</v>
      </c>
      <c r="D1400">
        <v>3</v>
      </c>
      <c r="F1400">
        <v>1399</v>
      </c>
      <c r="G1400" cm="1">
        <f t="array" ref="G1400">_xlfn.IFNA(INDEX($D$2:$D$4001,_xlfn.XMATCH(G$1&amp;"-"&amp;$F1400,YEAR($B$2:$B$4001)&amp;"-"&amp;$A$2:$A$4001,0,-1)),9)</f>
        <v>9</v>
      </c>
      <c r="H1400" cm="1">
        <f t="array" ref="H1400">IF(OR(AND(G1400=9,H$1&gt;YEAR($N1400))),9,_xlfn.IFNA(INDEX($D$2:$D$4001,_xlfn.XMATCH(H$1&amp;"-"&amp;$F1400,YEAR($B$2:$B$4001)&amp;"-"&amp;$A$2:$A$4001,0,-1)),G1400))</f>
        <v>9</v>
      </c>
      <c r="I1400" cm="1">
        <f t="array" ref="I1400">IF(OR(AND(H1400=9,I$1&gt;YEAR($N1400))),9,_xlfn.IFNA(INDEX($D$2:$D$4001,_xlfn.XMATCH(I$1&amp;"-"&amp;$F1400,YEAR($B$2:$B$4001)&amp;"-"&amp;$A$2:$A$4001,0,-1)),H1400))</f>
        <v>4</v>
      </c>
      <c r="J1400" cm="1">
        <f t="array" ref="J1400">IF(OR(AND(I1400=9,J$1&gt;YEAR($N1400))),9,_xlfn.IFNA(INDEX($D$2:$D$4001,_xlfn.XMATCH(J$1&amp;"-"&amp;$F1400,YEAR($B$2:$B$4001)&amp;"-"&amp;$A$2:$A$4001,0,-1)),I1400))</f>
        <v>4</v>
      </c>
      <c r="K1400" cm="1">
        <f t="array" ref="K1400">IF(OR(AND(J1400=9,K$1&gt;YEAR($N1400))),9,_xlfn.IFNA(INDEX($D$2:$D$4001,_xlfn.XMATCH(K$1&amp;"-"&amp;$F1400,YEAR($B$2:$B$4001)&amp;"-"&amp;$A$2:$A$4001,0,-1)),J1400))</f>
        <v>4</v>
      </c>
      <c r="L1400" cm="1">
        <f t="array" ref="L1400">IF(OR(AND(K1400=9,L$1&gt;YEAR($N1400))),9,_xlfn.IFNA(INDEX($D$2:$D$4001,_xlfn.XMATCH(L$1&amp;"-"&amp;$F1400,YEAR($B$2:$B$4001)&amp;"-"&amp;$A$2:$A$4001,0,-1)),K1400))</f>
        <v>4</v>
      </c>
      <c r="M1400" cm="1">
        <f t="array" ref="M1400">IF(OR(AND(L1400=9,M$1&gt;YEAR($N1400))),9,_xlfn.IFNA(INDEX($D$2:$D$4001,_xlfn.XMATCH(M$1&amp;"-"&amp;$F1400,YEAR($B$2:$B$4001)&amp;"-"&amp;$A$2:$A$4001,0,-1)),L1400))</f>
        <v>4</v>
      </c>
      <c r="N1400" s="1">
        <f t="shared" si="21"/>
        <v>37063</v>
      </c>
    </row>
    <row r="1401" spans="1:14" x14ac:dyDescent="0.35">
      <c r="A1401">
        <v>668</v>
      </c>
      <c r="B1401" s="2">
        <v>38260</v>
      </c>
      <c r="C1401">
        <v>2</v>
      </c>
      <c r="D1401">
        <v>2</v>
      </c>
      <c r="F1401">
        <v>1400</v>
      </c>
      <c r="G1401" cm="1">
        <f t="array" ref="G1401">_xlfn.IFNA(INDEX($D$2:$D$4001,_xlfn.XMATCH(G$1&amp;"-"&amp;$F1401,YEAR($B$2:$B$4001)&amp;"-"&amp;$A$2:$A$4001,0,-1)),9)</f>
        <v>9</v>
      </c>
      <c r="H1401" cm="1">
        <f t="array" ref="H1401">IF(OR(AND(G1401=9,H$1&gt;YEAR($N1401))),9,_xlfn.IFNA(INDEX($D$2:$D$4001,_xlfn.XMATCH(H$1&amp;"-"&amp;$F1401,YEAR($B$2:$B$4001)&amp;"-"&amp;$A$2:$A$4001,0,-1)),G1401))</f>
        <v>9</v>
      </c>
      <c r="I1401" cm="1">
        <f t="array" ref="I1401">IF(OR(AND(H1401=9,I$1&gt;YEAR($N1401))),9,_xlfn.IFNA(INDEX($D$2:$D$4001,_xlfn.XMATCH(I$1&amp;"-"&amp;$F1401,YEAR($B$2:$B$4001)&amp;"-"&amp;$A$2:$A$4001,0,-1)),H1401))</f>
        <v>9</v>
      </c>
      <c r="J1401" cm="1">
        <f t="array" ref="J1401">IF(OR(AND(I1401=9,J$1&gt;YEAR($N1401))),9,_xlfn.IFNA(INDEX($D$2:$D$4001,_xlfn.XMATCH(J$1&amp;"-"&amp;$F1401,YEAR($B$2:$B$4001)&amp;"-"&amp;$A$2:$A$4001,0,-1)),I1401))</f>
        <v>9</v>
      </c>
      <c r="K1401" cm="1">
        <f t="array" ref="K1401">IF(OR(AND(J1401=9,K$1&gt;YEAR($N1401))),9,_xlfn.IFNA(INDEX($D$2:$D$4001,_xlfn.XMATCH(K$1&amp;"-"&amp;$F1401,YEAR($B$2:$B$4001)&amp;"-"&amp;$A$2:$A$4001,0,-1)),J1401))</f>
        <v>5</v>
      </c>
      <c r="L1401" cm="1">
        <f t="array" ref="L1401">IF(OR(AND(K1401=9,L$1&gt;YEAR($N1401))),9,_xlfn.IFNA(INDEX($D$2:$D$4001,_xlfn.XMATCH(L$1&amp;"-"&amp;$F1401,YEAR($B$2:$B$4001)&amp;"-"&amp;$A$2:$A$4001,0,-1)),K1401))</f>
        <v>5</v>
      </c>
      <c r="M1401" cm="1">
        <f t="array" ref="M1401">IF(OR(AND(L1401=9,M$1&gt;YEAR($N1401))),9,_xlfn.IFNA(INDEX($D$2:$D$4001,_xlfn.XMATCH(M$1&amp;"-"&amp;$F1401,YEAR($B$2:$B$4001)&amp;"-"&amp;$A$2:$A$4001,0,-1)),L1401))</f>
        <v>5</v>
      </c>
      <c r="N1401" s="1">
        <f t="shared" si="21"/>
        <v>37762</v>
      </c>
    </row>
    <row r="1402" spans="1:14" x14ac:dyDescent="0.35">
      <c r="A1402">
        <v>669</v>
      </c>
      <c r="B1402" s="2">
        <v>36860</v>
      </c>
      <c r="C1402">
        <v>3</v>
      </c>
      <c r="D1402">
        <v>3</v>
      </c>
      <c r="F1402">
        <v>1401</v>
      </c>
      <c r="G1402" cm="1">
        <f t="array" ref="G1402">_xlfn.IFNA(INDEX($D$2:$D$4001,_xlfn.XMATCH(G$1&amp;"-"&amp;$F1402,YEAR($B$2:$B$4001)&amp;"-"&amp;$A$2:$A$4001,0,-1)),9)</f>
        <v>6</v>
      </c>
      <c r="H1402" cm="1">
        <f t="array" ref="H1402">IF(OR(AND(G1402=9,H$1&gt;YEAR($N1402))),9,_xlfn.IFNA(INDEX($D$2:$D$4001,_xlfn.XMATCH(H$1&amp;"-"&amp;$F1402,YEAR($B$2:$B$4001)&amp;"-"&amp;$A$2:$A$4001,0,-1)),G1402))</f>
        <v>3</v>
      </c>
      <c r="I1402" cm="1">
        <f t="array" ref="I1402">IF(OR(AND(H1402=9,I$1&gt;YEAR($N1402))),9,_xlfn.IFNA(INDEX($D$2:$D$4001,_xlfn.XMATCH(I$1&amp;"-"&amp;$F1402,YEAR($B$2:$B$4001)&amp;"-"&amp;$A$2:$A$4001,0,-1)),H1402))</f>
        <v>4</v>
      </c>
      <c r="J1402" cm="1">
        <f t="array" ref="J1402">IF(OR(AND(I1402=9,J$1&gt;YEAR($N1402))),9,_xlfn.IFNA(INDEX($D$2:$D$4001,_xlfn.XMATCH(J$1&amp;"-"&amp;$F1402,YEAR($B$2:$B$4001)&amp;"-"&amp;$A$2:$A$4001,0,-1)),I1402))</f>
        <v>5</v>
      </c>
      <c r="K1402" cm="1">
        <f t="array" ref="K1402">IF(OR(AND(J1402=9,K$1&gt;YEAR($N1402))),9,_xlfn.IFNA(INDEX($D$2:$D$4001,_xlfn.XMATCH(K$1&amp;"-"&amp;$F1402,YEAR($B$2:$B$4001)&amp;"-"&amp;$A$2:$A$4001,0,-1)),J1402))</f>
        <v>5</v>
      </c>
      <c r="L1402" cm="1">
        <f t="array" ref="L1402">IF(OR(AND(K1402=9,L$1&gt;YEAR($N1402))),9,_xlfn.IFNA(INDEX($D$2:$D$4001,_xlfn.XMATCH(L$1&amp;"-"&amp;$F1402,YEAR($B$2:$B$4001)&amp;"-"&amp;$A$2:$A$4001,0,-1)),K1402))</f>
        <v>5</v>
      </c>
      <c r="M1402" cm="1">
        <f t="array" ref="M1402">IF(OR(AND(L1402=9,M$1&gt;YEAR($N1402))),9,_xlfn.IFNA(INDEX($D$2:$D$4001,_xlfn.XMATCH(M$1&amp;"-"&amp;$F1402,YEAR($B$2:$B$4001)&amp;"-"&amp;$A$2:$A$4001,0,-1)),L1402))</f>
        <v>5</v>
      </c>
      <c r="N1402" s="1">
        <f t="shared" si="21"/>
        <v>36524</v>
      </c>
    </row>
    <row r="1403" spans="1:14" x14ac:dyDescent="0.35">
      <c r="A1403">
        <v>669</v>
      </c>
      <c r="B1403" s="2">
        <v>37032</v>
      </c>
      <c r="C1403">
        <v>3</v>
      </c>
      <c r="D1403">
        <v>3</v>
      </c>
      <c r="F1403">
        <v>1402</v>
      </c>
      <c r="G1403" cm="1">
        <f t="array" ref="G1403">_xlfn.IFNA(INDEX($D$2:$D$4001,_xlfn.XMATCH(G$1&amp;"-"&amp;$F1403,YEAR($B$2:$B$4001)&amp;"-"&amp;$A$2:$A$4001,0,-1)),9)</f>
        <v>5</v>
      </c>
      <c r="H1403" cm="1">
        <f t="array" ref="H1403">IF(OR(AND(G1403=9,H$1&gt;YEAR($N1403))),9,_xlfn.IFNA(INDEX($D$2:$D$4001,_xlfn.XMATCH(H$1&amp;"-"&amp;$F1403,YEAR($B$2:$B$4001)&amp;"-"&amp;$A$2:$A$4001,0,-1)),G1403))</f>
        <v>7</v>
      </c>
      <c r="I1403" cm="1">
        <f t="array" ref="I1403">IF(OR(AND(H1403=9,I$1&gt;YEAR($N1403))),9,_xlfn.IFNA(INDEX($D$2:$D$4001,_xlfn.XMATCH(I$1&amp;"-"&amp;$F1403,YEAR($B$2:$B$4001)&amp;"-"&amp;$A$2:$A$4001,0,-1)),H1403))</f>
        <v>7</v>
      </c>
      <c r="J1403" cm="1">
        <f t="array" ref="J1403">IF(OR(AND(I1403=9,J$1&gt;YEAR($N1403))),9,_xlfn.IFNA(INDEX($D$2:$D$4001,_xlfn.XMATCH(J$1&amp;"-"&amp;$F1403,YEAR($B$2:$B$4001)&amp;"-"&amp;$A$2:$A$4001,0,-1)),I1403))</f>
        <v>8</v>
      </c>
      <c r="K1403" cm="1">
        <f t="array" ref="K1403">IF(OR(AND(J1403=9,K$1&gt;YEAR($N1403))),9,_xlfn.IFNA(INDEX($D$2:$D$4001,_xlfn.XMATCH(K$1&amp;"-"&amp;$F1403,YEAR($B$2:$B$4001)&amp;"-"&amp;$A$2:$A$4001,0,-1)),J1403))</f>
        <v>8</v>
      </c>
      <c r="L1403" cm="1">
        <f t="array" ref="L1403">IF(OR(AND(K1403=9,L$1&gt;YEAR($N1403))),9,_xlfn.IFNA(INDEX($D$2:$D$4001,_xlfn.XMATCH(L$1&amp;"-"&amp;$F1403,YEAR($B$2:$B$4001)&amp;"-"&amp;$A$2:$A$4001,0,-1)),K1403))</f>
        <v>8</v>
      </c>
      <c r="M1403" cm="1">
        <f t="array" ref="M1403">IF(OR(AND(L1403=9,M$1&gt;YEAR($N1403))),9,_xlfn.IFNA(INDEX($D$2:$D$4001,_xlfn.XMATCH(M$1&amp;"-"&amp;$F1403,YEAR($B$2:$B$4001)&amp;"-"&amp;$A$2:$A$4001,0,-1)),L1403))</f>
        <v>8</v>
      </c>
      <c r="N1403" s="1">
        <f t="shared" si="21"/>
        <v>36362</v>
      </c>
    </row>
    <row r="1404" spans="1:14" x14ac:dyDescent="0.35">
      <c r="A1404">
        <v>669</v>
      </c>
      <c r="B1404" s="2">
        <v>37550</v>
      </c>
      <c r="C1404">
        <v>0</v>
      </c>
      <c r="D1404">
        <v>0</v>
      </c>
      <c r="F1404">
        <v>1403</v>
      </c>
      <c r="G1404" cm="1">
        <f t="array" ref="G1404">_xlfn.IFNA(INDEX($D$2:$D$4001,_xlfn.XMATCH(G$1&amp;"-"&amp;$F1404,YEAR($B$2:$B$4001)&amp;"-"&amp;$A$2:$A$4001,0,-1)),9)</f>
        <v>9</v>
      </c>
      <c r="H1404" cm="1">
        <f t="array" ref="H1404">IF(OR(AND(G1404=9,H$1&gt;YEAR($N1404))),9,_xlfn.IFNA(INDEX($D$2:$D$4001,_xlfn.XMATCH(H$1&amp;"-"&amp;$F1404,YEAR($B$2:$B$4001)&amp;"-"&amp;$A$2:$A$4001,0,-1)),G1404))</f>
        <v>9</v>
      </c>
      <c r="I1404" cm="1">
        <f t="array" ref="I1404">IF(OR(AND(H1404=9,I$1&gt;YEAR($N1404))),9,_xlfn.IFNA(INDEX($D$2:$D$4001,_xlfn.XMATCH(I$1&amp;"-"&amp;$F1404,YEAR($B$2:$B$4001)&amp;"-"&amp;$A$2:$A$4001,0,-1)),H1404))</f>
        <v>5</v>
      </c>
      <c r="J1404" cm="1">
        <f t="array" ref="J1404">IF(OR(AND(I1404=9,J$1&gt;YEAR($N1404))),9,_xlfn.IFNA(INDEX($D$2:$D$4001,_xlfn.XMATCH(J$1&amp;"-"&amp;$F1404,YEAR($B$2:$B$4001)&amp;"-"&amp;$A$2:$A$4001,0,-1)),I1404))</f>
        <v>8</v>
      </c>
      <c r="K1404" cm="1">
        <f t="array" ref="K1404">IF(OR(AND(J1404=9,K$1&gt;YEAR($N1404))),9,_xlfn.IFNA(INDEX($D$2:$D$4001,_xlfn.XMATCH(K$1&amp;"-"&amp;$F1404,YEAR($B$2:$B$4001)&amp;"-"&amp;$A$2:$A$4001,0,-1)),J1404))</f>
        <v>8</v>
      </c>
      <c r="L1404" cm="1">
        <f t="array" ref="L1404">IF(OR(AND(K1404=9,L$1&gt;YEAR($N1404))),9,_xlfn.IFNA(INDEX($D$2:$D$4001,_xlfn.XMATCH(L$1&amp;"-"&amp;$F1404,YEAR($B$2:$B$4001)&amp;"-"&amp;$A$2:$A$4001,0,-1)),K1404))</f>
        <v>8</v>
      </c>
      <c r="M1404" cm="1">
        <f t="array" ref="M1404">IF(OR(AND(L1404=9,M$1&gt;YEAR($N1404))),9,_xlfn.IFNA(INDEX($D$2:$D$4001,_xlfn.XMATCH(M$1&amp;"-"&amp;$F1404,YEAR($B$2:$B$4001)&amp;"-"&amp;$A$2:$A$4001,0,-1)),L1404))</f>
        <v>8</v>
      </c>
      <c r="N1404" s="1">
        <f t="shared" si="21"/>
        <v>37255</v>
      </c>
    </row>
    <row r="1405" spans="1:14" x14ac:dyDescent="0.35">
      <c r="A1405">
        <v>670</v>
      </c>
      <c r="B1405" s="2">
        <v>37034</v>
      </c>
      <c r="C1405">
        <v>2</v>
      </c>
      <c r="D1405">
        <v>2</v>
      </c>
      <c r="F1405">
        <v>1404</v>
      </c>
      <c r="G1405" cm="1">
        <f t="array" ref="G1405">_xlfn.IFNA(INDEX($D$2:$D$4001,_xlfn.XMATCH(G$1&amp;"-"&amp;$F1405,YEAR($B$2:$B$4001)&amp;"-"&amp;$A$2:$A$4001,0,-1)),9)</f>
        <v>6</v>
      </c>
      <c r="H1405" cm="1">
        <f t="array" ref="H1405">IF(OR(AND(G1405=9,H$1&gt;YEAR($N1405))),9,_xlfn.IFNA(INDEX($D$2:$D$4001,_xlfn.XMATCH(H$1&amp;"-"&amp;$F1405,YEAR($B$2:$B$4001)&amp;"-"&amp;$A$2:$A$4001,0,-1)),G1405))</f>
        <v>6</v>
      </c>
      <c r="I1405" cm="1">
        <f t="array" ref="I1405">IF(OR(AND(H1405=9,I$1&gt;YEAR($N1405))),9,_xlfn.IFNA(INDEX($D$2:$D$4001,_xlfn.XMATCH(I$1&amp;"-"&amp;$F1405,YEAR($B$2:$B$4001)&amp;"-"&amp;$A$2:$A$4001,0,-1)),H1405))</f>
        <v>6</v>
      </c>
      <c r="J1405" cm="1">
        <f t="array" ref="J1405">IF(OR(AND(I1405=9,J$1&gt;YEAR($N1405))),9,_xlfn.IFNA(INDEX($D$2:$D$4001,_xlfn.XMATCH(J$1&amp;"-"&amp;$F1405,YEAR($B$2:$B$4001)&amp;"-"&amp;$A$2:$A$4001,0,-1)),I1405))</f>
        <v>7</v>
      </c>
      <c r="K1405" cm="1">
        <f t="array" ref="K1405">IF(OR(AND(J1405=9,K$1&gt;YEAR($N1405))),9,_xlfn.IFNA(INDEX($D$2:$D$4001,_xlfn.XMATCH(K$1&amp;"-"&amp;$F1405,YEAR($B$2:$B$4001)&amp;"-"&amp;$A$2:$A$4001,0,-1)),J1405))</f>
        <v>7</v>
      </c>
      <c r="L1405" cm="1">
        <f t="array" ref="L1405">IF(OR(AND(K1405=9,L$1&gt;YEAR($N1405))),9,_xlfn.IFNA(INDEX($D$2:$D$4001,_xlfn.XMATCH(L$1&amp;"-"&amp;$F1405,YEAR($B$2:$B$4001)&amp;"-"&amp;$A$2:$A$4001,0,-1)),K1405))</f>
        <v>0</v>
      </c>
      <c r="M1405" cm="1">
        <f t="array" ref="M1405">IF(OR(AND(L1405=9,M$1&gt;YEAR($N1405))),9,_xlfn.IFNA(INDEX($D$2:$D$4001,_xlfn.XMATCH(M$1&amp;"-"&amp;$F1405,YEAR($B$2:$B$4001)&amp;"-"&amp;$A$2:$A$4001,0,-1)),L1405))</f>
        <v>0</v>
      </c>
      <c r="N1405" s="1">
        <f t="shared" si="21"/>
        <v>36301</v>
      </c>
    </row>
    <row r="1406" spans="1:14" x14ac:dyDescent="0.35">
      <c r="A1406">
        <v>670</v>
      </c>
      <c r="B1406" s="2">
        <v>37041</v>
      </c>
      <c r="C1406">
        <v>2</v>
      </c>
      <c r="D1406">
        <v>2</v>
      </c>
      <c r="F1406">
        <v>1405</v>
      </c>
      <c r="G1406" cm="1">
        <f t="array" ref="G1406">_xlfn.IFNA(INDEX($D$2:$D$4001,_xlfn.XMATCH(G$1&amp;"-"&amp;$F1406,YEAR($B$2:$B$4001)&amp;"-"&amp;$A$2:$A$4001,0,-1)),9)</f>
        <v>2</v>
      </c>
      <c r="H1406" cm="1">
        <f t="array" ref="H1406">IF(OR(AND(G1406=9,H$1&gt;YEAR($N1406))),9,_xlfn.IFNA(INDEX($D$2:$D$4001,_xlfn.XMATCH(H$1&amp;"-"&amp;$F1406,YEAR($B$2:$B$4001)&amp;"-"&amp;$A$2:$A$4001,0,-1)),G1406))</f>
        <v>2</v>
      </c>
      <c r="I1406" cm="1">
        <f t="array" ref="I1406">IF(OR(AND(H1406=9,I$1&gt;YEAR($N1406))),9,_xlfn.IFNA(INDEX($D$2:$D$4001,_xlfn.XMATCH(I$1&amp;"-"&amp;$F1406,YEAR($B$2:$B$4001)&amp;"-"&amp;$A$2:$A$4001,0,-1)),H1406))</f>
        <v>2</v>
      </c>
      <c r="J1406" cm="1">
        <f t="array" ref="J1406">IF(OR(AND(I1406=9,J$1&gt;YEAR($N1406))),9,_xlfn.IFNA(INDEX($D$2:$D$4001,_xlfn.XMATCH(J$1&amp;"-"&amp;$F1406,YEAR($B$2:$B$4001)&amp;"-"&amp;$A$2:$A$4001,0,-1)),I1406))</f>
        <v>2</v>
      </c>
      <c r="K1406" cm="1">
        <f t="array" ref="K1406">IF(OR(AND(J1406=9,K$1&gt;YEAR($N1406))),9,_xlfn.IFNA(INDEX($D$2:$D$4001,_xlfn.XMATCH(K$1&amp;"-"&amp;$F1406,YEAR($B$2:$B$4001)&amp;"-"&amp;$A$2:$A$4001,0,-1)),J1406))</f>
        <v>2</v>
      </c>
      <c r="L1406" cm="1">
        <f t="array" ref="L1406">IF(OR(AND(K1406=9,L$1&gt;YEAR($N1406))),9,_xlfn.IFNA(INDEX($D$2:$D$4001,_xlfn.XMATCH(L$1&amp;"-"&amp;$F1406,YEAR($B$2:$B$4001)&amp;"-"&amp;$A$2:$A$4001,0,-1)),K1406))</f>
        <v>2</v>
      </c>
      <c r="M1406" cm="1">
        <f t="array" ref="M1406">IF(OR(AND(L1406=9,M$1&gt;YEAR($N1406))),9,_xlfn.IFNA(INDEX($D$2:$D$4001,_xlfn.XMATCH(M$1&amp;"-"&amp;$F1406,YEAR($B$2:$B$4001)&amp;"-"&amp;$A$2:$A$4001,0,-1)),L1406))</f>
        <v>2</v>
      </c>
      <c r="N1406" s="1">
        <f t="shared" si="21"/>
        <v>36364</v>
      </c>
    </row>
    <row r="1407" spans="1:14" x14ac:dyDescent="0.35">
      <c r="A1407">
        <v>671</v>
      </c>
      <c r="B1407" s="2">
        <v>37160</v>
      </c>
      <c r="C1407">
        <v>2</v>
      </c>
      <c r="D1407">
        <v>2</v>
      </c>
      <c r="F1407">
        <v>1406</v>
      </c>
      <c r="G1407" cm="1">
        <f t="array" ref="G1407">_xlfn.IFNA(INDEX($D$2:$D$4001,_xlfn.XMATCH(G$1&amp;"-"&amp;$F1407,YEAR($B$2:$B$4001)&amp;"-"&amp;$A$2:$A$4001,0,-1)),9)</f>
        <v>9</v>
      </c>
      <c r="H1407" cm="1">
        <f t="array" ref="H1407">IF(OR(AND(G1407=9,H$1&gt;YEAR($N1407))),9,_xlfn.IFNA(INDEX($D$2:$D$4001,_xlfn.XMATCH(H$1&amp;"-"&amp;$F1407,YEAR($B$2:$B$4001)&amp;"-"&amp;$A$2:$A$4001,0,-1)),G1407))</f>
        <v>9</v>
      </c>
      <c r="I1407" cm="1">
        <f t="array" ref="I1407">IF(OR(AND(H1407=9,I$1&gt;YEAR($N1407))),9,_xlfn.IFNA(INDEX($D$2:$D$4001,_xlfn.XMATCH(I$1&amp;"-"&amp;$F1407,YEAR($B$2:$B$4001)&amp;"-"&amp;$A$2:$A$4001,0,-1)),H1407))</f>
        <v>3</v>
      </c>
      <c r="J1407" cm="1">
        <f t="array" ref="J1407">IF(OR(AND(I1407=9,J$1&gt;YEAR($N1407))),9,_xlfn.IFNA(INDEX($D$2:$D$4001,_xlfn.XMATCH(J$1&amp;"-"&amp;$F1407,YEAR($B$2:$B$4001)&amp;"-"&amp;$A$2:$A$4001,0,-1)),I1407))</f>
        <v>3</v>
      </c>
      <c r="K1407" cm="1">
        <f t="array" ref="K1407">IF(OR(AND(J1407=9,K$1&gt;YEAR($N1407))),9,_xlfn.IFNA(INDEX($D$2:$D$4001,_xlfn.XMATCH(K$1&amp;"-"&amp;$F1407,YEAR($B$2:$B$4001)&amp;"-"&amp;$A$2:$A$4001,0,-1)),J1407))</f>
        <v>3</v>
      </c>
      <c r="L1407" cm="1">
        <f t="array" ref="L1407">IF(OR(AND(K1407=9,L$1&gt;YEAR($N1407))),9,_xlfn.IFNA(INDEX($D$2:$D$4001,_xlfn.XMATCH(L$1&amp;"-"&amp;$F1407,YEAR($B$2:$B$4001)&amp;"-"&amp;$A$2:$A$4001,0,-1)),K1407))</f>
        <v>3</v>
      </c>
      <c r="M1407" cm="1">
        <f t="array" ref="M1407">IF(OR(AND(L1407=9,M$1&gt;YEAR($N1407))),9,_xlfn.IFNA(INDEX($D$2:$D$4001,_xlfn.XMATCH(M$1&amp;"-"&amp;$F1407,YEAR($B$2:$B$4001)&amp;"-"&amp;$A$2:$A$4001,0,-1)),L1407))</f>
        <v>3</v>
      </c>
      <c r="N1407" s="1">
        <f t="shared" si="21"/>
        <v>37255</v>
      </c>
    </row>
    <row r="1408" spans="1:14" x14ac:dyDescent="0.35">
      <c r="A1408">
        <v>672</v>
      </c>
      <c r="B1408" s="2">
        <v>37255</v>
      </c>
      <c r="C1408">
        <v>2</v>
      </c>
      <c r="D1408">
        <v>2</v>
      </c>
      <c r="F1408">
        <v>1407</v>
      </c>
      <c r="G1408" cm="1">
        <f t="array" ref="G1408">_xlfn.IFNA(INDEX($D$2:$D$4001,_xlfn.XMATCH(G$1&amp;"-"&amp;$F1408,YEAR($B$2:$B$4001)&amp;"-"&amp;$A$2:$A$4001,0,-1)),9)</f>
        <v>9</v>
      </c>
      <c r="H1408" cm="1">
        <f t="array" ref="H1408">IF(OR(AND(G1408=9,H$1&gt;YEAR($N1408))),9,_xlfn.IFNA(INDEX($D$2:$D$4001,_xlfn.XMATCH(H$1&amp;"-"&amp;$F1408,YEAR($B$2:$B$4001)&amp;"-"&amp;$A$2:$A$4001,0,-1)),G1408))</f>
        <v>2</v>
      </c>
      <c r="I1408" cm="1">
        <f t="array" ref="I1408">IF(OR(AND(H1408=9,I$1&gt;YEAR($N1408))),9,_xlfn.IFNA(INDEX($D$2:$D$4001,_xlfn.XMATCH(I$1&amp;"-"&amp;$F1408,YEAR($B$2:$B$4001)&amp;"-"&amp;$A$2:$A$4001,0,-1)),H1408))</f>
        <v>2</v>
      </c>
      <c r="J1408" cm="1">
        <f t="array" ref="J1408">IF(OR(AND(I1408=9,J$1&gt;YEAR($N1408))),9,_xlfn.IFNA(INDEX($D$2:$D$4001,_xlfn.XMATCH(J$1&amp;"-"&amp;$F1408,YEAR($B$2:$B$4001)&amp;"-"&amp;$A$2:$A$4001,0,-1)),I1408))</f>
        <v>2</v>
      </c>
      <c r="K1408" cm="1">
        <f t="array" ref="K1408">IF(OR(AND(J1408=9,K$1&gt;YEAR($N1408))),9,_xlfn.IFNA(INDEX($D$2:$D$4001,_xlfn.XMATCH(K$1&amp;"-"&amp;$F1408,YEAR($B$2:$B$4001)&amp;"-"&amp;$A$2:$A$4001,0,-1)),J1408))</f>
        <v>2</v>
      </c>
      <c r="L1408" cm="1">
        <f t="array" ref="L1408">IF(OR(AND(K1408=9,L$1&gt;YEAR($N1408))),9,_xlfn.IFNA(INDEX($D$2:$D$4001,_xlfn.XMATCH(L$1&amp;"-"&amp;$F1408,YEAR($B$2:$B$4001)&amp;"-"&amp;$A$2:$A$4001,0,-1)),K1408))</f>
        <v>2</v>
      </c>
      <c r="M1408" cm="1">
        <f t="array" ref="M1408">IF(OR(AND(L1408=9,M$1&gt;YEAR($N1408))),9,_xlfn.IFNA(INDEX($D$2:$D$4001,_xlfn.XMATCH(M$1&amp;"-"&amp;$F1408,YEAR($B$2:$B$4001)&amp;"-"&amp;$A$2:$A$4001,0,-1)),L1408))</f>
        <v>2</v>
      </c>
      <c r="N1408" s="1">
        <f t="shared" si="21"/>
        <v>36820</v>
      </c>
    </row>
    <row r="1409" spans="1:14" x14ac:dyDescent="0.35">
      <c r="A1409">
        <v>672</v>
      </c>
      <c r="B1409" s="2">
        <v>37620</v>
      </c>
      <c r="C1409">
        <v>0</v>
      </c>
      <c r="D1409">
        <v>0</v>
      </c>
      <c r="F1409">
        <v>1408</v>
      </c>
      <c r="G1409" cm="1">
        <f t="array" ref="G1409">_xlfn.IFNA(INDEX($D$2:$D$4001,_xlfn.XMATCH(G$1&amp;"-"&amp;$F1409,YEAR($B$2:$B$4001)&amp;"-"&amp;$A$2:$A$4001,0,-1)),9)</f>
        <v>9</v>
      </c>
      <c r="H1409" cm="1">
        <f t="array" ref="H1409">IF(OR(AND(G1409=9,H$1&gt;YEAR($N1409))),9,_xlfn.IFNA(INDEX($D$2:$D$4001,_xlfn.XMATCH(H$1&amp;"-"&amp;$F1409,YEAR($B$2:$B$4001)&amp;"-"&amp;$A$2:$A$4001,0,-1)),G1409))</f>
        <v>9</v>
      </c>
      <c r="I1409" cm="1">
        <f t="array" ref="I1409">IF(OR(AND(H1409=9,I$1&gt;YEAR($N1409))),9,_xlfn.IFNA(INDEX($D$2:$D$4001,_xlfn.XMATCH(I$1&amp;"-"&amp;$F1409,YEAR($B$2:$B$4001)&amp;"-"&amp;$A$2:$A$4001,0,-1)),H1409))</f>
        <v>9</v>
      </c>
      <c r="J1409" cm="1">
        <f t="array" ref="J1409">IF(OR(AND(I1409=9,J$1&gt;YEAR($N1409))),9,_xlfn.IFNA(INDEX($D$2:$D$4001,_xlfn.XMATCH(J$1&amp;"-"&amp;$F1409,YEAR($B$2:$B$4001)&amp;"-"&amp;$A$2:$A$4001,0,-1)),I1409))</f>
        <v>6</v>
      </c>
      <c r="K1409" cm="1">
        <f t="array" ref="K1409">IF(OR(AND(J1409=9,K$1&gt;YEAR($N1409))),9,_xlfn.IFNA(INDEX($D$2:$D$4001,_xlfn.XMATCH(K$1&amp;"-"&amp;$F1409,YEAR($B$2:$B$4001)&amp;"-"&amp;$A$2:$A$4001,0,-1)),J1409))</f>
        <v>6</v>
      </c>
      <c r="L1409" cm="1">
        <f t="array" ref="L1409">IF(OR(AND(K1409=9,L$1&gt;YEAR($N1409))),9,_xlfn.IFNA(INDEX($D$2:$D$4001,_xlfn.XMATCH(L$1&amp;"-"&amp;$F1409,YEAR($B$2:$B$4001)&amp;"-"&amp;$A$2:$A$4001,0,-1)),K1409))</f>
        <v>6</v>
      </c>
      <c r="M1409" cm="1">
        <f t="array" ref="M1409">IF(OR(AND(L1409=9,M$1&gt;YEAR($N1409))),9,_xlfn.IFNA(INDEX($D$2:$D$4001,_xlfn.XMATCH(M$1&amp;"-"&amp;$F1409,YEAR($B$2:$B$4001)&amp;"-"&amp;$A$2:$A$4001,0,-1)),L1409))</f>
        <v>6</v>
      </c>
      <c r="N1409" s="1">
        <f t="shared" si="21"/>
        <v>37397</v>
      </c>
    </row>
    <row r="1410" spans="1:14" x14ac:dyDescent="0.35">
      <c r="A1410">
        <v>673</v>
      </c>
      <c r="B1410" s="2">
        <v>36890</v>
      </c>
      <c r="C1410">
        <v>2</v>
      </c>
      <c r="D1410">
        <v>2</v>
      </c>
      <c r="F1410">
        <v>1409</v>
      </c>
      <c r="G1410" cm="1">
        <f t="array" ref="G1410">_xlfn.IFNA(INDEX($D$2:$D$4001,_xlfn.XMATCH(G$1&amp;"-"&amp;$F1410,YEAR($B$2:$B$4001)&amp;"-"&amp;$A$2:$A$4001,0,-1)),9)</f>
        <v>9</v>
      </c>
      <c r="H1410" cm="1">
        <f t="array" ref="H1410">IF(OR(AND(G1410=9,H$1&gt;YEAR($N1410))),9,_xlfn.IFNA(INDEX($D$2:$D$4001,_xlfn.XMATCH(H$1&amp;"-"&amp;$F1410,YEAR($B$2:$B$4001)&amp;"-"&amp;$A$2:$A$4001,0,-1)),G1410))</f>
        <v>9</v>
      </c>
      <c r="I1410" cm="1">
        <f t="array" ref="I1410">IF(OR(AND(H1410=9,I$1&gt;YEAR($N1410))),9,_xlfn.IFNA(INDEX($D$2:$D$4001,_xlfn.XMATCH(I$1&amp;"-"&amp;$F1410,YEAR($B$2:$B$4001)&amp;"-"&amp;$A$2:$A$4001,0,-1)),H1410))</f>
        <v>2</v>
      </c>
      <c r="J1410" cm="1">
        <f t="array" ref="J1410">IF(OR(AND(I1410=9,J$1&gt;YEAR($N1410))),9,_xlfn.IFNA(INDEX($D$2:$D$4001,_xlfn.XMATCH(J$1&amp;"-"&amp;$F1410,YEAR($B$2:$B$4001)&amp;"-"&amp;$A$2:$A$4001,0,-1)),I1410))</f>
        <v>2</v>
      </c>
      <c r="K1410" cm="1">
        <f t="array" ref="K1410">IF(OR(AND(J1410=9,K$1&gt;YEAR($N1410))),9,_xlfn.IFNA(INDEX($D$2:$D$4001,_xlfn.XMATCH(K$1&amp;"-"&amp;$F1410,YEAR($B$2:$B$4001)&amp;"-"&amp;$A$2:$A$4001,0,-1)),J1410))</f>
        <v>2</v>
      </c>
      <c r="L1410" cm="1">
        <f t="array" ref="L1410">IF(OR(AND(K1410=9,L$1&gt;YEAR($N1410))),9,_xlfn.IFNA(INDEX($D$2:$D$4001,_xlfn.XMATCH(L$1&amp;"-"&amp;$F1410,YEAR($B$2:$B$4001)&amp;"-"&amp;$A$2:$A$4001,0,-1)),K1410))</f>
        <v>2</v>
      </c>
      <c r="M1410" cm="1">
        <f t="array" ref="M1410">IF(OR(AND(L1410=9,M$1&gt;YEAR($N1410))),9,_xlfn.IFNA(INDEX($D$2:$D$4001,_xlfn.XMATCH(M$1&amp;"-"&amp;$F1410,YEAR($B$2:$B$4001)&amp;"-"&amp;$A$2:$A$4001,0,-1)),L1410))</f>
        <v>2</v>
      </c>
      <c r="N1410" s="1">
        <f t="shared" si="21"/>
        <v>37032</v>
      </c>
    </row>
    <row r="1411" spans="1:14" x14ac:dyDescent="0.35">
      <c r="A1411">
        <v>673</v>
      </c>
      <c r="B1411" s="2">
        <v>37491</v>
      </c>
      <c r="C1411">
        <v>2</v>
      </c>
      <c r="D1411">
        <v>2</v>
      </c>
      <c r="F1411">
        <v>1410</v>
      </c>
      <c r="G1411" cm="1">
        <f t="array" ref="G1411">_xlfn.IFNA(INDEX($D$2:$D$4001,_xlfn.XMATCH(G$1&amp;"-"&amp;$F1411,YEAR($B$2:$B$4001)&amp;"-"&amp;$A$2:$A$4001,0,-1)),9)</f>
        <v>9</v>
      </c>
      <c r="H1411" cm="1">
        <f t="array" ref="H1411">IF(OR(AND(G1411=9,H$1&gt;YEAR($N1411))),9,_xlfn.IFNA(INDEX($D$2:$D$4001,_xlfn.XMATCH(H$1&amp;"-"&amp;$F1411,YEAR($B$2:$B$4001)&amp;"-"&amp;$A$2:$A$4001,0,-1)),G1411))</f>
        <v>9</v>
      </c>
      <c r="I1411" cm="1">
        <f t="array" ref="I1411">IF(OR(AND(H1411=9,I$1&gt;YEAR($N1411))),9,_xlfn.IFNA(INDEX($D$2:$D$4001,_xlfn.XMATCH(I$1&amp;"-"&amp;$F1411,YEAR($B$2:$B$4001)&amp;"-"&amp;$A$2:$A$4001,0,-1)),H1411))</f>
        <v>2</v>
      </c>
      <c r="J1411" cm="1">
        <f t="array" ref="J1411">IF(OR(AND(I1411=9,J$1&gt;YEAR($N1411))),9,_xlfn.IFNA(INDEX($D$2:$D$4001,_xlfn.XMATCH(J$1&amp;"-"&amp;$F1411,YEAR($B$2:$B$4001)&amp;"-"&amp;$A$2:$A$4001,0,-1)),I1411))</f>
        <v>2</v>
      </c>
      <c r="K1411" cm="1">
        <f t="array" ref="K1411">IF(OR(AND(J1411=9,K$1&gt;YEAR($N1411))),9,_xlfn.IFNA(INDEX($D$2:$D$4001,_xlfn.XMATCH(K$1&amp;"-"&amp;$F1411,YEAR($B$2:$B$4001)&amp;"-"&amp;$A$2:$A$4001,0,-1)),J1411))</f>
        <v>2</v>
      </c>
      <c r="L1411" cm="1">
        <f t="array" ref="L1411">IF(OR(AND(K1411=9,L$1&gt;YEAR($N1411))),9,_xlfn.IFNA(INDEX($D$2:$D$4001,_xlfn.XMATCH(L$1&amp;"-"&amp;$F1411,YEAR($B$2:$B$4001)&amp;"-"&amp;$A$2:$A$4001,0,-1)),K1411))</f>
        <v>2</v>
      </c>
      <c r="M1411" cm="1">
        <f t="array" ref="M1411">IF(OR(AND(L1411=9,M$1&gt;YEAR($N1411))),9,_xlfn.IFNA(INDEX($D$2:$D$4001,_xlfn.XMATCH(M$1&amp;"-"&amp;$F1411,YEAR($B$2:$B$4001)&amp;"-"&amp;$A$2:$A$4001,0,-1)),L1411))</f>
        <v>2</v>
      </c>
      <c r="N1411" s="1">
        <f t="shared" ref="N1411:N1474" si="22">_xlfn.MINIFS($B$2:$B$4001,$A$2:$A$4001,F1411)</f>
        <v>37164</v>
      </c>
    </row>
    <row r="1412" spans="1:14" x14ac:dyDescent="0.35">
      <c r="A1412">
        <v>674</v>
      </c>
      <c r="B1412" s="2">
        <v>37402</v>
      </c>
      <c r="C1412">
        <v>7</v>
      </c>
      <c r="D1412">
        <v>7</v>
      </c>
      <c r="F1412">
        <v>1411</v>
      </c>
      <c r="G1412" cm="1">
        <f t="array" ref="G1412">_xlfn.IFNA(INDEX($D$2:$D$4001,_xlfn.XMATCH(G$1&amp;"-"&amp;$F1412,YEAR($B$2:$B$4001)&amp;"-"&amp;$A$2:$A$4001,0,-1)),9)</f>
        <v>9</v>
      </c>
      <c r="H1412" cm="1">
        <f t="array" ref="H1412">IF(OR(AND(G1412=9,H$1&gt;YEAR($N1412))),9,_xlfn.IFNA(INDEX($D$2:$D$4001,_xlfn.XMATCH(H$1&amp;"-"&amp;$F1412,YEAR($B$2:$B$4001)&amp;"-"&amp;$A$2:$A$4001,0,-1)),G1412))</f>
        <v>9</v>
      </c>
      <c r="I1412" cm="1">
        <f t="array" ref="I1412">IF(OR(AND(H1412=9,I$1&gt;YEAR($N1412))),9,_xlfn.IFNA(INDEX($D$2:$D$4001,_xlfn.XMATCH(I$1&amp;"-"&amp;$F1412,YEAR($B$2:$B$4001)&amp;"-"&amp;$A$2:$A$4001,0,-1)),H1412))</f>
        <v>9</v>
      </c>
      <c r="J1412" cm="1">
        <f t="array" ref="J1412">IF(OR(AND(I1412=9,J$1&gt;YEAR($N1412))),9,_xlfn.IFNA(INDEX($D$2:$D$4001,_xlfn.XMATCH(J$1&amp;"-"&amp;$F1412,YEAR($B$2:$B$4001)&amp;"-"&amp;$A$2:$A$4001,0,-1)),I1412))</f>
        <v>6</v>
      </c>
      <c r="K1412" cm="1">
        <f t="array" ref="K1412">IF(OR(AND(J1412=9,K$1&gt;YEAR($N1412))),9,_xlfn.IFNA(INDEX($D$2:$D$4001,_xlfn.XMATCH(K$1&amp;"-"&amp;$F1412,YEAR($B$2:$B$4001)&amp;"-"&amp;$A$2:$A$4001,0,-1)),J1412))</f>
        <v>6</v>
      </c>
      <c r="L1412" cm="1">
        <f t="array" ref="L1412">IF(OR(AND(K1412=9,L$1&gt;YEAR($N1412))),9,_xlfn.IFNA(INDEX($D$2:$D$4001,_xlfn.XMATCH(L$1&amp;"-"&amp;$F1412,YEAR($B$2:$B$4001)&amp;"-"&amp;$A$2:$A$4001,0,-1)),K1412))</f>
        <v>5</v>
      </c>
      <c r="M1412" cm="1">
        <f t="array" ref="M1412">IF(OR(AND(L1412=9,M$1&gt;YEAR($N1412))),9,_xlfn.IFNA(INDEX($D$2:$D$4001,_xlfn.XMATCH(M$1&amp;"-"&amp;$F1412,YEAR($B$2:$B$4001)&amp;"-"&amp;$A$2:$A$4001,0,-1)),L1412))</f>
        <v>5</v>
      </c>
      <c r="N1412" s="1">
        <f t="shared" si="22"/>
        <v>37559</v>
      </c>
    </row>
    <row r="1413" spans="1:14" x14ac:dyDescent="0.35">
      <c r="A1413">
        <v>674</v>
      </c>
      <c r="B1413" s="2">
        <v>37770</v>
      </c>
      <c r="C1413">
        <v>7</v>
      </c>
      <c r="D1413">
        <v>7</v>
      </c>
      <c r="F1413">
        <v>1412</v>
      </c>
      <c r="G1413" cm="1">
        <f t="array" ref="G1413">_xlfn.IFNA(INDEX($D$2:$D$4001,_xlfn.XMATCH(G$1&amp;"-"&amp;$F1413,YEAR($B$2:$B$4001)&amp;"-"&amp;$A$2:$A$4001,0,-1)),9)</f>
        <v>4</v>
      </c>
      <c r="H1413" cm="1">
        <f t="array" ref="H1413">IF(OR(AND(G1413=9,H$1&gt;YEAR($N1413))),9,_xlfn.IFNA(INDEX($D$2:$D$4001,_xlfn.XMATCH(H$1&amp;"-"&amp;$F1413,YEAR($B$2:$B$4001)&amp;"-"&amp;$A$2:$A$4001,0,-1)),G1413))</f>
        <v>4</v>
      </c>
      <c r="I1413" cm="1">
        <f t="array" ref="I1413">IF(OR(AND(H1413=9,I$1&gt;YEAR($N1413))),9,_xlfn.IFNA(INDEX($D$2:$D$4001,_xlfn.XMATCH(I$1&amp;"-"&amp;$F1413,YEAR($B$2:$B$4001)&amp;"-"&amp;$A$2:$A$4001,0,-1)),H1413))</f>
        <v>4</v>
      </c>
      <c r="J1413" cm="1">
        <f t="array" ref="J1413">IF(OR(AND(I1413=9,J$1&gt;YEAR($N1413))),9,_xlfn.IFNA(INDEX($D$2:$D$4001,_xlfn.XMATCH(J$1&amp;"-"&amp;$F1413,YEAR($B$2:$B$4001)&amp;"-"&amp;$A$2:$A$4001,0,-1)),I1413))</f>
        <v>4</v>
      </c>
      <c r="K1413" cm="1">
        <f t="array" ref="K1413">IF(OR(AND(J1413=9,K$1&gt;YEAR($N1413))),9,_xlfn.IFNA(INDEX($D$2:$D$4001,_xlfn.XMATCH(K$1&amp;"-"&amp;$F1413,YEAR($B$2:$B$4001)&amp;"-"&amp;$A$2:$A$4001,0,-1)),J1413))</f>
        <v>4</v>
      </c>
      <c r="L1413" cm="1">
        <f t="array" ref="L1413">IF(OR(AND(K1413=9,L$1&gt;YEAR($N1413))),9,_xlfn.IFNA(INDEX($D$2:$D$4001,_xlfn.XMATCH(L$1&amp;"-"&amp;$F1413,YEAR($B$2:$B$4001)&amp;"-"&amp;$A$2:$A$4001,0,-1)),K1413))</f>
        <v>4</v>
      </c>
      <c r="M1413" cm="1">
        <f t="array" ref="M1413">IF(OR(AND(L1413=9,M$1&gt;YEAR($N1413))),9,_xlfn.IFNA(INDEX($D$2:$D$4001,_xlfn.XMATCH(M$1&amp;"-"&amp;$F1413,YEAR($B$2:$B$4001)&amp;"-"&amp;$A$2:$A$4001,0,-1)),L1413))</f>
        <v>4</v>
      </c>
      <c r="N1413" s="1">
        <f t="shared" si="22"/>
        <v>36310</v>
      </c>
    </row>
    <row r="1414" spans="1:14" x14ac:dyDescent="0.35">
      <c r="A1414">
        <v>674</v>
      </c>
      <c r="B1414" s="2">
        <v>38137</v>
      </c>
      <c r="C1414">
        <v>8</v>
      </c>
      <c r="D1414">
        <v>8</v>
      </c>
      <c r="F1414">
        <v>1413</v>
      </c>
      <c r="G1414" cm="1">
        <f t="array" ref="G1414">_xlfn.IFNA(INDEX($D$2:$D$4001,_xlfn.XMATCH(G$1&amp;"-"&amp;$F1414,YEAR($B$2:$B$4001)&amp;"-"&amp;$A$2:$A$4001,0,-1)),9)</f>
        <v>9</v>
      </c>
      <c r="H1414" cm="1">
        <f t="array" ref="H1414">IF(OR(AND(G1414=9,H$1&gt;YEAR($N1414))),9,_xlfn.IFNA(INDEX($D$2:$D$4001,_xlfn.XMATCH(H$1&amp;"-"&amp;$F1414,YEAR($B$2:$B$4001)&amp;"-"&amp;$A$2:$A$4001,0,-1)),G1414))</f>
        <v>4</v>
      </c>
      <c r="I1414" cm="1">
        <f t="array" ref="I1414">IF(OR(AND(H1414=9,I$1&gt;YEAR($N1414))),9,_xlfn.IFNA(INDEX($D$2:$D$4001,_xlfn.XMATCH(I$1&amp;"-"&amp;$F1414,YEAR($B$2:$B$4001)&amp;"-"&amp;$A$2:$A$4001,0,-1)),H1414))</f>
        <v>4</v>
      </c>
      <c r="J1414" cm="1">
        <f t="array" ref="J1414">IF(OR(AND(I1414=9,J$1&gt;YEAR($N1414))),9,_xlfn.IFNA(INDEX($D$2:$D$4001,_xlfn.XMATCH(J$1&amp;"-"&amp;$F1414,YEAR($B$2:$B$4001)&amp;"-"&amp;$A$2:$A$4001,0,-1)),I1414))</f>
        <v>4</v>
      </c>
      <c r="K1414" cm="1">
        <f t="array" ref="K1414">IF(OR(AND(J1414=9,K$1&gt;YEAR($N1414))),9,_xlfn.IFNA(INDEX($D$2:$D$4001,_xlfn.XMATCH(K$1&amp;"-"&amp;$F1414,YEAR($B$2:$B$4001)&amp;"-"&amp;$A$2:$A$4001,0,-1)),J1414))</f>
        <v>4</v>
      </c>
      <c r="L1414" cm="1">
        <f t="array" ref="L1414">IF(OR(AND(K1414=9,L$1&gt;YEAR($N1414))),9,_xlfn.IFNA(INDEX($D$2:$D$4001,_xlfn.XMATCH(L$1&amp;"-"&amp;$F1414,YEAR($B$2:$B$4001)&amp;"-"&amp;$A$2:$A$4001,0,-1)),K1414))</f>
        <v>5</v>
      </c>
      <c r="M1414" cm="1">
        <f t="array" ref="M1414">IF(OR(AND(L1414=9,M$1&gt;YEAR($N1414))),9,_xlfn.IFNA(INDEX($D$2:$D$4001,_xlfn.XMATCH(M$1&amp;"-"&amp;$F1414,YEAR($B$2:$B$4001)&amp;"-"&amp;$A$2:$A$4001,0,-1)),L1414))</f>
        <v>4</v>
      </c>
      <c r="N1414" s="1">
        <f t="shared" si="22"/>
        <v>36667</v>
      </c>
    </row>
    <row r="1415" spans="1:14" x14ac:dyDescent="0.35">
      <c r="A1415">
        <v>674</v>
      </c>
      <c r="B1415" s="2">
        <v>38493</v>
      </c>
      <c r="C1415">
        <v>0</v>
      </c>
      <c r="D1415">
        <v>8</v>
      </c>
      <c r="F1415">
        <v>1414</v>
      </c>
      <c r="G1415" cm="1">
        <f t="array" ref="G1415">_xlfn.IFNA(INDEX($D$2:$D$4001,_xlfn.XMATCH(G$1&amp;"-"&amp;$F1415,YEAR($B$2:$B$4001)&amp;"-"&amp;$A$2:$A$4001,0,-1)),9)</f>
        <v>4</v>
      </c>
      <c r="H1415" cm="1">
        <f t="array" ref="H1415">IF(OR(AND(G1415=9,H$1&gt;YEAR($N1415))),9,_xlfn.IFNA(INDEX($D$2:$D$4001,_xlfn.XMATCH(H$1&amp;"-"&amp;$F1415,YEAR($B$2:$B$4001)&amp;"-"&amp;$A$2:$A$4001,0,-1)),G1415))</f>
        <v>4</v>
      </c>
      <c r="I1415" cm="1">
        <f t="array" ref="I1415">IF(OR(AND(H1415=9,I$1&gt;YEAR($N1415))),9,_xlfn.IFNA(INDEX($D$2:$D$4001,_xlfn.XMATCH(I$1&amp;"-"&amp;$F1415,YEAR($B$2:$B$4001)&amp;"-"&amp;$A$2:$A$4001,0,-1)),H1415))</f>
        <v>4</v>
      </c>
      <c r="J1415" cm="1">
        <f t="array" ref="J1415">IF(OR(AND(I1415=9,J$1&gt;YEAR($N1415))),9,_xlfn.IFNA(INDEX($D$2:$D$4001,_xlfn.XMATCH(J$1&amp;"-"&amp;$F1415,YEAR($B$2:$B$4001)&amp;"-"&amp;$A$2:$A$4001,0,-1)),I1415))</f>
        <v>4</v>
      </c>
      <c r="K1415" cm="1">
        <f t="array" ref="K1415">IF(OR(AND(J1415=9,K$1&gt;YEAR($N1415))),9,_xlfn.IFNA(INDEX($D$2:$D$4001,_xlfn.XMATCH(K$1&amp;"-"&amp;$F1415,YEAR($B$2:$B$4001)&amp;"-"&amp;$A$2:$A$4001,0,-1)),J1415))</f>
        <v>4</v>
      </c>
      <c r="L1415" cm="1">
        <f t="array" ref="L1415">IF(OR(AND(K1415=9,L$1&gt;YEAR($N1415))),9,_xlfn.IFNA(INDEX($D$2:$D$4001,_xlfn.XMATCH(L$1&amp;"-"&amp;$F1415,YEAR($B$2:$B$4001)&amp;"-"&amp;$A$2:$A$4001,0,-1)),K1415))</f>
        <v>4</v>
      </c>
      <c r="M1415" cm="1">
        <f t="array" ref="M1415">IF(OR(AND(L1415=9,M$1&gt;YEAR($N1415))),9,_xlfn.IFNA(INDEX($D$2:$D$4001,_xlfn.XMATCH(M$1&amp;"-"&amp;$F1415,YEAR($B$2:$B$4001)&amp;"-"&amp;$A$2:$A$4001,0,-1)),L1415))</f>
        <v>4</v>
      </c>
      <c r="N1415" s="1">
        <f t="shared" si="22"/>
        <v>36524</v>
      </c>
    </row>
    <row r="1416" spans="1:14" x14ac:dyDescent="0.35">
      <c r="A1416">
        <v>675</v>
      </c>
      <c r="B1416" s="2">
        <v>36698</v>
      </c>
      <c r="C1416">
        <v>4</v>
      </c>
      <c r="D1416">
        <v>4</v>
      </c>
      <c r="F1416">
        <v>1415</v>
      </c>
      <c r="G1416" cm="1">
        <f t="array" ref="G1416">_xlfn.IFNA(INDEX($D$2:$D$4001,_xlfn.XMATCH(G$1&amp;"-"&amp;$F1416,YEAR($B$2:$B$4001)&amp;"-"&amp;$A$2:$A$4001,0,-1)),9)</f>
        <v>5</v>
      </c>
      <c r="H1416" cm="1">
        <f t="array" ref="H1416">IF(OR(AND(G1416=9,H$1&gt;YEAR($N1416))),9,_xlfn.IFNA(INDEX($D$2:$D$4001,_xlfn.XMATCH(H$1&amp;"-"&amp;$F1416,YEAR($B$2:$B$4001)&amp;"-"&amp;$A$2:$A$4001,0,-1)),G1416))</f>
        <v>5</v>
      </c>
      <c r="I1416" cm="1">
        <f t="array" ref="I1416">IF(OR(AND(H1416=9,I$1&gt;YEAR($N1416))),9,_xlfn.IFNA(INDEX($D$2:$D$4001,_xlfn.XMATCH(I$1&amp;"-"&amp;$F1416,YEAR($B$2:$B$4001)&amp;"-"&amp;$A$2:$A$4001,0,-1)),H1416))</f>
        <v>5</v>
      </c>
      <c r="J1416" cm="1">
        <f t="array" ref="J1416">IF(OR(AND(I1416=9,J$1&gt;YEAR($N1416))),9,_xlfn.IFNA(INDEX($D$2:$D$4001,_xlfn.XMATCH(J$1&amp;"-"&amp;$F1416,YEAR($B$2:$B$4001)&amp;"-"&amp;$A$2:$A$4001,0,-1)),I1416))</f>
        <v>5</v>
      </c>
      <c r="K1416" cm="1">
        <f t="array" ref="K1416">IF(OR(AND(J1416=9,K$1&gt;YEAR($N1416))),9,_xlfn.IFNA(INDEX($D$2:$D$4001,_xlfn.XMATCH(K$1&amp;"-"&amp;$F1416,YEAR($B$2:$B$4001)&amp;"-"&amp;$A$2:$A$4001,0,-1)),J1416))</f>
        <v>6</v>
      </c>
      <c r="L1416" cm="1">
        <f t="array" ref="L1416">IF(OR(AND(K1416=9,L$1&gt;YEAR($N1416))),9,_xlfn.IFNA(INDEX($D$2:$D$4001,_xlfn.XMATCH(L$1&amp;"-"&amp;$F1416,YEAR($B$2:$B$4001)&amp;"-"&amp;$A$2:$A$4001,0,-1)),K1416))</f>
        <v>6</v>
      </c>
      <c r="M1416" cm="1">
        <f t="array" ref="M1416">IF(OR(AND(L1416=9,M$1&gt;YEAR($N1416))),9,_xlfn.IFNA(INDEX($D$2:$D$4001,_xlfn.XMATCH(M$1&amp;"-"&amp;$F1416,YEAR($B$2:$B$4001)&amp;"-"&amp;$A$2:$A$4001,0,-1)),L1416))</f>
        <v>6</v>
      </c>
      <c r="N1416" s="1">
        <f t="shared" si="22"/>
        <v>36301</v>
      </c>
    </row>
    <row r="1417" spans="1:14" x14ac:dyDescent="0.35">
      <c r="A1417">
        <v>675</v>
      </c>
      <c r="B1417" s="2">
        <v>37032</v>
      </c>
      <c r="C1417">
        <v>7</v>
      </c>
      <c r="D1417">
        <v>7</v>
      </c>
      <c r="F1417">
        <v>1416</v>
      </c>
      <c r="G1417" cm="1">
        <f t="array" ref="G1417">_xlfn.IFNA(INDEX($D$2:$D$4001,_xlfn.XMATCH(G$1&amp;"-"&amp;$F1417,YEAR($B$2:$B$4001)&amp;"-"&amp;$A$2:$A$4001,0,-1)),9)</f>
        <v>9</v>
      </c>
      <c r="H1417" cm="1">
        <f t="array" ref="H1417">IF(OR(AND(G1417=9,H$1&gt;YEAR($N1417))),9,_xlfn.IFNA(INDEX($D$2:$D$4001,_xlfn.XMATCH(H$1&amp;"-"&amp;$F1417,YEAR($B$2:$B$4001)&amp;"-"&amp;$A$2:$A$4001,0,-1)),G1417))</f>
        <v>9</v>
      </c>
      <c r="I1417" cm="1">
        <f t="array" ref="I1417">IF(OR(AND(H1417=9,I$1&gt;YEAR($N1417))),9,_xlfn.IFNA(INDEX($D$2:$D$4001,_xlfn.XMATCH(I$1&amp;"-"&amp;$F1417,YEAR($B$2:$B$4001)&amp;"-"&amp;$A$2:$A$4001,0,-1)),H1417))</f>
        <v>9</v>
      </c>
      <c r="J1417" cm="1">
        <f t="array" ref="J1417">IF(OR(AND(I1417=9,J$1&gt;YEAR($N1417))),9,_xlfn.IFNA(INDEX($D$2:$D$4001,_xlfn.XMATCH(J$1&amp;"-"&amp;$F1417,YEAR($B$2:$B$4001)&amp;"-"&amp;$A$2:$A$4001,0,-1)),I1417))</f>
        <v>9</v>
      </c>
      <c r="K1417" cm="1">
        <f t="array" ref="K1417">IF(OR(AND(J1417=9,K$1&gt;YEAR($N1417))),9,_xlfn.IFNA(INDEX($D$2:$D$4001,_xlfn.XMATCH(K$1&amp;"-"&amp;$F1417,YEAR($B$2:$B$4001)&amp;"-"&amp;$A$2:$A$4001,0,-1)),J1417))</f>
        <v>9</v>
      </c>
      <c r="L1417" cm="1">
        <f t="array" ref="L1417">IF(OR(AND(K1417=9,L$1&gt;YEAR($N1417))),9,_xlfn.IFNA(INDEX($D$2:$D$4001,_xlfn.XMATCH(L$1&amp;"-"&amp;$F1417,YEAR($B$2:$B$4001)&amp;"-"&amp;$A$2:$A$4001,0,-1)),K1417))</f>
        <v>3</v>
      </c>
      <c r="M1417" cm="1">
        <f t="array" ref="M1417">IF(OR(AND(L1417=9,M$1&gt;YEAR($N1417))),9,_xlfn.IFNA(INDEX($D$2:$D$4001,_xlfn.XMATCH(M$1&amp;"-"&amp;$F1417,YEAR($B$2:$B$4001)&amp;"-"&amp;$A$2:$A$4001,0,-1)),L1417))</f>
        <v>3</v>
      </c>
      <c r="N1417" s="1">
        <f t="shared" si="22"/>
        <v>38347</v>
      </c>
    </row>
    <row r="1418" spans="1:14" x14ac:dyDescent="0.35">
      <c r="A1418">
        <v>675</v>
      </c>
      <c r="B1418" s="2">
        <v>37155</v>
      </c>
      <c r="C1418">
        <v>8</v>
      </c>
      <c r="D1418">
        <v>8</v>
      </c>
      <c r="F1418">
        <v>1417</v>
      </c>
      <c r="G1418" cm="1">
        <f t="array" ref="G1418">_xlfn.IFNA(INDEX($D$2:$D$4001,_xlfn.XMATCH(G$1&amp;"-"&amp;$F1418,YEAR($B$2:$B$4001)&amp;"-"&amp;$A$2:$A$4001,0,-1)),9)</f>
        <v>9</v>
      </c>
      <c r="H1418" cm="1">
        <f t="array" ref="H1418">IF(OR(AND(G1418=9,H$1&gt;YEAR($N1418))),9,_xlfn.IFNA(INDEX($D$2:$D$4001,_xlfn.XMATCH(H$1&amp;"-"&amp;$F1418,YEAR($B$2:$B$4001)&amp;"-"&amp;$A$2:$A$4001,0,-1)),G1418))</f>
        <v>9</v>
      </c>
      <c r="I1418" cm="1">
        <f t="array" ref="I1418">IF(OR(AND(H1418=9,I$1&gt;YEAR($N1418))),9,_xlfn.IFNA(INDEX($D$2:$D$4001,_xlfn.XMATCH(I$1&amp;"-"&amp;$F1418,YEAR($B$2:$B$4001)&amp;"-"&amp;$A$2:$A$4001,0,-1)),H1418))</f>
        <v>9</v>
      </c>
      <c r="J1418" cm="1">
        <f t="array" ref="J1418">IF(OR(AND(I1418=9,J$1&gt;YEAR($N1418))),9,_xlfn.IFNA(INDEX($D$2:$D$4001,_xlfn.XMATCH(J$1&amp;"-"&amp;$F1418,YEAR($B$2:$B$4001)&amp;"-"&amp;$A$2:$A$4001,0,-1)),I1418))</f>
        <v>9</v>
      </c>
      <c r="K1418" cm="1">
        <f t="array" ref="K1418">IF(OR(AND(J1418=9,K$1&gt;YEAR($N1418))),9,_xlfn.IFNA(INDEX($D$2:$D$4001,_xlfn.XMATCH(K$1&amp;"-"&amp;$F1418,YEAR($B$2:$B$4001)&amp;"-"&amp;$A$2:$A$4001,0,-1)),J1418))</f>
        <v>6</v>
      </c>
      <c r="L1418" cm="1">
        <f t="array" ref="L1418">IF(OR(AND(K1418=9,L$1&gt;YEAR($N1418))),9,_xlfn.IFNA(INDEX($D$2:$D$4001,_xlfn.XMATCH(L$1&amp;"-"&amp;$F1418,YEAR($B$2:$B$4001)&amp;"-"&amp;$A$2:$A$4001,0,-1)),K1418))</f>
        <v>6</v>
      </c>
      <c r="M1418" cm="1">
        <f t="array" ref="M1418">IF(OR(AND(L1418=9,M$1&gt;YEAR($N1418))),9,_xlfn.IFNA(INDEX($D$2:$D$4001,_xlfn.XMATCH(M$1&amp;"-"&amp;$F1418,YEAR($B$2:$B$4001)&amp;"-"&amp;$A$2:$A$4001,0,-1)),L1418))</f>
        <v>6</v>
      </c>
      <c r="N1418" s="1">
        <f t="shared" si="22"/>
        <v>37831</v>
      </c>
    </row>
    <row r="1419" spans="1:14" x14ac:dyDescent="0.35">
      <c r="A1419">
        <v>675</v>
      </c>
      <c r="B1419" s="2">
        <v>37766</v>
      </c>
      <c r="C1419">
        <v>6</v>
      </c>
      <c r="D1419">
        <v>8</v>
      </c>
      <c r="F1419">
        <v>1418</v>
      </c>
      <c r="G1419" cm="1">
        <f t="array" ref="G1419">_xlfn.IFNA(INDEX($D$2:$D$4001,_xlfn.XMATCH(G$1&amp;"-"&amp;$F1419,YEAR($B$2:$B$4001)&amp;"-"&amp;$A$2:$A$4001,0,-1)),9)</f>
        <v>9</v>
      </c>
      <c r="H1419" cm="1">
        <f t="array" ref="H1419">IF(OR(AND(G1419=9,H$1&gt;YEAR($N1419))),9,_xlfn.IFNA(INDEX($D$2:$D$4001,_xlfn.XMATCH(H$1&amp;"-"&amp;$F1419,YEAR($B$2:$B$4001)&amp;"-"&amp;$A$2:$A$4001,0,-1)),G1419))</f>
        <v>9</v>
      </c>
      <c r="I1419" cm="1">
        <f t="array" ref="I1419">IF(OR(AND(H1419=9,I$1&gt;YEAR($N1419))),9,_xlfn.IFNA(INDEX($D$2:$D$4001,_xlfn.XMATCH(I$1&amp;"-"&amp;$F1419,YEAR($B$2:$B$4001)&amp;"-"&amp;$A$2:$A$4001,0,-1)),H1419))</f>
        <v>9</v>
      </c>
      <c r="J1419" cm="1">
        <f t="array" ref="J1419">IF(OR(AND(I1419=9,J$1&gt;YEAR($N1419))),9,_xlfn.IFNA(INDEX($D$2:$D$4001,_xlfn.XMATCH(J$1&amp;"-"&amp;$F1419,YEAR($B$2:$B$4001)&amp;"-"&amp;$A$2:$A$4001,0,-1)),I1419))</f>
        <v>2</v>
      </c>
      <c r="K1419" cm="1">
        <f t="array" ref="K1419">IF(OR(AND(J1419=9,K$1&gt;YEAR($N1419))),9,_xlfn.IFNA(INDEX($D$2:$D$4001,_xlfn.XMATCH(K$1&amp;"-"&amp;$F1419,YEAR($B$2:$B$4001)&amp;"-"&amp;$A$2:$A$4001,0,-1)),J1419))</f>
        <v>2</v>
      </c>
      <c r="L1419" cm="1">
        <f t="array" ref="L1419">IF(OR(AND(K1419=9,L$1&gt;YEAR($N1419))),9,_xlfn.IFNA(INDEX($D$2:$D$4001,_xlfn.XMATCH(L$1&amp;"-"&amp;$F1419,YEAR($B$2:$B$4001)&amp;"-"&amp;$A$2:$A$4001,0,-1)),K1419))</f>
        <v>2</v>
      </c>
      <c r="M1419" cm="1">
        <f t="array" ref="M1419">IF(OR(AND(L1419=9,M$1&gt;YEAR($N1419))),9,_xlfn.IFNA(INDEX($D$2:$D$4001,_xlfn.XMATCH(M$1&amp;"-"&amp;$F1419,YEAR($B$2:$B$4001)&amp;"-"&amp;$A$2:$A$4001,0,-1)),L1419))</f>
        <v>2</v>
      </c>
      <c r="N1419" s="1">
        <f t="shared" si="22"/>
        <v>37400</v>
      </c>
    </row>
    <row r="1420" spans="1:14" x14ac:dyDescent="0.35">
      <c r="A1420">
        <v>676</v>
      </c>
      <c r="B1420" s="2">
        <v>37225</v>
      </c>
      <c r="C1420">
        <v>4</v>
      </c>
      <c r="D1420">
        <v>4</v>
      </c>
      <c r="F1420">
        <v>1419</v>
      </c>
      <c r="G1420" cm="1">
        <f t="array" ref="G1420">_xlfn.IFNA(INDEX($D$2:$D$4001,_xlfn.XMATCH(G$1&amp;"-"&amp;$F1420,YEAR($B$2:$B$4001)&amp;"-"&amp;$A$2:$A$4001,0,-1)),9)</f>
        <v>9</v>
      </c>
      <c r="H1420" cm="1">
        <f t="array" ref="H1420">IF(OR(AND(G1420=9,H$1&gt;YEAR($N1420))),9,_xlfn.IFNA(INDEX($D$2:$D$4001,_xlfn.XMATCH(H$1&amp;"-"&amp;$F1420,YEAR($B$2:$B$4001)&amp;"-"&amp;$A$2:$A$4001,0,-1)),G1420))</f>
        <v>9</v>
      </c>
      <c r="I1420" cm="1">
        <f t="array" ref="I1420">IF(OR(AND(H1420=9,I$1&gt;YEAR($N1420))),9,_xlfn.IFNA(INDEX($D$2:$D$4001,_xlfn.XMATCH(I$1&amp;"-"&amp;$F1420,YEAR($B$2:$B$4001)&amp;"-"&amp;$A$2:$A$4001,0,-1)),H1420))</f>
        <v>2</v>
      </c>
      <c r="J1420" cm="1">
        <f t="array" ref="J1420">IF(OR(AND(I1420=9,J$1&gt;YEAR($N1420))),9,_xlfn.IFNA(INDEX($D$2:$D$4001,_xlfn.XMATCH(J$1&amp;"-"&amp;$F1420,YEAR($B$2:$B$4001)&amp;"-"&amp;$A$2:$A$4001,0,-1)),I1420))</f>
        <v>6</v>
      </c>
      <c r="K1420" cm="1">
        <f t="array" ref="K1420">IF(OR(AND(J1420=9,K$1&gt;YEAR($N1420))),9,_xlfn.IFNA(INDEX($D$2:$D$4001,_xlfn.XMATCH(K$1&amp;"-"&amp;$F1420,YEAR($B$2:$B$4001)&amp;"-"&amp;$A$2:$A$4001,0,-1)),J1420))</f>
        <v>6</v>
      </c>
      <c r="L1420" cm="1">
        <f t="array" ref="L1420">IF(OR(AND(K1420=9,L$1&gt;YEAR($N1420))),9,_xlfn.IFNA(INDEX($D$2:$D$4001,_xlfn.XMATCH(L$1&amp;"-"&amp;$F1420,YEAR($B$2:$B$4001)&amp;"-"&amp;$A$2:$A$4001,0,-1)),K1420))</f>
        <v>5</v>
      </c>
      <c r="M1420" cm="1">
        <f t="array" ref="M1420">IF(OR(AND(L1420=9,M$1&gt;YEAR($N1420))),9,_xlfn.IFNA(INDEX($D$2:$D$4001,_xlfn.XMATCH(M$1&amp;"-"&amp;$F1420,YEAR($B$2:$B$4001)&amp;"-"&amp;$A$2:$A$4001,0,-1)),L1420))</f>
        <v>5</v>
      </c>
      <c r="N1420" s="1">
        <f t="shared" si="22"/>
        <v>37041</v>
      </c>
    </row>
    <row r="1421" spans="1:14" x14ac:dyDescent="0.35">
      <c r="A1421">
        <v>676</v>
      </c>
      <c r="B1421" s="2">
        <v>37406</v>
      </c>
      <c r="C1421">
        <v>5</v>
      </c>
      <c r="D1421">
        <v>5</v>
      </c>
      <c r="F1421">
        <v>1420</v>
      </c>
      <c r="G1421" cm="1">
        <f t="array" ref="G1421">_xlfn.IFNA(INDEX($D$2:$D$4001,_xlfn.XMATCH(G$1&amp;"-"&amp;$F1421,YEAR($B$2:$B$4001)&amp;"-"&amp;$A$2:$A$4001,0,-1)),9)</f>
        <v>3</v>
      </c>
      <c r="H1421" cm="1">
        <f t="array" ref="H1421">IF(OR(AND(G1421=9,H$1&gt;YEAR($N1421))),9,_xlfn.IFNA(INDEX($D$2:$D$4001,_xlfn.XMATCH(H$1&amp;"-"&amp;$F1421,YEAR($B$2:$B$4001)&amp;"-"&amp;$A$2:$A$4001,0,-1)),G1421))</f>
        <v>3</v>
      </c>
      <c r="I1421" cm="1">
        <f t="array" ref="I1421">IF(OR(AND(H1421=9,I$1&gt;YEAR($N1421))),9,_xlfn.IFNA(INDEX($D$2:$D$4001,_xlfn.XMATCH(I$1&amp;"-"&amp;$F1421,YEAR($B$2:$B$4001)&amp;"-"&amp;$A$2:$A$4001,0,-1)),H1421))</f>
        <v>3</v>
      </c>
      <c r="J1421" cm="1">
        <f t="array" ref="J1421">IF(OR(AND(I1421=9,J$1&gt;YEAR($N1421))),9,_xlfn.IFNA(INDEX($D$2:$D$4001,_xlfn.XMATCH(J$1&amp;"-"&amp;$F1421,YEAR($B$2:$B$4001)&amp;"-"&amp;$A$2:$A$4001,0,-1)),I1421))</f>
        <v>3</v>
      </c>
      <c r="K1421" cm="1">
        <f t="array" ref="K1421">IF(OR(AND(J1421=9,K$1&gt;YEAR($N1421))),9,_xlfn.IFNA(INDEX($D$2:$D$4001,_xlfn.XMATCH(K$1&amp;"-"&amp;$F1421,YEAR($B$2:$B$4001)&amp;"-"&amp;$A$2:$A$4001,0,-1)),J1421))</f>
        <v>3</v>
      </c>
      <c r="L1421" cm="1">
        <f t="array" ref="L1421">IF(OR(AND(K1421=9,L$1&gt;YEAR($N1421))),9,_xlfn.IFNA(INDEX($D$2:$D$4001,_xlfn.XMATCH(L$1&amp;"-"&amp;$F1421,YEAR($B$2:$B$4001)&amp;"-"&amp;$A$2:$A$4001,0,-1)),K1421))</f>
        <v>3</v>
      </c>
      <c r="M1421" cm="1">
        <f t="array" ref="M1421">IF(OR(AND(L1421=9,M$1&gt;YEAR($N1421))),9,_xlfn.IFNA(INDEX($D$2:$D$4001,_xlfn.XMATCH(M$1&amp;"-"&amp;$F1421,YEAR($B$2:$B$4001)&amp;"-"&amp;$A$2:$A$4001,0,-1)),L1421))</f>
        <v>3</v>
      </c>
      <c r="N1421" s="1">
        <f t="shared" si="22"/>
        <v>36524</v>
      </c>
    </row>
    <row r="1422" spans="1:14" x14ac:dyDescent="0.35">
      <c r="A1422">
        <v>676</v>
      </c>
      <c r="B1422" s="2">
        <v>37620</v>
      </c>
      <c r="C1422">
        <v>5</v>
      </c>
      <c r="D1422">
        <v>5</v>
      </c>
      <c r="F1422">
        <v>1421</v>
      </c>
      <c r="G1422" cm="1">
        <f t="array" ref="G1422">_xlfn.IFNA(INDEX($D$2:$D$4001,_xlfn.XMATCH(G$1&amp;"-"&amp;$F1422,YEAR($B$2:$B$4001)&amp;"-"&amp;$A$2:$A$4001,0,-1)),9)</f>
        <v>9</v>
      </c>
      <c r="H1422" cm="1">
        <f t="array" ref="H1422">IF(OR(AND(G1422=9,H$1&gt;YEAR($N1422))),9,_xlfn.IFNA(INDEX($D$2:$D$4001,_xlfn.XMATCH(H$1&amp;"-"&amp;$F1422,YEAR($B$2:$B$4001)&amp;"-"&amp;$A$2:$A$4001,0,-1)),G1422))</f>
        <v>9</v>
      </c>
      <c r="I1422" cm="1">
        <f t="array" ref="I1422">IF(OR(AND(H1422=9,I$1&gt;YEAR($N1422))),9,_xlfn.IFNA(INDEX($D$2:$D$4001,_xlfn.XMATCH(I$1&amp;"-"&amp;$F1422,YEAR($B$2:$B$4001)&amp;"-"&amp;$A$2:$A$4001,0,-1)),H1422))</f>
        <v>9</v>
      </c>
      <c r="J1422" cm="1">
        <f t="array" ref="J1422">IF(OR(AND(I1422=9,J$1&gt;YEAR($N1422))),9,_xlfn.IFNA(INDEX($D$2:$D$4001,_xlfn.XMATCH(J$1&amp;"-"&amp;$F1422,YEAR($B$2:$B$4001)&amp;"-"&amp;$A$2:$A$4001,0,-1)),I1422))</f>
        <v>9</v>
      </c>
      <c r="K1422" cm="1">
        <f t="array" ref="K1422">IF(OR(AND(J1422=9,K$1&gt;YEAR($N1422))),9,_xlfn.IFNA(INDEX($D$2:$D$4001,_xlfn.XMATCH(K$1&amp;"-"&amp;$F1422,YEAR($B$2:$B$4001)&amp;"-"&amp;$A$2:$A$4001,0,-1)),J1422))</f>
        <v>0</v>
      </c>
      <c r="L1422" cm="1">
        <f t="array" ref="L1422">IF(OR(AND(K1422=9,L$1&gt;YEAR($N1422))),9,_xlfn.IFNA(INDEX($D$2:$D$4001,_xlfn.XMATCH(L$1&amp;"-"&amp;$F1422,YEAR($B$2:$B$4001)&amp;"-"&amp;$A$2:$A$4001,0,-1)),K1422))</f>
        <v>0</v>
      </c>
      <c r="M1422" cm="1">
        <f t="array" ref="M1422">IF(OR(AND(L1422=9,M$1&gt;YEAR($N1422))),9,_xlfn.IFNA(INDEX($D$2:$D$4001,_xlfn.XMATCH(M$1&amp;"-"&amp;$F1422,YEAR($B$2:$B$4001)&amp;"-"&amp;$A$2:$A$4001,0,-1)),L1422))</f>
        <v>0</v>
      </c>
      <c r="N1422" s="1">
        <f t="shared" si="22"/>
        <v>37771</v>
      </c>
    </row>
    <row r="1423" spans="1:14" x14ac:dyDescent="0.35">
      <c r="A1423">
        <v>677</v>
      </c>
      <c r="B1423" s="2">
        <v>36671</v>
      </c>
      <c r="C1423">
        <v>0</v>
      </c>
      <c r="D1423">
        <v>0</v>
      </c>
      <c r="F1423">
        <v>1422</v>
      </c>
      <c r="G1423" cm="1">
        <f t="array" ref="G1423">_xlfn.IFNA(INDEX($D$2:$D$4001,_xlfn.XMATCH(G$1&amp;"-"&amp;$F1423,YEAR($B$2:$B$4001)&amp;"-"&amp;$A$2:$A$4001,0,-1)),9)</f>
        <v>3</v>
      </c>
      <c r="H1423" cm="1">
        <f t="array" ref="H1423">IF(OR(AND(G1423=9,H$1&gt;YEAR($N1423))),9,_xlfn.IFNA(INDEX($D$2:$D$4001,_xlfn.XMATCH(H$1&amp;"-"&amp;$F1423,YEAR($B$2:$B$4001)&amp;"-"&amp;$A$2:$A$4001,0,-1)),G1423))</f>
        <v>0</v>
      </c>
      <c r="I1423" cm="1">
        <f t="array" ref="I1423">IF(OR(AND(H1423=9,I$1&gt;YEAR($N1423))),9,_xlfn.IFNA(INDEX($D$2:$D$4001,_xlfn.XMATCH(I$1&amp;"-"&amp;$F1423,YEAR($B$2:$B$4001)&amp;"-"&amp;$A$2:$A$4001,0,-1)),H1423))</f>
        <v>0</v>
      </c>
      <c r="J1423" cm="1">
        <f t="array" ref="J1423">IF(OR(AND(I1423=9,J$1&gt;YEAR($N1423))),9,_xlfn.IFNA(INDEX($D$2:$D$4001,_xlfn.XMATCH(J$1&amp;"-"&amp;$F1423,YEAR($B$2:$B$4001)&amp;"-"&amp;$A$2:$A$4001,0,-1)),I1423))</f>
        <v>0</v>
      </c>
      <c r="K1423" cm="1">
        <f t="array" ref="K1423">IF(OR(AND(J1423=9,K$1&gt;YEAR($N1423))),9,_xlfn.IFNA(INDEX($D$2:$D$4001,_xlfn.XMATCH(K$1&amp;"-"&amp;$F1423,YEAR($B$2:$B$4001)&amp;"-"&amp;$A$2:$A$4001,0,-1)),J1423))</f>
        <v>0</v>
      </c>
      <c r="L1423" cm="1">
        <f t="array" ref="L1423">IF(OR(AND(K1423=9,L$1&gt;YEAR($N1423))),9,_xlfn.IFNA(INDEX($D$2:$D$4001,_xlfn.XMATCH(L$1&amp;"-"&amp;$F1423,YEAR($B$2:$B$4001)&amp;"-"&amp;$A$2:$A$4001,0,-1)),K1423))</f>
        <v>0</v>
      </c>
      <c r="M1423" cm="1">
        <f t="array" ref="M1423">IF(OR(AND(L1423=9,M$1&gt;YEAR($N1423))),9,_xlfn.IFNA(INDEX($D$2:$D$4001,_xlfn.XMATCH(M$1&amp;"-"&amp;$F1423,YEAR($B$2:$B$4001)&amp;"-"&amp;$A$2:$A$4001,0,-1)),L1423))</f>
        <v>0</v>
      </c>
      <c r="N1423" s="1">
        <f t="shared" si="22"/>
        <v>36524</v>
      </c>
    </row>
    <row r="1424" spans="1:14" x14ac:dyDescent="0.35">
      <c r="A1424">
        <v>678</v>
      </c>
      <c r="B1424" s="2">
        <v>37620</v>
      </c>
      <c r="C1424">
        <v>3</v>
      </c>
      <c r="D1424">
        <v>3</v>
      </c>
      <c r="F1424">
        <v>1423</v>
      </c>
      <c r="G1424" cm="1">
        <f t="array" ref="G1424">_xlfn.IFNA(INDEX($D$2:$D$4001,_xlfn.XMATCH(G$1&amp;"-"&amp;$F1424,YEAR($B$2:$B$4001)&amp;"-"&amp;$A$2:$A$4001,0,-1)),9)</f>
        <v>9</v>
      </c>
      <c r="H1424" cm="1">
        <f t="array" ref="H1424">IF(OR(AND(G1424=9,H$1&gt;YEAR($N1424))),9,_xlfn.IFNA(INDEX($D$2:$D$4001,_xlfn.XMATCH(H$1&amp;"-"&amp;$F1424,YEAR($B$2:$B$4001)&amp;"-"&amp;$A$2:$A$4001,0,-1)),G1424))</f>
        <v>0</v>
      </c>
      <c r="I1424" cm="1">
        <f t="array" ref="I1424">IF(OR(AND(H1424=9,I$1&gt;YEAR($N1424))),9,_xlfn.IFNA(INDEX($D$2:$D$4001,_xlfn.XMATCH(I$1&amp;"-"&amp;$F1424,YEAR($B$2:$B$4001)&amp;"-"&amp;$A$2:$A$4001,0,-1)),H1424))</f>
        <v>0</v>
      </c>
      <c r="J1424" cm="1">
        <f t="array" ref="J1424">IF(OR(AND(I1424=9,J$1&gt;YEAR($N1424))),9,_xlfn.IFNA(INDEX($D$2:$D$4001,_xlfn.XMATCH(J$1&amp;"-"&amp;$F1424,YEAR($B$2:$B$4001)&amp;"-"&amp;$A$2:$A$4001,0,-1)),I1424))</f>
        <v>0</v>
      </c>
      <c r="K1424" cm="1">
        <f t="array" ref="K1424">IF(OR(AND(J1424=9,K$1&gt;YEAR($N1424))),9,_xlfn.IFNA(INDEX($D$2:$D$4001,_xlfn.XMATCH(K$1&amp;"-"&amp;$F1424,YEAR($B$2:$B$4001)&amp;"-"&amp;$A$2:$A$4001,0,-1)),J1424))</f>
        <v>0</v>
      </c>
      <c r="L1424" cm="1">
        <f t="array" ref="L1424">IF(OR(AND(K1424=9,L$1&gt;YEAR($N1424))),9,_xlfn.IFNA(INDEX($D$2:$D$4001,_xlfn.XMATCH(L$1&amp;"-"&amp;$F1424,YEAR($B$2:$B$4001)&amp;"-"&amp;$A$2:$A$4001,0,-1)),K1424))</f>
        <v>0</v>
      </c>
      <c r="M1424" cm="1">
        <f t="array" ref="M1424">IF(OR(AND(L1424=9,M$1&gt;YEAR($N1424))),9,_xlfn.IFNA(INDEX($D$2:$D$4001,_xlfn.XMATCH(M$1&amp;"-"&amp;$F1424,YEAR($B$2:$B$4001)&amp;"-"&amp;$A$2:$A$4001,0,-1)),L1424))</f>
        <v>0</v>
      </c>
      <c r="N1424" s="1">
        <f t="shared" si="22"/>
        <v>36667</v>
      </c>
    </row>
    <row r="1425" spans="1:14" x14ac:dyDescent="0.35">
      <c r="A1425">
        <v>679</v>
      </c>
      <c r="B1425" s="2">
        <v>37035</v>
      </c>
      <c r="C1425">
        <v>3</v>
      </c>
      <c r="D1425">
        <v>3</v>
      </c>
      <c r="F1425">
        <v>1424</v>
      </c>
      <c r="G1425" cm="1">
        <f t="array" ref="G1425">_xlfn.IFNA(INDEX($D$2:$D$4001,_xlfn.XMATCH(G$1&amp;"-"&amp;$F1425,YEAR($B$2:$B$4001)&amp;"-"&amp;$A$2:$A$4001,0,-1)),9)</f>
        <v>9</v>
      </c>
      <c r="H1425" cm="1">
        <f t="array" ref="H1425">IF(OR(AND(G1425=9,H$1&gt;YEAR($N1425))),9,_xlfn.IFNA(INDEX($D$2:$D$4001,_xlfn.XMATCH(H$1&amp;"-"&amp;$F1425,YEAR($B$2:$B$4001)&amp;"-"&amp;$A$2:$A$4001,0,-1)),G1425))</f>
        <v>8</v>
      </c>
      <c r="I1425" cm="1">
        <f t="array" ref="I1425">IF(OR(AND(H1425=9,I$1&gt;YEAR($N1425))),9,_xlfn.IFNA(INDEX($D$2:$D$4001,_xlfn.XMATCH(I$1&amp;"-"&amp;$F1425,YEAR($B$2:$B$4001)&amp;"-"&amp;$A$2:$A$4001,0,-1)),H1425))</f>
        <v>8</v>
      </c>
      <c r="J1425" cm="1">
        <f t="array" ref="J1425">IF(OR(AND(I1425=9,J$1&gt;YEAR($N1425))),9,_xlfn.IFNA(INDEX($D$2:$D$4001,_xlfn.XMATCH(J$1&amp;"-"&amp;$F1425,YEAR($B$2:$B$4001)&amp;"-"&amp;$A$2:$A$4001,0,-1)),I1425))</f>
        <v>8</v>
      </c>
      <c r="K1425" cm="1">
        <f t="array" ref="K1425">IF(OR(AND(J1425=9,K$1&gt;YEAR($N1425))),9,_xlfn.IFNA(INDEX($D$2:$D$4001,_xlfn.XMATCH(K$1&amp;"-"&amp;$F1425,YEAR($B$2:$B$4001)&amp;"-"&amp;$A$2:$A$4001,0,-1)),J1425))</f>
        <v>8</v>
      </c>
      <c r="L1425" cm="1">
        <f t="array" ref="L1425">IF(OR(AND(K1425=9,L$1&gt;YEAR($N1425))),9,_xlfn.IFNA(INDEX($D$2:$D$4001,_xlfn.XMATCH(L$1&amp;"-"&amp;$F1425,YEAR($B$2:$B$4001)&amp;"-"&amp;$A$2:$A$4001,0,-1)),K1425))</f>
        <v>8</v>
      </c>
      <c r="M1425" cm="1">
        <f t="array" ref="M1425">IF(OR(AND(L1425=9,M$1&gt;YEAR($N1425))),9,_xlfn.IFNA(INDEX($D$2:$D$4001,_xlfn.XMATCH(M$1&amp;"-"&amp;$F1425,YEAR($B$2:$B$4001)&amp;"-"&amp;$A$2:$A$4001,0,-1)),L1425))</f>
        <v>8</v>
      </c>
      <c r="N1425" s="1">
        <f t="shared" si="22"/>
        <v>36890</v>
      </c>
    </row>
    <row r="1426" spans="1:14" x14ac:dyDescent="0.35">
      <c r="A1426">
        <v>679</v>
      </c>
      <c r="B1426" s="2">
        <v>37581</v>
      </c>
      <c r="C1426">
        <v>0</v>
      </c>
      <c r="D1426">
        <v>0</v>
      </c>
      <c r="F1426">
        <v>1425</v>
      </c>
      <c r="G1426" cm="1">
        <f t="array" ref="G1426">_xlfn.IFNA(INDEX($D$2:$D$4001,_xlfn.XMATCH(G$1&amp;"-"&amp;$F1426,YEAR($B$2:$B$4001)&amp;"-"&amp;$A$2:$A$4001,0,-1)),9)</f>
        <v>9</v>
      </c>
      <c r="H1426" cm="1">
        <f t="array" ref="H1426">IF(OR(AND(G1426=9,H$1&gt;YEAR($N1426))),9,_xlfn.IFNA(INDEX($D$2:$D$4001,_xlfn.XMATCH(H$1&amp;"-"&amp;$F1426,YEAR($B$2:$B$4001)&amp;"-"&amp;$A$2:$A$4001,0,-1)),G1426))</f>
        <v>3</v>
      </c>
      <c r="I1426" cm="1">
        <f t="array" ref="I1426">IF(OR(AND(H1426=9,I$1&gt;YEAR($N1426))),9,_xlfn.IFNA(INDEX($D$2:$D$4001,_xlfn.XMATCH(I$1&amp;"-"&amp;$F1426,YEAR($B$2:$B$4001)&amp;"-"&amp;$A$2:$A$4001,0,-1)),H1426))</f>
        <v>3</v>
      </c>
      <c r="J1426" cm="1">
        <f t="array" ref="J1426">IF(OR(AND(I1426=9,J$1&gt;YEAR($N1426))),9,_xlfn.IFNA(INDEX($D$2:$D$4001,_xlfn.XMATCH(J$1&amp;"-"&amp;$F1426,YEAR($B$2:$B$4001)&amp;"-"&amp;$A$2:$A$4001,0,-1)),I1426))</f>
        <v>4</v>
      </c>
      <c r="K1426" cm="1">
        <f t="array" ref="K1426">IF(OR(AND(J1426=9,K$1&gt;YEAR($N1426))),9,_xlfn.IFNA(INDEX($D$2:$D$4001,_xlfn.XMATCH(K$1&amp;"-"&amp;$F1426,YEAR($B$2:$B$4001)&amp;"-"&amp;$A$2:$A$4001,0,-1)),J1426))</f>
        <v>4</v>
      </c>
      <c r="L1426" cm="1">
        <f t="array" ref="L1426">IF(OR(AND(K1426=9,L$1&gt;YEAR($N1426))),9,_xlfn.IFNA(INDEX($D$2:$D$4001,_xlfn.XMATCH(L$1&amp;"-"&amp;$F1426,YEAR($B$2:$B$4001)&amp;"-"&amp;$A$2:$A$4001,0,-1)),K1426))</f>
        <v>4</v>
      </c>
      <c r="M1426" cm="1">
        <f t="array" ref="M1426">IF(OR(AND(L1426=9,M$1&gt;YEAR($N1426))),9,_xlfn.IFNA(INDEX($D$2:$D$4001,_xlfn.XMATCH(M$1&amp;"-"&amp;$F1426,YEAR($B$2:$B$4001)&amp;"-"&amp;$A$2:$A$4001,0,-1)),L1426))</f>
        <v>4</v>
      </c>
      <c r="N1426" s="1">
        <f t="shared" si="22"/>
        <v>36676</v>
      </c>
    </row>
    <row r="1427" spans="1:14" x14ac:dyDescent="0.35">
      <c r="A1427">
        <v>680</v>
      </c>
      <c r="B1427" s="2">
        <v>36301</v>
      </c>
      <c r="C1427">
        <v>4</v>
      </c>
      <c r="D1427">
        <v>4</v>
      </c>
      <c r="F1427">
        <v>1426</v>
      </c>
      <c r="G1427" cm="1">
        <f t="array" ref="G1427">_xlfn.IFNA(INDEX($D$2:$D$4001,_xlfn.XMATCH(G$1&amp;"-"&amp;$F1427,YEAR($B$2:$B$4001)&amp;"-"&amp;$A$2:$A$4001,0,-1)),9)</f>
        <v>9</v>
      </c>
      <c r="H1427" cm="1">
        <f t="array" ref="H1427">IF(OR(AND(G1427=9,H$1&gt;YEAR($N1427))),9,_xlfn.IFNA(INDEX($D$2:$D$4001,_xlfn.XMATCH(H$1&amp;"-"&amp;$F1427,YEAR($B$2:$B$4001)&amp;"-"&amp;$A$2:$A$4001,0,-1)),G1427))</f>
        <v>9</v>
      </c>
      <c r="I1427" cm="1">
        <f t="array" ref="I1427">IF(OR(AND(H1427=9,I$1&gt;YEAR($N1427))),9,_xlfn.IFNA(INDEX($D$2:$D$4001,_xlfn.XMATCH(I$1&amp;"-"&amp;$F1427,YEAR($B$2:$B$4001)&amp;"-"&amp;$A$2:$A$4001,0,-1)),H1427))</f>
        <v>9</v>
      </c>
      <c r="J1427" cm="1">
        <f t="array" ref="J1427">IF(OR(AND(I1427=9,J$1&gt;YEAR($N1427))),9,_xlfn.IFNA(INDEX($D$2:$D$4001,_xlfn.XMATCH(J$1&amp;"-"&amp;$F1427,YEAR($B$2:$B$4001)&amp;"-"&amp;$A$2:$A$4001,0,-1)),I1427))</f>
        <v>9</v>
      </c>
      <c r="K1427" cm="1">
        <f t="array" ref="K1427">IF(OR(AND(J1427=9,K$1&gt;YEAR($N1427))),9,_xlfn.IFNA(INDEX($D$2:$D$4001,_xlfn.XMATCH(K$1&amp;"-"&amp;$F1427,YEAR($B$2:$B$4001)&amp;"-"&amp;$A$2:$A$4001,0,-1)),J1427))</f>
        <v>0</v>
      </c>
      <c r="L1427" cm="1">
        <f t="array" ref="L1427">IF(OR(AND(K1427=9,L$1&gt;YEAR($N1427))),9,_xlfn.IFNA(INDEX($D$2:$D$4001,_xlfn.XMATCH(L$1&amp;"-"&amp;$F1427,YEAR($B$2:$B$4001)&amp;"-"&amp;$A$2:$A$4001,0,-1)),K1427))</f>
        <v>0</v>
      </c>
      <c r="M1427" cm="1">
        <f t="array" ref="M1427">IF(OR(AND(L1427=9,M$1&gt;YEAR($N1427))),9,_xlfn.IFNA(INDEX($D$2:$D$4001,_xlfn.XMATCH(M$1&amp;"-"&amp;$F1427,YEAR($B$2:$B$4001)&amp;"-"&amp;$A$2:$A$4001,0,-1)),L1427))</f>
        <v>0</v>
      </c>
      <c r="N1427" s="1">
        <f t="shared" si="22"/>
        <v>37771</v>
      </c>
    </row>
    <row r="1428" spans="1:14" x14ac:dyDescent="0.35">
      <c r="A1428">
        <v>680</v>
      </c>
      <c r="B1428" s="2">
        <v>36667</v>
      </c>
      <c r="C1428">
        <v>3</v>
      </c>
      <c r="D1428">
        <v>3</v>
      </c>
      <c r="F1428">
        <v>1427</v>
      </c>
      <c r="G1428" cm="1">
        <f t="array" ref="G1428">_xlfn.IFNA(INDEX($D$2:$D$4001,_xlfn.XMATCH(G$1&amp;"-"&amp;$F1428,YEAR($B$2:$B$4001)&amp;"-"&amp;$A$2:$A$4001,0,-1)),9)</f>
        <v>9</v>
      </c>
      <c r="H1428" cm="1">
        <f t="array" ref="H1428">IF(OR(AND(G1428=9,H$1&gt;YEAR($N1428))),9,_xlfn.IFNA(INDEX($D$2:$D$4001,_xlfn.XMATCH(H$1&amp;"-"&amp;$F1428,YEAR($B$2:$B$4001)&amp;"-"&amp;$A$2:$A$4001,0,-1)),G1428))</f>
        <v>6</v>
      </c>
      <c r="I1428" cm="1">
        <f t="array" ref="I1428">IF(OR(AND(H1428=9,I$1&gt;YEAR($N1428))),9,_xlfn.IFNA(INDEX($D$2:$D$4001,_xlfn.XMATCH(I$1&amp;"-"&amp;$F1428,YEAR($B$2:$B$4001)&amp;"-"&amp;$A$2:$A$4001,0,-1)),H1428))</f>
        <v>6</v>
      </c>
      <c r="J1428" cm="1">
        <f t="array" ref="J1428">IF(OR(AND(I1428=9,J$1&gt;YEAR($N1428))),9,_xlfn.IFNA(INDEX($D$2:$D$4001,_xlfn.XMATCH(J$1&amp;"-"&amp;$F1428,YEAR($B$2:$B$4001)&amp;"-"&amp;$A$2:$A$4001,0,-1)),I1428))</f>
        <v>6</v>
      </c>
      <c r="K1428" cm="1">
        <f t="array" ref="K1428">IF(OR(AND(J1428=9,K$1&gt;YEAR($N1428))),9,_xlfn.IFNA(INDEX($D$2:$D$4001,_xlfn.XMATCH(K$1&amp;"-"&amp;$F1428,YEAR($B$2:$B$4001)&amp;"-"&amp;$A$2:$A$4001,0,-1)),J1428))</f>
        <v>6</v>
      </c>
      <c r="L1428" cm="1">
        <f t="array" ref="L1428">IF(OR(AND(K1428=9,L$1&gt;YEAR($N1428))),9,_xlfn.IFNA(INDEX($D$2:$D$4001,_xlfn.XMATCH(L$1&amp;"-"&amp;$F1428,YEAR($B$2:$B$4001)&amp;"-"&amp;$A$2:$A$4001,0,-1)),K1428))</f>
        <v>6</v>
      </c>
      <c r="M1428" cm="1">
        <f t="array" ref="M1428">IF(OR(AND(L1428=9,M$1&gt;YEAR($N1428))),9,_xlfn.IFNA(INDEX($D$2:$D$4001,_xlfn.XMATCH(M$1&amp;"-"&amp;$F1428,YEAR($B$2:$B$4001)&amp;"-"&amp;$A$2:$A$4001,0,-1)),L1428))</f>
        <v>6</v>
      </c>
      <c r="N1428" s="1">
        <f t="shared" si="22"/>
        <v>36820</v>
      </c>
    </row>
    <row r="1429" spans="1:14" x14ac:dyDescent="0.35">
      <c r="A1429">
        <v>680</v>
      </c>
      <c r="B1429" s="2">
        <v>38168</v>
      </c>
      <c r="C1429">
        <v>3</v>
      </c>
      <c r="D1429">
        <v>3</v>
      </c>
      <c r="F1429">
        <v>1428</v>
      </c>
      <c r="G1429" cm="1">
        <f t="array" ref="G1429">_xlfn.IFNA(INDEX($D$2:$D$4001,_xlfn.XMATCH(G$1&amp;"-"&amp;$F1429,YEAR($B$2:$B$4001)&amp;"-"&amp;$A$2:$A$4001,0,-1)),9)</f>
        <v>9</v>
      </c>
      <c r="H1429" cm="1">
        <f t="array" ref="H1429">IF(OR(AND(G1429=9,H$1&gt;YEAR($N1429))),9,_xlfn.IFNA(INDEX($D$2:$D$4001,_xlfn.XMATCH(H$1&amp;"-"&amp;$F1429,YEAR($B$2:$B$4001)&amp;"-"&amp;$A$2:$A$4001,0,-1)),G1429))</f>
        <v>8</v>
      </c>
      <c r="I1429" cm="1">
        <f t="array" ref="I1429">IF(OR(AND(H1429=9,I$1&gt;YEAR($N1429))),9,_xlfn.IFNA(INDEX($D$2:$D$4001,_xlfn.XMATCH(I$1&amp;"-"&amp;$F1429,YEAR($B$2:$B$4001)&amp;"-"&amp;$A$2:$A$4001,0,-1)),H1429))</f>
        <v>8</v>
      </c>
      <c r="J1429" cm="1">
        <f t="array" ref="J1429">IF(OR(AND(I1429=9,J$1&gt;YEAR($N1429))),9,_xlfn.IFNA(INDEX($D$2:$D$4001,_xlfn.XMATCH(J$1&amp;"-"&amp;$F1429,YEAR($B$2:$B$4001)&amp;"-"&amp;$A$2:$A$4001,0,-1)),I1429))</f>
        <v>8</v>
      </c>
      <c r="K1429" cm="1">
        <f t="array" ref="K1429">IF(OR(AND(J1429=9,K$1&gt;YEAR($N1429))),9,_xlfn.IFNA(INDEX($D$2:$D$4001,_xlfn.XMATCH(K$1&amp;"-"&amp;$F1429,YEAR($B$2:$B$4001)&amp;"-"&amp;$A$2:$A$4001,0,-1)),J1429))</f>
        <v>8</v>
      </c>
      <c r="L1429" cm="1">
        <f t="array" ref="L1429">IF(OR(AND(K1429=9,L$1&gt;YEAR($N1429))),9,_xlfn.IFNA(INDEX($D$2:$D$4001,_xlfn.XMATCH(L$1&amp;"-"&amp;$F1429,YEAR($B$2:$B$4001)&amp;"-"&amp;$A$2:$A$4001,0,-1)),K1429))</f>
        <v>8</v>
      </c>
      <c r="M1429" cm="1">
        <f t="array" ref="M1429">IF(OR(AND(L1429=9,M$1&gt;YEAR($N1429))),9,_xlfn.IFNA(INDEX($D$2:$D$4001,_xlfn.XMATCH(M$1&amp;"-"&amp;$F1429,YEAR($B$2:$B$4001)&amp;"-"&amp;$A$2:$A$4001,0,-1)),L1429))</f>
        <v>8</v>
      </c>
      <c r="N1429" s="1">
        <f t="shared" si="22"/>
        <v>36890</v>
      </c>
    </row>
    <row r="1430" spans="1:14" x14ac:dyDescent="0.35">
      <c r="A1430">
        <v>680</v>
      </c>
      <c r="B1430" s="2">
        <v>38258</v>
      </c>
      <c r="C1430">
        <v>3</v>
      </c>
      <c r="D1430">
        <v>3</v>
      </c>
      <c r="F1430">
        <v>1429</v>
      </c>
      <c r="G1430" cm="1">
        <f t="array" ref="G1430">_xlfn.IFNA(INDEX($D$2:$D$4001,_xlfn.XMATCH(G$1&amp;"-"&amp;$F1430,YEAR($B$2:$B$4001)&amp;"-"&amp;$A$2:$A$4001,0,-1)),9)</f>
        <v>9</v>
      </c>
      <c r="H1430" cm="1">
        <f t="array" ref="H1430">IF(OR(AND(G1430=9,H$1&gt;YEAR($N1430))),9,_xlfn.IFNA(INDEX($D$2:$D$4001,_xlfn.XMATCH(H$1&amp;"-"&amp;$F1430,YEAR($B$2:$B$4001)&amp;"-"&amp;$A$2:$A$4001,0,-1)),G1430))</f>
        <v>9</v>
      </c>
      <c r="I1430" cm="1">
        <f t="array" ref="I1430">IF(OR(AND(H1430=9,I$1&gt;YEAR($N1430))),9,_xlfn.IFNA(INDEX($D$2:$D$4001,_xlfn.XMATCH(I$1&amp;"-"&amp;$F1430,YEAR($B$2:$B$4001)&amp;"-"&amp;$A$2:$A$4001,0,-1)),H1430))</f>
        <v>9</v>
      </c>
      <c r="J1430" cm="1">
        <f t="array" ref="J1430">IF(OR(AND(I1430=9,J$1&gt;YEAR($N1430))),9,_xlfn.IFNA(INDEX($D$2:$D$4001,_xlfn.XMATCH(J$1&amp;"-"&amp;$F1430,YEAR($B$2:$B$4001)&amp;"-"&amp;$A$2:$A$4001,0,-1)),I1430))</f>
        <v>9</v>
      </c>
      <c r="K1430" cm="1">
        <f t="array" ref="K1430">IF(OR(AND(J1430=9,K$1&gt;YEAR($N1430))),9,_xlfn.IFNA(INDEX($D$2:$D$4001,_xlfn.XMATCH(K$1&amp;"-"&amp;$F1430,YEAR($B$2:$B$4001)&amp;"-"&amp;$A$2:$A$4001,0,-1)),J1430))</f>
        <v>5</v>
      </c>
      <c r="L1430" cm="1">
        <f t="array" ref="L1430">IF(OR(AND(K1430=9,L$1&gt;YEAR($N1430))),9,_xlfn.IFNA(INDEX($D$2:$D$4001,_xlfn.XMATCH(L$1&amp;"-"&amp;$F1430,YEAR($B$2:$B$4001)&amp;"-"&amp;$A$2:$A$4001,0,-1)),K1430))</f>
        <v>5</v>
      </c>
      <c r="M1430" cm="1">
        <f t="array" ref="M1430">IF(OR(AND(L1430=9,M$1&gt;YEAR($N1430))),9,_xlfn.IFNA(INDEX($D$2:$D$4001,_xlfn.XMATCH(M$1&amp;"-"&amp;$F1430,YEAR($B$2:$B$4001)&amp;"-"&amp;$A$2:$A$4001,0,-1)),L1430))</f>
        <v>5</v>
      </c>
      <c r="N1430" s="1">
        <f t="shared" si="22"/>
        <v>37771</v>
      </c>
    </row>
    <row r="1431" spans="1:14" x14ac:dyDescent="0.35">
      <c r="A1431">
        <v>681</v>
      </c>
      <c r="B1431" s="2">
        <v>36676</v>
      </c>
      <c r="C1431">
        <v>6</v>
      </c>
      <c r="D1431">
        <v>6</v>
      </c>
      <c r="F1431">
        <v>1430</v>
      </c>
      <c r="G1431" cm="1">
        <f t="array" ref="G1431">_xlfn.IFNA(INDEX($D$2:$D$4001,_xlfn.XMATCH(G$1&amp;"-"&amp;$F1431,YEAR($B$2:$B$4001)&amp;"-"&amp;$A$2:$A$4001,0,-1)),9)</f>
        <v>9</v>
      </c>
      <c r="H1431" cm="1">
        <f t="array" ref="H1431">IF(OR(AND(G1431=9,H$1&gt;YEAR($N1431))),9,_xlfn.IFNA(INDEX($D$2:$D$4001,_xlfn.XMATCH(H$1&amp;"-"&amp;$F1431,YEAR($B$2:$B$4001)&amp;"-"&amp;$A$2:$A$4001,0,-1)),G1431))</f>
        <v>9</v>
      </c>
      <c r="I1431" cm="1">
        <f t="array" ref="I1431">IF(OR(AND(H1431=9,I$1&gt;YEAR($N1431))),9,_xlfn.IFNA(INDEX($D$2:$D$4001,_xlfn.XMATCH(I$1&amp;"-"&amp;$F1431,YEAR($B$2:$B$4001)&amp;"-"&amp;$A$2:$A$4001,0,-1)),H1431))</f>
        <v>9</v>
      </c>
      <c r="J1431" cm="1">
        <f t="array" ref="J1431">IF(OR(AND(I1431=9,J$1&gt;YEAR($N1431))),9,_xlfn.IFNA(INDEX($D$2:$D$4001,_xlfn.XMATCH(J$1&amp;"-"&amp;$F1431,YEAR($B$2:$B$4001)&amp;"-"&amp;$A$2:$A$4001,0,-1)),I1431))</f>
        <v>9</v>
      </c>
      <c r="K1431" cm="1">
        <f t="array" ref="K1431">IF(OR(AND(J1431=9,K$1&gt;YEAR($N1431))),9,_xlfn.IFNA(INDEX($D$2:$D$4001,_xlfn.XMATCH(K$1&amp;"-"&amp;$F1431,YEAR($B$2:$B$4001)&amp;"-"&amp;$A$2:$A$4001,0,-1)),J1431))</f>
        <v>3</v>
      </c>
      <c r="L1431" cm="1">
        <f t="array" ref="L1431">IF(OR(AND(K1431=9,L$1&gt;YEAR($N1431))),9,_xlfn.IFNA(INDEX($D$2:$D$4001,_xlfn.XMATCH(L$1&amp;"-"&amp;$F1431,YEAR($B$2:$B$4001)&amp;"-"&amp;$A$2:$A$4001,0,-1)),K1431))</f>
        <v>3</v>
      </c>
      <c r="M1431" cm="1">
        <f t="array" ref="M1431">IF(OR(AND(L1431=9,M$1&gt;YEAR($N1431))),9,_xlfn.IFNA(INDEX($D$2:$D$4001,_xlfn.XMATCH(M$1&amp;"-"&amp;$F1431,YEAR($B$2:$B$4001)&amp;"-"&amp;$A$2:$A$4001,0,-1)),L1431))</f>
        <v>3</v>
      </c>
      <c r="N1431" s="1">
        <f t="shared" si="22"/>
        <v>37762</v>
      </c>
    </row>
    <row r="1432" spans="1:14" x14ac:dyDescent="0.35">
      <c r="A1432">
        <v>681</v>
      </c>
      <c r="B1432" s="2">
        <v>37037</v>
      </c>
      <c r="C1432">
        <v>7</v>
      </c>
      <c r="D1432">
        <v>7</v>
      </c>
      <c r="F1432">
        <v>1431</v>
      </c>
      <c r="G1432" cm="1">
        <f t="array" ref="G1432">_xlfn.IFNA(INDEX($D$2:$D$4001,_xlfn.XMATCH(G$1&amp;"-"&amp;$F1432,YEAR($B$2:$B$4001)&amp;"-"&amp;$A$2:$A$4001,0,-1)),9)</f>
        <v>9</v>
      </c>
      <c r="H1432" cm="1">
        <f t="array" ref="H1432">IF(OR(AND(G1432=9,H$1&gt;YEAR($N1432))),9,_xlfn.IFNA(INDEX($D$2:$D$4001,_xlfn.XMATCH(H$1&amp;"-"&amp;$F1432,YEAR($B$2:$B$4001)&amp;"-"&amp;$A$2:$A$4001,0,-1)),G1432))</f>
        <v>9</v>
      </c>
      <c r="I1432" cm="1">
        <f t="array" ref="I1432">IF(OR(AND(H1432=9,I$1&gt;YEAR($N1432))),9,_xlfn.IFNA(INDEX($D$2:$D$4001,_xlfn.XMATCH(I$1&amp;"-"&amp;$F1432,YEAR($B$2:$B$4001)&amp;"-"&amp;$A$2:$A$4001,0,-1)),H1432))</f>
        <v>7</v>
      </c>
      <c r="J1432" cm="1">
        <f t="array" ref="J1432">IF(OR(AND(I1432=9,J$1&gt;YEAR($N1432))),9,_xlfn.IFNA(INDEX($D$2:$D$4001,_xlfn.XMATCH(J$1&amp;"-"&amp;$F1432,YEAR($B$2:$B$4001)&amp;"-"&amp;$A$2:$A$4001,0,-1)),I1432))</f>
        <v>7</v>
      </c>
      <c r="K1432" cm="1">
        <f t="array" ref="K1432">IF(OR(AND(J1432=9,K$1&gt;YEAR($N1432))),9,_xlfn.IFNA(INDEX($D$2:$D$4001,_xlfn.XMATCH(K$1&amp;"-"&amp;$F1432,YEAR($B$2:$B$4001)&amp;"-"&amp;$A$2:$A$4001,0,-1)),J1432))</f>
        <v>6</v>
      </c>
      <c r="L1432" cm="1">
        <f t="array" ref="L1432">IF(OR(AND(K1432=9,L$1&gt;YEAR($N1432))),9,_xlfn.IFNA(INDEX($D$2:$D$4001,_xlfn.XMATCH(L$1&amp;"-"&amp;$F1432,YEAR($B$2:$B$4001)&amp;"-"&amp;$A$2:$A$4001,0,-1)),K1432))</f>
        <v>4</v>
      </c>
      <c r="M1432" cm="1">
        <f t="array" ref="M1432">IF(OR(AND(L1432=9,M$1&gt;YEAR($N1432))),9,_xlfn.IFNA(INDEX($D$2:$D$4001,_xlfn.XMATCH(M$1&amp;"-"&amp;$F1432,YEAR($B$2:$B$4001)&amp;"-"&amp;$A$2:$A$4001,0,-1)),L1432))</f>
        <v>4</v>
      </c>
      <c r="N1432" s="1">
        <f t="shared" si="22"/>
        <v>37036</v>
      </c>
    </row>
    <row r="1433" spans="1:14" x14ac:dyDescent="0.35">
      <c r="A1433">
        <v>681</v>
      </c>
      <c r="B1433" s="2">
        <v>38281</v>
      </c>
      <c r="C1433">
        <v>0</v>
      </c>
      <c r="D1433">
        <v>0</v>
      </c>
      <c r="F1433">
        <v>1432</v>
      </c>
      <c r="G1433" cm="1">
        <f t="array" ref="G1433">_xlfn.IFNA(INDEX($D$2:$D$4001,_xlfn.XMATCH(G$1&amp;"-"&amp;$F1433,YEAR($B$2:$B$4001)&amp;"-"&amp;$A$2:$A$4001,0,-1)),9)</f>
        <v>9</v>
      </c>
      <c r="H1433" cm="1">
        <f t="array" ref="H1433">IF(OR(AND(G1433=9,H$1&gt;YEAR($N1433))),9,_xlfn.IFNA(INDEX($D$2:$D$4001,_xlfn.XMATCH(H$1&amp;"-"&amp;$F1433,YEAR($B$2:$B$4001)&amp;"-"&amp;$A$2:$A$4001,0,-1)),G1433))</f>
        <v>9</v>
      </c>
      <c r="I1433" cm="1">
        <f t="array" ref="I1433">IF(OR(AND(H1433=9,I$1&gt;YEAR($N1433))),9,_xlfn.IFNA(INDEX($D$2:$D$4001,_xlfn.XMATCH(I$1&amp;"-"&amp;$F1433,YEAR($B$2:$B$4001)&amp;"-"&amp;$A$2:$A$4001,0,-1)),H1433))</f>
        <v>4</v>
      </c>
      <c r="J1433" cm="1">
        <f t="array" ref="J1433">IF(OR(AND(I1433=9,J$1&gt;YEAR($N1433))),9,_xlfn.IFNA(INDEX($D$2:$D$4001,_xlfn.XMATCH(J$1&amp;"-"&amp;$F1433,YEAR($B$2:$B$4001)&amp;"-"&amp;$A$2:$A$4001,0,-1)),I1433))</f>
        <v>4</v>
      </c>
      <c r="K1433" cm="1">
        <f t="array" ref="K1433">IF(OR(AND(J1433=9,K$1&gt;YEAR($N1433))),9,_xlfn.IFNA(INDEX($D$2:$D$4001,_xlfn.XMATCH(K$1&amp;"-"&amp;$F1433,YEAR($B$2:$B$4001)&amp;"-"&amp;$A$2:$A$4001,0,-1)),J1433))</f>
        <v>6</v>
      </c>
      <c r="L1433" cm="1">
        <f t="array" ref="L1433">IF(OR(AND(K1433=9,L$1&gt;YEAR($N1433))),9,_xlfn.IFNA(INDEX($D$2:$D$4001,_xlfn.XMATCH(L$1&amp;"-"&amp;$F1433,YEAR($B$2:$B$4001)&amp;"-"&amp;$A$2:$A$4001,0,-1)),K1433))</f>
        <v>3</v>
      </c>
      <c r="M1433" cm="1">
        <f t="array" ref="M1433">IF(OR(AND(L1433=9,M$1&gt;YEAR($N1433))),9,_xlfn.IFNA(INDEX($D$2:$D$4001,_xlfn.XMATCH(M$1&amp;"-"&amp;$F1433,YEAR($B$2:$B$4001)&amp;"-"&amp;$A$2:$A$4001,0,-1)),L1433))</f>
        <v>3</v>
      </c>
      <c r="N1433" s="1">
        <f t="shared" si="22"/>
        <v>37041</v>
      </c>
    </row>
    <row r="1434" spans="1:14" x14ac:dyDescent="0.35">
      <c r="A1434">
        <v>682</v>
      </c>
      <c r="B1434" s="2">
        <v>36301</v>
      </c>
      <c r="C1434">
        <v>4</v>
      </c>
      <c r="D1434">
        <v>4</v>
      </c>
      <c r="F1434">
        <v>1433</v>
      </c>
      <c r="G1434" cm="1">
        <f t="array" ref="G1434">_xlfn.IFNA(INDEX($D$2:$D$4001,_xlfn.XMATCH(G$1&amp;"-"&amp;$F1434,YEAR($B$2:$B$4001)&amp;"-"&amp;$A$2:$A$4001,0,-1)),9)</f>
        <v>9</v>
      </c>
      <c r="H1434" cm="1">
        <f t="array" ref="H1434">IF(OR(AND(G1434=9,H$1&gt;YEAR($N1434))),9,_xlfn.IFNA(INDEX($D$2:$D$4001,_xlfn.XMATCH(H$1&amp;"-"&amp;$F1434,YEAR($B$2:$B$4001)&amp;"-"&amp;$A$2:$A$4001,0,-1)),G1434))</f>
        <v>9</v>
      </c>
      <c r="I1434" cm="1">
        <f t="array" ref="I1434">IF(OR(AND(H1434=9,I$1&gt;YEAR($N1434))),9,_xlfn.IFNA(INDEX($D$2:$D$4001,_xlfn.XMATCH(I$1&amp;"-"&amp;$F1434,YEAR($B$2:$B$4001)&amp;"-"&amp;$A$2:$A$4001,0,-1)),H1434))</f>
        <v>9</v>
      </c>
      <c r="J1434" cm="1">
        <f t="array" ref="J1434">IF(OR(AND(I1434=9,J$1&gt;YEAR($N1434))),9,_xlfn.IFNA(INDEX($D$2:$D$4001,_xlfn.XMATCH(J$1&amp;"-"&amp;$F1434,YEAR($B$2:$B$4001)&amp;"-"&amp;$A$2:$A$4001,0,-1)),I1434))</f>
        <v>0</v>
      </c>
      <c r="K1434" cm="1">
        <f t="array" ref="K1434">IF(OR(AND(J1434=9,K$1&gt;YEAR($N1434))),9,_xlfn.IFNA(INDEX($D$2:$D$4001,_xlfn.XMATCH(K$1&amp;"-"&amp;$F1434,YEAR($B$2:$B$4001)&amp;"-"&amp;$A$2:$A$4001,0,-1)),J1434))</f>
        <v>0</v>
      </c>
      <c r="L1434" cm="1">
        <f t="array" ref="L1434">IF(OR(AND(K1434=9,L$1&gt;YEAR($N1434))),9,_xlfn.IFNA(INDEX($D$2:$D$4001,_xlfn.XMATCH(L$1&amp;"-"&amp;$F1434,YEAR($B$2:$B$4001)&amp;"-"&amp;$A$2:$A$4001,0,-1)),K1434))</f>
        <v>0</v>
      </c>
      <c r="M1434" cm="1">
        <f t="array" ref="M1434">IF(OR(AND(L1434=9,M$1&gt;YEAR($N1434))),9,_xlfn.IFNA(INDEX($D$2:$D$4001,_xlfn.XMATCH(M$1&amp;"-"&amp;$F1434,YEAR($B$2:$B$4001)&amp;"-"&amp;$A$2:$A$4001,0,-1)),L1434))</f>
        <v>0</v>
      </c>
      <c r="N1434" s="1">
        <f t="shared" si="22"/>
        <v>37406</v>
      </c>
    </row>
    <row r="1435" spans="1:14" x14ac:dyDescent="0.35">
      <c r="A1435">
        <v>682</v>
      </c>
      <c r="B1435" s="2">
        <v>36707</v>
      </c>
      <c r="C1435">
        <v>3</v>
      </c>
      <c r="D1435">
        <v>3</v>
      </c>
      <c r="F1435">
        <v>1434</v>
      </c>
      <c r="G1435" cm="1">
        <f t="array" ref="G1435">_xlfn.IFNA(INDEX($D$2:$D$4001,_xlfn.XMATCH(G$1&amp;"-"&amp;$F1435,YEAR($B$2:$B$4001)&amp;"-"&amp;$A$2:$A$4001,0,-1)),9)</f>
        <v>9</v>
      </c>
      <c r="H1435" cm="1">
        <f t="array" ref="H1435">IF(OR(AND(G1435=9,H$1&gt;YEAR($N1435))),9,_xlfn.IFNA(INDEX($D$2:$D$4001,_xlfn.XMATCH(H$1&amp;"-"&amp;$F1435,YEAR($B$2:$B$4001)&amp;"-"&amp;$A$2:$A$4001,0,-1)),G1435))</f>
        <v>9</v>
      </c>
      <c r="I1435" cm="1">
        <f t="array" ref="I1435">IF(OR(AND(H1435=9,I$1&gt;YEAR($N1435))),9,_xlfn.IFNA(INDEX($D$2:$D$4001,_xlfn.XMATCH(I$1&amp;"-"&amp;$F1435,YEAR($B$2:$B$4001)&amp;"-"&amp;$A$2:$A$4001,0,-1)),H1435))</f>
        <v>9</v>
      </c>
      <c r="J1435" cm="1">
        <f t="array" ref="J1435">IF(OR(AND(I1435=9,J$1&gt;YEAR($N1435))),9,_xlfn.IFNA(INDEX($D$2:$D$4001,_xlfn.XMATCH(J$1&amp;"-"&amp;$F1435,YEAR($B$2:$B$4001)&amp;"-"&amp;$A$2:$A$4001,0,-1)),I1435))</f>
        <v>3</v>
      </c>
      <c r="K1435" cm="1">
        <f t="array" ref="K1435">IF(OR(AND(J1435=9,K$1&gt;YEAR($N1435))),9,_xlfn.IFNA(INDEX($D$2:$D$4001,_xlfn.XMATCH(K$1&amp;"-"&amp;$F1435,YEAR($B$2:$B$4001)&amp;"-"&amp;$A$2:$A$4001,0,-1)),J1435))</f>
        <v>3</v>
      </c>
      <c r="L1435" cm="1">
        <f t="array" ref="L1435">IF(OR(AND(K1435=9,L$1&gt;YEAR($N1435))),9,_xlfn.IFNA(INDEX($D$2:$D$4001,_xlfn.XMATCH(L$1&amp;"-"&amp;$F1435,YEAR($B$2:$B$4001)&amp;"-"&amp;$A$2:$A$4001,0,-1)),K1435))</f>
        <v>3</v>
      </c>
      <c r="M1435" cm="1">
        <f t="array" ref="M1435">IF(OR(AND(L1435=9,M$1&gt;YEAR($N1435))),9,_xlfn.IFNA(INDEX($D$2:$D$4001,_xlfn.XMATCH(M$1&amp;"-"&amp;$F1435,YEAR($B$2:$B$4001)&amp;"-"&amp;$A$2:$A$4001,0,-1)),L1435))</f>
        <v>3</v>
      </c>
      <c r="N1435" s="1">
        <f t="shared" si="22"/>
        <v>37406</v>
      </c>
    </row>
    <row r="1436" spans="1:14" x14ac:dyDescent="0.35">
      <c r="A1436">
        <v>682</v>
      </c>
      <c r="B1436" s="2">
        <v>38351</v>
      </c>
      <c r="C1436">
        <v>3</v>
      </c>
      <c r="D1436">
        <v>3</v>
      </c>
      <c r="F1436">
        <v>1435</v>
      </c>
      <c r="G1436" cm="1">
        <f t="array" ref="G1436">_xlfn.IFNA(INDEX($D$2:$D$4001,_xlfn.XMATCH(G$1&amp;"-"&amp;$F1436,YEAR($B$2:$B$4001)&amp;"-"&amp;$A$2:$A$4001,0,-1)),9)</f>
        <v>9</v>
      </c>
      <c r="H1436" cm="1">
        <f t="array" ref="H1436">IF(OR(AND(G1436=9,H$1&gt;YEAR($N1436))),9,_xlfn.IFNA(INDEX($D$2:$D$4001,_xlfn.XMATCH(H$1&amp;"-"&amp;$F1436,YEAR($B$2:$B$4001)&amp;"-"&amp;$A$2:$A$4001,0,-1)),G1436))</f>
        <v>9</v>
      </c>
      <c r="I1436" cm="1">
        <f t="array" ref="I1436">IF(OR(AND(H1436=9,I$1&gt;YEAR($N1436))),9,_xlfn.IFNA(INDEX($D$2:$D$4001,_xlfn.XMATCH(I$1&amp;"-"&amp;$F1436,YEAR($B$2:$B$4001)&amp;"-"&amp;$A$2:$A$4001,0,-1)),H1436))</f>
        <v>4</v>
      </c>
      <c r="J1436" cm="1">
        <f t="array" ref="J1436">IF(OR(AND(I1436=9,J$1&gt;YEAR($N1436))),9,_xlfn.IFNA(INDEX($D$2:$D$4001,_xlfn.XMATCH(J$1&amp;"-"&amp;$F1436,YEAR($B$2:$B$4001)&amp;"-"&amp;$A$2:$A$4001,0,-1)),I1436))</f>
        <v>4</v>
      </c>
      <c r="K1436" cm="1">
        <f t="array" ref="K1436">IF(OR(AND(J1436=9,K$1&gt;YEAR($N1436))),9,_xlfn.IFNA(INDEX($D$2:$D$4001,_xlfn.XMATCH(K$1&amp;"-"&amp;$F1436,YEAR($B$2:$B$4001)&amp;"-"&amp;$A$2:$A$4001,0,-1)),J1436))</f>
        <v>4</v>
      </c>
      <c r="L1436" cm="1">
        <f t="array" ref="L1436">IF(OR(AND(K1436=9,L$1&gt;YEAR($N1436))),9,_xlfn.IFNA(INDEX($D$2:$D$4001,_xlfn.XMATCH(L$1&amp;"-"&amp;$F1436,YEAR($B$2:$B$4001)&amp;"-"&amp;$A$2:$A$4001,0,-1)),K1436))</f>
        <v>4</v>
      </c>
      <c r="M1436" cm="1">
        <f t="array" ref="M1436">IF(OR(AND(L1436=9,M$1&gt;YEAR($N1436))),9,_xlfn.IFNA(INDEX($D$2:$D$4001,_xlfn.XMATCH(M$1&amp;"-"&amp;$F1436,YEAR($B$2:$B$4001)&amp;"-"&amp;$A$2:$A$4001,0,-1)),L1436))</f>
        <v>4</v>
      </c>
      <c r="N1436" s="1">
        <f t="shared" si="22"/>
        <v>37216</v>
      </c>
    </row>
    <row r="1437" spans="1:14" x14ac:dyDescent="0.35">
      <c r="A1437">
        <v>683</v>
      </c>
      <c r="B1437" s="2">
        <v>36301</v>
      </c>
      <c r="C1437">
        <v>4</v>
      </c>
      <c r="D1437">
        <v>4</v>
      </c>
      <c r="F1437">
        <v>1436</v>
      </c>
      <c r="G1437" cm="1">
        <f t="array" ref="G1437">_xlfn.IFNA(INDEX($D$2:$D$4001,_xlfn.XMATCH(G$1&amp;"-"&amp;$F1437,YEAR($B$2:$B$4001)&amp;"-"&amp;$A$2:$A$4001,0,-1)),9)</f>
        <v>9</v>
      </c>
      <c r="H1437" cm="1">
        <f t="array" ref="H1437">IF(OR(AND(G1437=9,H$1&gt;YEAR($N1437))),9,_xlfn.IFNA(INDEX($D$2:$D$4001,_xlfn.XMATCH(H$1&amp;"-"&amp;$F1437,YEAR($B$2:$B$4001)&amp;"-"&amp;$A$2:$A$4001,0,-1)),G1437))</f>
        <v>0</v>
      </c>
      <c r="I1437" cm="1">
        <f t="array" ref="I1437">IF(OR(AND(H1437=9,I$1&gt;YEAR($N1437))),9,_xlfn.IFNA(INDEX($D$2:$D$4001,_xlfn.XMATCH(I$1&amp;"-"&amp;$F1437,YEAR($B$2:$B$4001)&amp;"-"&amp;$A$2:$A$4001,0,-1)),H1437))</f>
        <v>0</v>
      </c>
      <c r="J1437" cm="1">
        <f t="array" ref="J1437">IF(OR(AND(I1437=9,J$1&gt;YEAR($N1437))),9,_xlfn.IFNA(INDEX($D$2:$D$4001,_xlfn.XMATCH(J$1&amp;"-"&amp;$F1437,YEAR($B$2:$B$4001)&amp;"-"&amp;$A$2:$A$4001,0,-1)),I1437))</f>
        <v>0</v>
      </c>
      <c r="K1437" cm="1">
        <f t="array" ref="K1437">IF(OR(AND(J1437=9,K$1&gt;YEAR($N1437))),9,_xlfn.IFNA(INDEX($D$2:$D$4001,_xlfn.XMATCH(K$1&amp;"-"&amp;$F1437,YEAR($B$2:$B$4001)&amp;"-"&amp;$A$2:$A$4001,0,-1)),J1437))</f>
        <v>0</v>
      </c>
      <c r="L1437" cm="1">
        <f t="array" ref="L1437">IF(OR(AND(K1437=9,L$1&gt;YEAR($N1437))),9,_xlfn.IFNA(INDEX($D$2:$D$4001,_xlfn.XMATCH(L$1&amp;"-"&amp;$F1437,YEAR($B$2:$B$4001)&amp;"-"&amp;$A$2:$A$4001,0,-1)),K1437))</f>
        <v>0</v>
      </c>
      <c r="M1437" cm="1">
        <f t="array" ref="M1437">IF(OR(AND(L1437=9,M$1&gt;YEAR($N1437))),9,_xlfn.IFNA(INDEX($D$2:$D$4001,_xlfn.XMATCH(M$1&amp;"-"&amp;$F1437,YEAR($B$2:$B$4001)&amp;"-"&amp;$A$2:$A$4001,0,-1)),L1437))</f>
        <v>0</v>
      </c>
      <c r="N1437" s="1">
        <f t="shared" si="22"/>
        <v>36768</v>
      </c>
    </row>
    <row r="1438" spans="1:14" x14ac:dyDescent="0.35">
      <c r="A1438">
        <v>683</v>
      </c>
      <c r="B1438" s="2">
        <v>36667</v>
      </c>
      <c r="C1438">
        <v>3</v>
      </c>
      <c r="D1438">
        <v>3</v>
      </c>
      <c r="F1438">
        <v>1437</v>
      </c>
      <c r="G1438" cm="1">
        <f t="array" ref="G1438">_xlfn.IFNA(INDEX($D$2:$D$4001,_xlfn.XMATCH(G$1&amp;"-"&amp;$F1438,YEAR($B$2:$B$4001)&amp;"-"&amp;$A$2:$A$4001,0,-1)),9)</f>
        <v>2</v>
      </c>
      <c r="H1438" cm="1">
        <f t="array" ref="H1438">IF(OR(AND(G1438=9,H$1&gt;YEAR($N1438))),9,_xlfn.IFNA(INDEX($D$2:$D$4001,_xlfn.XMATCH(H$1&amp;"-"&amp;$F1438,YEAR($B$2:$B$4001)&amp;"-"&amp;$A$2:$A$4001,0,-1)),G1438))</f>
        <v>2</v>
      </c>
      <c r="I1438" cm="1">
        <f t="array" ref="I1438">IF(OR(AND(H1438=9,I$1&gt;YEAR($N1438))),9,_xlfn.IFNA(INDEX($D$2:$D$4001,_xlfn.XMATCH(I$1&amp;"-"&amp;$F1438,YEAR($B$2:$B$4001)&amp;"-"&amp;$A$2:$A$4001,0,-1)),H1438))</f>
        <v>2</v>
      </c>
      <c r="J1438" cm="1">
        <f t="array" ref="J1438">IF(OR(AND(I1438=9,J$1&gt;YEAR($N1438))),9,_xlfn.IFNA(INDEX($D$2:$D$4001,_xlfn.XMATCH(J$1&amp;"-"&amp;$F1438,YEAR($B$2:$B$4001)&amp;"-"&amp;$A$2:$A$4001,0,-1)),I1438))</f>
        <v>2</v>
      </c>
      <c r="K1438" cm="1">
        <f t="array" ref="K1438">IF(OR(AND(J1438=9,K$1&gt;YEAR($N1438))),9,_xlfn.IFNA(INDEX($D$2:$D$4001,_xlfn.XMATCH(K$1&amp;"-"&amp;$F1438,YEAR($B$2:$B$4001)&amp;"-"&amp;$A$2:$A$4001,0,-1)),J1438))</f>
        <v>3</v>
      </c>
      <c r="L1438" cm="1">
        <f t="array" ref="L1438">IF(OR(AND(K1438=9,L$1&gt;YEAR($N1438))),9,_xlfn.IFNA(INDEX($D$2:$D$4001,_xlfn.XMATCH(L$1&amp;"-"&amp;$F1438,YEAR($B$2:$B$4001)&amp;"-"&amp;$A$2:$A$4001,0,-1)),K1438))</f>
        <v>3</v>
      </c>
      <c r="M1438" cm="1">
        <f t="array" ref="M1438">IF(OR(AND(L1438=9,M$1&gt;YEAR($N1438))),9,_xlfn.IFNA(INDEX($D$2:$D$4001,_xlfn.XMATCH(M$1&amp;"-"&amp;$F1438,YEAR($B$2:$B$4001)&amp;"-"&amp;$A$2:$A$4001,0,-1)),L1438))</f>
        <v>3</v>
      </c>
      <c r="N1438" s="1">
        <f t="shared" si="22"/>
        <v>36524</v>
      </c>
    </row>
    <row r="1439" spans="1:14" x14ac:dyDescent="0.35">
      <c r="A1439">
        <v>683</v>
      </c>
      <c r="B1439" s="2">
        <v>38168</v>
      </c>
      <c r="C1439">
        <v>3</v>
      </c>
      <c r="D1439">
        <v>3</v>
      </c>
      <c r="F1439">
        <v>1438</v>
      </c>
      <c r="G1439" cm="1">
        <f t="array" ref="G1439">_xlfn.IFNA(INDEX($D$2:$D$4001,_xlfn.XMATCH(G$1&amp;"-"&amp;$F1439,YEAR($B$2:$B$4001)&amp;"-"&amp;$A$2:$A$4001,0,-1)),9)</f>
        <v>9</v>
      </c>
      <c r="H1439" cm="1">
        <f t="array" ref="H1439">IF(OR(AND(G1439=9,H$1&gt;YEAR($N1439))),9,_xlfn.IFNA(INDEX($D$2:$D$4001,_xlfn.XMATCH(H$1&amp;"-"&amp;$F1439,YEAR($B$2:$B$4001)&amp;"-"&amp;$A$2:$A$4001,0,-1)),G1439))</f>
        <v>4</v>
      </c>
      <c r="I1439" cm="1">
        <f t="array" ref="I1439">IF(OR(AND(H1439=9,I$1&gt;YEAR($N1439))),9,_xlfn.IFNA(INDEX($D$2:$D$4001,_xlfn.XMATCH(I$1&amp;"-"&amp;$F1439,YEAR($B$2:$B$4001)&amp;"-"&amp;$A$2:$A$4001,0,-1)),H1439))</f>
        <v>4</v>
      </c>
      <c r="J1439" cm="1">
        <f t="array" ref="J1439">IF(OR(AND(I1439=9,J$1&gt;YEAR($N1439))),9,_xlfn.IFNA(INDEX($D$2:$D$4001,_xlfn.XMATCH(J$1&amp;"-"&amp;$F1439,YEAR($B$2:$B$4001)&amp;"-"&amp;$A$2:$A$4001,0,-1)),I1439))</f>
        <v>4</v>
      </c>
      <c r="K1439" cm="1">
        <f t="array" ref="K1439">IF(OR(AND(J1439=9,K$1&gt;YEAR($N1439))),9,_xlfn.IFNA(INDEX($D$2:$D$4001,_xlfn.XMATCH(K$1&amp;"-"&amp;$F1439,YEAR($B$2:$B$4001)&amp;"-"&amp;$A$2:$A$4001,0,-1)),J1439))</f>
        <v>4</v>
      </c>
      <c r="L1439" cm="1">
        <f t="array" ref="L1439">IF(OR(AND(K1439=9,L$1&gt;YEAR($N1439))),9,_xlfn.IFNA(INDEX($D$2:$D$4001,_xlfn.XMATCH(L$1&amp;"-"&amp;$F1439,YEAR($B$2:$B$4001)&amp;"-"&amp;$A$2:$A$4001,0,-1)),K1439))</f>
        <v>4</v>
      </c>
      <c r="M1439" cm="1">
        <f t="array" ref="M1439">IF(OR(AND(L1439=9,M$1&gt;YEAR($N1439))),9,_xlfn.IFNA(INDEX($D$2:$D$4001,_xlfn.XMATCH(M$1&amp;"-"&amp;$F1439,YEAR($B$2:$B$4001)&amp;"-"&amp;$A$2:$A$4001,0,-1)),L1439))</f>
        <v>4</v>
      </c>
      <c r="N1439" s="1">
        <f t="shared" si="22"/>
        <v>36790</v>
      </c>
    </row>
    <row r="1440" spans="1:14" x14ac:dyDescent="0.35">
      <c r="A1440">
        <v>684</v>
      </c>
      <c r="B1440" s="2">
        <v>37032</v>
      </c>
      <c r="C1440">
        <v>3</v>
      </c>
      <c r="D1440">
        <v>3</v>
      </c>
      <c r="F1440">
        <v>1439</v>
      </c>
      <c r="G1440" cm="1">
        <f t="array" ref="G1440">_xlfn.IFNA(INDEX($D$2:$D$4001,_xlfn.XMATCH(G$1&amp;"-"&amp;$F1440,YEAR($B$2:$B$4001)&amp;"-"&amp;$A$2:$A$4001,0,-1)),9)</f>
        <v>6</v>
      </c>
      <c r="H1440" cm="1">
        <f t="array" ref="H1440">IF(OR(AND(G1440=9,H$1&gt;YEAR($N1440))),9,_xlfn.IFNA(INDEX($D$2:$D$4001,_xlfn.XMATCH(H$1&amp;"-"&amp;$F1440,YEAR($B$2:$B$4001)&amp;"-"&amp;$A$2:$A$4001,0,-1)),G1440))</f>
        <v>6</v>
      </c>
      <c r="I1440" cm="1">
        <f t="array" ref="I1440">IF(OR(AND(H1440=9,I$1&gt;YEAR($N1440))),9,_xlfn.IFNA(INDEX($D$2:$D$4001,_xlfn.XMATCH(I$1&amp;"-"&amp;$F1440,YEAR($B$2:$B$4001)&amp;"-"&amp;$A$2:$A$4001,0,-1)),H1440))</f>
        <v>5</v>
      </c>
      <c r="J1440" cm="1">
        <f t="array" ref="J1440">IF(OR(AND(I1440=9,J$1&gt;YEAR($N1440))),9,_xlfn.IFNA(INDEX($D$2:$D$4001,_xlfn.XMATCH(J$1&amp;"-"&amp;$F1440,YEAR($B$2:$B$4001)&amp;"-"&amp;$A$2:$A$4001,0,-1)),I1440))</f>
        <v>5</v>
      </c>
      <c r="K1440" cm="1">
        <f t="array" ref="K1440">IF(OR(AND(J1440=9,K$1&gt;YEAR($N1440))),9,_xlfn.IFNA(INDEX($D$2:$D$4001,_xlfn.XMATCH(K$1&amp;"-"&amp;$F1440,YEAR($B$2:$B$4001)&amp;"-"&amp;$A$2:$A$4001,0,-1)),J1440))</f>
        <v>5</v>
      </c>
      <c r="L1440" cm="1">
        <f t="array" ref="L1440">IF(OR(AND(K1440=9,L$1&gt;YEAR($N1440))),9,_xlfn.IFNA(INDEX($D$2:$D$4001,_xlfn.XMATCH(L$1&amp;"-"&amp;$F1440,YEAR($B$2:$B$4001)&amp;"-"&amp;$A$2:$A$4001,0,-1)),K1440))</f>
        <v>5</v>
      </c>
      <c r="M1440" cm="1">
        <f t="array" ref="M1440">IF(OR(AND(L1440=9,M$1&gt;YEAR($N1440))),9,_xlfn.IFNA(INDEX($D$2:$D$4001,_xlfn.XMATCH(M$1&amp;"-"&amp;$F1440,YEAR($B$2:$B$4001)&amp;"-"&amp;$A$2:$A$4001,0,-1)),L1440))</f>
        <v>5</v>
      </c>
      <c r="N1440" s="1">
        <f t="shared" si="22"/>
        <v>36310</v>
      </c>
    </row>
    <row r="1441" spans="1:14" x14ac:dyDescent="0.35">
      <c r="A1441">
        <v>685</v>
      </c>
      <c r="B1441" s="2">
        <v>36524</v>
      </c>
      <c r="C1441">
        <v>6</v>
      </c>
      <c r="D1441">
        <v>6</v>
      </c>
      <c r="F1441">
        <v>1440</v>
      </c>
      <c r="G1441" cm="1">
        <f t="array" ref="G1441">_xlfn.IFNA(INDEX($D$2:$D$4001,_xlfn.XMATCH(G$1&amp;"-"&amp;$F1441,YEAR($B$2:$B$4001)&amp;"-"&amp;$A$2:$A$4001,0,-1)),9)</f>
        <v>9</v>
      </c>
      <c r="H1441" cm="1">
        <f t="array" ref="H1441">IF(OR(AND(G1441=9,H$1&gt;YEAR($N1441))),9,_xlfn.IFNA(INDEX($D$2:$D$4001,_xlfn.XMATCH(H$1&amp;"-"&amp;$F1441,YEAR($B$2:$B$4001)&amp;"-"&amp;$A$2:$A$4001,0,-1)),G1441))</f>
        <v>7</v>
      </c>
      <c r="I1441" cm="1">
        <f t="array" ref="I1441">IF(OR(AND(H1441=9,I$1&gt;YEAR($N1441))),9,_xlfn.IFNA(INDEX($D$2:$D$4001,_xlfn.XMATCH(I$1&amp;"-"&amp;$F1441,YEAR($B$2:$B$4001)&amp;"-"&amp;$A$2:$A$4001,0,-1)),H1441))</f>
        <v>8</v>
      </c>
      <c r="J1441" cm="1">
        <f t="array" ref="J1441">IF(OR(AND(I1441=9,J$1&gt;YEAR($N1441))),9,_xlfn.IFNA(INDEX($D$2:$D$4001,_xlfn.XMATCH(J$1&amp;"-"&amp;$F1441,YEAR($B$2:$B$4001)&amp;"-"&amp;$A$2:$A$4001,0,-1)),I1441))</f>
        <v>8</v>
      </c>
      <c r="K1441" cm="1">
        <f t="array" ref="K1441">IF(OR(AND(J1441=9,K$1&gt;YEAR($N1441))),9,_xlfn.IFNA(INDEX($D$2:$D$4001,_xlfn.XMATCH(K$1&amp;"-"&amp;$F1441,YEAR($B$2:$B$4001)&amp;"-"&amp;$A$2:$A$4001,0,-1)),J1441))</f>
        <v>8</v>
      </c>
      <c r="L1441" cm="1">
        <f t="array" ref="L1441">IF(OR(AND(K1441=9,L$1&gt;YEAR($N1441))),9,_xlfn.IFNA(INDEX($D$2:$D$4001,_xlfn.XMATCH(L$1&amp;"-"&amp;$F1441,YEAR($B$2:$B$4001)&amp;"-"&amp;$A$2:$A$4001,0,-1)),K1441))</f>
        <v>8</v>
      </c>
      <c r="M1441" cm="1">
        <f t="array" ref="M1441">IF(OR(AND(L1441=9,M$1&gt;YEAR($N1441))),9,_xlfn.IFNA(INDEX($D$2:$D$4001,_xlfn.XMATCH(M$1&amp;"-"&amp;$F1441,YEAR($B$2:$B$4001)&amp;"-"&amp;$A$2:$A$4001,0,-1)),L1441))</f>
        <v>8</v>
      </c>
      <c r="N1441" s="1">
        <f t="shared" si="22"/>
        <v>36728</v>
      </c>
    </row>
    <row r="1442" spans="1:14" x14ac:dyDescent="0.35">
      <c r="A1442">
        <v>685</v>
      </c>
      <c r="B1442" s="2">
        <v>37255</v>
      </c>
      <c r="C1442">
        <v>7</v>
      </c>
      <c r="D1442">
        <v>7</v>
      </c>
      <c r="F1442">
        <v>1441</v>
      </c>
      <c r="G1442" cm="1">
        <f t="array" ref="G1442">_xlfn.IFNA(INDEX($D$2:$D$4001,_xlfn.XMATCH(G$1&amp;"-"&amp;$F1442,YEAR($B$2:$B$4001)&amp;"-"&amp;$A$2:$A$4001,0,-1)),9)</f>
        <v>9</v>
      </c>
      <c r="H1442" cm="1">
        <f t="array" ref="H1442">IF(OR(AND(G1442=9,H$1&gt;YEAR($N1442))),9,_xlfn.IFNA(INDEX($D$2:$D$4001,_xlfn.XMATCH(H$1&amp;"-"&amp;$F1442,YEAR($B$2:$B$4001)&amp;"-"&amp;$A$2:$A$4001,0,-1)),G1442))</f>
        <v>2</v>
      </c>
      <c r="I1442" cm="1">
        <f t="array" ref="I1442">IF(OR(AND(H1442=9,I$1&gt;YEAR($N1442))),9,_xlfn.IFNA(INDEX($D$2:$D$4001,_xlfn.XMATCH(I$1&amp;"-"&amp;$F1442,YEAR($B$2:$B$4001)&amp;"-"&amp;$A$2:$A$4001,0,-1)),H1442))</f>
        <v>2</v>
      </c>
      <c r="J1442" cm="1">
        <f t="array" ref="J1442">IF(OR(AND(I1442=9,J$1&gt;YEAR($N1442))),9,_xlfn.IFNA(INDEX($D$2:$D$4001,_xlfn.XMATCH(J$1&amp;"-"&amp;$F1442,YEAR($B$2:$B$4001)&amp;"-"&amp;$A$2:$A$4001,0,-1)),I1442))</f>
        <v>2</v>
      </c>
      <c r="K1442" cm="1">
        <f t="array" ref="K1442">IF(OR(AND(J1442=9,K$1&gt;YEAR($N1442))),9,_xlfn.IFNA(INDEX($D$2:$D$4001,_xlfn.XMATCH(K$1&amp;"-"&amp;$F1442,YEAR($B$2:$B$4001)&amp;"-"&amp;$A$2:$A$4001,0,-1)),J1442))</f>
        <v>2</v>
      </c>
      <c r="L1442" cm="1">
        <f t="array" ref="L1442">IF(OR(AND(K1442=9,L$1&gt;YEAR($N1442))),9,_xlfn.IFNA(INDEX($D$2:$D$4001,_xlfn.XMATCH(L$1&amp;"-"&amp;$F1442,YEAR($B$2:$B$4001)&amp;"-"&amp;$A$2:$A$4001,0,-1)),K1442))</f>
        <v>2</v>
      </c>
      <c r="M1442" cm="1">
        <f t="array" ref="M1442">IF(OR(AND(L1442=9,M$1&gt;YEAR($N1442))),9,_xlfn.IFNA(INDEX($D$2:$D$4001,_xlfn.XMATCH(M$1&amp;"-"&amp;$F1442,YEAR($B$2:$B$4001)&amp;"-"&amp;$A$2:$A$4001,0,-1)),L1442))</f>
        <v>2</v>
      </c>
      <c r="N1442" s="1">
        <f t="shared" si="22"/>
        <v>36734</v>
      </c>
    </row>
    <row r="1443" spans="1:14" x14ac:dyDescent="0.35">
      <c r="A1443">
        <v>685</v>
      </c>
      <c r="B1443" s="2">
        <v>37832</v>
      </c>
      <c r="C1443">
        <v>6</v>
      </c>
      <c r="D1443">
        <v>6</v>
      </c>
      <c r="F1443">
        <v>1442</v>
      </c>
      <c r="G1443" cm="1">
        <f t="array" ref="G1443">_xlfn.IFNA(INDEX($D$2:$D$4001,_xlfn.XMATCH(G$1&amp;"-"&amp;$F1443,YEAR($B$2:$B$4001)&amp;"-"&amp;$A$2:$A$4001,0,-1)),9)</f>
        <v>9</v>
      </c>
      <c r="H1443" cm="1">
        <f t="array" ref="H1443">IF(OR(AND(G1443=9,H$1&gt;YEAR($N1443))),9,_xlfn.IFNA(INDEX($D$2:$D$4001,_xlfn.XMATCH(H$1&amp;"-"&amp;$F1443,YEAR($B$2:$B$4001)&amp;"-"&amp;$A$2:$A$4001,0,-1)),G1443))</f>
        <v>9</v>
      </c>
      <c r="I1443" cm="1">
        <f t="array" ref="I1443">IF(OR(AND(H1443=9,I$1&gt;YEAR($N1443))),9,_xlfn.IFNA(INDEX($D$2:$D$4001,_xlfn.XMATCH(I$1&amp;"-"&amp;$F1443,YEAR($B$2:$B$4001)&amp;"-"&amp;$A$2:$A$4001,0,-1)),H1443))</f>
        <v>3</v>
      </c>
      <c r="J1443" cm="1">
        <f t="array" ref="J1443">IF(OR(AND(I1443=9,J$1&gt;YEAR($N1443))),9,_xlfn.IFNA(INDEX($D$2:$D$4001,_xlfn.XMATCH(J$1&amp;"-"&amp;$F1443,YEAR($B$2:$B$4001)&amp;"-"&amp;$A$2:$A$4001,0,-1)),I1443))</f>
        <v>4</v>
      </c>
      <c r="K1443" cm="1">
        <f t="array" ref="K1443">IF(OR(AND(J1443=9,K$1&gt;YEAR($N1443))),9,_xlfn.IFNA(INDEX($D$2:$D$4001,_xlfn.XMATCH(K$1&amp;"-"&amp;$F1443,YEAR($B$2:$B$4001)&amp;"-"&amp;$A$2:$A$4001,0,-1)),J1443))</f>
        <v>4</v>
      </c>
      <c r="L1443" cm="1">
        <f t="array" ref="L1443">IF(OR(AND(K1443=9,L$1&gt;YEAR($N1443))),9,_xlfn.IFNA(INDEX($D$2:$D$4001,_xlfn.XMATCH(L$1&amp;"-"&amp;$F1443,YEAR($B$2:$B$4001)&amp;"-"&amp;$A$2:$A$4001,0,-1)),K1443))</f>
        <v>4</v>
      </c>
      <c r="M1443" cm="1">
        <f t="array" ref="M1443">IF(OR(AND(L1443=9,M$1&gt;YEAR($N1443))),9,_xlfn.IFNA(INDEX($D$2:$D$4001,_xlfn.XMATCH(M$1&amp;"-"&amp;$F1443,YEAR($B$2:$B$4001)&amp;"-"&amp;$A$2:$A$4001,0,-1)),L1443))</f>
        <v>4</v>
      </c>
      <c r="N1443" s="1">
        <f t="shared" si="22"/>
        <v>37255</v>
      </c>
    </row>
    <row r="1444" spans="1:14" x14ac:dyDescent="0.35">
      <c r="A1444">
        <v>685</v>
      </c>
      <c r="B1444" s="2">
        <v>37985</v>
      </c>
      <c r="C1444">
        <v>8</v>
      </c>
      <c r="D1444">
        <v>8</v>
      </c>
      <c r="F1444">
        <v>1443</v>
      </c>
      <c r="G1444" cm="1">
        <f t="array" ref="G1444">_xlfn.IFNA(INDEX($D$2:$D$4001,_xlfn.XMATCH(G$1&amp;"-"&amp;$F1444,YEAR($B$2:$B$4001)&amp;"-"&amp;$A$2:$A$4001,0,-1)),9)</f>
        <v>9</v>
      </c>
      <c r="H1444" cm="1">
        <f t="array" ref="H1444">IF(OR(AND(G1444=9,H$1&gt;YEAR($N1444))),9,_xlfn.IFNA(INDEX($D$2:$D$4001,_xlfn.XMATCH(H$1&amp;"-"&amp;$F1444,YEAR($B$2:$B$4001)&amp;"-"&amp;$A$2:$A$4001,0,-1)),G1444))</f>
        <v>9</v>
      </c>
      <c r="I1444" cm="1">
        <f t="array" ref="I1444">IF(OR(AND(H1444=9,I$1&gt;YEAR($N1444))),9,_xlfn.IFNA(INDEX($D$2:$D$4001,_xlfn.XMATCH(I$1&amp;"-"&amp;$F1444,YEAR($B$2:$B$4001)&amp;"-"&amp;$A$2:$A$4001,0,-1)),H1444))</f>
        <v>9</v>
      </c>
      <c r="J1444" cm="1">
        <f t="array" ref="J1444">IF(OR(AND(I1444=9,J$1&gt;YEAR($N1444))),9,_xlfn.IFNA(INDEX($D$2:$D$4001,_xlfn.XMATCH(J$1&amp;"-"&amp;$F1444,YEAR($B$2:$B$4001)&amp;"-"&amp;$A$2:$A$4001,0,-1)),I1444))</f>
        <v>4</v>
      </c>
      <c r="K1444" cm="1">
        <f t="array" ref="K1444">IF(OR(AND(J1444=9,K$1&gt;YEAR($N1444))),9,_xlfn.IFNA(INDEX($D$2:$D$4001,_xlfn.XMATCH(K$1&amp;"-"&amp;$F1444,YEAR($B$2:$B$4001)&amp;"-"&amp;$A$2:$A$4001,0,-1)),J1444))</f>
        <v>4</v>
      </c>
      <c r="L1444" cm="1">
        <f t="array" ref="L1444">IF(OR(AND(K1444=9,L$1&gt;YEAR($N1444))),9,_xlfn.IFNA(INDEX($D$2:$D$4001,_xlfn.XMATCH(L$1&amp;"-"&amp;$F1444,YEAR($B$2:$B$4001)&amp;"-"&amp;$A$2:$A$4001,0,-1)),K1444))</f>
        <v>4</v>
      </c>
      <c r="M1444" cm="1">
        <f t="array" ref="M1444">IF(OR(AND(L1444=9,M$1&gt;YEAR($N1444))),9,_xlfn.IFNA(INDEX($D$2:$D$4001,_xlfn.XMATCH(M$1&amp;"-"&amp;$F1444,YEAR($B$2:$B$4001)&amp;"-"&amp;$A$2:$A$4001,0,-1)),L1444))</f>
        <v>4</v>
      </c>
      <c r="N1444" s="1">
        <f t="shared" si="22"/>
        <v>37620</v>
      </c>
    </row>
    <row r="1445" spans="1:14" x14ac:dyDescent="0.35">
      <c r="A1445">
        <v>685</v>
      </c>
      <c r="B1445" s="2">
        <v>38137</v>
      </c>
      <c r="C1445">
        <v>0</v>
      </c>
      <c r="D1445">
        <v>8</v>
      </c>
      <c r="F1445">
        <v>1444</v>
      </c>
      <c r="G1445" cm="1">
        <f t="array" ref="G1445">_xlfn.IFNA(INDEX($D$2:$D$4001,_xlfn.XMATCH(G$1&amp;"-"&amp;$F1445,YEAR($B$2:$B$4001)&amp;"-"&amp;$A$2:$A$4001,0,-1)),9)</f>
        <v>4</v>
      </c>
      <c r="H1445" cm="1">
        <f t="array" ref="H1445">IF(OR(AND(G1445=9,H$1&gt;YEAR($N1445))),9,_xlfn.IFNA(INDEX($D$2:$D$4001,_xlfn.XMATCH(H$1&amp;"-"&amp;$F1445,YEAR($B$2:$B$4001)&amp;"-"&amp;$A$2:$A$4001,0,-1)),G1445))</f>
        <v>4</v>
      </c>
      <c r="I1445" cm="1">
        <f t="array" ref="I1445">IF(OR(AND(H1445=9,I$1&gt;YEAR($N1445))),9,_xlfn.IFNA(INDEX($D$2:$D$4001,_xlfn.XMATCH(I$1&amp;"-"&amp;$F1445,YEAR($B$2:$B$4001)&amp;"-"&amp;$A$2:$A$4001,0,-1)),H1445))</f>
        <v>4</v>
      </c>
      <c r="J1445" cm="1">
        <f t="array" ref="J1445">IF(OR(AND(I1445=9,J$1&gt;YEAR($N1445))),9,_xlfn.IFNA(INDEX($D$2:$D$4001,_xlfn.XMATCH(J$1&amp;"-"&amp;$F1445,YEAR($B$2:$B$4001)&amp;"-"&amp;$A$2:$A$4001,0,-1)),I1445))</f>
        <v>5</v>
      </c>
      <c r="K1445" cm="1">
        <f t="array" ref="K1445">IF(OR(AND(J1445=9,K$1&gt;YEAR($N1445))),9,_xlfn.IFNA(INDEX($D$2:$D$4001,_xlfn.XMATCH(K$1&amp;"-"&amp;$F1445,YEAR($B$2:$B$4001)&amp;"-"&amp;$A$2:$A$4001,0,-1)),J1445))</f>
        <v>4</v>
      </c>
      <c r="L1445" cm="1">
        <f t="array" ref="L1445">IF(OR(AND(K1445=9,L$1&gt;YEAR($N1445))),9,_xlfn.IFNA(INDEX($D$2:$D$4001,_xlfn.XMATCH(L$1&amp;"-"&amp;$F1445,YEAR($B$2:$B$4001)&amp;"-"&amp;$A$2:$A$4001,0,-1)),K1445))</f>
        <v>4</v>
      </c>
      <c r="M1445" cm="1">
        <f t="array" ref="M1445">IF(OR(AND(L1445=9,M$1&gt;YEAR($N1445))),9,_xlfn.IFNA(INDEX($D$2:$D$4001,_xlfn.XMATCH(M$1&amp;"-"&amp;$F1445,YEAR($B$2:$B$4001)&amp;"-"&amp;$A$2:$A$4001,0,-1)),L1445))</f>
        <v>4</v>
      </c>
      <c r="N1445" s="1">
        <f t="shared" si="22"/>
        <v>36301</v>
      </c>
    </row>
    <row r="1446" spans="1:14" x14ac:dyDescent="0.35">
      <c r="A1446">
        <v>686</v>
      </c>
      <c r="B1446" s="2">
        <v>36790</v>
      </c>
      <c r="C1446">
        <v>4</v>
      </c>
      <c r="D1446">
        <v>4</v>
      </c>
      <c r="F1446">
        <v>1445</v>
      </c>
      <c r="G1446" cm="1">
        <f t="array" ref="G1446">_xlfn.IFNA(INDEX($D$2:$D$4001,_xlfn.XMATCH(G$1&amp;"-"&amp;$F1446,YEAR($B$2:$B$4001)&amp;"-"&amp;$A$2:$A$4001,0,-1)),9)</f>
        <v>3</v>
      </c>
      <c r="H1446" cm="1">
        <f t="array" ref="H1446">IF(OR(AND(G1446=9,H$1&gt;YEAR($N1446))),9,_xlfn.IFNA(INDEX($D$2:$D$4001,_xlfn.XMATCH(H$1&amp;"-"&amp;$F1446,YEAR($B$2:$B$4001)&amp;"-"&amp;$A$2:$A$4001,0,-1)),G1446))</f>
        <v>2</v>
      </c>
      <c r="I1446" cm="1">
        <f t="array" ref="I1446">IF(OR(AND(H1446=9,I$1&gt;YEAR($N1446))),9,_xlfn.IFNA(INDEX($D$2:$D$4001,_xlfn.XMATCH(I$1&amp;"-"&amp;$F1446,YEAR($B$2:$B$4001)&amp;"-"&amp;$A$2:$A$4001,0,-1)),H1446))</f>
        <v>2</v>
      </c>
      <c r="J1446" cm="1">
        <f t="array" ref="J1446">IF(OR(AND(I1446=9,J$1&gt;YEAR($N1446))),9,_xlfn.IFNA(INDEX($D$2:$D$4001,_xlfn.XMATCH(J$1&amp;"-"&amp;$F1446,YEAR($B$2:$B$4001)&amp;"-"&amp;$A$2:$A$4001,0,-1)),I1446))</f>
        <v>2</v>
      </c>
      <c r="K1446" cm="1">
        <f t="array" ref="K1446">IF(OR(AND(J1446=9,K$1&gt;YEAR($N1446))),9,_xlfn.IFNA(INDEX($D$2:$D$4001,_xlfn.XMATCH(K$1&amp;"-"&amp;$F1446,YEAR($B$2:$B$4001)&amp;"-"&amp;$A$2:$A$4001,0,-1)),J1446))</f>
        <v>2</v>
      </c>
      <c r="L1446" cm="1">
        <f t="array" ref="L1446">IF(OR(AND(K1446=9,L$1&gt;YEAR($N1446))),9,_xlfn.IFNA(INDEX($D$2:$D$4001,_xlfn.XMATCH(L$1&amp;"-"&amp;$F1446,YEAR($B$2:$B$4001)&amp;"-"&amp;$A$2:$A$4001,0,-1)),K1446))</f>
        <v>2</v>
      </c>
      <c r="M1446" cm="1">
        <f t="array" ref="M1446">IF(OR(AND(L1446=9,M$1&gt;YEAR($N1446))),9,_xlfn.IFNA(INDEX($D$2:$D$4001,_xlfn.XMATCH(M$1&amp;"-"&amp;$F1446,YEAR($B$2:$B$4001)&amp;"-"&amp;$A$2:$A$4001,0,-1)),L1446))</f>
        <v>2</v>
      </c>
      <c r="N1446" s="1">
        <f t="shared" si="22"/>
        <v>36310</v>
      </c>
    </row>
    <row r="1447" spans="1:14" x14ac:dyDescent="0.35">
      <c r="A1447">
        <v>686</v>
      </c>
      <c r="B1447" s="2">
        <v>37194</v>
      </c>
      <c r="C1447">
        <v>4</v>
      </c>
      <c r="D1447">
        <v>4</v>
      </c>
      <c r="F1447">
        <v>1446</v>
      </c>
      <c r="G1447" cm="1">
        <f t="array" ref="G1447">_xlfn.IFNA(INDEX($D$2:$D$4001,_xlfn.XMATCH(G$1&amp;"-"&amp;$F1447,YEAR($B$2:$B$4001)&amp;"-"&amp;$A$2:$A$4001,0,-1)),9)</f>
        <v>9</v>
      </c>
      <c r="H1447" cm="1">
        <f t="array" ref="H1447">IF(OR(AND(G1447=9,H$1&gt;YEAR($N1447))),9,_xlfn.IFNA(INDEX($D$2:$D$4001,_xlfn.XMATCH(H$1&amp;"-"&amp;$F1447,YEAR($B$2:$B$4001)&amp;"-"&amp;$A$2:$A$4001,0,-1)),G1447))</f>
        <v>7</v>
      </c>
      <c r="I1447" cm="1">
        <f t="array" ref="I1447">IF(OR(AND(H1447=9,I$1&gt;YEAR($N1447))),9,_xlfn.IFNA(INDEX($D$2:$D$4001,_xlfn.XMATCH(I$1&amp;"-"&amp;$F1447,YEAR($B$2:$B$4001)&amp;"-"&amp;$A$2:$A$4001,0,-1)),H1447))</f>
        <v>0</v>
      </c>
      <c r="J1447" cm="1">
        <f t="array" ref="J1447">IF(OR(AND(I1447=9,J$1&gt;YEAR($N1447))),9,_xlfn.IFNA(INDEX($D$2:$D$4001,_xlfn.XMATCH(J$1&amp;"-"&amp;$F1447,YEAR($B$2:$B$4001)&amp;"-"&amp;$A$2:$A$4001,0,-1)),I1447))</f>
        <v>0</v>
      </c>
      <c r="K1447" cm="1">
        <f t="array" ref="K1447">IF(OR(AND(J1447=9,K$1&gt;YEAR($N1447))),9,_xlfn.IFNA(INDEX($D$2:$D$4001,_xlfn.XMATCH(K$1&amp;"-"&amp;$F1447,YEAR($B$2:$B$4001)&amp;"-"&amp;$A$2:$A$4001,0,-1)),J1447))</f>
        <v>0</v>
      </c>
      <c r="L1447" cm="1">
        <f t="array" ref="L1447">IF(OR(AND(K1447=9,L$1&gt;YEAR($N1447))),9,_xlfn.IFNA(INDEX($D$2:$D$4001,_xlfn.XMATCH(L$1&amp;"-"&amp;$F1447,YEAR($B$2:$B$4001)&amp;"-"&amp;$A$2:$A$4001,0,-1)),K1447))</f>
        <v>0</v>
      </c>
      <c r="M1447" cm="1">
        <f t="array" ref="M1447">IF(OR(AND(L1447=9,M$1&gt;YEAR($N1447))),9,_xlfn.IFNA(INDEX($D$2:$D$4001,_xlfn.XMATCH(M$1&amp;"-"&amp;$F1447,YEAR($B$2:$B$4001)&amp;"-"&amp;$A$2:$A$4001,0,-1)),L1447))</f>
        <v>0</v>
      </c>
      <c r="N1447" s="1">
        <f t="shared" si="22"/>
        <v>36676</v>
      </c>
    </row>
    <row r="1448" spans="1:14" x14ac:dyDescent="0.35">
      <c r="A1448">
        <v>686</v>
      </c>
      <c r="B1448" s="2">
        <v>37255</v>
      </c>
      <c r="C1448">
        <v>5</v>
      </c>
      <c r="D1448">
        <v>5</v>
      </c>
      <c r="F1448">
        <v>1447</v>
      </c>
      <c r="G1448" cm="1">
        <f t="array" ref="G1448">_xlfn.IFNA(INDEX($D$2:$D$4001,_xlfn.XMATCH(G$1&amp;"-"&amp;$F1448,YEAR($B$2:$B$4001)&amp;"-"&amp;$A$2:$A$4001,0,-1)),9)</f>
        <v>9</v>
      </c>
      <c r="H1448" cm="1">
        <f t="array" ref="H1448">IF(OR(AND(G1448=9,H$1&gt;YEAR($N1448))),9,_xlfn.IFNA(INDEX($D$2:$D$4001,_xlfn.XMATCH(H$1&amp;"-"&amp;$F1448,YEAR($B$2:$B$4001)&amp;"-"&amp;$A$2:$A$4001,0,-1)),G1448))</f>
        <v>9</v>
      </c>
      <c r="I1448" cm="1">
        <f t="array" ref="I1448">IF(OR(AND(H1448=9,I$1&gt;YEAR($N1448))),9,_xlfn.IFNA(INDEX($D$2:$D$4001,_xlfn.XMATCH(I$1&amp;"-"&amp;$F1448,YEAR($B$2:$B$4001)&amp;"-"&amp;$A$2:$A$4001,0,-1)),H1448))</f>
        <v>0</v>
      </c>
      <c r="J1448" cm="1">
        <f t="array" ref="J1448">IF(OR(AND(I1448=9,J$1&gt;YEAR($N1448))),9,_xlfn.IFNA(INDEX($D$2:$D$4001,_xlfn.XMATCH(J$1&amp;"-"&amp;$F1448,YEAR($B$2:$B$4001)&amp;"-"&amp;$A$2:$A$4001,0,-1)),I1448))</f>
        <v>0</v>
      </c>
      <c r="K1448" cm="1">
        <f t="array" ref="K1448">IF(OR(AND(J1448=9,K$1&gt;YEAR($N1448))),9,_xlfn.IFNA(INDEX($D$2:$D$4001,_xlfn.XMATCH(K$1&amp;"-"&amp;$F1448,YEAR($B$2:$B$4001)&amp;"-"&amp;$A$2:$A$4001,0,-1)),J1448))</f>
        <v>0</v>
      </c>
      <c r="L1448" cm="1">
        <f t="array" ref="L1448">IF(OR(AND(K1448=9,L$1&gt;YEAR($N1448))),9,_xlfn.IFNA(INDEX($D$2:$D$4001,_xlfn.XMATCH(L$1&amp;"-"&amp;$F1448,YEAR($B$2:$B$4001)&amp;"-"&amp;$A$2:$A$4001,0,-1)),K1448))</f>
        <v>0</v>
      </c>
      <c r="M1448" cm="1">
        <f t="array" ref="M1448">IF(OR(AND(L1448=9,M$1&gt;YEAR($N1448))),9,_xlfn.IFNA(INDEX($D$2:$D$4001,_xlfn.XMATCH(M$1&amp;"-"&amp;$F1448,YEAR($B$2:$B$4001)&amp;"-"&amp;$A$2:$A$4001,0,-1)),L1448))</f>
        <v>0</v>
      </c>
      <c r="N1448" s="1">
        <f t="shared" si="22"/>
        <v>37133</v>
      </c>
    </row>
    <row r="1449" spans="1:14" x14ac:dyDescent="0.35">
      <c r="A1449">
        <v>686</v>
      </c>
      <c r="B1449" s="2">
        <v>37467</v>
      </c>
      <c r="C1449">
        <v>5</v>
      </c>
      <c r="D1449">
        <v>5</v>
      </c>
      <c r="F1449">
        <v>1448</v>
      </c>
      <c r="G1449" cm="1">
        <f t="array" ref="G1449">_xlfn.IFNA(INDEX($D$2:$D$4001,_xlfn.XMATCH(G$1&amp;"-"&amp;$F1449,YEAR($B$2:$B$4001)&amp;"-"&amp;$A$2:$A$4001,0,-1)),9)</f>
        <v>7</v>
      </c>
      <c r="H1449" cm="1">
        <f t="array" ref="H1449">IF(OR(AND(G1449=9,H$1&gt;YEAR($N1449))),9,_xlfn.IFNA(INDEX($D$2:$D$4001,_xlfn.XMATCH(H$1&amp;"-"&amp;$F1449,YEAR($B$2:$B$4001)&amp;"-"&amp;$A$2:$A$4001,0,-1)),G1449))</f>
        <v>7</v>
      </c>
      <c r="I1449" cm="1">
        <f t="array" ref="I1449">IF(OR(AND(H1449=9,I$1&gt;YEAR($N1449))),9,_xlfn.IFNA(INDEX($D$2:$D$4001,_xlfn.XMATCH(I$1&amp;"-"&amp;$F1449,YEAR($B$2:$B$4001)&amp;"-"&amp;$A$2:$A$4001,0,-1)),H1449))</f>
        <v>7</v>
      </c>
      <c r="J1449" cm="1">
        <f t="array" ref="J1449">IF(OR(AND(I1449=9,J$1&gt;YEAR($N1449))),9,_xlfn.IFNA(INDEX($D$2:$D$4001,_xlfn.XMATCH(J$1&amp;"-"&amp;$F1449,YEAR($B$2:$B$4001)&amp;"-"&amp;$A$2:$A$4001,0,-1)),I1449))</f>
        <v>7</v>
      </c>
      <c r="K1449" cm="1">
        <f t="array" ref="K1449">IF(OR(AND(J1449=9,K$1&gt;YEAR($N1449))),9,_xlfn.IFNA(INDEX($D$2:$D$4001,_xlfn.XMATCH(K$1&amp;"-"&amp;$F1449,YEAR($B$2:$B$4001)&amp;"-"&amp;$A$2:$A$4001,0,-1)),J1449))</f>
        <v>7</v>
      </c>
      <c r="L1449" cm="1">
        <f t="array" ref="L1449">IF(OR(AND(K1449=9,L$1&gt;YEAR($N1449))),9,_xlfn.IFNA(INDEX($D$2:$D$4001,_xlfn.XMATCH(L$1&amp;"-"&amp;$F1449,YEAR($B$2:$B$4001)&amp;"-"&amp;$A$2:$A$4001,0,-1)),K1449))</f>
        <v>6</v>
      </c>
      <c r="M1449" cm="1">
        <f t="array" ref="M1449">IF(OR(AND(L1449=9,M$1&gt;YEAR($N1449))),9,_xlfn.IFNA(INDEX($D$2:$D$4001,_xlfn.XMATCH(M$1&amp;"-"&amp;$F1449,YEAR($B$2:$B$4001)&amp;"-"&amp;$A$2:$A$4001,0,-1)),L1449))</f>
        <v>6</v>
      </c>
      <c r="N1449" s="1">
        <f t="shared" si="22"/>
        <v>36362</v>
      </c>
    </row>
    <row r="1450" spans="1:14" x14ac:dyDescent="0.35">
      <c r="A1450">
        <v>687</v>
      </c>
      <c r="B1450" s="2">
        <v>37032</v>
      </c>
      <c r="C1450">
        <v>5</v>
      </c>
      <c r="D1450">
        <v>5</v>
      </c>
      <c r="F1450">
        <v>1449</v>
      </c>
      <c r="G1450" cm="1">
        <f t="array" ref="G1450">_xlfn.IFNA(INDEX($D$2:$D$4001,_xlfn.XMATCH(G$1&amp;"-"&amp;$F1450,YEAR($B$2:$B$4001)&amp;"-"&amp;$A$2:$A$4001,0,-1)),9)</f>
        <v>9</v>
      </c>
      <c r="H1450" cm="1">
        <f t="array" ref="H1450">IF(OR(AND(G1450=9,H$1&gt;YEAR($N1450))),9,_xlfn.IFNA(INDEX($D$2:$D$4001,_xlfn.XMATCH(H$1&amp;"-"&amp;$F1450,YEAR($B$2:$B$4001)&amp;"-"&amp;$A$2:$A$4001,0,-1)),G1450))</f>
        <v>4</v>
      </c>
      <c r="I1450" cm="1">
        <f t="array" ref="I1450">IF(OR(AND(H1450=9,I$1&gt;YEAR($N1450))),9,_xlfn.IFNA(INDEX($D$2:$D$4001,_xlfn.XMATCH(I$1&amp;"-"&amp;$F1450,YEAR($B$2:$B$4001)&amp;"-"&amp;$A$2:$A$4001,0,-1)),H1450))</f>
        <v>4</v>
      </c>
      <c r="J1450" cm="1">
        <f t="array" ref="J1450">IF(OR(AND(I1450=9,J$1&gt;YEAR($N1450))),9,_xlfn.IFNA(INDEX($D$2:$D$4001,_xlfn.XMATCH(J$1&amp;"-"&amp;$F1450,YEAR($B$2:$B$4001)&amp;"-"&amp;$A$2:$A$4001,0,-1)),I1450))</f>
        <v>0</v>
      </c>
      <c r="K1450" cm="1">
        <f t="array" ref="K1450">IF(OR(AND(J1450=9,K$1&gt;YEAR($N1450))),9,_xlfn.IFNA(INDEX($D$2:$D$4001,_xlfn.XMATCH(K$1&amp;"-"&amp;$F1450,YEAR($B$2:$B$4001)&amp;"-"&amp;$A$2:$A$4001,0,-1)),J1450))</f>
        <v>0</v>
      </c>
      <c r="L1450" cm="1">
        <f t="array" ref="L1450">IF(OR(AND(K1450=9,L$1&gt;YEAR($N1450))),9,_xlfn.IFNA(INDEX($D$2:$D$4001,_xlfn.XMATCH(L$1&amp;"-"&amp;$F1450,YEAR($B$2:$B$4001)&amp;"-"&amp;$A$2:$A$4001,0,-1)),K1450))</f>
        <v>0</v>
      </c>
      <c r="M1450" cm="1">
        <f t="array" ref="M1450">IF(OR(AND(L1450=9,M$1&gt;YEAR($N1450))),9,_xlfn.IFNA(INDEX($D$2:$D$4001,_xlfn.XMATCH(M$1&amp;"-"&amp;$F1450,YEAR($B$2:$B$4001)&amp;"-"&amp;$A$2:$A$4001,0,-1)),L1450))</f>
        <v>0</v>
      </c>
      <c r="N1450" s="1">
        <f t="shared" si="22"/>
        <v>36676</v>
      </c>
    </row>
    <row r="1451" spans="1:14" x14ac:dyDescent="0.35">
      <c r="A1451">
        <v>687</v>
      </c>
      <c r="B1451" s="2">
        <v>37133</v>
      </c>
      <c r="C1451">
        <v>4</v>
      </c>
      <c r="D1451">
        <v>4</v>
      </c>
      <c r="F1451">
        <v>1450</v>
      </c>
      <c r="G1451" cm="1">
        <f t="array" ref="G1451">_xlfn.IFNA(INDEX($D$2:$D$4001,_xlfn.XMATCH(G$1&amp;"-"&amp;$F1451,YEAR($B$2:$B$4001)&amp;"-"&amp;$A$2:$A$4001,0,-1)),9)</f>
        <v>9</v>
      </c>
      <c r="H1451" cm="1">
        <f t="array" ref="H1451">IF(OR(AND(G1451=9,H$1&gt;YEAR($N1451))),9,_xlfn.IFNA(INDEX($D$2:$D$4001,_xlfn.XMATCH(H$1&amp;"-"&amp;$F1451,YEAR($B$2:$B$4001)&amp;"-"&amp;$A$2:$A$4001,0,-1)),G1451))</f>
        <v>9</v>
      </c>
      <c r="I1451" cm="1">
        <f t="array" ref="I1451">IF(OR(AND(H1451=9,I$1&gt;YEAR($N1451))),9,_xlfn.IFNA(INDEX($D$2:$D$4001,_xlfn.XMATCH(I$1&amp;"-"&amp;$F1451,YEAR($B$2:$B$4001)&amp;"-"&amp;$A$2:$A$4001,0,-1)),H1451))</f>
        <v>9</v>
      </c>
      <c r="J1451" cm="1">
        <f t="array" ref="J1451">IF(OR(AND(I1451=9,J$1&gt;YEAR($N1451))),9,_xlfn.IFNA(INDEX($D$2:$D$4001,_xlfn.XMATCH(J$1&amp;"-"&amp;$F1451,YEAR($B$2:$B$4001)&amp;"-"&amp;$A$2:$A$4001,0,-1)),I1451))</f>
        <v>9</v>
      </c>
      <c r="K1451" cm="1">
        <f t="array" ref="K1451">IF(OR(AND(J1451=9,K$1&gt;YEAR($N1451))),9,_xlfn.IFNA(INDEX($D$2:$D$4001,_xlfn.XMATCH(K$1&amp;"-"&amp;$F1451,YEAR($B$2:$B$4001)&amp;"-"&amp;$A$2:$A$4001,0,-1)),J1451))</f>
        <v>9</v>
      </c>
      <c r="L1451" cm="1">
        <f t="array" ref="L1451">IF(OR(AND(K1451=9,L$1&gt;YEAR($N1451))),9,_xlfn.IFNA(INDEX($D$2:$D$4001,_xlfn.XMATCH(L$1&amp;"-"&amp;$F1451,YEAR($B$2:$B$4001)&amp;"-"&amp;$A$2:$A$4001,0,-1)),K1451))</f>
        <v>0</v>
      </c>
      <c r="M1451" cm="1">
        <f t="array" ref="M1451">IF(OR(AND(L1451=9,M$1&gt;YEAR($N1451))),9,_xlfn.IFNA(INDEX($D$2:$D$4001,_xlfn.XMATCH(M$1&amp;"-"&amp;$F1451,YEAR($B$2:$B$4001)&amp;"-"&amp;$A$2:$A$4001,0,-1)),L1451))</f>
        <v>0</v>
      </c>
      <c r="N1451" s="1">
        <f t="shared" si="22"/>
        <v>38229</v>
      </c>
    </row>
    <row r="1452" spans="1:14" x14ac:dyDescent="0.35">
      <c r="A1452">
        <v>687</v>
      </c>
      <c r="B1452" s="2">
        <v>37467</v>
      </c>
      <c r="C1452">
        <v>5</v>
      </c>
      <c r="D1452">
        <v>5</v>
      </c>
      <c r="F1452">
        <v>1451</v>
      </c>
      <c r="G1452" cm="1">
        <f t="array" ref="G1452">_xlfn.IFNA(INDEX($D$2:$D$4001,_xlfn.XMATCH(G$1&amp;"-"&amp;$F1452,YEAR($B$2:$B$4001)&amp;"-"&amp;$A$2:$A$4001,0,-1)),9)</f>
        <v>6</v>
      </c>
      <c r="H1452" cm="1">
        <f t="array" ref="H1452">IF(OR(AND(G1452=9,H$1&gt;YEAR($N1452))),9,_xlfn.IFNA(INDEX($D$2:$D$4001,_xlfn.XMATCH(H$1&amp;"-"&amp;$F1452,YEAR($B$2:$B$4001)&amp;"-"&amp;$A$2:$A$4001,0,-1)),G1452))</f>
        <v>6</v>
      </c>
      <c r="I1452" cm="1">
        <f t="array" ref="I1452">IF(OR(AND(H1452=9,I$1&gt;YEAR($N1452))),9,_xlfn.IFNA(INDEX($D$2:$D$4001,_xlfn.XMATCH(I$1&amp;"-"&amp;$F1452,YEAR($B$2:$B$4001)&amp;"-"&amp;$A$2:$A$4001,0,-1)),H1452))</f>
        <v>6</v>
      </c>
      <c r="J1452" cm="1">
        <f t="array" ref="J1452">IF(OR(AND(I1452=9,J$1&gt;YEAR($N1452))),9,_xlfn.IFNA(INDEX($D$2:$D$4001,_xlfn.XMATCH(J$1&amp;"-"&amp;$F1452,YEAR($B$2:$B$4001)&amp;"-"&amp;$A$2:$A$4001,0,-1)),I1452))</f>
        <v>7</v>
      </c>
      <c r="K1452" cm="1">
        <f t="array" ref="K1452">IF(OR(AND(J1452=9,K$1&gt;YEAR($N1452))),9,_xlfn.IFNA(INDEX($D$2:$D$4001,_xlfn.XMATCH(K$1&amp;"-"&amp;$F1452,YEAR($B$2:$B$4001)&amp;"-"&amp;$A$2:$A$4001,0,-1)),J1452))</f>
        <v>7</v>
      </c>
      <c r="L1452" cm="1">
        <f t="array" ref="L1452">IF(OR(AND(K1452=9,L$1&gt;YEAR($N1452))),9,_xlfn.IFNA(INDEX($D$2:$D$4001,_xlfn.XMATCH(L$1&amp;"-"&amp;$F1452,YEAR($B$2:$B$4001)&amp;"-"&amp;$A$2:$A$4001,0,-1)),K1452))</f>
        <v>0</v>
      </c>
      <c r="M1452" cm="1">
        <f t="array" ref="M1452">IF(OR(AND(L1452=9,M$1&gt;YEAR($N1452))),9,_xlfn.IFNA(INDEX($D$2:$D$4001,_xlfn.XMATCH(M$1&amp;"-"&amp;$F1452,YEAR($B$2:$B$4001)&amp;"-"&amp;$A$2:$A$4001,0,-1)),L1452))</f>
        <v>0</v>
      </c>
      <c r="N1452" s="1">
        <f t="shared" si="22"/>
        <v>36524</v>
      </c>
    </row>
    <row r="1453" spans="1:14" x14ac:dyDescent="0.35">
      <c r="A1453">
        <v>687</v>
      </c>
      <c r="B1453" s="2">
        <v>38351</v>
      </c>
      <c r="C1453">
        <v>5</v>
      </c>
      <c r="D1453">
        <v>5</v>
      </c>
      <c r="F1453">
        <v>1452</v>
      </c>
      <c r="G1453" cm="1">
        <f t="array" ref="G1453">_xlfn.IFNA(INDEX($D$2:$D$4001,_xlfn.XMATCH(G$1&amp;"-"&amp;$F1453,YEAR($B$2:$B$4001)&amp;"-"&amp;$A$2:$A$4001,0,-1)),9)</f>
        <v>9</v>
      </c>
      <c r="H1453" cm="1">
        <f t="array" ref="H1453">IF(OR(AND(G1453=9,H$1&gt;YEAR($N1453))),9,_xlfn.IFNA(INDEX($D$2:$D$4001,_xlfn.XMATCH(H$1&amp;"-"&amp;$F1453,YEAR($B$2:$B$4001)&amp;"-"&amp;$A$2:$A$4001,0,-1)),G1453))</f>
        <v>9</v>
      </c>
      <c r="I1453" cm="1">
        <f t="array" ref="I1453">IF(OR(AND(H1453=9,I$1&gt;YEAR($N1453))),9,_xlfn.IFNA(INDEX($D$2:$D$4001,_xlfn.XMATCH(I$1&amp;"-"&amp;$F1453,YEAR($B$2:$B$4001)&amp;"-"&amp;$A$2:$A$4001,0,-1)),H1453))</f>
        <v>3</v>
      </c>
      <c r="J1453" cm="1">
        <f t="array" ref="J1453">IF(OR(AND(I1453=9,J$1&gt;YEAR($N1453))),9,_xlfn.IFNA(INDEX($D$2:$D$4001,_xlfn.XMATCH(J$1&amp;"-"&amp;$F1453,YEAR($B$2:$B$4001)&amp;"-"&amp;$A$2:$A$4001,0,-1)),I1453))</f>
        <v>3</v>
      </c>
      <c r="K1453" cm="1">
        <f t="array" ref="K1453">IF(OR(AND(J1453=9,K$1&gt;YEAR($N1453))),9,_xlfn.IFNA(INDEX($D$2:$D$4001,_xlfn.XMATCH(K$1&amp;"-"&amp;$F1453,YEAR($B$2:$B$4001)&amp;"-"&amp;$A$2:$A$4001,0,-1)),J1453))</f>
        <v>3</v>
      </c>
      <c r="L1453" cm="1">
        <f t="array" ref="L1453">IF(OR(AND(K1453=9,L$1&gt;YEAR($N1453))),9,_xlfn.IFNA(INDEX($D$2:$D$4001,_xlfn.XMATCH(L$1&amp;"-"&amp;$F1453,YEAR($B$2:$B$4001)&amp;"-"&amp;$A$2:$A$4001,0,-1)),K1453))</f>
        <v>3</v>
      </c>
      <c r="M1453" cm="1">
        <f t="array" ref="M1453">IF(OR(AND(L1453=9,M$1&gt;YEAR($N1453))),9,_xlfn.IFNA(INDEX($D$2:$D$4001,_xlfn.XMATCH(M$1&amp;"-"&amp;$F1453,YEAR($B$2:$B$4001)&amp;"-"&amp;$A$2:$A$4001,0,-1)),L1453))</f>
        <v>3</v>
      </c>
      <c r="N1453" s="1">
        <f t="shared" si="22"/>
        <v>37034</v>
      </c>
    </row>
    <row r="1454" spans="1:14" x14ac:dyDescent="0.35">
      <c r="A1454">
        <v>688</v>
      </c>
      <c r="B1454" s="2">
        <v>37762</v>
      </c>
      <c r="C1454">
        <v>0</v>
      </c>
      <c r="D1454">
        <v>0</v>
      </c>
      <c r="F1454">
        <v>1453</v>
      </c>
      <c r="G1454" cm="1">
        <f t="array" ref="G1454">_xlfn.IFNA(INDEX($D$2:$D$4001,_xlfn.XMATCH(G$1&amp;"-"&amp;$F1454,YEAR($B$2:$B$4001)&amp;"-"&amp;$A$2:$A$4001,0,-1)),9)</f>
        <v>9</v>
      </c>
      <c r="H1454" cm="1">
        <f t="array" ref="H1454">IF(OR(AND(G1454=9,H$1&gt;YEAR($N1454))),9,_xlfn.IFNA(INDEX($D$2:$D$4001,_xlfn.XMATCH(H$1&amp;"-"&amp;$F1454,YEAR($B$2:$B$4001)&amp;"-"&amp;$A$2:$A$4001,0,-1)),G1454))</f>
        <v>9</v>
      </c>
      <c r="I1454" cm="1">
        <f t="array" ref="I1454">IF(OR(AND(H1454=9,I$1&gt;YEAR($N1454))),9,_xlfn.IFNA(INDEX($D$2:$D$4001,_xlfn.XMATCH(I$1&amp;"-"&amp;$F1454,YEAR($B$2:$B$4001)&amp;"-"&amp;$A$2:$A$4001,0,-1)),H1454))</f>
        <v>9</v>
      </c>
      <c r="J1454" cm="1">
        <f t="array" ref="J1454">IF(OR(AND(I1454=9,J$1&gt;YEAR($N1454))),9,_xlfn.IFNA(INDEX($D$2:$D$4001,_xlfn.XMATCH(J$1&amp;"-"&amp;$F1454,YEAR($B$2:$B$4001)&amp;"-"&amp;$A$2:$A$4001,0,-1)),I1454))</f>
        <v>9</v>
      </c>
      <c r="K1454" cm="1">
        <f t="array" ref="K1454">IF(OR(AND(J1454=9,K$1&gt;YEAR($N1454))),9,_xlfn.IFNA(INDEX($D$2:$D$4001,_xlfn.XMATCH(K$1&amp;"-"&amp;$F1454,YEAR($B$2:$B$4001)&amp;"-"&amp;$A$2:$A$4001,0,-1)),J1454))</f>
        <v>0</v>
      </c>
      <c r="L1454" cm="1">
        <f t="array" ref="L1454">IF(OR(AND(K1454=9,L$1&gt;YEAR($N1454))),9,_xlfn.IFNA(INDEX($D$2:$D$4001,_xlfn.XMATCH(L$1&amp;"-"&amp;$F1454,YEAR($B$2:$B$4001)&amp;"-"&amp;$A$2:$A$4001,0,-1)),K1454))</f>
        <v>0</v>
      </c>
      <c r="M1454" cm="1">
        <f t="array" ref="M1454">IF(OR(AND(L1454=9,M$1&gt;YEAR($N1454))),9,_xlfn.IFNA(INDEX($D$2:$D$4001,_xlfn.XMATCH(M$1&amp;"-"&amp;$F1454,YEAR($B$2:$B$4001)&amp;"-"&amp;$A$2:$A$4001,0,-1)),L1454))</f>
        <v>0</v>
      </c>
      <c r="N1454" s="1">
        <f t="shared" si="22"/>
        <v>37832</v>
      </c>
    </row>
    <row r="1455" spans="1:14" x14ac:dyDescent="0.35">
      <c r="A1455">
        <v>688</v>
      </c>
      <c r="B1455" s="2">
        <v>37766</v>
      </c>
      <c r="C1455">
        <v>3</v>
      </c>
      <c r="D1455">
        <v>3</v>
      </c>
      <c r="F1455">
        <v>1454</v>
      </c>
      <c r="G1455" cm="1">
        <f t="array" ref="G1455">_xlfn.IFNA(INDEX($D$2:$D$4001,_xlfn.XMATCH(G$1&amp;"-"&amp;$F1455,YEAR($B$2:$B$4001)&amp;"-"&amp;$A$2:$A$4001,0,-1)),9)</f>
        <v>0</v>
      </c>
      <c r="H1455" cm="1">
        <f t="array" ref="H1455">IF(OR(AND(G1455=9,H$1&gt;YEAR($N1455))),9,_xlfn.IFNA(INDEX($D$2:$D$4001,_xlfn.XMATCH(H$1&amp;"-"&amp;$F1455,YEAR($B$2:$B$4001)&amp;"-"&amp;$A$2:$A$4001,0,-1)),G1455))</f>
        <v>0</v>
      </c>
      <c r="I1455" cm="1">
        <f t="array" ref="I1455">IF(OR(AND(H1455=9,I$1&gt;YEAR($N1455))),9,_xlfn.IFNA(INDEX($D$2:$D$4001,_xlfn.XMATCH(I$1&amp;"-"&amp;$F1455,YEAR($B$2:$B$4001)&amp;"-"&amp;$A$2:$A$4001,0,-1)),H1455))</f>
        <v>0</v>
      </c>
      <c r="J1455" cm="1">
        <f t="array" ref="J1455">IF(OR(AND(I1455=9,J$1&gt;YEAR($N1455))),9,_xlfn.IFNA(INDEX($D$2:$D$4001,_xlfn.XMATCH(J$1&amp;"-"&amp;$F1455,YEAR($B$2:$B$4001)&amp;"-"&amp;$A$2:$A$4001,0,-1)),I1455))</f>
        <v>0</v>
      </c>
      <c r="K1455" cm="1">
        <f t="array" ref="K1455">IF(OR(AND(J1455=9,K$1&gt;YEAR($N1455))),9,_xlfn.IFNA(INDEX($D$2:$D$4001,_xlfn.XMATCH(K$1&amp;"-"&amp;$F1455,YEAR($B$2:$B$4001)&amp;"-"&amp;$A$2:$A$4001,0,-1)),J1455))</f>
        <v>8</v>
      </c>
      <c r="L1455" cm="1">
        <f t="array" ref="L1455">IF(OR(AND(K1455=9,L$1&gt;YEAR($N1455))),9,_xlfn.IFNA(INDEX($D$2:$D$4001,_xlfn.XMATCH(L$1&amp;"-"&amp;$F1455,YEAR($B$2:$B$4001)&amp;"-"&amp;$A$2:$A$4001,0,-1)),K1455))</f>
        <v>8</v>
      </c>
      <c r="M1455" cm="1">
        <f t="array" ref="M1455">IF(OR(AND(L1455=9,M$1&gt;YEAR($N1455))),9,_xlfn.IFNA(INDEX($D$2:$D$4001,_xlfn.XMATCH(M$1&amp;"-"&amp;$F1455,YEAR($B$2:$B$4001)&amp;"-"&amp;$A$2:$A$4001,0,-1)),L1455))</f>
        <v>8</v>
      </c>
      <c r="N1455" s="1">
        <f t="shared" si="22"/>
        <v>36301</v>
      </c>
    </row>
    <row r="1456" spans="1:14" x14ac:dyDescent="0.35">
      <c r="A1456">
        <v>688</v>
      </c>
      <c r="B1456" s="2">
        <v>38189</v>
      </c>
      <c r="C1456">
        <v>3</v>
      </c>
      <c r="D1456">
        <v>3</v>
      </c>
      <c r="F1456">
        <v>1455</v>
      </c>
      <c r="G1456" cm="1">
        <f t="array" ref="G1456">_xlfn.IFNA(INDEX($D$2:$D$4001,_xlfn.XMATCH(G$1&amp;"-"&amp;$F1456,YEAR($B$2:$B$4001)&amp;"-"&amp;$A$2:$A$4001,0,-1)),9)</f>
        <v>9</v>
      </c>
      <c r="H1456" cm="1">
        <f t="array" ref="H1456">IF(OR(AND(G1456=9,H$1&gt;YEAR($N1456))),9,_xlfn.IFNA(INDEX($D$2:$D$4001,_xlfn.XMATCH(H$1&amp;"-"&amp;$F1456,YEAR($B$2:$B$4001)&amp;"-"&amp;$A$2:$A$4001,0,-1)),G1456))</f>
        <v>0</v>
      </c>
      <c r="I1456" cm="1">
        <f t="array" ref="I1456">IF(OR(AND(H1456=9,I$1&gt;YEAR($N1456))),9,_xlfn.IFNA(INDEX($D$2:$D$4001,_xlfn.XMATCH(I$1&amp;"-"&amp;$F1456,YEAR($B$2:$B$4001)&amp;"-"&amp;$A$2:$A$4001,0,-1)),H1456))</f>
        <v>0</v>
      </c>
      <c r="J1456" cm="1">
        <f t="array" ref="J1456">IF(OR(AND(I1456=9,J$1&gt;YEAR($N1456))),9,_xlfn.IFNA(INDEX($D$2:$D$4001,_xlfn.XMATCH(J$1&amp;"-"&amp;$F1456,YEAR($B$2:$B$4001)&amp;"-"&amp;$A$2:$A$4001,0,-1)),I1456))</f>
        <v>0</v>
      </c>
      <c r="K1456" cm="1">
        <f t="array" ref="K1456">IF(OR(AND(J1456=9,K$1&gt;YEAR($N1456))),9,_xlfn.IFNA(INDEX($D$2:$D$4001,_xlfn.XMATCH(K$1&amp;"-"&amp;$F1456,YEAR($B$2:$B$4001)&amp;"-"&amp;$A$2:$A$4001,0,-1)),J1456))</f>
        <v>0</v>
      </c>
      <c r="L1456" cm="1">
        <f t="array" ref="L1456">IF(OR(AND(K1456=9,L$1&gt;YEAR($N1456))),9,_xlfn.IFNA(INDEX($D$2:$D$4001,_xlfn.XMATCH(L$1&amp;"-"&amp;$F1456,YEAR($B$2:$B$4001)&amp;"-"&amp;$A$2:$A$4001,0,-1)),K1456))</f>
        <v>0</v>
      </c>
      <c r="M1456" cm="1">
        <f t="array" ref="M1456">IF(OR(AND(L1456=9,M$1&gt;YEAR($N1456))),9,_xlfn.IFNA(INDEX($D$2:$D$4001,_xlfn.XMATCH(M$1&amp;"-"&amp;$F1456,YEAR($B$2:$B$4001)&amp;"-"&amp;$A$2:$A$4001,0,-1)),L1456))</f>
        <v>0</v>
      </c>
      <c r="N1456" s="1">
        <f t="shared" si="22"/>
        <v>36667</v>
      </c>
    </row>
    <row r="1457" spans="1:14" x14ac:dyDescent="0.35">
      <c r="A1457">
        <v>689</v>
      </c>
      <c r="B1457" s="2">
        <v>36310</v>
      </c>
      <c r="C1457">
        <v>6</v>
      </c>
      <c r="D1457">
        <v>6</v>
      </c>
      <c r="F1457">
        <v>1456</v>
      </c>
      <c r="G1457" cm="1">
        <f t="array" ref="G1457">_xlfn.IFNA(INDEX($D$2:$D$4001,_xlfn.XMATCH(G$1&amp;"-"&amp;$F1457,YEAR($B$2:$B$4001)&amp;"-"&amp;$A$2:$A$4001,0,-1)),9)</f>
        <v>3</v>
      </c>
      <c r="H1457" cm="1">
        <f t="array" ref="H1457">IF(OR(AND(G1457=9,H$1&gt;YEAR($N1457))),9,_xlfn.IFNA(INDEX($D$2:$D$4001,_xlfn.XMATCH(H$1&amp;"-"&amp;$F1457,YEAR($B$2:$B$4001)&amp;"-"&amp;$A$2:$A$4001,0,-1)),G1457))</f>
        <v>3</v>
      </c>
      <c r="I1457" cm="1">
        <f t="array" ref="I1457">IF(OR(AND(H1457=9,I$1&gt;YEAR($N1457))),9,_xlfn.IFNA(INDEX($D$2:$D$4001,_xlfn.XMATCH(I$1&amp;"-"&amp;$F1457,YEAR($B$2:$B$4001)&amp;"-"&amp;$A$2:$A$4001,0,-1)),H1457))</f>
        <v>4</v>
      </c>
      <c r="J1457" cm="1">
        <f t="array" ref="J1457">IF(OR(AND(I1457=9,J$1&gt;YEAR($N1457))),9,_xlfn.IFNA(INDEX($D$2:$D$4001,_xlfn.XMATCH(J$1&amp;"-"&amp;$F1457,YEAR($B$2:$B$4001)&amp;"-"&amp;$A$2:$A$4001,0,-1)),I1457))</f>
        <v>4</v>
      </c>
      <c r="K1457" cm="1">
        <f t="array" ref="K1457">IF(OR(AND(J1457=9,K$1&gt;YEAR($N1457))),9,_xlfn.IFNA(INDEX($D$2:$D$4001,_xlfn.XMATCH(K$1&amp;"-"&amp;$F1457,YEAR($B$2:$B$4001)&amp;"-"&amp;$A$2:$A$4001,0,-1)),J1457))</f>
        <v>4</v>
      </c>
      <c r="L1457" cm="1">
        <f t="array" ref="L1457">IF(OR(AND(K1457=9,L$1&gt;YEAR($N1457))),9,_xlfn.IFNA(INDEX($D$2:$D$4001,_xlfn.XMATCH(L$1&amp;"-"&amp;$F1457,YEAR($B$2:$B$4001)&amp;"-"&amp;$A$2:$A$4001,0,-1)),K1457))</f>
        <v>4</v>
      </c>
      <c r="M1457" cm="1">
        <f t="array" ref="M1457">IF(OR(AND(L1457=9,M$1&gt;YEAR($N1457))),9,_xlfn.IFNA(INDEX($D$2:$D$4001,_xlfn.XMATCH(M$1&amp;"-"&amp;$F1457,YEAR($B$2:$B$4001)&amp;"-"&amp;$A$2:$A$4001,0,-1)),L1457))</f>
        <v>4</v>
      </c>
      <c r="N1457" s="1">
        <f t="shared" si="22"/>
        <v>36494</v>
      </c>
    </row>
    <row r="1458" spans="1:14" x14ac:dyDescent="0.35">
      <c r="A1458">
        <v>689</v>
      </c>
      <c r="B1458" s="2">
        <v>36890</v>
      </c>
      <c r="C1458">
        <v>0</v>
      </c>
      <c r="D1458">
        <v>0</v>
      </c>
      <c r="F1458">
        <v>1457</v>
      </c>
      <c r="G1458" cm="1">
        <f t="array" ref="G1458">_xlfn.IFNA(INDEX($D$2:$D$4001,_xlfn.XMATCH(G$1&amp;"-"&amp;$F1458,YEAR($B$2:$B$4001)&amp;"-"&amp;$A$2:$A$4001,0,-1)),9)</f>
        <v>3</v>
      </c>
      <c r="H1458" cm="1">
        <f t="array" ref="H1458">IF(OR(AND(G1458=9,H$1&gt;YEAR($N1458))),9,_xlfn.IFNA(INDEX($D$2:$D$4001,_xlfn.XMATCH(H$1&amp;"-"&amp;$F1458,YEAR($B$2:$B$4001)&amp;"-"&amp;$A$2:$A$4001,0,-1)),G1458))</f>
        <v>4</v>
      </c>
      <c r="I1458" cm="1">
        <f t="array" ref="I1458">IF(OR(AND(H1458=9,I$1&gt;YEAR($N1458))),9,_xlfn.IFNA(INDEX($D$2:$D$4001,_xlfn.XMATCH(I$1&amp;"-"&amp;$F1458,YEAR($B$2:$B$4001)&amp;"-"&amp;$A$2:$A$4001,0,-1)),H1458))</f>
        <v>5</v>
      </c>
      <c r="J1458" cm="1">
        <f t="array" ref="J1458">IF(OR(AND(I1458=9,J$1&gt;YEAR($N1458))),9,_xlfn.IFNA(INDEX($D$2:$D$4001,_xlfn.XMATCH(J$1&amp;"-"&amp;$F1458,YEAR($B$2:$B$4001)&amp;"-"&amp;$A$2:$A$4001,0,-1)),I1458))</f>
        <v>5</v>
      </c>
      <c r="K1458" cm="1">
        <f t="array" ref="K1458">IF(OR(AND(J1458=9,K$1&gt;YEAR($N1458))),9,_xlfn.IFNA(INDEX($D$2:$D$4001,_xlfn.XMATCH(K$1&amp;"-"&amp;$F1458,YEAR($B$2:$B$4001)&amp;"-"&amp;$A$2:$A$4001,0,-1)),J1458))</f>
        <v>5</v>
      </c>
      <c r="L1458" cm="1">
        <f t="array" ref="L1458">IF(OR(AND(K1458=9,L$1&gt;YEAR($N1458))),9,_xlfn.IFNA(INDEX($D$2:$D$4001,_xlfn.XMATCH(L$1&amp;"-"&amp;$F1458,YEAR($B$2:$B$4001)&amp;"-"&amp;$A$2:$A$4001,0,-1)),K1458))</f>
        <v>5</v>
      </c>
      <c r="M1458" cm="1">
        <f t="array" ref="M1458">IF(OR(AND(L1458=9,M$1&gt;YEAR($N1458))),9,_xlfn.IFNA(INDEX($D$2:$D$4001,_xlfn.XMATCH(M$1&amp;"-"&amp;$F1458,YEAR($B$2:$B$4001)&amp;"-"&amp;$A$2:$A$4001,0,-1)),L1458))</f>
        <v>5</v>
      </c>
      <c r="N1458" s="1">
        <f t="shared" si="22"/>
        <v>36524</v>
      </c>
    </row>
    <row r="1459" spans="1:14" x14ac:dyDescent="0.35">
      <c r="A1459">
        <v>690</v>
      </c>
      <c r="B1459" s="2">
        <v>36457</v>
      </c>
      <c r="C1459">
        <v>7</v>
      </c>
      <c r="D1459">
        <v>7</v>
      </c>
      <c r="F1459">
        <v>1458</v>
      </c>
      <c r="G1459" cm="1">
        <f t="array" ref="G1459">_xlfn.IFNA(INDEX($D$2:$D$4001,_xlfn.XMATCH(G$1&amp;"-"&amp;$F1459,YEAR($B$2:$B$4001)&amp;"-"&amp;$A$2:$A$4001,0,-1)),9)</f>
        <v>3</v>
      </c>
      <c r="H1459" cm="1">
        <f t="array" ref="H1459">IF(OR(AND(G1459=9,H$1&gt;YEAR($N1459))),9,_xlfn.IFNA(INDEX($D$2:$D$4001,_xlfn.XMATCH(H$1&amp;"-"&amp;$F1459,YEAR($B$2:$B$4001)&amp;"-"&amp;$A$2:$A$4001,0,-1)),G1459))</f>
        <v>3</v>
      </c>
      <c r="I1459" cm="1">
        <f t="array" ref="I1459">IF(OR(AND(H1459=9,I$1&gt;YEAR($N1459))),9,_xlfn.IFNA(INDEX($D$2:$D$4001,_xlfn.XMATCH(I$1&amp;"-"&amp;$F1459,YEAR($B$2:$B$4001)&amp;"-"&amp;$A$2:$A$4001,0,-1)),H1459))</f>
        <v>3</v>
      </c>
      <c r="J1459" cm="1">
        <f t="array" ref="J1459">IF(OR(AND(I1459=9,J$1&gt;YEAR($N1459))),9,_xlfn.IFNA(INDEX($D$2:$D$4001,_xlfn.XMATCH(J$1&amp;"-"&amp;$F1459,YEAR($B$2:$B$4001)&amp;"-"&amp;$A$2:$A$4001,0,-1)),I1459))</f>
        <v>3</v>
      </c>
      <c r="K1459" cm="1">
        <f t="array" ref="K1459">IF(OR(AND(J1459=9,K$1&gt;YEAR($N1459))),9,_xlfn.IFNA(INDEX($D$2:$D$4001,_xlfn.XMATCH(K$1&amp;"-"&amp;$F1459,YEAR($B$2:$B$4001)&amp;"-"&amp;$A$2:$A$4001,0,-1)),J1459))</f>
        <v>3</v>
      </c>
      <c r="L1459" cm="1">
        <f t="array" ref="L1459">IF(OR(AND(K1459=9,L$1&gt;YEAR($N1459))),9,_xlfn.IFNA(INDEX($D$2:$D$4001,_xlfn.XMATCH(L$1&amp;"-"&amp;$F1459,YEAR($B$2:$B$4001)&amp;"-"&amp;$A$2:$A$4001,0,-1)),K1459))</f>
        <v>4</v>
      </c>
      <c r="M1459" cm="1">
        <f t="array" ref="M1459">IF(OR(AND(L1459=9,M$1&gt;YEAR($N1459))),9,_xlfn.IFNA(INDEX($D$2:$D$4001,_xlfn.XMATCH(M$1&amp;"-"&amp;$F1459,YEAR($B$2:$B$4001)&amp;"-"&amp;$A$2:$A$4001,0,-1)),L1459))</f>
        <v>4</v>
      </c>
      <c r="N1459" s="1">
        <f t="shared" si="22"/>
        <v>36463</v>
      </c>
    </row>
    <row r="1460" spans="1:14" x14ac:dyDescent="0.35">
      <c r="A1460">
        <v>690</v>
      </c>
      <c r="B1460" s="2">
        <v>37216</v>
      </c>
      <c r="C1460">
        <v>0</v>
      </c>
      <c r="D1460">
        <v>0</v>
      </c>
      <c r="F1460">
        <v>1459</v>
      </c>
      <c r="G1460" cm="1">
        <f t="array" ref="G1460">_xlfn.IFNA(INDEX($D$2:$D$4001,_xlfn.XMATCH(G$1&amp;"-"&amp;$F1460,YEAR($B$2:$B$4001)&amp;"-"&amp;$A$2:$A$4001,0,-1)),9)</f>
        <v>1</v>
      </c>
      <c r="H1460" cm="1">
        <f t="array" ref="H1460">IF(OR(AND(G1460=9,H$1&gt;YEAR($N1460))),9,_xlfn.IFNA(INDEX($D$2:$D$4001,_xlfn.XMATCH(H$1&amp;"-"&amp;$F1460,YEAR($B$2:$B$4001)&amp;"-"&amp;$A$2:$A$4001,0,-1)),G1460))</f>
        <v>1</v>
      </c>
      <c r="I1460" cm="1">
        <f t="array" ref="I1460">IF(OR(AND(H1460=9,I$1&gt;YEAR($N1460))),9,_xlfn.IFNA(INDEX($D$2:$D$4001,_xlfn.XMATCH(I$1&amp;"-"&amp;$F1460,YEAR($B$2:$B$4001)&amp;"-"&amp;$A$2:$A$4001,0,-1)),H1460))</f>
        <v>1</v>
      </c>
      <c r="J1460" cm="1">
        <f t="array" ref="J1460">IF(OR(AND(I1460=9,J$1&gt;YEAR($N1460))),9,_xlfn.IFNA(INDEX($D$2:$D$4001,_xlfn.XMATCH(J$1&amp;"-"&amp;$F1460,YEAR($B$2:$B$4001)&amp;"-"&amp;$A$2:$A$4001,0,-1)),I1460))</f>
        <v>1</v>
      </c>
      <c r="K1460" cm="1">
        <f t="array" ref="K1460">IF(OR(AND(J1460=9,K$1&gt;YEAR($N1460))),9,_xlfn.IFNA(INDEX($D$2:$D$4001,_xlfn.XMATCH(K$1&amp;"-"&amp;$F1460,YEAR($B$2:$B$4001)&amp;"-"&amp;$A$2:$A$4001,0,-1)),J1460))</f>
        <v>0</v>
      </c>
      <c r="L1460" cm="1">
        <f t="array" ref="L1460">IF(OR(AND(K1460=9,L$1&gt;YEAR($N1460))),9,_xlfn.IFNA(INDEX($D$2:$D$4001,_xlfn.XMATCH(L$1&amp;"-"&amp;$F1460,YEAR($B$2:$B$4001)&amp;"-"&amp;$A$2:$A$4001,0,-1)),K1460))</f>
        <v>0</v>
      </c>
      <c r="M1460" cm="1">
        <f t="array" ref="M1460">IF(OR(AND(L1460=9,M$1&gt;YEAR($N1460))),9,_xlfn.IFNA(INDEX($D$2:$D$4001,_xlfn.XMATCH(M$1&amp;"-"&amp;$F1460,YEAR($B$2:$B$4001)&amp;"-"&amp;$A$2:$A$4001,0,-1)),L1460))</f>
        <v>0</v>
      </c>
      <c r="N1460" s="1">
        <f t="shared" si="22"/>
        <v>36515</v>
      </c>
    </row>
    <row r="1461" spans="1:14" x14ac:dyDescent="0.35">
      <c r="A1461">
        <v>691</v>
      </c>
      <c r="B1461" s="2">
        <v>36799</v>
      </c>
      <c r="C1461">
        <v>3</v>
      </c>
      <c r="D1461">
        <v>3</v>
      </c>
      <c r="F1461">
        <v>1460</v>
      </c>
      <c r="G1461" cm="1">
        <f t="array" ref="G1461">_xlfn.IFNA(INDEX($D$2:$D$4001,_xlfn.XMATCH(G$1&amp;"-"&amp;$F1461,YEAR($B$2:$B$4001)&amp;"-"&amp;$A$2:$A$4001,0,-1)),9)</f>
        <v>4</v>
      </c>
      <c r="H1461" cm="1">
        <f t="array" ref="H1461">IF(OR(AND(G1461=9,H$1&gt;YEAR($N1461))),9,_xlfn.IFNA(INDEX($D$2:$D$4001,_xlfn.XMATCH(H$1&amp;"-"&amp;$F1461,YEAR($B$2:$B$4001)&amp;"-"&amp;$A$2:$A$4001,0,-1)),G1461))</f>
        <v>4</v>
      </c>
      <c r="I1461" cm="1">
        <f t="array" ref="I1461">IF(OR(AND(H1461=9,I$1&gt;YEAR($N1461))),9,_xlfn.IFNA(INDEX($D$2:$D$4001,_xlfn.XMATCH(I$1&amp;"-"&amp;$F1461,YEAR($B$2:$B$4001)&amp;"-"&amp;$A$2:$A$4001,0,-1)),H1461))</f>
        <v>4</v>
      </c>
      <c r="J1461" cm="1">
        <f t="array" ref="J1461">IF(OR(AND(I1461=9,J$1&gt;YEAR($N1461))),9,_xlfn.IFNA(INDEX($D$2:$D$4001,_xlfn.XMATCH(J$1&amp;"-"&amp;$F1461,YEAR($B$2:$B$4001)&amp;"-"&amp;$A$2:$A$4001,0,-1)),I1461))</f>
        <v>0</v>
      </c>
      <c r="K1461" cm="1">
        <f t="array" ref="K1461">IF(OR(AND(J1461=9,K$1&gt;YEAR($N1461))),9,_xlfn.IFNA(INDEX($D$2:$D$4001,_xlfn.XMATCH(K$1&amp;"-"&amp;$F1461,YEAR($B$2:$B$4001)&amp;"-"&amp;$A$2:$A$4001,0,-1)),J1461))</f>
        <v>0</v>
      </c>
      <c r="L1461" cm="1">
        <f t="array" ref="L1461">IF(OR(AND(K1461=9,L$1&gt;YEAR($N1461))),9,_xlfn.IFNA(INDEX($D$2:$D$4001,_xlfn.XMATCH(L$1&amp;"-"&amp;$F1461,YEAR($B$2:$B$4001)&amp;"-"&amp;$A$2:$A$4001,0,-1)),K1461))</f>
        <v>0</v>
      </c>
      <c r="M1461" cm="1">
        <f t="array" ref="M1461">IF(OR(AND(L1461=9,M$1&gt;YEAR($N1461))),9,_xlfn.IFNA(INDEX($D$2:$D$4001,_xlfn.XMATCH(M$1&amp;"-"&amp;$F1461,YEAR($B$2:$B$4001)&amp;"-"&amp;$A$2:$A$4001,0,-1)),L1461))</f>
        <v>0</v>
      </c>
      <c r="N1461" s="1">
        <f t="shared" si="22"/>
        <v>36524</v>
      </c>
    </row>
    <row r="1462" spans="1:14" x14ac:dyDescent="0.35">
      <c r="A1462">
        <v>691</v>
      </c>
      <c r="B1462" s="2">
        <v>37762</v>
      </c>
      <c r="C1462">
        <v>4</v>
      </c>
      <c r="D1462">
        <v>4</v>
      </c>
      <c r="F1462">
        <v>1461</v>
      </c>
      <c r="G1462" cm="1">
        <f t="array" ref="G1462">_xlfn.IFNA(INDEX($D$2:$D$4001,_xlfn.XMATCH(G$1&amp;"-"&amp;$F1462,YEAR($B$2:$B$4001)&amp;"-"&amp;$A$2:$A$4001,0,-1)),9)</f>
        <v>9</v>
      </c>
      <c r="H1462" cm="1">
        <f t="array" ref="H1462">IF(OR(AND(G1462=9,H$1&gt;YEAR($N1462))),9,_xlfn.IFNA(INDEX($D$2:$D$4001,_xlfn.XMATCH(H$1&amp;"-"&amp;$F1462,YEAR($B$2:$B$4001)&amp;"-"&amp;$A$2:$A$4001,0,-1)),G1462))</f>
        <v>9</v>
      </c>
      <c r="I1462" cm="1">
        <f t="array" ref="I1462">IF(OR(AND(H1462=9,I$1&gt;YEAR($N1462))),9,_xlfn.IFNA(INDEX($D$2:$D$4001,_xlfn.XMATCH(I$1&amp;"-"&amp;$F1462,YEAR($B$2:$B$4001)&amp;"-"&amp;$A$2:$A$4001,0,-1)),H1462))</f>
        <v>9</v>
      </c>
      <c r="J1462" cm="1">
        <f t="array" ref="J1462">IF(OR(AND(I1462=9,J$1&gt;YEAR($N1462))),9,_xlfn.IFNA(INDEX($D$2:$D$4001,_xlfn.XMATCH(J$1&amp;"-"&amp;$F1462,YEAR($B$2:$B$4001)&amp;"-"&amp;$A$2:$A$4001,0,-1)),I1462))</f>
        <v>9</v>
      </c>
      <c r="K1462" cm="1">
        <f t="array" ref="K1462">IF(OR(AND(J1462=9,K$1&gt;YEAR($N1462))),9,_xlfn.IFNA(INDEX($D$2:$D$4001,_xlfn.XMATCH(K$1&amp;"-"&amp;$F1462,YEAR($B$2:$B$4001)&amp;"-"&amp;$A$2:$A$4001,0,-1)),J1462))</f>
        <v>4</v>
      </c>
      <c r="L1462" cm="1">
        <f t="array" ref="L1462">IF(OR(AND(K1462=9,L$1&gt;YEAR($N1462))),9,_xlfn.IFNA(INDEX($D$2:$D$4001,_xlfn.XMATCH(L$1&amp;"-"&amp;$F1462,YEAR($B$2:$B$4001)&amp;"-"&amp;$A$2:$A$4001,0,-1)),K1462))</f>
        <v>4</v>
      </c>
      <c r="M1462" cm="1">
        <f t="array" ref="M1462">IF(OR(AND(L1462=9,M$1&gt;YEAR($N1462))),9,_xlfn.IFNA(INDEX($D$2:$D$4001,_xlfn.XMATCH(M$1&amp;"-"&amp;$F1462,YEAR($B$2:$B$4001)&amp;"-"&amp;$A$2:$A$4001,0,-1)),L1462))</f>
        <v>4</v>
      </c>
      <c r="N1462" s="1">
        <f t="shared" si="22"/>
        <v>37771</v>
      </c>
    </row>
    <row r="1463" spans="1:14" x14ac:dyDescent="0.35">
      <c r="A1463">
        <v>691</v>
      </c>
      <c r="B1463" s="2">
        <v>38351</v>
      </c>
      <c r="C1463">
        <v>5</v>
      </c>
      <c r="D1463">
        <v>5</v>
      </c>
      <c r="F1463">
        <v>1462</v>
      </c>
      <c r="G1463" cm="1">
        <f t="array" ref="G1463">_xlfn.IFNA(INDEX($D$2:$D$4001,_xlfn.XMATCH(G$1&amp;"-"&amp;$F1463,YEAR($B$2:$B$4001)&amp;"-"&amp;$A$2:$A$4001,0,-1)),9)</f>
        <v>9</v>
      </c>
      <c r="H1463" cm="1">
        <f t="array" ref="H1463">IF(OR(AND(G1463=9,H$1&gt;YEAR($N1463))),9,_xlfn.IFNA(INDEX($D$2:$D$4001,_xlfn.XMATCH(H$1&amp;"-"&amp;$F1463,YEAR($B$2:$B$4001)&amp;"-"&amp;$A$2:$A$4001,0,-1)),G1463))</f>
        <v>4</v>
      </c>
      <c r="I1463" cm="1">
        <f t="array" ref="I1463">IF(OR(AND(H1463=9,I$1&gt;YEAR($N1463))),9,_xlfn.IFNA(INDEX($D$2:$D$4001,_xlfn.XMATCH(I$1&amp;"-"&amp;$F1463,YEAR($B$2:$B$4001)&amp;"-"&amp;$A$2:$A$4001,0,-1)),H1463))</f>
        <v>4</v>
      </c>
      <c r="J1463" cm="1">
        <f t="array" ref="J1463">IF(OR(AND(I1463=9,J$1&gt;YEAR($N1463))),9,_xlfn.IFNA(INDEX($D$2:$D$4001,_xlfn.XMATCH(J$1&amp;"-"&amp;$F1463,YEAR($B$2:$B$4001)&amp;"-"&amp;$A$2:$A$4001,0,-1)),I1463))</f>
        <v>4</v>
      </c>
      <c r="K1463" cm="1">
        <f t="array" ref="K1463">IF(OR(AND(J1463=9,K$1&gt;YEAR($N1463))),9,_xlfn.IFNA(INDEX($D$2:$D$4001,_xlfn.XMATCH(K$1&amp;"-"&amp;$F1463,YEAR($B$2:$B$4001)&amp;"-"&amp;$A$2:$A$4001,0,-1)),J1463))</f>
        <v>4</v>
      </c>
      <c r="L1463" cm="1">
        <f t="array" ref="L1463">IF(OR(AND(K1463=9,L$1&gt;YEAR($N1463))),9,_xlfn.IFNA(INDEX($D$2:$D$4001,_xlfn.XMATCH(L$1&amp;"-"&amp;$F1463,YEAR($B$2:$B$4001)&amp;"-"&amp;$A$2:$A$4001,0,-1)),K1463))</f>
        <v>4</v>
      </c>
      <c r="M1463" cm="1">
        <f t="array" ref="M1463">IF(OR(AND(L1463=9,M$1&gt;YEAR($N1463))),9,_xlfn.IFNA(INDEX($D$2:$D$4001,_xlfn.XMATCH(M$1&amp;"-"&amp;$F1463,YEAR($B$2:$B$4001)&amp;"-"&amp;$A$2:$A$4001,0,-1)),L1463))</f>
        <v>4</v>
      </c>
      <c r="N1463" s="1">
        <f t="shared" si="22"/>
        <v>36759</v>
      </c>
    </row>
    <row r="1464" spans="1:14" x14ac:dyDescent="0.35">
      <c r="A1464">
        <v>692</v>
      </c>
      <c r="B1464" s="2">
        <v>36759</v>
      </c>
      <c r="C1464">
        <v>3</v>
      </c>
      <c r="D1464">
        <v>3</v>
      </c>
      <c r="F1464">
        <v>1463</v>
      </c>
      <c r="G1464" cm="1">
        <f t="array" ref="G1464">_xlfn.IFNA(INDEX($D$2:$D$4001,_xlfn.XMATCH(G$1&amp;"-"&amp;$F1464,YEAR($B$2:$B$4001)&amp;"-"&amp;$A$2:$A$4001,0,-1)),9)</f>
        <v>9</v>
      </c>
      <c r="H1464" cm="1">
        <f t="array" ref="H1464">IF(OR(AND(G1464=9,H$1&gt;YEAR($N1464))),9,_xlfn.IFNA(INDEX($D$2:$D$4001,_xlfn.XMATCH(H$1&amp;"-"&amp;$F1464,YEAR($B$2:$B$4001)&amp;"-"&amp;$A$2:$A$4001,0,-1)),G1464))</f>
        <v>3</v>
      </c>
      <c r="I1464" cm="1">
        <f t="array" ref="I1464">IF(OR(AND(H1464=9,I$1&gt;YEAR($N1464))),9,_xlfn.IFNA(INDEX($D$2:$D$4001,_xlfn.XMATCH(I$1&amp;"-"&amp;$F1464,YEAR($B$2:$B$4001)&amp;"-"&amp;$A$2:$A$4001,0,-1)),H1464))</f>
        <v>3</v>
      </c>
      <c r="J1464" cm="1">
        <f t="array" ref="J1464">IF(OR(AND(I1464=9,J$1&gt;YEAR($N1464))),9,_xlfn.IFNA(INDEX($D$2:$D$4001,_xlfn.XMATCH(J$1&amp;"-"&amp;$F1464,YEAR($B$2:$B$4001)&amp;"-"&amp;$A$2:$A$4001,0,-1)),I1464))</f>
        <v>3</v>
      </c>
      <c r="K1464" cm="1">
        <f t="array" ref="K1464">IF(OR(AND(J1464=9,K$1&gt;YEAR($N1464))),9,_xlfn.IFNA(INDEX($D$2:$D$4001,_xlfn.XMATCH(K$1&amp;"-"&amp;$F1464,YEAR($B$2:$B$4001)&amp;"-"&amp;$A$2:$A$4001,0,-1)),J1464))</f>
        <v>3</v>
      </c>
      <c r="L1464" cm="1">
        <f t="array" ref="L1464">IF(OR(AND(K1464=9,L$1&gt;YEAR($N1464))),9,_xlfn.IFNA(INDEX($D$2:$D$4001,_xlfn.XMATCH(L$1&amp;"-"&amp;$F1464,YEAR($B$2:$B$4001)&amp;"-"&amp;$A$2:$A$4001,0,-1)),K1464))</f>
        <v>3</v>
      </c>
      <c r="M1464" cm="1">
        <f t="array" ref="M1464">IF(OR(AND(L1464=9,M$1&gt;YEAR($N1464))),9,_xlfn.IFNA(INDEX($D$2:$D$4001,_xlfn.XMATCH(M$1&amp;"-"&amp;$F1464,YEAR($B$2:$B$4001)&amp;"-"&amp;$A$2:$A$4001,0,-1)),L1464))</f>
        <v>3</v>
      </c>
      <c r="N1464" s="1">
        <f t="shared" si="22"/>
        <v>36698</v>
      </c>
    </row>
    <row r="1465" spans="1:14" x14ac:dyDescent="0.35">
      <c r="A1465">
        <v>692</v>
      </c>
      <c r="B1465" s="2">
        <v>37032</v>
      </c>
      <c r="C1465">
        <v>4</v>
      </c>
      <c r="D1465">
        <v>4</v>
      </c>
      <c r="F1465">
        <v>1464</v>
      </c>
      <c r="G1465" cm="1">
        <f t="array" ref="G1465">_xlfn.IFNA(INDEX($D$2:$D$4001,_xlfn.XMATCH(G$1&amp;"-"&amp;$F1465,YEAR($B$2:$B$4001)&amp;"-"&amp;$A$2:$A$4001,0,-1)),9)</f>
        <v>4</v>
      </c>
      <c r="H1465" cm="1">
        <f t="array" ref="H1465">IF(OR(AND(G1465=9,H$1&gt;YEAR($N1465))),9,_xlfn.IFNA(INDEX($D$2:$D$4001,_xlfn.XMATCH(H$1&amp;"-"&amp;$F1465,YEAR($B$2:$B$4001)&amp;"-"&amp;$A$2:$A$4001,0,-1)),G1465))</f>
        <v>4</v>
      </c>
      <c r="I1465" cm="1">
        <f t="array" ref="I1465">IF(OR(AND(H1465=9,I$1&gt;YEAR($N1465))),9,_xlfn.IFNA(INDEX($D$2:$D$4001,_xlfn.XMATCH(I$1&amp;"-"&amp;$F1465,YEAR($B$2:$B$4001)&amp;"-"&amp;$A$2:$A$4001,0,-1)),H1465))</f>
        <v>4</v>
      </c>
      <c r="J1465" cm="1">
        <f t="array" ref="J1465">IF(OR(AND(I1465=9,J$1&gt;YEAR($N1465))),9,_xlfn.IFNA(INDEX($D$2:$D$4001,_xlfn.XMATCH(J$1&amp;"-"&amp;$F1465,YEAR($B$2:$B$4001)&amp;"-"&amp;$A$2:$A$4001,0,-1)),I1465))</f>
        <v>4</v>
      </c>
      <c r="K1465" cm="1">
        <f t="array" ref="K1465">IF(OR(AND(J1465=9,K$1&gt;YEAR($N1465))),9,_xlfn.IFNA(INDEX($D$2:$D$4001,_xlfn.XMATCH(K$1&amp;"-"&amp;$F1465,YEAR($B$2:$B$4001)&amp;"-"&amp;$A$2:$A$4001,0,-1)),J1465))</f>
        <v>4</v>
      </c>
      <c r="L1465" cm="1">
        <f t="array" ref="L1465">IF(OR(AND(K1465=9,L$1&gt;YEAR($N1465))),9,_xlfn.IFNA(INDEX($D$2:$D$4001,_xlfn.XMATCH(L$1&amp;"-"&amp;$F1465,YEAR($B$2:$B$4001)&amp;"-"&amp;$A$2:$A$4001,0,-1)),K1465))</f>
        <v>4</v>
      </c>
      <c r="M1465" cm="1">
        <f t="array" ref="M1465">IF(OR(AND(L1465=9,M$1&gt;YEAR($N1465))),9,_xlfn.IFNA(INDEX($D$2:$D$4001,_xlfn.XMATCH(M$1&amp;"-"&amp;$F1465,YEAR($B$2:$B$4001)&amp;"-"&amp;$A$2:$A$4001,0,-1)),L1465))</f>
        <v>4</v>
      </c>
      <c r="N1465" s="1">
        <f t="shared" si="22"/>
        <v>36310</v>
      </c>
    </row>
    <row r="1466" spans="1:14" x14ac:dyDescent="0.35">
      <c r="A1466">
        <v>692</v>
      </c>
      <c r="B1466" s="2">
        <v>37498</v>
      </c>
      <c r="C1466">
        <v>6</v>
      </c>
      <c r="D1466">
        <v>6</v>
      </c>
      <c r="F1466">
        <v>1465</v>
      </c>
      <c r="G1466" cm="1">
        <f t="array" ref="G1466">_xlfn.IFNA(INDEX($D$2:$D$4001,_xlfn.XMATCH(G$1&amp;"-"&amp;$F1466,YEAR($B$2:$B$4001)&amp;"-"&amp;$A$2:$A$4001,0,-1)),9)</f>
        <v>4</v>
      </c>
      <c r="H1466" cm="1">
        <f t="array" ref="H1466">IF(OR(AND(G1466=9,H$1&gt;YEAR($N1466))),9,_xlfn.IFNA(INDEX($D$2:$D$4001,_xlfn.XMATCH(H$1&amp;"-"&amp;$F1466,YEAR($B$2:$B$4001)&amp;"-"&amp;$A$2:$A$4001,0,-1)),G1466))</f>
        <v>4</v>
      </c>
      <c r="I1466" cm="1">
        <f t="array" ref="I1466">IF(OR(AND(H1466=9,I$1&gt;YEAR($N1466))),9,_xlfn.IFNA(INDEX($D$2:$D$4001,_xlfn.XMATCH(I$1&amp;"-"&amp;$F1466,YEAR($B$2:$B$4001)&amp;"-"&amp;$A$2:$A$4001,0,-1)),H1466))</f>
        <v>4</v>
      </c>
      <c r="J1466" cm="1">
        <f t="array" ref="J1466">IF(OR(AND(I1466=9,J$1&gt;YEAR($N1466))),9,_xlfn.IFNA(INDEX($D$2:$D$4001,_xlfn.XMATCH(J$1&amp;"-"&amp;$F1466,YEAR($B$2:$B$4001)&amp;"-"&amp;$A$2:$A$4001,0,-1)),I1466))</f>
        <v>4</v>
      </c>
      <c r="K1466" cm="1">
        <f t="array" ref="K1466">IF(OR(AND(J1466=9,K$1&gt;YEAR($N1466))),9,_xlfn.IFNA(INDEX($D$2:$D$4001,_xlfn.XMATCH(K$1&amp;"-"&amp;$F1466,YEAR($B$2:$B$4001)&amp;"-"&amp;$A$2:$A$4001,0,-1)),J1466))</f>
        <v>4</v>
      </c>
      <c r="L1466" cm="1">
        <f t="array" ref="L1466">IF(OR(AND(K1466=9,L$1&gt;YEAR($N1466))),9,_xlfn.IFNA(INDEX($D$2:$D$4001,_xlfn.XMATCH(L$1&amp;"-"&amp;$F1466,YEAR($B$2:$B$4001)&amp;"-"&amp;$A$2:$A$4001,0,-1)),K1466))</f>
        <v>4</v>
      </c>
      <c r="M1466" cm="1">
        <f t="array" ref="M1466">IF(OR(AND(L1466=9,M$1&gt;YEAR($N1466))),9,_xlfn.IFNA(INDEX($D$2:$D$4001,_xlfn.XMATCH(M$1&amp;"-"&amp;$F1466,YEAR($B$2:$B$4001)&amp;"-"&amp;$A$2:$A$4001,0,-1)),L1466))</f>
        <v>4</v>
      </c>
      <c r="N1466" s="1">
        <f t="shared" si="22"/>
        <v>36454</v>
      </c>
    </row>
    <row r="1467" spans="1:14" x14ac:dyDescent="0.35">
      <c r="A1467">
        <v>692</v>
      </c>
      <c r="B1467" s="2">
        <v>37762</v>
      </c>
      <c r="C1467">
        <v>5</v>
      </c>
      <c r="D1467">
        <v>5</v>
      </c>
      <c r="F1467">
        <v>1466</v>
      </c>
      <c r="G1467" cm="1">
        <f t="array" ref="G1467">_xlfn.IFNA(INDEX($D$2:$D$4001,_xlfn.XMATCH(G$1&amp;"-"&amp;$F1467,YEAR($B$2:$B$4001)&amp;"-"&amp;$A$2:$A$4001,0,-1)),9)</f>
        <v>4</v>
      </c>
      <c r="H1467" cm="1">
        <f t="array" ref="H1467">IF(OR(AND(G1467=9,H$1&gt;YEAR($N1467))),9,_xlfn.IFNA(INDEX($D$2:$D$4001,_xlfn.XMATCH(H$1&amp;"-"&amp;$F1467,YEAR($B$2:$B$4001)&amp;"-"&amp;$A$2:$A$4001,0,-1)),G1467))</f>
        <v>4</v>
      </c>
      <c r="I1467" cm="1">
        <f t="array" ref="I1467">IF(OR(AND(H1467=9,I$1&gt;YEAR($N1467))),9,_xlfn.IFNA(INDEX($D$2:$D$4001,_xlfn.XMATCH(I$1&amp;"-"&amp;$F1467,YEAR($B$2:$B$4001)&amp;"-"&amp;$A$2:$A$4001,0,-1)),H1467))</f>
        <v>4</v>
      </c>
      <c r="J1467" cm="1">
        <f t="array" ref="J1467">IF(OR(AND(I1467=9,J$1&gt;YEAR($N1467))),9,_xlfn.IFNA(INDEX($D$2:$D$4001,_xlfn.XMATCH(J$1&amp;"-"&amp;$F1467,YEAR($B$2:$B$4001)&amp;"-"&amp;$A$2:$A$4001,0,-1)),I1467))</f>
        <v>4</v>
      </c>
      <c r="K1467" cm="1">
        <f t="array" ref="K1467">IF(OR(AND(J1467=9,K$1&gt;YEAR($N1467))),9,_xlfn.IFNA(INDEX($D$2:$D$4001,_xlfn.XMATCH(K$1&amp;"-"&amp;$F1467,YEAR($B$2:$B$4001)&amp;"-"&amp;$A$2:$A$4001,0,-1)),J1467))</f>
        <v>4</v>
      </c>
      <c r="L1467" cm="1">
        <f t="array" ref="L1467">IF(OR(AND(K1467=9,L$1&gt;YEAR($N1467))),9,_xlfn.IFNA(INDEX($D$2:$D$4001,_xlfn.XMATCH(L$1&amp;"-"&amp;$F1467,YEAR($B$2:$B$4001)&amp;"-"&amp;$A$2:$A$4001,0,-1)),K1467))</f>
        <v>4</v>
      </c>
      <c r="M1467" cm="1">
        <f t="array" ref="M1467">IF(OR(AND(L1467=9,M$1&gt;YEAR($N1467))),9,_xlfn.IFNA(INDEX($D$2:$D$4001,_xlfn.XMATCH(M$1&amp;"-"&amp;$F1467,YEAR($B$2:$B$4001)&amp;"-"&amp;$A$2:$A$4001,0,-1)),L1467))</f>
        <v>4</v>
      </c>
      <c r="N1467" s="1">
        <f t="shared" si="22"/>
        <v>36310</v>
      </c>
    </row>
    <row r="1468" spans="1:14" x14ac:dyDescent="0.35">
      <c r="A1468">
        <v>692</v>
      </c>
      <c r="B1468" s="2">
        <v>37955</v>
      </c>
      <c r="C1468">
        <v>5</v>
      </c>
      <c r="D1468">
        <v>5</v>
      </c>
      <c r="F1468">
        <v>1467</v>
      </c>
      <c r="G1468" cm="1">
        <f t="array" ref="G1468">_xlfn.IFNA(INDEX($D$2:$D$4001,_xlfn.XMATCH(G$1&amp;"-"&amp;$F1468,YEAR($B$2:$B$4001)&amp;"-"&amp;$A$2:$A$4001,0,-1)),9)</f>
        <v>9</v>
      </c>
      <c r="H1468" cm="1">
        <f t="array" ref="H1468">IF(OR(AND(G1468=9,H$1&gt;YEAR($N1468))),9,_xlfn.IFNA(INDEX($D$2:$D$4001,_xlfn.XMATCH(H$1&amp;"-"&amp;$F1468,YEAR($B$2:$B$4001)&amp;"-"&amp;$A$2:$A$4001,0,-1)),G1468))</f>
        <v>3</v>
      </c>
      <c r="I1468" cm="1">
        <f t="array" ref="I1468">IF(OR(AND(H1468=9,I$1&gt;YEAR($N1468))),9,_xlfn.IFNA(INDEX($D$2:$D$4001,_xlfn.XMATCH(I$1&amp;"-"&amp;$F1468,YEAR($B$2:$B$4001)&amp;"-"&amp;$A$2:$A$4001,0,-1)),H1468))</f>
        <v>3</v>
      </c>
      <c r="J1468" cm="1">
        <f t="array" ref="J1468">IF(OR(AND(I1468=9,J$1&gt;YEAR($N1468))),9,_xlfn.IFNA(INDEX($D$2:$D$4001,_xlfn.XMATCH(J$1&amp;"-"&amp;$F1468,YEAR($B$2:$B$4001)&amp;"-"&amp;$A$2:$A$4001,0,-1)),I1468))</f>
        <v>3</v>
      </c>
      <c r="K1468" cm="1">
        <f t="array" ref="K1468">IF(OR(AND(J1468=9,K$1&gt;YEAR($N1468))),9,_xlfn.IFNA(INDEX($D$2:$D$4001,_xlfn.XMATCH(K$1&amp;"-"&amp;$F1468,YEAR($B$2:$B$4001)&amp;"-"&amp;$A$2:$A$4001,0,-1)),J1468))</f>
        <v>3</v>
      </c>
      <c r="L1468" cm="1">
        <f t="array" ref="L1468">IF(OR(AND(K1468=9,L$1&gt;YEAR($N1468))),9,_xlfn.IFNA(INDEX($D$2:$D$4001,_xlfn.XMATCH(L$1&amp;"-"&amp;$F1468,YEAR($B$2:$B$4001)&amp;"-"&amp;$A$2:$A$4001,0,-1)),K1468))</f>
        <v>3</v>
      </c>
      <c r="M1468" cm="1">
        <f t="array" ref="M1468">IF(OR(AND(L1468=9,M$1&gt;YEAR($N1468))),9,_xlfn.IFNA(INDEX($D$2:$D$4001,_xlfn.XMATCH(M$1&amp;"-"&amp;$F1468,YEAR($B$2:$B$4001)&amp;"-"&amp;$A$2:$A$4001,0,-1)),L1468))</f>
        <v>3</v>
      </c>
      <c r="N1468" s="1">
        <f t="shared" si="22"/>
        <v>36667</v>
      </c>
    </row>
    <row r="1469" spans="1:14" x14ac:dyDescent="0.35">
      <c r="A1469">
        <v>693</v>
      </c>
      <c r="B1469" s="2">
        <v>38351</v>
      </c>
      <c r="C1469">
        <v>4</v>
      </c>
      <c r="D1469">
        <v>4</v>
      </c>
      <c r="F1469">
        <v>1468</v>
      </c>
      <c r="G1469" cm="1">
        <f t="array" ref="G1469">_xlfn.IFNA(INDEX($D$2:$D$4001,_xlfn.XMATCH(G$1&amp;"-"&amp;$F1469,YEAR($B$2:$B$4001)&amp;"-"&amp;$A$2:$A$4001,0,-1)),9)</f>
        <v>4</v>
      </c>
      <c r="H1469" cm="1">
        <f t="array" ref="H1469">IF(OR(AND(G1469=9,H$1&gt;YEAR($N1469))),9,_xlfn.IFNA(INDEX($D$2:$D$4001,_xlfn.XMATCH(H$1&amp;"-"&amp;$F1469,YEAR($B$2:$B$4001)&amp;"-"&amp;$A$2:$A$4001,0,-1)),G1469))</f>
        <v>5</v>
      </c>
      <c r="I1469" cm="1">
        <f t="array" ref="I1469">IF(OR(AND(H1469=9,I$1&gt;YEAR($N1469))),9,_xlfn.IFNA(INDEX($D$2:$D$4001,_xlfn.XMATCH(I$1&amp;"-"&amp;$F1469,YEAR($B$2:$B$4001)&amp;"-"&amp;$A$2:$A$4001,0,-1)),H1469))</f>
        <v>6</v>
      </c>
      <c r="J1469" cm="1">
        <f t="array" ref="J1469">IF(OR(AND(I1469=9,J$1&gt;YEAR($N1469))),9,_xlfn.IFNA(INDEX($D$2:$D$4001,_xlfn.XMATCH(J$1&amp;"-"&amp;$F1469,YEAR($B$2:$B$4001)&amp;"-"&amp;$A$2:$A$4001,0,-1)),I1469))</f>
        <v>6</v>
      </c>
      <c r="K1469" cm="1">
        <f t="array" ref="K1469">IF(OR(AND(J1469=9,K$1&gt;YEAR($N1469))),9,_xlfn.IFNA(INDEX($D$2:$D$4001,_xlfn.XMATCH(K$1&amp;"-"&amp;$F1469,YEAR($B$2:$B$4001)&amp;"-"&amp;$A$2:$A$4001,0,-1)),J1469))</f>
        <v>6</v>
      </c>
      <c r="L1469" cm="1">
        <f t="array" ref="L1469">IF(OR(AND(K1469=9,L$1&gt;YEAR($N1469))),9,_xlfn.IFNA(INDEX($D$2:$D$4001,_xlfn.XMATCH(L$1&amp;"-"&amp;$F1469,YEAR($B$2:$B$4001)&amp;"-"&amp;$A$2:$A$4001,0,-1)),K1469))</f>
        <v>6</v>
      </c>
      <c r="M1469" cm="1">
        <f t="array" ref="M1469">IF(OR(AND(L1469=9,M$1&gt;YEAR($N1469))),9,_xlfn.IFNA(INDEX($D$2:$D$4001,_xlfn.XMATCH(M$1&amp;"-"&amp;$F1469,YEAR($B$2:$B$4001)&amp;"-"&amp;$A$2:$A$4001,0,-1)),L1469))</f>
        <v>6</v>
      </c>
      <c r="N1469" s="1">
        <f t="shared" si="22"/>
        <v>36341</v>
      </c>
    </row>
    <row r="1470" spans="1:14" x14ac:dyDescent="0.35">
      <c r="A1470">
        <v>694</v>
      </c>
      <c r="B1470" s="2">
        <v>37041</v>
      </c>
      <c r="C1470">
        <v>4</v>
      </c>
      <c r="D1470">
        <v>4</v>
      </c>
      <c r="F1470">
        <v>1469</v>
      </c>
      <c r="G1470" cm="1">
        <f t="array" ref="G1470">_xlfn.IFNA(INDEX($D$2:$D$4001,_xlfn.XMATCH(G$1&amp;"-"&amp;$F1470,YEAR($B$2:$B$4001)&amp;"-"&amp;$A$2:$A$4001,0,-1)),9)</f>
        <v>9</v>
      </c>
      <c r="H1470" cm="1">
        <f t="array" ref="H1470">IF(OR(AND(G1470=9,H$1&gt;YEAR($N1470))),9,_xlfn.IFNA(INDEX($D$2:$D$4001,_xlfn.XMATCH(H$1&amp;"-"&amp;$F1470,YEAR($B$2:$B$4001)&amp;"-"&amp;$A$2:$A$4001,0,-1)),G1470))</f>
        <v>9</v>
      </c>
      <c r="I1470" cm="1">
        <f t="array" ref="I1470">IF(OR(AND(H1470=9,I$1&gt;YEAR($N1470))),9,_xlfn.IFNA(INDEX($D$2:$D$4001,_xlfn.XMATCH(I$1&amp;"-"&amp;$F1470,YEAR($B$2:$B$4001)&amp;"-"&amp;$A$2:$A$4001,0,-1)),H1470))</f>
        <v>2</v>
      </c>
      <c r="J1470" cm="1">
        <f t="array" ref="J1470">IF(OR(AND(I1470=9,J$1&gt;YEAR($N1470))),9,_xlfn.IFNA(INDEX($D$2:$D$4001,_xlfn.XMATCH(J$1&amp;"-"&amp;$F1470,YEAR($B$2:$B$4001)&amp;"-"&amp;$A$2:$A$4001,0,-1)),I1470))</f>
        <v>2</v>
      </c>
      <c r="K1470" cm="1">
        <f t="array" ref="K1470">IF(OR(AND(J1470=9,K$1&gt;YEAR($N1470))),9,_xlfn.IFNA(INDEX($D$2:$D$4001,_xlfn.XMATCH(K$1&amp;"-"&amp;$F1470,YEAR($B$2:$B$4001)&amp;"-"&amp;$A$2:$A$4001,0,-1)),J1470))</f>
        <v>2</v>
      </c>
      <c r="L1470" cm="1">
        <f t="array" ref="L1470">IF(OR(AND(K1470=9,L$1&gt;YEAR($N1470))),9,_xlfn.IFNA(INDEX($D$2:$D$4001,_xlfn.XMATCH(L$1&amp;"-"&amp;$F1470,YEAR($B$2:$B$4001)&amp;"-"&amp;$A$2:$A$4001,0,-1)),K1470))</f>
        <v>2</v>
      </c>
      <c r="M1470" cm="1">
        <f t="array" ref="M1470">IF(OR(AND(L1470=9,M$1&gt;YEAR($N1470))),9,_xlfn.IFNA(INDEX($D$2:$D$4001,_xlfn.XMATCH(M$1&amp;"-"&amp;$F1470,YEAR($B$2:$B$4001)&amp;"-"&amp;$A$2:$A$4001,0,-1)),L1470))</f>
        <v>2</v>
      </c>
      <c r="N1470" s="1">
        <f t="shared" si="22"/>
        <v>37041</v>
      </c>
    </row>
    <row r="1471" spans="1:14" x14ac:dyDescent="0.35">
      <c r="A1471">
        <v>695</v>
      </c>
      <c r="B1471" s="2">
        <v>37397</v>
      </c>
      <c r="C1471">
        <v>3</v>
      </c>
      <c r="D1471">
        <v>3</v>
      </c>
      <c r="F1471">
        <v>1470</v>
      </c>
      <c r="G1471" cm="1">
        <f t="array" ref="G1471">_xlfn.IFNA(INDEX($D$2:$D$4001,_xlfn.XMATCH(G$1&amp;"-"&amp;$F1471,YEAR($B$2:$B$4001)&amp;"-"&amp;$A$2:$A$4001,0,-1)),9)</f>
        <v>9</v>
      </c>
      <c r="H1471" cm="1">
        <f t="array" ref="H1471">IF(OR(AND(G1471=9,H$1&gt;YEAR($N1471))),9,_xlfn.IFNA(INDEX($D$2:$D$4001,_xlfn.XMATCH(H$1&amp;"-"&amp;$F1471,YEAR($B$2:$B$4001)&amp;"-"&amp;$A$2:$A$4001,0,-1)),G1471))</f>
        <v>9</v>
      </c>
      <c r="I1471" cm="1">
        <f t="array" ref="I1471">IF(OR(AND(H1471=9,I$1&gt;YEAR($N1471))),9,_xlfn.IFNA(INDEX($D$2:$D$4001,_xlfn.XMATCH(I$1&amp;"-"&amp;$F1471,YEAR($B$2:$B$4001)&amp;"-"&amp;$A$2:$A$4001,0,-1)),H1471))</f>
        <v>9</v>
      </c>
      <c r="J1471" cm="1">
        <f t="array" ref="J1471">IF(OR(AND(I1471=9,J$1&gt;YEAR($N1471))),9,_xlfn.IFNA(INDEX($D$2:$D$4001,_xlfn.XMATCH(J$1&amp;"-"&amp;$F1471,YEAR($B$2:$B$4001)&amp;"-"&amp;$A$2:$A$4001,0,-1)),I1471))</f>
        <v>9</v>
      </c>
      <c r="K1471" cm="1">
        <f t="array" ref="K1471">IF(OR(AND(J1471=9,K$1&gt;YEAR($N1471))),9,_xlfn.IFNA(INDEX($D$2:$D$4001,_xlfn.XMATCH(K$1&amp;"-"&amp;$F1471,YEAR($B$2:$B$4001)&amp;"-"&amp;$A$2:$A$4001,0,-1)),J1471))</f>
        <v>0</v>
      </c>
      <c r="L1471" cm="1">
        <f t="array" ref="L1471">IF(OR(AND(K1471=9,L$1&gt;YEAR($N1471))),9,_xlfn.IFNA(INDEX($D$2:$D$4001,_xlfn.XMATCH(L$1&amp;"-"&amp;$F1471,YEAR($B$2:$B$4001)&amp;"-"&amp;$A$2:$A$4001,0,-1)),K1471))</f>
        <v>0</v>
      </c>
      <c r="M1471" cm="1">
        <f t="array" ref="M1471">IF(OR(AND(L1471=9,M$1&gt;YEAR($N1471))),9,_xlfn.IFNA(INDEX($D$2:$D$4001,_xlfn.XMATCH(M$1&amp;"-"&amp;$F1471,YEAR($B$2:$B$4001)&amp;"-"&amp;$A$2:$A$4001,0,-1)),L1471))</f>
        <v>0</v>
      </c>
      <c r="N1471" s="1">
        <f t="shared" si="22"/>
        <v>37985</v>
      </c>
    </row>
    <row r="1472" spans="1:14" x14ac:dyDescent="0.35">
      <c r="A1472">
        <v>696</v>
      </c>
      <c r="B1472" s="2">
        <v>36759</v>
      </c>
      <c r="C1472">
        <v>3</v>
      </c>
      <c r="D1472">
        <v>3</v>
      </c>
      <c r="F1472">
        <v>1471</v>
      </c>
      <c r="G1472" cm="1">
        <f t="array" ref="G1472">_xlfn.IFNA(INDEX($D$2:$D$4001,_xlfn.XMATCH(G$1&amp;"-"&amp;$F1472,YEAR($B$2:$B$4001)&amp;"-"&amp;$A$2:$A$4001,0,-1)),9)</f>
        <v>9</v>
      </c>
      <c r="H1472" cm="1">
        <f t="array" ref="H1472">IF(OR(AND(G1472=9,H$1&gt;YEAR($N1472))),9,_xlfn.IFNA(INDEX($D$2:$D$4001,_xlfn.XMATCH(H$1&amp;"-"&amp;$F1472,YEAR($B$2:$B$4001)&amp;"-"&amp;$A$2:$A$4001,0,-1)),G1472))</f>
        <v>9</v>
      </c>
      <c r="I1472" cm="1">
        <f t="array" ref="I1472">IF(OR(AND(H1472=9,I$1&gt;YEAR($N1472))),9,_xlfn.IFNA(INDEX($D$2:$D$4001,_xlfn.XMATCH(I$1&amp;"-"&amp;$F1472,YEAR($B$2:$B$4001)&amp;"-"&amp;$A$2:$A$4001,0,-1)),H1472))</f>
        <v>9</v>
      </c>
      <c r="J1472" cm="1">
        <f t="array" ref="J1472">IF(OR(AND(I1472=9,J$1&gt;YEAR($N1472))),9,_xlfn.IFNA(INDEX($D$2:$D$4001,_xlfn.XMATCH(J$1&amp;"-"&amp;$F1472,YEAR($B$2:$B$4001)&amp;"-"&amp;$A$2:$A$4001,0,-1)),I1472))</f>
        <v>9</v>
      </c>
      <c r="K1472" cm="1">
        <f t="array" ref="K1472">IF(OR(AND(J1472=9,K$1&gt;YEAR($N1472))),9,_xlfn.IFNA(INDEX($D$2:$D$4001,_xlfn.XMATCH(K$1&amp;"-"&amp;$F1472,YEAR($B$2:$B$4001)&amp;"-"&amp;$A$2:$A$4001,0,-1)),J1472))</f>
        <v>9</v>
      </c>
      <c r="L1472" cm="1">
        <f t="array" ref="L1472">IF(OR(AND(K1472=9,L$1&gt;YEAR($N1472))),9,_xlfn.IFNA(INDEX($D$2:$D$4001,_xlfn.XMATCH(L$1&amp;"-"&amp;$F1472,YEAR($B$2:$B$4001)&amp;"-"&amp;$A$2:$A$4001,0,-1)),K1472))</f>
        <v>2</v>
      </c>
      <c r="M1472" cm="1">
        <f t="array" ref="M1472">IF(OR(AND(L1472=9,M$1&gt;YEAR($N1472))),9,_xlfn.IFNA(INDEX($D$2:$D$4001,_xlfn.XMATCH(M$1&amp;"-"&amp;$F1472,YEAR($B$2:$B$4001)&amp;"-"&amp;$A$2:$A$4001,0,-1)),L1472))</f>
        <v>2</v>
      </c>
      <c r="N1472" s="1">
        <f t="shared" si="22"/>
        <v>38290</v>
      </c>
    </row>
    <row r="1473" spans="1:14" x14ac:dyDescent="0.35">
      <c r="A1473">
        <v>696</v>
      </c>
      <c r="B1473" s="2">
        <v>38533</v>
      </c>
      <c r="C1473">
        <v>4</v>
      </c>
      <c r="D1473">
        <v>4</v>
      </c>
      <c r="F1473">
        <v>1472</v>
      </c>
      <c r="G1473" cm="1">
        <f t="array" ref="G1473">_xlfn.IFNA(INDEX($D$2:$D$4001,_xlfn.XMATCH(G$1&amp;"-"&amp;$F1473,YEAR($B$2:$B$4001)&amp;"-"&amp;$A$2:$A$4001,0,-1)),9)</f>
        <v>5</v>
      </c>
      <c r="H1473" cm="1">
        <f t="array" ref="H1473">IF(OR(AND(G1473=9,H$1&gt;YEAR($N1473))),9,_xlfn.IFNA(INDEX($D$2:$D$4001,_xlfn.XMATCH(H$1&amp;"-"&amp;$F1473,YEAR($B$2:$B$4001)&amp;"-"&amp;$A$2:$A$4001,0,-1)),G1473))</f>
        <v>6</v>
      </c>
      <c r="I1473" cm="1">
        <f t="array" ref="I1473">IF(OR(AND(H1473=9,I$1&gt;YEAR($N1473))),9,_xlfn.IFNA(INDEX($D$2:$D$4001,_xlfn.XMATCH(I$1&amp;"-"&amp;$F1473,YEAR($B$2:$B$4001)&amp;"-"&amp;$A$2:$A$4001,0,-1)),H1473))</f>
        <v>6</v>
      </c>
      <c r="J1473" cm="1">
        <f t="array" ref="J1473">IF(OR(AND(I1473=9,J$1&gt;YEAR($N1473))),9,_xlfn.IFNA(INDEX($D$2:$D$4001,_xlfn.XMATCH(J$1&amp;"-"&amp;$F1473,YEAR($B$2:$B$4001)&amp;"-"&amp;$A$2:$A$4001,0,-1)),I1473))</f>
        <v>6</v>
      </c>
      <c r="K1473" cm="1">
        <f t="array" ref="K1473">IF(OR(AND(J1473=9,K$1&gt;YEAR($N1473))),9,_xlfn.IFNA(INDEX($D$2:$D$4001,_xlfn.XMATCH(K$1&amp;"-"&amp;$F1473,YEAR($B$2:$B$4001)&amp;"-"&amp;$A$2:$A$4001,0,-1)),J1473))</f>
        <v>6</v>
      </c>
      <c r="L1473" cm="1">
        <f t="array" ref="L1473">IF(OR(AND(K1473=9,L$1&gt;YEAR($N1473))),9,_xlfn.IFNA(INDEX($D$2:$D$4001,_xlfn.XMATCH(L$1&amp;"-"&amp;$F1473,YEAR($B$2:$B$4001)&amp;"-"&amp;$A$2:$A$4001,0,-1)),K1473))</f>
        <v>6</v>
      </c>
      <c r="M1473" cm="1">
        <f t="array" ref="M1473">IF(OR(AND(L1473=9,M$1&gt;YEAR($N1473))),9,_xlfn.IFNA(INDEX($D$2:$D$4001,_xlfn.XMATCH(M$1&amp;"-"&amp;$F1473,YEAR($B$2:$B$4001)&amp;"-"&amp;$A$2:$A$4001,0,-1)),L1473))</f>
        <v>6</v>
      </c>
      <c r="N1473" s="1">
        <f t="shared" si="22"/>
        <v>36524</v>
      </c>
    </row>
    <row r="1474" spans="1:14" x14ac:dyDescent="0.35">
      <c r="A1474">
        <v>697</v>
      </c>
      <c r="B1474" s="2">
        <v>36310</v>
      </c>
      <c r="C1474">
        <v>2</v>
      </c>
      <c r="D1474">
        <v>2</v>
      </c>
      <c r="F1474">
        <v>1473</v>
      </c>
      <c r="G1474" cm="1">
        <f t="array" ref="G1474">_xlfn.IFNA(INDEX($D$2:$D$4001,_xlfn.XMATCH(G$1&amp;"-"&amp;$F1474,YEAR($B$2:$B$4001)&amp;"-"&amp;$A$2:$A$4001,0,-1)),9)</f>
        <v>9</v>
      </c>
      <c r="H1474" cm="1">
        <f t="array" ref="H1474">IF(OR(AND(G1474=9,H$1&gt;YEAR($N1474))),9,_xlfn.IFNA(INDEX($D$2:$D$4001,_xlfn.XMATCH(H$1&amp;"-"&amp;$F1474,YEAR($B$2:$B$4001)&amp;"-"&amp;$A$2:$A$4001,0,-1)),G1474))</f>
        <v>9</v>
      </c>
      <c r="I1474" cm="1">
        <f t="array" ref="I1474">IF(OR(AND(H1474=9,I$1&gt;YEAR($N1474))),9,_xlfn.IFNA(INDEX($D$2:$D$4001,_xlfn.XMATCH(I$1&amp;"-"&amp;$F1474,YEAR($B$2:$B$4001)&amp;"-"&amp;$A$2:$A$4001,0,-1)),H1474))</f>
        <v>9</v>
      </c>
      <c r="J1474" cm="1">
        <f t="array" ref="J1474">IF(OR(AND(I1474=9,J$1&gt;YEAR($N1474))),9,_xlfn.IFNA(INDEX($D$2:$D$4001,_xlfn.XMATCH(J$1&amp;"-"&amp;$F1474,YEAR($B$2:$B$4001)&amp;"-"&amp;$A$2:$A$4001,0,-1)),I1474))</f>
        <v>9</v>
      </c>
      <c r="K1474" cm="1">
        <f t="array" ref="K1474">IF(OR(AND(J1474=9,K$1&gt;YEAR($N1474))),9,_xlfn.IFNA(INDEX($D$2:$D$4001,_xlfn.XMATCH(K$1&amp;"-"&amp;$F1474,YEAR($B$2:$B$4001)&amp;"-"&amp;$A$2:$A$4001,0,-1)),J1474))</f>
        <v>3</v>
      </c>
      <c r="L1474" cm="1">
        <f t="array" ref="L1474">IF(OR(AND(K1474=9,L$1&gt;YEAR($N1474))),9,_xlfn.IFNA(INDEX($D$2:$D$4001,_xlfn.XMATCH(L$1&amp;"-"&amp;$F1474,YEAR($B$2:$B$4001)&amp;"-"&amp;$A$2:$A$4001,0,-1)),K1474))</f>
        <v>3</v>
      </c>
      <c r="M1474" cm="1">
        <f t="array" ref="M1474">IF(OR(AND(L1474=9,M$1&gt;YEAR($N1474))),9,_xlfn.IFNA(INDEX($D$2:$D$4001,_xlfn.XMATCH(M$1&amp;"-"&amp;$F1474,YEAR($B$2:$B$4001)&amp;"-"&amp;$A$2:$A$4001,0,-1)),L1474))</f>
        <v>3</v>
      </c>
      <c r="N1474" s="1">
        <f t="shared" si="22"/>
        <v>37771</v>
      </c>
    </row>
    <row r="1475" spans="1:14" x14ac:dyDescent="0.35">
      <c r="A1475">
        <v>698</v>
      </c>
      <c r="B1475" s="2">
        <v>37885</v>
      </c>
      <c r="C1475">
        <v>4</v>
      </c>
      <c r="D1475">
        <v>4</v>
      </c>
      <c r="F1475">
        <v>1474</v>
      </c>
      <c r="G1475" cm="1">
        <f t="array" ref="G1475">_xlfn.IFNA(INDEX($D$2:$D$4001,_xlfn.XMATCH(G$1&amp;"-"&amp;$F1475,YEAR($B$2:$B$4001)&amp;"-"&amp;$A$2:$A$4001,0,-1)),9)</f>
        <v>9</v>
      </c>
      <c r="H1475" cm="1">
        <f t="array" ref="H1475">IF(OR(AND(G1475=9,H$1&gt;YEAR($N1475))),9,_xlfn.IFNA(INDEX($D$2:$D$4001,_xlfn.XMATCH(H$1&amp;"-"&amp;$F1475,YEAR($B$2:$B$4001)&amp;"-"&amp;$A$2:$A$4001,0,-1)),G1475))</f>
        <v>0</v>
      </c>
      <c r="I1475" cm="1">
        <f t="array" ref="I1475">IF(OR(AND(H1475=9,I$1&gt;YEAR($N1475))),9,_xlfn.IFNA(INDEX($D$2:$D$4001,_xlfn.XMATCH(I$1&amp;"-"&amp;$F1475,YEAR($B$2:$B$4001)&amp;"-"&amp;$A$2:$A$4001,0,-1)),H1475))</f>
        <v>0</v>
      </c>
      <c r="J1475" cm="1">
        <f t="array" ref="J1475">IF(OR(AND(I1475=9,J$1&gt;YEAR($N1475))),9,_xlfn.IFNA(INDEX($D$2:$D$4001,_xlfn.XMATCH(J$1&amp;"-"&amp;$F1475,YEAR($B$2:$B$4001)&amp;"-"&amp;$A$2:$A$4001,0,-1)),I1475))</f>
        <v>0</v>
      </c>
      <c r="K1475" cm="1">
        <f t="array" ref="K1475">IF(OR(AND(J1475=9,K$1&gt;YEAR($N1475))),9,_xlfn.IFNA(INDEX($D$2:$D$4001,_xlfn.XMATCH(K$1&amp;"-"&amp;$F1475,YEAR($B$2:$B$4001)&amp;"-"&amp;$A$2:$A$4001,0,-1)),J1475))</f>
        <v>0</v>
      </c>
      <c r="L1475" cm="1">
        <f t="array" ref="L1475">IF(OR(AND(K1475=9,L$1&gt;YEAR($N1475))),9,_xlfn.IFNA(INDEX($D$2:$D$4001,_xlfn.XMATCH(L$1&amp;"-"&amp;$F1475,YEAR($B$2:$B$4001)&amp;"-"&amp;$A$2:$A$4001,0,-1)),K1475))</f>
        <v>0</v>
      </c>
      <c r="M1475" cm="1">
        <f t="array" ref="M1475">IF(OR(AND(L1475=9,M$1&gt;YEAR($N1475))),9,_xlfn.IFNA(INDEX($D$2:$D$4001,_xlfn.XMATCH(M$1&amp;"-"&amp;$F1475,YEAR($B$2:$B$4001)&amp;"-"&amp;$A$2:$A$4001,0,-1)),L1475))</f>
        <v>0</v>
      </c>
      <c r="N1475" s="1">
        <f t="shared" ref="N1475:N1538" si="23">_xlfn.MINIFS($B$2:$B$4001,$A$2:$A$4001,F1475)</f>
        <v>36890</v>
      </c>
    </row>
    <row r="1476" spans="1:14" x14ac:dyDescent="0.35">
      <c r="A1476">
        <v>699</v>
      </c>
      <c r="B1476" s="2">
        <v>36890</v>
      </c>
      <c r="C1476">
        <v>0</v>
      </c>
      <c r="D1476">
        <v>0</v>
      </c>
      <c r="F1476">
        <v>1475</v>
      </c>
      <c r="G1476" cm="1">
        <f t="array" ref="G1476">_xlfn.IFNA(INDEX($D$2:$D$4001,_xlfn.XMATCH(G$1&amp;"-"&amp;$F1476,YEAR($B$2:$B$4001)&amp;"-"&amp;$A$2:$A$4001,0,-1)),9)</f>
        <v>9</v>
      </c>
      <c r="H1476" cm="1">
        <f t="array" ref="H1476">IF(OR(AND(G1476=9,H$1&gt;YEAR($N1476))),9,_xlfn.IFNA(INDEX($D$2:$D$4001,_xlfn.XMATCH(H$1&amp;"-"&amp;$F1476,YEAR($B$2:$B$4001)&amp;"-"&amp;$A$2:$A$4001,0,-1)),G1476))</f>
        <v>2</v>
      </c>
      <c r="I1476" cm="1">
        <f t="array" ref="I1476">IF(OR(AND(H1476=9,I$1&gt;YEAR($N1476))),9,_xlfn.IFNA(INDEX($D$2:$D$4001,_xlfn.XMATCH(I$1&amp;"-"&amp;$F1476,YEAR($B$2:$B$4001)&amp;"-"&amp;$A$2:$A$4001,0,-1)),H1476))</f>
        <v>2</v>
      </c>
      <c r="J1476" cm="1">
        <f t="array" ref="J1476">IF(OR(AND(I1476=9,J$1&gt;YEAR($N1476))),9,_xlfn.IFNA(INDEX($D$2:$D$4001,_xlfn.XMATCH(J$1&amp;"-"&amp;$F1476,YEAR($B$2:$B$4001)&amp;"-"&amp;$A$2:$A$4001,0,-1)),I1476))</f>
        <v>1</v>
      </c>
      <c r="K1476" cm="1">
        <f t="array" ref="K1476">IF(OR(AND(J1476=9,K$1&gt;YEAR($N1476))),9,_xlfn.IFNA(INDEX($D$2:$D$4001,_xlfn.XMATCH(K$1&amp;"-"&amp;$F1476,YEAR($B$2:$B$4001)&amp;"-"&amp;$A$2:$A$4001,0,-1)),J1476))</f>
        <v>0</v>
      </c>
      <c r="L1476" cm="1">
        <f t="array" ref="L1476">IF(OR(AND(K1476=9,L$1&gt;YEAR($N1476))),9,_xlfn.IFNA(INDEX($D$2:$D$4001,_xlfn.XMATCH(L$1&amp;"-"&amp;$F1476,YEAR($B$2:$B$4001)&amp;"-"&amp;$A$2:$A$4001,0,-1)),K1476))</f>
        <v>0</v>
      </c>
      <c r="M1476" cm="1">
        <f t="array" ref="M1476">IF(OR(AND(L1476=9,M$1&gt;YEAR($N1476))),9,_xlfn.IFNA(INDEX($D$2:$D$4001,_xlfn.XMATCH(M$1&amp;"-"&amp;$F1476,YEAR($B$2:$B$4001)&amp;"-"&amp;$A$2:$A$4001,0,-1)),L1476))</f>
        <v>0</v>
      </c>
      <c r="N1476" s="1">
        <f t="shared" si="23"/>
        <v>36829</v>
      </c>
    </row>
    <row r="1477" spans="1:14" x14ac:dyDescent="0.35">
      <c r="A1477">
        <v>700</v>
      </c>
      <c r="B1477" s="2">
        <v>36301</v>
      </c>
      <c r="C1477">
        <v>6</v>
      </c>
      <c r="D1477">
        <v>6</v>
      </c>
      <c r="F1477">
        <v>1476</v>
      </c>
      <c r="G1477" cm="1">
        <f t="array" ref="G1477">_xlfn.IFNA(INDEX($D$2:$D$4001,_xlfn.XMATCH(G$1&amp;"-"&amp;$F1477,YEAR($B$2:$B$4001)&amp;"-"&amp;$A$2:$A$4001,0,-1)),9)</f>
        <v>9</v>
      </c>
      <c r="H1477" cm="1">
        <f t="array" ref="H1477">IF(OR(AND(G1477=9,H$1&gt;YEAR($N1477))),9,_xlfn.IFNA(INDEX($D$2:$D$4001,_xlfn.XMATCH(H$1&amp;"-"&amp;$F1477,YEAR($B$2:$B$4001)&amp;"-"&amp;$A$2:$A$4001,0,-1)),G1477))</f>
        <v>6</v>
      </c>
      <c r="I1477" cm="1">
        <f t="array" ref="I1477">IF(OR(AND(H1477=9,I$1&gt;YEAR($N1477))),9,_xlfn.IFNA(INDEX($D$2:$D$4001,_xlfn.XMATCH(I$1&amp;"-"&amp;$F1477,YEAR($B$2:$B$4001)&amp;"-"&amp;$A$2:$A$4001,0,-1)),H1477))</f>
        <v>5</v>
      </c>
      <c r="J1477" cm="1">
        <f t="array" ref="J1477">IF(OR(AND(I1477=9,J$1&gt;YEAR($N1477))),9,_xlfn.IFNA(INDEX($D$2:$D$4001,_xlfn.XMATCH(J$1&amp;"-"&amp;$F1477,YEAR($B$2:$B$4001)&amp;"-"&amp;$A$2:$A$4001,0,-1)),I1477))</f>
        <v>5</v>
      </c>
      <c r="K1477" cm="1">
        <f t="array" ref="K1477">IF(OR(AND(J1477=9,K$1&gt;YEAR($N1477))),9,_xlfn.IFNA(INDEX($D$2:$D$4001,_xlfn.XMATCH(K$1&amp;"-"&amp;$F1477,YEAR($B$2:$B$4001)&amp;"-"&amp;$A$2:$A$4001,0,-1)),J1477))</f>
        <v>5</v>
      </c>
      <c r="L1477" cm="1">
        <f t="array" ref="L1477">IF(OR(AND(K1477=9,L$1&gt;YEAR($N1477))),9,_xlfn.IFNA(INDEX($D$2:$D$4001,_xlfn.XMATCH(L$1&amp;"-"&amp;$F1477,YEAR($B$2:$B$4001)&amp;"-"&amp;$A$2:$A$4001,0,-1)),K1477))</f>
        <v>5</v>
      </c>
      <c r="M1477" cm="1">
        <f t="array" ref="M1477">IF(OR(AND(L1477=9,M$1&gt;YEAR($N1477))),9,_xlfn.IFNA(INDEX($D$2:$D$4001,_xlfn.XMATCH(M$1&amp;"-"&amp;$F1477,YEAR($B$2:$B$4001)&amp;"-"&amp;$A$2:$A$4001,0,-1)),L1477))</f>
        <v>5</v>
      </c>
      <c r="N1477" s="1">
        <f t="shared" si="23"/>
        <v>36759</v>
      </c>
    </row>
    <row r="1478" spans="1:14" x14ac:dyDescent="0.35">
      <c r="A1478">
        <v>700</v>
      </c>
      <c r="B1478" s="2">
        <v>37771</v>
      </c>
      <c r="C1478">
        <v>5</v>
      </c>
      <c r="D1478">
        <v>5</v>
      </c>
      <c r="F1478">
        <v>1477</v>
      </c>
      <c r="G1478" cm="1">
        <f t="array" ref="G1478">_xlfn.IFNA(INDEX($D$2:$D$4001,_xlfn.XMATCH(G$1&amp;"-"&amp;$F1478,YEAR($B$2:$B$4001)&amp;"-"&amp;$A$2:$A$4001,0,-1)),9)</f>
        <v>3</v>
      </c>
      <c r="H1478" cm="1">
        <f t="array" ref="H1478">IF(OR(AND(G1478=9,H$1&gt;YEAR($N1478))),9,_xlfn.IFNA(INDEX($D$2:$D$4001,_xlfn.XMATCH(H$1&amp;"-"&amp;$F1478,YEAR($B$2:$B$4001)&amp;"-"&amp;$A$2:$A$4001,0,-1)),G1478))</f>
        <v>3</v>
      </c>
      <c r="I1478" cm="1">
        <f t="array" ref="I1478">IF(OR(AND(H1478=9,I$1&gt;YEAR($N1478))),9,_xlfn.IFNA(INDEX($D$2:$D$4001,_xlfn.XMATCH(I$1&amp;"-"&amp;$F1478,YEAR($B$2:$B$4001)&amp;"-"&amp;$A$2:$A$4001,0,-1)),H1478))</f>
        <v>4</v>
      </c>
      <c r="J1478" cm="1">
        <f t="array" ref="J1478">IF(OR(AND(I1478=9,J$1&gt;YEAR($N1478))),9,_xlfn.IFNA(INDEX($D$2:$D$4001,_xlfn.XMATCH(J$1&amp;"-"&amp;$F1478,YEAR($B$2:$B$4001)&amp;"-"&amp;$A$2:$A$4001,0,-1)),I1478))</f>
        <v>4</v>
      </c>
      <c r="K1478" cm="1">
        <f t="array" ref="K1478">IF(OR(AND(J1478=9,K$1&gt;YEAR($N1478))),9,_xlfn.IFNA(INDEX($D$2:$D$4001,_xlfn.XMATCH(K$1&amp;"-"&amp;$F1478,YEAR($B$2:$B$4001)&amp;"-"&amp;$A$2:$A$4001,0,-1)),J1478))</f>
        <v>4</v>
      </c>
      <c r="L1478" cm="1">
        <f t="array" ref="L1478">IF(OR(AND(K1478=9,L$1&gt;YEAR($N1478))),9,_xlfn.IFNA(INDEX($D$2:$D$4001,_xlfn.XMATCH(L$1&amp;"-"&amp;$F1478,YEAR($B$2:$B$4001)&amp;"-"&amp;$A$2:$A$4001,0,-1)),K1478))</f>
        <v>4</v>
      </c>
      <c r="M1478" cm="1">
        <f t="array" ref="M1478">IF(OR(AND(L1478=9,M$1&gt;YEAR($N1478))),9,_xlfn.IFNA(INDEX($D$2:$D$4001,_xlfn.XMATCH(M$1&amp;"-"&amp;$F1478,YEAR($B$2:$B$4001)&amp;"-"&amp;$A$2:$A$4001,0,-1)),L1478))</f>
        <v>4</v>
      </c>
      <c r="N1478" s="1">
        <f t="shared" si="23"/>
        <v>36310</v>
      </c>
    </row>
    <row r="1479" spans="1:14" x14ac:dyDescent="0.35">
      <c r="A1479">
        <v>700</v>
      </c>
      <c r="B1479" s="2">
        <v>38563</v>
      </c>
      <c r="C1479">
        <v>6</v>
      </c>
      <c r="D1479">
        <v>6</v>
      </c>
      <c r="F1479">
        <v>1478</v>
      </c>
      <c r="G1479" cm="1">
        <f t="array" ref="G1479">_xlfn.IFNA(INDEX($D$2:$D$4001,_xlfn.XMATCH(G$1&amp;"-"&amp;$F1479,YEAR($B$2:$B$4001)&amp;"-"&amp;$A$2:$A$4001,0,-1)),9)</f>
        <v>0</v>
      </c>
      <c r="H1479" cm="1">
        <f t="array" ref="H1479">IF(OR(AND(G1479=9,H$1&gt;YEAR($N1479))),9,_xlfn.IFNA(INDEX($D$2:$D$4001,_xlfn.XMATCH(H$1&amp;"-"&amp;$F1479,YEAR($B$2:$B$4001)&amp;"-"&amp;$A$2:$A$4001,0,-1)),G1479))</f>
        <v>0</v>
      </c>
      <c r="I1479" cm="1">
        <f t="array" ref="I1479">IF(OR(AND(H1479=9,I$1&gt;YEAR($N1479))),9,_xlfn.IFNA(INDEX($D$2:$D$4001,_xlfn.XMATCH(I$1&amp;"-"&amp;$F1479,YEAR($B$2:$B$4001)&amp;"-"&amp;$A$2:$A$4001,0,-1)),H1479))</f>
        <v>0</v>
      </c>
      <c r="J1479" cm="1">
        <f t="array" ref="J1479">IF(OR(AND(I1479=9,J$1&gt;YEAR($N1479))),9,_xlfn.IFNA(INDEX($D$2:$D$4001,_xlfn.XMATCH(J$1&amp;"-"&amp;$F1479,YEAR($B$2:$B$4001)&amp;"-"&amp;$A$2:$A$4001,0,-1)),I1479))</f>
        <v>0</v>
      </c>
      <c r="K1479" cm="1">
        <f t="array" ref="K1479">IF(OR(AND(J1479=9,K$1&gt;YEAR($N1479))),9,_xlfn.IFNA(INDEX($D$2:$D$4001,_xlfn.XMATCH(K$1&amp;"-"&amp;$F1479,YEAR($B$2:$B$4001)&amp;"-"&amp;$A$2:$A$4001,0,-1)),J1479))</f>
        <v>0</v>
      </c>
      <c r="L1479" cm="1">
        <f t="array" ref="L1479">IF(OR(AND(K1479=9,L$1&gt;YEAR($N1479))),9,_xlfn.IFNA(INDEX($D$2:$D$4001,_xlfn.XMATCH(L$1&amp;"-"&amp;$F1479,YEAR($B$2:$B$4001)&amp;"-"&amp;$A$2:$A$4001,0,-1)),K1479))</f>
        <v>0</v>
      </c>
      <c r="M1479" cm="1">
        <f t="array" ref="M1479">IF(OR(AND(L1479=9,M$1&gt;YEAR($N1479))),9,_xlfn.IFNA(INDEX($D$2:$D$4001,_xlfn.XMATCH(M$1&amp;"-"&amp;$F1479,YEAR($B$2:$B$4001)&amp;"-"&amp;$A$2:$A$4001,0,-1)),L1479))</f>
        <v>0</v>
      </c>
      <c r="N1479" s="1">
        <f t="shared" si="23"/>
        <v>36308</v>
      </c>
    </row>
    <row r="1480" spans="1:14" x14ac:dyDescent="0.35">
      <c r="A1480">
        <v>701</v>
      </c>
      <c r="B1480" s="2">
        <v>37063</v>
      </c>
      <c r="C1480">
        <v>5</v>
      </c>
      <c r="D1480">
        <v>5</v>
      </c>
      <c r="F1480">
        <v>1479</v>
      </c>
      <c r="G1480" cm="1">
        <f t="array" ref="G1480">_xlfn.IFNA(INDEX($D$2:$D$4001,_xlfn.XMATCH(G$1&amp;"-"&amp;$F1480,YEAR($B$2:$B$4001)&amp;"-"&amp;$A$2:$A$4001,0,-1)),9)</f>
        <v>4</v>
      </c>
      <c r="H1480" cm="1">
        <f t="array" ref="H1480">IF(OR(AND(G1480=9,H$1&gt;YEAR($N1480))),9,_xlfn.IFNA(INDEX($D$2:$D$4001,_xlfn.XMATCH(H$1&amp;"-"&amp;$F1480,YEAR($B$2:$B$4001)&amp;"-"&amp;$A$2:$A$4001,0,-1)),G1480))</f>
        <v>4</v>
      </c>
      <c r="I1480" cm="1">
        <f t="array" ref="I1480">IF(OR(AND(H1480=9,I$1&gt;YEAR($N1480))),9,_xlfn.IFNA(INDEX($D$2:$D$4001,_xlfn.XMATCH(I$1&amp;"-"&amp;$F1480,YEAR($B$2:$B$4001)&amp;"-"&amp;$A$2:$A$4001,0,-1)),H1480))</f>
        <v>4</v>
      </c>
      <c r="J1480" cm="1">
        <f t="array" ref="J1480">IF(OR(AND(I1480=9,J$1&gt;YEAR($N1480))),9,_xlfn.IFNA(INDEX($D$2:$D$4001,_xlfn.XMATCH(J$1&amp;"-"&amp;$F1480,YEAR($B$2:$B$4001)&amp;"-"&amp;$A$2:$A$4001,0,-1)),I1480))</f>
        <v>4</v>
      </c>
      <c r="K1480" cm="1">
        <f t="array" ref="K1480">IF(OR(AND(J1480=9,K$1&gt;YEAR($N1480))),9,_xlfn.IFNA(INDEX($D$2:$D$4001,_xlfn.XMATCH(K$1&amp;"-"&amp;$F1480,YEAR($B$2:$B$4001)&amp;"-"&amp;$A$2:$A$4001,0,-1)),J1480))</f>
        <v>4</v>
      </c>
      <c r="L1480" cm="1">
        <f t="array" ref="L1480">IF(OR(AND(K1480=9,L$1&gt;YEAR($N1480))),9,_xlfn.IFNA(INDEX($D$2:$D$4001,_xlfn.XMATCH(L$1&amp;"-"&amp;$F1480,YEAR($B$2:$B$4001)&amp;"-"&amp;$A$2:$A$4001,0,-1)),K1480))</f>
        <v>4</v>
      </c>
      <c r="M1480" cm="1">
        <f t="array" ref="M1480">IF(OR(AND(L1480=9,M$1&gt;YEAR($N1480))),9,_xlfn.IFNA(INDEX($D$2:$D$4001,_xlfn.XMATCH(M$1&amp;"-"&amp;$F1480,YEAR($B$2:$B$4001)&amp;"-"&amp;$A$2:$A$4001,0,-1)),L1480))</f>
        <v>4</v>
      </c>
      <c r="N1480" s="1">
        <f t="shared" si="23"/>
        <v>36310</v>
      </c>
    </row>
    <row r="1481" spans="1:14" x14ac:dyDescent="0.35">
      <c r="A1481">
        <v>701</v>
      </c>
      <c r="B1481" s="2">
        <v>37255</v>
      </c>
      <c r="C1481">
        <v>5</v>
      </c>
      <c r="D1481">
        <v>5</v>
      </c>
      <c r="F1481">
        <v>1480</v>
      </c>
      <c r="G1481" cm="1">
        <f t="array" ref="G1481">_xlfn.IFNA(INDEX($D$2:$D$4001,_xlfn.XMATCH(G$1&amp;"-"&amp;$F1481,YEAR($B$2:$B$4001)&amp;"-"&amp;$A$2:$A$4001,0,-1)),9)</f>
        <v>9</v>
      </c>
      <c r="H1481" cm="1">
        <f t="array" ref="H1481">IF(OR(AND(G1481=9,H$1&gt;YEAR($N1481))),9,_xlfn.IFNA(INDEX($D$2:$D$4001,_xlfn.XMATCH(H$1&amp;"-"&amp;$F1481,YEAR($B$2:$B$4001)&amp;"-"&amp;$A$2:$A$4001,0,-1)),G1481))</f>
        <v>9</v>
      </c>
      <c r="I1481" cm="1">
        <f t="array" ref="I1481">IF(OR(AND(H1481=9,I$1&gt;YEAR($N1481))),9,_xlfn.IFNA(INDEX($D$2:$D$4001,_xlfn.XMATCH(I$1&amp;"-"&amp;$F1481,YEAR($B$2:$B$4001)&amp;"-"&amp;$A$2:$A$4001,0,-1)),H1481))</f>
        <v>3</v>
      </c>
      <c r="J1481" cm="1">
        <f t="array" ref="J1481">IF(OR(AND(I1481=9,J$1&gt;YEAR($N1481))),9,_xlfn.IFNA(INDEX($D$2:$D$4001,_xlfn.XMATCH(J$1&amp;"-"&amp;$F1481,YEAR($B$2:$B$4001)&amp;"-"&amp;$A$2:$A$4001,0,-1)),I1481))</f>
        <v>3</v>
      </c>
      <c r="K1481" cm="1">
        <f t="array" ref="K1481">IF(OR(AND(J1481=9,K$1&gt;YEAR($N1481))),9,_xlfn.IFNA(INDEX($D$2:$D$4001,_xlfn.XMATCH(K$1&amp;"-"&amp;$F1481,YEAR($B$2:$B$4001)&amp;"-"&amp;$A$2:$A$4001,0,-1)),J1481))</f>
        <v>3</v>
      </c>
      <c r="L1481" cm="1">
        <f t="array" ref="L1481">IF(OR(AND(K1481=9,L$1&gt;YEAR($N1481))),9,_xlfn.IFNA(INDEX($D$2:$D$4001,_xlfn.XMATCH(L$1&amp;"-"&amp;$F1481,YEAR($B$2:$B$4001)&amp;"-"&amp;$A$2:$A$4001,0,-1)),K1481))</f>
        <v>3</v>
      </c>
      <c r="M1481" cm="1">
        <f t="array" ref="M1481">IF(OR(AND(L1481=9,M$1&gt;YEAR($N1481))),9,_xlfn.IFNA(INDEX($D$2:$D$4001,_xlfn.XMATCH(M$1&amp;"-"&amp;$F1481,YEAR($B$2:$B$4001)&amp;"-"&amp;$A$2:$A$4001,0,-1)),L1481))</f>
        <v>3</v>
      </c>
      <c r="N1481" s="1">
        <f t="shared" si="23"/>
        <v>37035</v>
      </c>
    </row>
    <row r="1482" spans="1:14" x14ac:dyDescent="0.35">
      <c r="A1482">
        <v>701</v>
      </c>
      <c r="B1482" s="2">
        <v>37762</v>
      </c>
      <c r="C1482">
        <v>6</v>
      </c>
      <c r="D1482">
        <v>6</v>
      </c>
      <c r="F1482">
        <v>1481</v>
      </c>
      <c r="G1482" cm="1">
        <f t="array" ref="G1482">_xlfn.IFNA(INDEX($D$2:$D$4001,_xlfn.XMATCH(G$1&amp;"-"&amp;$F1482,YEAR($B$2:$B$4001)&amp;"-"&amp;$A$2:$A$4001,0,-1)),9)</f>
        <v>2</v>
      </c>
      <c r="H1482" cm="1">
        <f t="array" ref="H1482">IF(OR(AND(G1482=9,H$1&gt;YEAR($N1482))),9,_xlfn.IFNA(INDEX($D$2:$D$4001,_xlfn.XMATCH(H$1&amp;"-"&amp;$F1482,YEAR($B$2:$B$4001)&amp;"-"&amp;$A$2:$A$4001,0,-1)),G1482))</f>
        <v>2</v>
      </c>
      <c r="I1482" cm="1">
        <f t="array" ref="I1482">IF(OR(AND(H1482=9,I$1&gt;YEAR($N1482))),9,_xlfn.IFNA(INDEX($D$2:$D$4001,_xlfn.XMATCH(I$1&amp;"-"&amp;$F1482,YEAR($B$2:$B$4001)&amp;"-"&amp;$A$2:$A$4001,0,-1)),H1482))</f>
        <v>2</v>
      </c>
      <c r="J1482" cm="1">
        <f t="array" ref="J1482">IF(OR(AND(I1482=9,J$1&gt;YEAR($N1482))),9,_xlfn.IFNA(INDEX($D$2:$D$4001,_xlfn.XMATCH(J$1&amp;"-"&amp;$F1482,YEAR($B$2:$B$4001)&amp;"-"&amp;$A$2:$A$4001,0,-1)),I1482))</f>
        <v>0</v>
      </c>
      <c r="K1482" cm="1">
        <f t="array" ref="K1482">IF(OR(AND(J1482=9,K$1&gt;YEAR($N1482))),9,_xlfn.IFNA(INDEX($D$2:$D$4001,_xlfn.XMATCH(K$1&amp;"-"&amp;$F1482,YEAR($B$2:$B$4001)&amp;"-"&amp;$A$2:$A$4001,0,-1)),J1482))</f>
        <v>0</v>
      </c>
      <c r="L1482" cm="1">
        <f t="array" ref="L1482">IF(OR(AND(K1482=9,L$1&gt;YEAR($N1482))),9,_xlfn.IFNA(INDEX($D$2:$D$4001,_xlfn.XMATCH(L$1&amp;"-"&amp;$F1482,YEAR($B$2:$B$4001)&amp;"-"&amp;$A$2:$A$4001,0,-1)),K1482))</f>
        <v>0</v>
      </c>
      <c r="M1482" cm="1">
        <f t="array" ref="M1482">IF(OR(AND(L1482=9,M$1&gt;YEAR($N1482))),9,_xlfn.IFNA(INDEX($D$2:$D$4001,_xlfn.XMATCH(M$1&amp;"-"&amp;$F1482,YEAR($B$2:$B$4001)&amp;"-"&amp;$A$2:$A$4001,0,-1)),L1482))</f>
        <v>0</v>
      </c>
      <c r="N1482" s="1">
        <f t="shared" si="23"/>
        <v>36301</v>
      </c>
    </row>
    <row r="1483" spans="1:14" x14ac:dyDescent="0.35">
      <c r="A1483">
        <v>701</v>
      </c>
      <c r="B1483" s="2">
        <v>38137</v>
      </c>
      <c r="C1483">
        <v>7</v>
      </c>
      <c r="D1483">
        <v>7</v>
      </c>
      <c r="F1483">
        <v>1482</v>
      </c>
      <c r="G1483" cm="1">
        <f t="array" ref="G1483">_xlfn.IFNA(INDEX($D$2:$D$4001,_xlfn.XMATCH(G$1&amp;"-"&amp;$F1483,YEAR($B$2:$B$4001)&amp;"-"&amp;$A$2:$A$4001,0,-1)),9)</f>
        <v>9</v>
      </c>
      <c r="H1483" cm="1">
        <f t="array" ref="H1483">IF(OR(AND(G1483=9,H$1&gt;YEAR($N1483))),9,_xlfn.IFNA(INDEX($D$2:$D$4001,_xlfn.XMATCH(H$1&amp;"-"&amp;$F1483,YEAR($B$2:$B$4001)&amp;"-"&amp;$A$2:$A$4001,0,-1)),G1483))</f>
        <v>9</v>
      </c>
      <c r="I1483" cm="1">
        <f t="array" ref="I1483">IF(OR(AND(H1483=9,I$1&gt;YEAR($N1483))),9,_xlfn.IFNA(INDEX($D$2:$D$4001,_xlfn.XMATCH(I$1&amp;"-"&amp;$F1483,YEAR($B$2:$B$4001)&amp;"-"&amp;$A$2:$A$4001,0,-1)),H1483))</f>
        <v>9</v>
      </c>
      <c r="J1483" cm="1">
        <f t="array" ref="J1483">IF(OR(AND(I1483=9,J$1&gt;YEAR($N1483))),9,_xlfn.IFNA(INDEX($D$2:$D$4001,_xlfn.XMATCH(J$1&amp;"-"&amp;$F1483,YEAR($B$2:$B$4001)&amp;"-"&amp;$A$2:$A$4001,0,-1)),I1483))</f>
        <v>9</v>
      </c>
      <c r="K1483" cm="1">
        <f t="array" ref="K1483">IF(OR(AND(J1483=9,K$1&gt;YEAR($N1483))),9,_xlfn.IFNA(INDEX($D$2:$D$4001,_xlfn.XMATCH(K$1&amp;"-"&amp;$F1483,YEAR($B$2:$B$4001)&amp;"-"&amp;$A$2:$A$4001,0,-1)),J1483))</f>
        <v>4</v>
      </c>
      <c r="L1483" cm="1">
        <f t="array" ref="L1483">IF(OR(AND(K1483=9,L$1&gt;YEAR($N1483))),9,_xlfn.IFNA(INDEX($D$2:$D$4001,_xlfn.XMATCH(L$1&amp;"-"&amp;$F1483,YEAR($B$2:$B$4001)&amp;"-"&amp;$A$2:$A$4001,0,-1)),K1483))</f>
        <v>4</v>
      </c>
      <c r="M1483" cm="1">
        <f t="array" ref="M1483">IF(OR(AND(L1483=9,M$1&gt;YEAR($N1483))),9,_xlfn.IFNA(INDEX($D$2:$D$4001,_xlfn.XMATCH(M$1&amp;"-"&amp;$F1483,YEAR($B$2:$B$4001)&amp;"-"&amp;$A$2:$A$4001,0,-1)),L1483))</f>
        <v>4</v>
      </c>
      <c r="N1483" s="1">
        <f t="shared" si="23"/>
        <v>37771</v>
      </c>
    </row>
    <row r="1484" spans="1:14" x14ac:dyDescent="0.35">
      <c r="A1484">
        <v>701</v>
      </c>
      <c r="B1484" s="2">
        <v>38351</v>
      </c>
      <c r="C1484">
        <v>7</v>
      </c>
      <c r="D1484">
        <v>7</v>
      </c>
      <c r="F1484">
        <v>1483</v>
      </c>
      <c r="G1484" cm="1">
        <f t="array" ref="G1484">_xlfn.IFNA(INDEX($D$2:$D$4001,_xlfn.XMATCH(G$1&amp;"-"&amp;$F1484,YEAR($B$2:$B$4001)&amp;"-"&amp;$A$2:$A$4001,0,-1)),9)</f>
        <v>9</v>
      </c>
      <c r="H1484" cm="1">
        <f t="array" ref="H1484">IF(OR(AND(G1484=9,H$1&gt;YEAR($N1484))),9,_xlfn.IFNA(INDEX($D$2:$D$4001,_xlfn.XMATCH(H$1&amp;"-"&amp;$F1484,YEAR($B$2:$B$4001)&amp;"-"&amp;$A$2:$A$4001,0,-1)),G1484))</f>
        <v>9</v>
      </c>
      <c r="I1484" cm="1">
        <f t="array" ref="I1484">IF(OR(AND(H1484=9,I$1&gt;YEAR($N1484))),9,_xlfn.IFNA(INDEX($D$2:$D$4001,_xlfn.XMATCH(I$1&amp;"-"&amp;$F1484,YEAR($B$2:$B$4001)&amp;"-"&amp;$A$2:$A$4001,0,-1)),H1484))</f>
        <v>0</v>
      </c>
      <c r="J1484" cm="1">
        <f t="array" ref="J1484">IF(OR(AND(I1484=9,J$1&gt;YEAR($N1484))),9,_xlfn.IFNA(INDEX($D$2:$D$4001,_xlfn.XMATCH(J$1&amp;"-"&amp;$F1484,YEAR($B$2:$B$4001)&amp;"-"&amp;$A$2:$A$4001,0,-1)),I1484))</f>
        <v>0</v>
      </c>
      <c r="K1484" cm="1">
        <f t="array" ref="K1484">IF(OR(AND(J1484=9,K$1&gt;YEAR($N1484))),9,_xlfn.IFNA(INDEX($D$2:$D$4001,_xlfn.XMATCH(K$1&amp;"-"&amp;$F1484,YEAR($B$2:$B$4001)&amp;"-"&amp;$A$2:$A$4001,0,-1)),J1484))</f>
        <v>0</v>
      </c>
      <c r="L1484" cm="1">
        <f t="array" ref="L1484">IF(OR(AND(K1484=9,L$1&gt;YEAR($N1484))),9,_xlfn.IFNA(INDEX($D$2:$D$4001,_xlfn.XMATCH(L$1&amp;"-"&amp;$F1484,YEAR($B$2:$B$4001)&amp;"-"&amp;$A$2:$A$4001,0,-1)),K1484))</f>
        <v>0</v>
      </c>
      <c r="M1484" cm="1">
        <f t="array" ref="M1484">IF(OR(AND(L1484=9,M$1&gt;YEAR($N1484))),9,_xlfn.IFNA(INDEX($D$2:$D$4001,_xlfn.XMATCH(M$1&amp;"-"&amp;$F1484,YEAR($B$2:$B$4001)&amp;"-"&amp;$A$2:$A$4001,0,-1)),L1484))</f>
        <v>0</v>
      </c>
      <c r="N1484" s="1">
        <f t="shared" si="23"/>
        <v>37255</v>
      </c>
    </row>
    <row r="1485" spans="1:14" x14ac:dyDescent="0.35">
      <c r="A1485">
        <v>701</v>
      </c>
      <c r="B1485" s="2">
        <v>38351</v>
      </c>
      <c r="C1485">
        <v>8</v>
      </c>
      <c r="D1485">
        <v>8</v>
      </c>
      <c r="F1485">
        <v>1484</v>
      </c>
      <c r="G1485" cm="1">
        <f t="array" ref="G1485">_xlfn.IFNA(INDEX($D$2:$D$4001,_xlfn.XMATCH(G$1&amp;"-"&amp;$F1485,YEAR($B$2:$B$4001)&amp;"-"&amp;$A$2:$A$4001,0,-1)),9)</f>
        <v>9</v>
      </c>
      <c r="H1485" cm="1">
        <f t="array" ref="H1485">IF(OR(AND(G1485=9,H$1&gt;YEAR($N1485))),9,_xlfn.IFNA(INDEX($D$2:$D$4001,_xlfn.XMATCH(H$1&amp;"-"&amp;$F1485,YEAR($B$2:$B$4001)&amp;"-"&amp;$A$2:$A$4001,0,-1)),G1485))</f>
        <v>9</v>
      </c>
      <c r="I1485" cm="1">
        <f t="array" ref="I1485">IF(OR(AND(H1485=9,I$1&gt;YEAR($N1485))),9,_xlfn.IFNA(INDEX($D$2:$D$4001,_xlfn.XMATCH(I$1&amp;"-"&amp;$F1485,YEAR($B$2:$B$4001)&amp;"-"&amp;$A$2:$A$4001,0,-1)),H1485))</f>
        <v>9</v>
      </c>
      <c r="J1485" cm="1">
        <f t="array" ref="J1485">IF(OR(AND(I1485=9,J$1&gt;YEAR($N1485))),9,_xlfn.IFNA(INDEX($D$2:$D$4001,_xlfn.XMATCH(J$1&amp;"-"&amp;$F1485,YEAR($B$2:$B$4001)&amp;"-"&amp;$A$2:$A$4001,0,-1)),I1485))</f>
        <v>9</v>
      </c>
      <c r="K1485" cm="1">
        <f t="array" ref="K1485">IF(OR(AND(J1485=9,K$1&gt;YEAR($N1485))),9,_xlfn.IFNA(INDEX($D$2:$D$4001,_xlfn.XMATCH(K$1&amp;"-"&amp;$F1485,YEAR($B$2:$B$4001)&amp;"-"&amp;$A$2:$A$4001,0,-1)),J1485))</f>
        <v>4</v>
      </c>
      <c r="L1485" cm="1">
        <f t="array" ref="L1485">IF(OR(AND(K1485=9,L$1&gt;YEAR($N1485))),9,_xlfn.IFNA(INDEX($D$2:$D$4001,_xlfn.XMATCH(L$1&amp;"-"&amp;$F1485,YEAR($B$2:$B$4001)&amp;"-"&amp;$A$2:$A$4001,0,-1)),K1485))</f>
        <v>4</v>
      </c>
      <c r="M1485" cm="1">
        <f t="array" ref="M1485">IF(OR(AND(L1485=9,M$1&gt;YEAR($N1485))),9,_xlfn.IFNA(INDEX($D$2:$D$4001,_xlfn.XMATCH(M$1&amp;"-"&amp;$F1485,YEAR($B$2:$B$4001)&amp;"-"&amp;$A$2:$A$4001,0,-1)),L1485))</f>
        <v>4</v>
      </c>
      <c r="N1485" s="1">
        <f t="shared" si="23"/>
        <v>37762</v>
      </c>
    </row>
    <row r="1486" spans="1:14" x14ac:dyDescent="0.35">
      <c r="A1486">
        <v>702</v>
      </c>
      <c r="B1486" s="2">
        <v>38351</v>
      </c>
      <c r="C1486">
        <v>0</v>
      </c>
      <c r="D1486">
        <v>0</v>
      </c>
      <c r="F1486">
        <v>1485</v>
      </c>
      <c r="G1486" cm="1">
        <f t="array" ref="G1486">_xlfn.IFNA(INDEX($D$2:$D$4001,_xlfn.XMATCH(G$1&amp;"-"&amp;$F1486,YEAR($B$2:$B$4001)&amp;"-"&amp;$A$2:$A$4001,0,-1)),9)</f>
        <v>9</v>
      </c>
      <c r="H1486" cm="1">
        <f t="array" ref="H1486">IF(OR(AND(G1486=9,H$1&gt;YEAR($N1486))),9,_xlfn.IFNA(INDEX($D$2:$D$4001,_xlfn.XMATCH(H$1&amp;"-"&amp;$F1486,YEAR($B$2:$B$4001)&amp;"-"&amp;$A$2:$A$4001,0,-1)),G1486))</f>
        <v>9</v>
      </c>
      <c r="I1486" cm="1">
        <f t="array" ref="I1486">IF(OR(AND(H1486=9,I$1&gt;YEAR($N1486))),9,_xlfn.IFNA(INDEX($D$2:$D$4001,_xlfn.XMATCH(I$1&amp;"-"&amp;$F1486,YEAR($B$2:$B$4001)&amp;"-"&amp;$A$2:$A$4001,0,-1)),H1486))</f>
        <v>9</v>
      </c>
      <c r="J1486" cm="1">
        <f t="array" ref="J1486">IF(OR(AND(I1486=9,J$1&gt;YEAR($N1486))),9,_xlfn.IFNA(INDEX($D$2:$D$4001,_xlfn.XMATCH(J$1&amp;"-"&amp;$F1486,YEAR($B$2:$B$4001)&amp;"-"&amp;$A$2:$A$4001,0,-1)),I1486))</f>
        <v>9</v>
      </c>
      <c r="K1486" cm="1">
        <f t="array" ref="K1486">IF(OR(AND(J1486=9,K$1&gt;YEAR($N1486))),9,_xlfn.IFNA(INDEX($D$2:$D$4001,_xlfn.XMATCH(K$1&amp;"-"&amp;$F1486,YEAR($B$2:$B$4001)&amp;"-"&amp;$A$2:$A$4001,0,-1)),J1486))</f>
        <v>9</v>
      </c>
      <c r="L1486" cm="1">
        <f t="array" ref="L1486">IF(OR(AND(K1486=9,L$1&gt;YEAR($N1486))),9,_xlfn.IFNA(INDEX($D$2:$D$4001,_xlfn.XMATCH(L$1&amp;"-"&amp;$F1486,YEAR($B$2:$B$4001)&amp;"-"&amp;$A$2:$A$4001,0,-1)),K1486))</f>
        <v>5</v>
      </c>
      <c r="M1486" cm="1">
        <f t="array" ref="M1486">IF(OR(AND(L1486=9,M$1&gt;YEAR($N1486))),9,_xlfn.IFNA(INDEX($D$2:$D$4001,_xlfn.XMATCH(M$1&amp;"-"&amp;$F1486,YEAR($B$2:$B$4001)&amp;"-"&amp;$A$2:$A$4001,0,-1)),L1486))</f>
        <v>6</v>
      </c>
      <c r="N1486" s="1">
        <f t="shared" si="23"/>
        <v>38229</v>
      </c>
    </row>
    <row r="1487" spans="1:14" x14ac:dyDescent="0.35">
      <c r="A1487">
        <v>703</v>
      </c>
      <c r="B1487" s="2">
        <v>37032</v>
      </c>
      <c r="C1487">
        <v>0</v>
      </c>
      <c r="D1487">
        <v>0</v>
      </c>
      <c r="F1487">
        <v>1486</v>
      </c>
      <c r="G1487" cm="1">
        <f t="array" ref="G1487">_xlfn.IFNA(INDEX($D$2:$D$4001,_xlfn.XMATCH(G$1&amp;"-"&amp;$F1487,YEAR($B$2:$B$4001)&amp;"-"&amp;$A$2:$A$4001,0,-1)),9)</f>
        <v>9</v>
      </c>
      <c r="H1487" cm="1">
        <f t="array" ref="H1487">IF(OR(AND(G1487=9,H$1&gt;YEAR($N1487))),9,_xlfn.IFNA(INDEX($D$2:$D$4001,_xlfn.XMATCH(H$1&amp;"-"&amp;$F1487,YEAR($B$2:$B$4001)&amp;"-"&amp;$A$2:$A$4001,0,-1)),G1487))</f>
        <v>4</v>
      </c>
      <c r="I1487" cm="1">
        <f t="array" ref="I1487">IF(OR(AND(H1487=9,I$1&gt;YEAR($N1487))),9,_xlfn.IFNA(INDEX($D$2:$D$4001,_xlfn.XMATCH(I$1&amp;"-"&amp;$F1487,YEAR($B$2:$B$4001)&amp;"-"&amp;$A$2:$A$4001,0,-1)),H1487))</f>
        <v>3</v>
      </c>
      <c r="J1487" cm="1">
        <f t="array" ref="J1487">IF(OR(AND(I1487=9,J$1&gt;YEAR($N1487))),9,_xlfn.IFNA(INDEX($D$2:$D$4001,_xlfn.XMATCH(J$1&amp;"-"&amp;$F1487,YEAR($B$2:$B$4001)&amp;"-"&amp;$A$2:$A$4001,0,-1)),I1487))</f>
        <v>3</v>
      </c>
      <c r="K1487" cm="1">
        <f t="array" ref="K1487">IF(OR(AND(J1487=9,K$1&gt;YEAR($N1487))),9,_xlfn.IFNA(INDEX($D$2:$D$4001,_xlfn.XMATCH(K$1&amp;"-"&amp;$F1487,YEAR($B$2:$B$4001)&amp;"-"&amp;$A$2:$A$4001,0,-1)),J1487))</f>
        <v>3</v>
      </c>
      <c r="L1487" cm="1">
        <f t="array" ref="L1487">IF(OR(AND(K1487=9,L$1&gt;YEAR($N1487))),9,_xlfn.IFNA(INDEX($D$2:$D$4001,_xlfn.XMATCH(L$1&amp;"-"&amp;$F1487,YEAR($B$2:$B$4001)&amp;"-"&amp;$A$2:$A$4001,0,-1)),K1487))</f>
        <v>3</v>
      </c>
      <c r="M1487" cm="1">
        <f t="array" ref="M1487">IF(OR(AND(L1487=9,M$1&gt;YEAR($N1487))),9,_xlfn.IFNA(INDEX($D$2:$D$4001,_xlfn.XMATCH(M$1&amp;"-"&amp;$F1487,YEAR($B$2:$B$4001)&amp;"-"&amp;$A$2:$A$4001,0,-1)),L1487))</f>
        <v>3</v>
      </c>
      <c r="N1487" s="1">
        <f t="shared" si="23"/>
        <v>36829</v>
      </c>
    </row>
    <row r="1488" spans="1:14" x14ac:dyDescent="0.35">
      <c r="A1488">
        <v>703</v>
      </c>
      <c r="B1488" s="2">
        <v>37406</v>
      </c>
      <c r="C1488">
        <v>3</v>
      </c>
      <c r="D1488">
        <v>3</v>
      </c>
      <c r="F1488">
        <v>1487</v>
      </c>
      <c r="G1488" cm="1">
        <f t="array" ref="G1488">_xlfn.IFNA(INDEX($D$2:$D$4001,_xlfn.XMATCH(G$1&amp;"-"&amp;$F1488,YEAR($B$2:$B$4001)&amp;"-"&amp;$A$2:$A$4001,0,-1)),9)</f>
        <v>9</v>
      </c>
      <c r="H1488" cm="1">
        <f t="array" ref="H1488">IF(OR(AND(G1488=9,H$1&gt;YEAR($N1488))),9,_xlfn.IFNA(INDEX($D$2:$D$4001,_xlfn.XMATCH(H$1&amp;"-"&amp;$F1488,YEAR($B$2:$B$4001)&amp;"-"&amp;$A$2:$A$4001,0,-1)),G1488))</f>
        <v>9</v>
      </c>
      <c r="I1488" cm="1">
        <f t="array" ref="I1488">IF(OR(AND(H1488=9,I$1&gt;YEAR($N1488))),9,_xlfn.IFNA(INDEX($D$2:$D$4001,_xlfn.XMATCH(I$1&amp;"-"&amp;$F1488,YEAR($B$2:$B$4001)&amp;"-"&amp;$A$2:$A$4001,0,-1)),H1488))</f>
        <v>9</v>
      </c>
      <c r="J1488" cm="1">
        <f t="array" ref="J1488">IF(OR(AND(I1488=9,J$1&gt;YEAR($N1488))),9,_xlfn.IFNA(INDEX($D$2:$D$4001,_xlfn.XMATCH(J$1&amp;"-"&amp;$F1488,YEAR($B$2:$B$4001)&amp;"-"&amp;$A$2:$A$4001,0,-1)),I1488))</f>
        <v>9</v>
      </c>
      <c r="K1488" cm="1">
        <f t="array" ref="K1488">IF(OR(AND(J1488=9,K$1&gt;YEAR($N1488))),9,_xlfn.IFNA(INDEX($D$2:$D$4001,_xlfn.XMATCH(K$1&amp;"-"&amp;$F1488,YEAR($B$2:$B$4001)&amp;"-"&amp;$A$2:$A$4001,0,-1)),J1488))</f>
        <v>6</v>
      </c>
      <c r="L1488" cm="1">
        <f t="array" ref="L1488">IF(OR(AND(K1488=9,L$1&gt;YEAR($N1488))),9,_xlfn.IFNA(INDEX($D$2:$D$4001,_xlfn.XMATCH(L$1&amp;"-"&amp;$F1488,YEAR($B$2:$B$4001)&amp;"-"&amp;$A$2:$A$4001,0,-1)),K1488))</f>
        <v>6</v>
      </c>
      <c r="M1488" cm="1">
        <f t="array" ref="M1488">IF(OR(AND(L1488=9,M$1&gt;YEAR($N1488))),9,_xlfn.IFNA(INDEX($D$2:$D$4001,_xlfn.XMATCH(M$1&amp;"-"&amp;$F1488,YEAR($B$2:$B$4001)&amp;"-"&amp;$A$2:$A$4001,0,-1)),L1488))</f>
        <v>6</v>
      </c>
      <c r="N1488" s="1">
        <f t="shared" si="23"/>
        <v>37955</v>
      </c>
    </row>
    <row r="1489" spans="1:14" x14ac:dyDescent="0.35">
      <c r="A1489">
        <v>703</v>
      </c>
      <c r="B1489" s="2">
        <v>38135</v>
      </c>
      <c r="C1489">
        <v>4</v>
      </c>
      <c r="D1489">
        <v>4</v>
      </c>
      <c r="F1489">
        <v>1488</v>
      </c>
      <c r="G1489" cm="1">
        <f t="array" ref="G1489">_xlfn.IFNA(INDEX($D$2:$D$4001,_xlfn.XMATCH(G$1&amp;"-"&amp;$F1489,YEAR($B$2:$B$4001)&amp;"-"&amp;$A$2:$A$4001,0,-1)),9)</f>
        <v>9</v>
      </c>
      <c r="H1489" cm="1">
        <f t="array" ref="H1489">IF(OR(AND(G1489=9,H$1&gt;YEAR($N1489))),9,_xlfn.IFNA(INDEX($D$2:$D$4001,_xlfn.XMATCH(H$1&amp;"-"&amp;$F1489,YEAR($B$2:$B$4001)&amp;"-"&amp;$A$2:$A$4001,0,-1)),G1489))</f>
        <v>9</v>
      </c>
      <c r="I1489" cm="1">
        <f t="array" ref="I1489">IF(OR(AND(H1489=9,I$1&gt;YEAR($N1489))),9,_xlfn.IFNA(INDEX($D$2:$D$4001,_xlfn.XMATCH(I$1&amp;"-"&amp;$F1489,YEAR($B$2:$B$4001)&amp;"-"&amp;$A$2:$A$4001,0,-1)),H1489))</f>
        <v>9</v>
      </c>
      <c r="J1489" cm="1">
        <f t="array" ref="J1489">IF(OR(AND(I1489=9,J$1&gt;YEAR($N1489))),9,_xlfn.IFNA(INDEX($D$2:$D$4001,_xlfn.XMATCH(J$1&amp;"-"&amp;$F1489,YEAR($B$2:$B$4001)&amp;"-"&amp;$A$2:$A$4001,0,-1)),I1489))</f>
        <v>4</v>
      </c>
      <c r="K1489" cm="1">
        <f t="array" ref="K1489">IF(OR(AND(J1489=9,K$1&gt;YEAR($N1489))),9,_xlfn.IFNA(INDEX($D$2:$D$4001,_xlfn.XMATCH(K$1&amp;"-"&amp;$F1489,YEAR($B$2:$B$4001)&amp;"-"&amp;$A$2:$A$4001,0,-1)),J1489))</f>
        <v>4</v>
      </c>
      <c r="L1489" cm="1">
        <f t="array" ref="L1489">IF(OR(AND(K1489=9,L$1&gt;YEAR($N1489))),9,_xlfn.IFNA(INDEX($D$2:$D$4001,_xlfn.XMATCH(L$1&amp;"-"&amp;$F1489,YEAR($B$2:$B$4001)&amp;"-"&amp;$A$2:$A$4001,0,-1)),K1489))</f>
        <v>4</v>
      </c>
      <c r="M1489" cm="1">
        <f t="array" ref="M1489">IF(OR(AND(L1489=9,M$1&gt;YEAR($N1489))),9,_xlfn.IFNA(INDEX($D$2:$D$4001,_xlfn.XMATCH(M$1&amp;"-"&amp;$F1489,YEAR($B$2:$B$4001)&amp;"-"&amp;$A$2:$A$4001,0,-1)),L1489))</f>
        <v>4</v>
      </c>
      <c r="N1489" s="1">
        <f t="shared" si="23"/>
        <v>37620</v>
      </c>
    </row>
    <row r="1490" spans="1:14" x14ac:dyDescent="0.35">
      <c r="A1490">
        <v>704</v>
      </c>
      <c r="B1490" s="2">
        <v>37032</v>
      </c>
      <c r="C1490">
        <v>2</v>
      </c>
      <c r="D1490">
        <v>2</v>
      </c>
      <c r="F1490">
        <v>1489</v>
      </c>
      <c r="G1490" cm="1">
        <f t="array" ref="G1490">_xlfn.IFNA(INDEX($D$2:$D$4001,_xlfn.XMATCH(G$1&amp;"-"&amp;$F1490,YEAR($B$2:$B$4001)&amp;"-"&amp;$A$2:$A$4001,0,-1)),9)</f>
        <v>6</v>
      </c>
      <c r="H1490" cm="1">
        <f t="array" ref="H1490">IF(OR(AND(G1490=9,H$1&gt;YEAR($N1490))),9,_xlfn.IFNA(INDEX($D$2:$D$4001,_xlfn.XMATCH(H$1&amp;"-"&amp;$F1490,YEAR($B$2:$B$4001)&amp;"-"&amp;$A$2:$A$4001,0,-1)),G1490))</f>
        <v>6</v>
      </c>
      <c r="I1490" cm="1">
        <f t="array" ref="I1490">IF(OR(AND(H1490=9,I$1&gt;YEAR($N1490))),9,_xlfn.IFNA(INDEX($D$2:$D$4001,_xlfn.XMATCH(I$1&amp;"-"&amp;$F1490,YEAR($B$2:$B$4001)&amp;"-"&amp;$A$2:$A$4001,0,-1)),H1490))</f>
        <v>7</v>
      </c>
      <c r="J1490" cm="1">
        <f t="array" ref="J1490">IF(OR(AND(I1490=9,J$1&gt;YEAR($N1490))),9,_xlfn.IFNA(INDEX($D$2:$D$4001,_xlfn.XMATCH(J$1&amp;"-"&amp;$F1490,YEAR($B$2:$B$4001)&amp;"-"&amp;$A$2:$A$4001,0,-1)),I1490))</f>
        <v>8</v>
      </c>
      <c r="K1490" cm="1">
        <f t="array" ref="K1490">IF(OR(AND(J1490=9,K$1&gt;YEAR($N1490))),9,_xlfn.IFNA(INDEX($D$2:$D$4001,_xlfn.XMATCH(K$1&amp;"-"&amp;$F1490,YEAR($B$2:$B$4001)&amp;"-"&amp;$A$2:$A$4001,0,-1)),J1490))</f>
        <v>8</v>
      </c>
      <c r="L1490" cm="1">
        <f t="array" ref="L1490">IF(OR(AND(K1490=9,L$1&gt;YEAR($N1490))),9,_xlfn.IFNA(INDEX($D$2:$D$4001,_xlfn.XMATCH(L$1&amp;"-"&amp;$F1490,YEAR($B$2:$B$4001)&amp;"-"&amp;$A$2:$A$4001,0,-1)),K1490))</f>
        <v>8</v>
      </c>
      <c r="M1490" cm="1">
        <f t="array" ref="M1490">IF(OR(AND(L1490=9,M$1&gt;YEAR($N1490))),9,_xlfn.IFNA(INDEX($D$2:$D$4001,_xlfn.XMATCH(M$1&amp;"-"&amp;$F1490,YEAR($B$2:$B$4001)&amp;"-"&amp;$A$2:$A$4001,0,-1)),L1490))</f>
        <v>8</v>
      </c>
      <c r="N1490" s="1">
        <f t="shared" si="23"/>
        <v>36454</v>
      </c>
    </row>
    <row r="1491" spans="1:14" x14ac:dyDescent="0.35">
      <c r="A1491">
        <v>704</v>
      </c>
      <c r="B1491" s="2">
        <v>38128</v>
      </c>
      <c r="C1491">
        <v>2</v>
      </c>
      <c r="D1491">
        <v>2</v>
      </c>
      <c r="F1491">
        <v>1490</v>
      </c>
      <c r="G1491" cm="1">
        <f t="array" ref="G1491">_xlfn.IFNA(INDEX($D$2:$D$4001,_xlfn.XMATCH(G$1&amp;"-"&amp;$F1491,YEAR($B$2:$B$4001)&amp;"-"&amp;$A$2:$A$4001,0,-1)),9)</f>
        <v>9</v>
      </c>
      <c r="H1491" cm="1">
        <f t="array" ref="H1491">IF(OR(AND(G1491=9,H$1&gt;YEAR($N1491))),9,_xlfn.IFNA(INDEX($D$2:$D$4001,_xlfn.XMATCH(H$1&amp;"-"&amp;$F1491,YEAR($B$2:$B$4001)&amp;"-"&amp;$A$2:$A$4001,0,-1)),G1491))</f>
        <v>9</v>
      </c>
      <c r="I1491" cm="1">
        <f t="array" ref="I1491">IF(OR(AND(H1491=9,I$1&gt;YEAR($N1491))),9,_xlfn.IFNA(INDEX($D$2:$D$4001,_xlfn.XMATCH(I$1&amp;"-"&amp;$F1491,YEAR($B$2:$B$4001)&amp;"-"&amp;$A$2:$A$4001,0,-1)),H1491))</f>
        <v>9</v>
      </c>
      <c r="J1491" cm="1">
        <f t="array" ref="J1491">IF(OR(AND(I1491=9,J$1&gt;YEAR($N1491))),9,_xlfn.IFNA(INDEX($D$2:$D$4001,_xlfn.XMATCH(J$1&amp;"-"&amp;$F1491,YEAR($B$2:$B$4001)&amp;"-"&amp;$A$2:$A$4001,0,-1)),I1491))</f>
        <v>9</v>
      </c>
      <c r="K1491" cm="1">
        <f t="array" ref="K1491">IF(OR(AND(J1491=9,K$1&gt;YEAR($N1491))),9,_xlfn.IFNA(INDEX($D$2:$D$4001,_xlfn.XMATCH(K$1&amp;"-"&amp;$F1491,YEAR($B$2:$B$4001)&amp;"-"&amp;$A$2:$A$4001,0,-1)),J1491))</f>
        <v>3</v>
      </c>
      <c r="L1491" cm="1">
        <f t="array" ref="L1491">IF(OR(AND(K1491=9,L$1&gt;YEAR($N1491))),9,_xlfn.IFNA(INDEX($D$2:$D$4001,_xlfn.XMATCH(L$1&amp;"-"&amp;$F1491,YEAR($B$2:$B$4001)&amp;"-"&amp;$A$2:$A$4001,0,-1)),K1491))</f>
        <v>3</v>
      </c>
      <c r="M1491" cm="1">
        <f t="array" ref="M1491">IF(OR(AND(L1491=9,M$1&gt;YEAR($N1491))),9,_xlfn.IFNA(INDEX($D$2:$D$4001,_xlfn.XMATCH(M$1&amp;"-"&amp;$F1491,YEAR($B$2:$B$4001)&amp;"-"&amp;$A$2:$A$4001,0,-1)),L1491))</f>
        <v>3</v>
      </c>
      <c r="N1491" s="1">
        <f t="shared" si="23"/>
        <v>37985</v>
      </c>
    </row>
    <row r="1492" spans="1:14" x14ac:dyDescent="0.35">
      <c r="A1492">
        <v>705</v>
      </c>
      <c r="B1492" s="2">
        <v>36524</v>
      </c>
      <c r="C1492">
        <v>3</v>
      </c>
      <c r="D1492">
        <v>3</v>
      </c>
      <c r="F1492">
        <v>1491</v>
      </c>
      <c r="G1492" cm="1">
        <f t="array" ref="G1492">_xlfn.IFNA(INDEX($D$2:$D$4001,_xlfn.XMATCH(G$1&amp;"-"&amp;$F1492,YEAR($B$2:$B$4001)&amp;"-"&amp;$A$2:$A$4001,0,-1)),9)</f>
        <v>5</v>
      </c>
      <c r="H1492" cm="1">
        <f t="array" ref="H1492">IF(OR(AND(G1492=9,H$1&gt;YEAR($N1492))),9,_xlfn.IFNA(INDEX($D$2:$D$4001,_xlfn.XMATCH(H$1&amp;"-"&amp;$F1492,YEAR($B$2:$B$4001)&amp;"-"&amp;$A$2:$A$4001,0,-1)),G1492))</f>
        <v>5</v>
      </c>
      <c r="I1492" cm="1">
        <f t="array" ref="I1492">IF(OR(AND(H1492=9,I$1&gt;YEAR($N1492))),9,_xlfn.IFNA(INDEX($D$2:$D$4001,_xlfn.XMATCH(I$1&amp;"-"&amp;$F1492,YEAR($B$2:$B$4001)&amp;"-"&amp;$A$2:$A$4001,0,-1)),H1492))</f>
        <v>5</v>
      </c>
      <c r="J1492" cm="1">
        <f t="array" ref="J1492">IF(OR(AND(I1492=9,J$1&gt;YEAR($N1492))),9,_xlfn.IFNA(INDEX($D$2:$D$4001,_xlfn.XMATCH(J$1&amp;"-"&amp;$F1492,YEAR($B$2:$B$4001)&amp;"-"&amp;$A$2:$A$4001,0,-1)),I1492))</f>
        <v>5</v>
      </c>
      <c r="K1492" cm="1">
        <f t="array" ref="K1492">IF(OR(AND(J1492=9,K$1&gt;YEAR($N1492))),9,_xlfn.IFNA(INDEX($D$2:$D$4001,_xlfn.XMATCH(K$1&amp;"-"&amp;$F1492,YEAR($B$2:$B$4001)&amp;"-"&amp;$A$2:$A$4001,0,-1)),J1492))</f>
        <v>6</v>
      </c>
      <c r="L1492" cm="1">
        <f t="array" ref="L1492">IF(OR(AND(K1492=9,L$1&gt;YEAR($N1492))),9,_xlfn.IFNA(INDEX($D$2:$D$4001,_xlfn.XMATCH(L$1&amp;"-"&amp;$F1492,YEAR($B$2:$B$4001)&amp;"-"&amp;$A$2:$A$4001,0,-1)),K1492))</f>
        <v>6</v>
      </c>
      <c r="M1492" cm="1">
        <f t="array" ref="M1492">IF(OR(AND(L1492=9,M$1&gt;YEAR($N1492))),9,_xlfn.IFNA(INDEX($D$2:$D$4001,_xlfn.XMATCH(M$1&amp;"-"&amp;$F1492,YEAR($B$2:$B$4001)&amp;"-"&amp;$A$2:$A$4001,0,-1)),L1492))</f>
        <v>5</v>
      </c>
      <c r="N1492" s="1">
        <f t="shared" si="23"/>
        <v>36310</v>
      </c>
    </row>
    <row r="1493" spans="1:14" x14ac:dyDescent="0.35">
      <c r="A1493">
        <v>705</v>
      </c>
      <c r="B1493" s="2">
        <v>36667</v>
      </c>
      <c r="C1493">
        <v>3</v>
      </c>
      <c r="D1493">
        <v>3</v>
      </c>
      <c r="F1493">
        <v>1492</v>
      </c>
      <c r="G1493" cm="1">
        <f t="array" ref="G1493">_xlfn.IFNA(INDEX($D$2:$D$4001,_xlfn.XMATCH(G$1&amp;"-"&amp;$F1493,YEAR($B$2:$B$4001)&amp;"-"&amp;$A$2:$A$4001,0,-1)),9)</f>
        <v>0</v>
      </c>
      <c r="H1493" cm="1">
        <f t="array" ref="H1493">IF(OR(AND(G1493=9,H$1&gt;YEAR($N1493))),9,_xlfn.IFNA(INDEX($D$2:$D$4001,_xlfn.XMATCH(H$1&amp;"-"&amp;$F1493,YEAR($B$2:$B$4001)&amp;"-"&amp;$A$2:$A$4001,0,-1)),G1493))</f>
        <v>0</v>
      </c>
      <c r="I1493" cm="1">
        <f t="array" ref="I1493">IF(OR(AND(H1493=9,I$1&gt;YEAR($N1493))),9,_xlfn.IFNA(INDEX($D$2:$D$4001,_xlfn.XMATCH(I$1&amp;"-"&amp;$F1493,YEAR($B$2:$B$4001)&amp;"-"&amp;$A$2:$A$4001,0,-1)),H1493))</f>
        <v>0</v>
      </c>
      <c r="J1493" cm="1">
        <f t="array" ref="J1493">IF(OR(AND(I1493=9,J$1&gt;YEAR($N1493))),9,_xlfn.IFNA(INDEX($D$2:$D$4001,_xlfn.XMATCH(J$1&amp;"-"&amp;$F1493,YEAR($B$2:$B$4001)&amp;"-"&amp;$A$2:$A$4001,0,-1)),I1493))</f>
        <v>0</v>
      </c>
      <c r="K1493" cm="1">
        <f t="array" ref="K1493">IF(OR(AND(J1493=9,K$1&gt;YEAR($N1493))),9,_xlfn.IFNA(INDEX($D$2:$D$4001,_xlfn.XMATCH(K$1&amp;"-"&amp;$F1493,YEAR($B$2:$B$4001)&amp;"-"&amp;$A$2:$A$4001,0,-1)),J1493))</f>
        <v>0</v>
      </c>
      <c r="L1493" cm="1">
        <f t="array" ref="L1493">IF(OR(AND(K1493=9,L$1&gt;YEAR($N1493))),9,_xlfn.IFNA(INDEX($D$2:$D$4001,_xlfn.XMATCH(L$1&amp;"-"&amp;$F1493,YEAR($B$2:$B$4001)&amp;"-"&amp;$A$2:$A$4001,0,-1)),K1493))</f>
        <v>0</v>
      </c>
      <c r="M1493" cm="1">
        <f t="array" ref="M1493">IF(OR(AND(L1493=9,M$1&gt;YEAR($N1493))),9,_xlfn.IFNA(INDEX($D$2:$D$4001,_xlfn.XMATCH(M$1&amp;"-"&amp;$F1493,YEAR($B$2:$B$4001)&amp;"-"&amp;$A$2:$A$4001,0,-1)),L1493))</f>
        <v>0</v>
      </c>
      <c r="N1493" s="1">
        <f t="shared" si="23"/>
        <v>36393</v>
      </c>
    </row>
    <row r="1494" spans="1:14" x14ac:dyDescent="0.35">
      <c r="A1494">
        <v>705</v>
      </c>
      <c r="B1494" s="2">
        <v>36790</v>
      </c>
      <c r="C1494">
        <v>3</v>
      </c>
      <c r="D1494">
        <v>3</v>
      </c>
      <c r="F1494">
        <v>1493</v>
      </c>
      <c r="G1494" cm="1">
        <f t="array" ref="G1494">_xlfn.IFNA(INDEX($D$2:$D$4001,_xlfn.XMATCH(G$1&amp;"-"&amp;$F1494,YEAR($B$2:$B$4001)&amp;"-"&amp;$A$2:$A$4001,0,-1)),9)</f>
        <v>9</v>
      </c>
      <c r="H1494" cm="1">
        <f t="array" ref="H1494">IF(OR(AND(G1494=9,H$1&gt;YEAR($N1494))),9,_xlfn.IFNA(INDEX($D$2:$D$4001,_xlfn.XMATCH(H$1&amp;"-"&amp;$F1494,YEAR($B$2:$B$4001)&amp;"-"&amp;$A$2:$A$4001,0,-1)),G1494))</f>
        <v>9</v>
      </c>
      <c r="I1494" cm="1">
        <f t="array" ref="I1494">IF(OR(AND(H1494=9,I$1&gt;YEAR($N1494))),9,_xlfn.IFNA(INDEX($D$2:$D$4001,_xlfn.XMATCH(I$1&amp;"-"&amp;$F1494,YEAR($B$2:$B$4001)&amp;"-"&amp;$A$2:$A$4001,0,-1)),H1494))</f>
        <v>4</v>
      </c>
      <c r="J1494" cm="1">
        <f t="array" ref="J1494">IF(OR(AND(I1494=9,J$1&gt;YEAR($N1494))),9,_xlfn.IFNA(INDEX($D$2:$D$4001,_xlfn.XMATCH(J$1&amp;"-"&amp;$F1494,YEAR($B$2:$B$4001)&amp;"-"&amp;$A$2:$A$4001,0,-1)),I1494))</f>
        <v>4</v>
      </c>
      <c r="K1494" cm="1">
        <f t="array" ref="K1494">IF(OR(AND(J1494=9,K$1&gt;YEAR($N1494))),9,_xlfn.IFNA(INDEX($D$2:$D$4001,_xlfn.XMATCH(K$1&amp;"-"&amp;$F1494,YEAR($B$2:$B$4001)&amp;"-"&amp;$A$2:$A$4001,0,-1)),J1494))</f>
        <v>4</v>
      </c>
      <c r="L1494" cm="1">
        <f t="array" ref="L1494">IF(OR(AND(K1494=9,L$1&gt;YEAR($N1494))),9,_xlfn.IFNA(INDEX($D$2:$D$4001,_xlfn.XMATCH(L$1&amp;"-"&amp;$F1494,YEAR($B$2:$B$4001)&amp;"-"&amp;$A$2:$A$4001,0,-1)),K1494))</f>
        <v>4</v>
      </c>
      <c r="M1494" cm="1">
        <f t="array" ref="M1494">IF(OR(AND(L1494=9,M$1&gt;YEAR($N1494))),9,_xlfn.IFNA(INDEX($D$2:$D$4001,_xlfn.XMATCH(M$1&amp;"-"&amp;$F1494,YEAR($B$2:$B$4001)&amp;"-"&amp;$A$2:$A$4001,0,-1)),L1494))</f>
        <v>4</v>
      </c>
      <c r="N1494" s="1">
        <f t="shared" si="23"/>
        <v>37032</v>
      </c>
    </row>
    <row r="1495" spans="1:14" x14ac:dyDescent="0.35">
      <c r="A1495">
        <v>705</v>
      </c>
      <c r="B1495" s="2">
        <v>37559</v>
      </c>
      <c r="C1495">
        <v>2</v>
      </c>
      <c r="D1495">
        <v>2</v>
      </c>
      <c r="F1495">
        <v>1494</v>
      </c>
      <c r="G1495" cm="1">
        <f t="array" ref="G1495">_xlfn.IFNA(INDEX($D$2:$D$4001,_xlfn.XMATCH(G$1&amp;"-"&amp;$F1495,YEAR($B$2:$B$4001)&amp;"-"&amp;$A$2:$A$4001,0,-1)),9)</f>
        <v>9</v>
      </c>
      <c r="H1495" cm="1">
        <f t="array" ref="H1495">IF(OR(AND(G1495=9,H$1&gt;YEAR($N1495))),9,_xlfn.IFNA(INDEX($D$2:$D$4001,_xlfn.XMATCH(H$1&amp;"-"&amp;$F1495,YEAR($B$2:$B$4001)&amp;"-"&amp;$A$2:$A$4001,0,-1)),G1495))</f>
        <v>2</v>
      </c>
      <c r="I1495" cm="1">
        <f t="array" ref="I1495">IF(OR(AND(H1495=9,I$1&gt;YEAR($N1495))),9,_xlfn.IFNA(INDEX($D$2:$D$4001,_xlfn.XMATCH(I$1&amp;"-"&amp;$F1495,YEAR($B$2:$B$4001)&amp;"-"&amp;$A$2:$A$4001,0,-1)),H1495))</f>
        <v>2</v>
      </c>
      <c r="J1495" cm="1">
        <f t="array" ref="J1495">IF(OR(AND(I1495=9,J$1&gt;YEAR($N1495))),9,_xlfn.IFNA(INDEX($D$2:$D$4001,_xlfn.XMATCH(J$1&amp;"-"&amp;$F1495,YEAR($B$2:$B$4001)&amp;"-"&amp;$A$2:$A$4001,0,-1)),I1495))</f>
        <v>2</v>
      </c>
      <c r="K1495" cm="1">
        <f t="array" ref="K1495">IF(OR(AND(J1495=9,K$1&gt;YEAR($N1495))),9,_xlfn.IFNA(INDEX($D$2:$D$4001,_xlfn.XMATCH(K$1&amp;"-"&amp;$F1495,YEAR($B$2:$B$4001)&amp;"-"&amp;$A$2:$A$4001,0,-1)),J1495))</f>
        <v>2</v>
      </c>
      <c r="L1495" cm="1">
        <f t="array" ref="L1495">IF(OR(AND(K1495=9,L$1&gt;YEAR($N1495))),9,_xlfn.IFNA(INDEX($D$2:$D$4001,_xlfn.XMATCH(L$1&amp;"-"&amp;$F1495,YEAR($B$2:$B$4001)&amp;"-"&amp;$A$2:$A$4001,0,-1)),K1495))</f>
        <v>2</v>
      </c>
      <c r="M1495" cm="1">
        <f t="array" ref="M1495">IF(OR(AND(L1495=9,M$1&gt;YEAR($N1495))),9,_xlfn.IFNA(INDEX($D$2:$D$4001,_xlfn.XMATCH(M$1&amp;"-"&amp;$F1495,YEAR($B$2:$B$4001)&amp;"-"&amp;$A$2:$A$4001,0,-1)),L1495))</f>
        <v>2</v>
      </c>
      <c r="N1495" s="1">
        <f t="shared" si="23"/>
        <v>36799</v>
      </c>
    </row>
    <row r="1496" spans="1:14" x14ac:dyDescent="0.35">
      <c r="A1496">
        <v>706</v>
      </c>
      <c r="B1496" s="2">
        <v>36301</v>
      </c>
      <c r="C1496">
        <v>1</v>
      </c>
      <c r="D1496">
        <v>1</v>
      </c>
      <c r="F1496">
        <v>1495</v>
      </c>
      <c r="G1496" cm="1">
        <f t="array" ref="G1496">_xlfn.IFNA(INDEX($D$2:$D$4001,_xlfn.XMATCH(G$1&amp;"-"&amp;$F1496,YEAR($B$2:$B$4001)&amp;"-"&amp;$A$2:$A$4001,0,-1)),9)</f>
        <v>9</v>
      </c>
      <c r="H1496" cm="1">
        <f t="array" ref="H1496">IF(OR(AND(G1496=9,H$1&gt;YEAR($N1496))),9,_xlfn.IFNA(INDEX($D$2:$D$4001,_xlfn.XMATCH(H$1&amp;"-"&amp;$F1496,YEAR($B$2:$B$4001)&amp;"-"&amp;$A$2:$A$4001,0,-1)),G1496))</f>
        <v>9</v>
      </c>
      <c r="I1496" cm="1">
        <f t="array" ref="I1496">IF(OR(AND(H1496=9,I$1&gt;YEAR($N1496))),9,_xlfn.IFNA(INDEX($D$2:$D$4001,_xlfn.XMATCH(I$1&amp;"-"&amp;$F1496,YEAR($B$2:$B$4001)&amp;"-"&amp;$A$2:$A$4001,0,-1)),H1496))</f>
        <v>9</v>
      </c>
      <c r="J1496" cm="1">
        <f t="array" ref="J1496">IF(OR(AND(I1496=9,J$1&gt;YEAR($N1496))),9,_xlfn.IFNA(INDEX($D$2:$D$4001,_xlfn.XMATCH(J$1&amp;"-"&amp;$F1496,YEAR($B$2:$B$4001)&amp;"-"&amp;$A$2:$A$4001,0,-1)),I1496))</f>
        <v>9</v>
      </c>
      <c r="K1496" cm="1">
        <f t="array" ref="K1496">IF(OR(AND(J1496=9,K$1&gt;YEAR($N1496))),9,_xlfn.IFNA(INDEX($D$2:$D$4001,_xlfn.XMATCH(K$1&amp;"-"&amp;$F1496,YEAR($B$2:$B$4001)&amp;"-"&amp;$A$2:$A$4001,0,-1)),J1496))</f>
        <v>5</v>
      </c>
      <c r="L1496" cm="1">
        <f t="array" ref="L1496">IF(OR(AND(K1496=9,L$1&gt;YEAR($N1496))),9,_xlfn.IFNA(INDEX($D$2:$D$4001,_xlfn.XMATCH(L$1&amp;"-"&amp;$F1496,YEAR($B$2:$B$4001)&amp;"-"&amp;$A$2:$A$4001,0,-1)),K1496))</f>
        <v>5</v>
      </c>
      <c r="M1496" cm="1">
        <f t="array" ref="M1496">IF(OR(AND(L1496=9,M$1&gt;YEAR($N1496))),9,_xlfn.IFNA(INDEX($D$2:$D$4001,_xlfn.XMATCH(M$1&amp;"-"&amp;$F1496,YEAR($B$2:$B$4001)&amp;"-"&amp;$A$2:$A$4001,0,-1)),L1496))</f>
        <v>5</v>
      </c>
      <c r="N1496" s="1">
        <f t="shared" si="23"/>
        <v>37985</v>
      </c>
    </row>
    <row r="1497" spans="1:14" x14ac:dyDescent="0.35">
      <c r="A1497">
        <v>707</v>
      </c>
      <c r="B1497" s="2">
        <v>38594</v>
      </c>
      <c r="C1497">
        <v>5</v>
      </c>
      <c r="D1497">
        <v>5</v>
      </c>
      <c r="F1497">
        <v>1496</v>
      </c>
      <c r="G1497" cm="1">
        <f t="array" ref="G1497">_xlfn.IFNA(INDEX($D$2:$D$4001,_xlfn.XMATCH(G$1&amp;"-"&amp;$F1497,YEAR($B$2:$B$4001)&amp;"-"&amp;$A$2:$A$4001,0,-1)),9)</f>
        <v>9</v>
      </c>
      <c r="H1497" cm="1">
        <f t="array" ref="H1497">IF(OR(AND(G1497=9,H$1&gt;YEAR($N1497))),9,_xlfn.IFNA(INDEX($D$2:$D$4001,_xlfn.XMATCH(H$1&amp;"-"&amp;$F1497,YEAR($B$2:$B$4001)&amp;"-"&amp;$A$2:$A$4001,0,-1)),G1497))</f>
        <v>9</v>
      </c>
      <c r="I1497" cm="1">
        <f t="array" ref="I1497">IF(OR(AND(H1497=9,I$1&gt;YEAR($N1497))),9,_xlfn.IFNA(INDEX($D$2:$D$4001,_xlfn.XMATCH(I$1&amp;"-"&amp;$F1497,YEAR($B$2:$B$4001)&amp;"-"&amp;$A$2:$A$4001,0,-1)),H1497))</f>
        <v>0</v>
      </c>
      <c r="J1497" cm="1">
        <f t="array" ref="J1497">IF(OR(AND(I1497=9,J$1&gt;YEAR($N1497))),9,_xlfn.IFNA(INDEX($D$2:$D$4001,_xlfn.XMATCH(J$1&amp;"-"&amp;$F1497,YEAR($B$2:$B$4001)&amp;"-"&amp;$A$2:$A$4001,0,-1)),I1497))</f>
        <v>0</v>
      </c>
      <c r="K1497" cm="1">
        <f t="array" ref="K1497">IF(OR(AND(J1497=9,K$1&gt;YEAR($N1497))),9,_xlfn.IFNA(INDEX($D$2:$D$4001,_xlfn.XMATCH(K$1&amp;"-"&amp;$F1497,YEAR($B$2:$B$4001)&amp;"-"&amp;$A$2:$A$4001,0,-1)),J1497))</f>
        <v>0</v>
      </c>
      <c r="L1497" cm="1">
        <f t="array" ref="L1497">IF(OR(AND(K1497=9,L$1&gt;YEAR($N1497))),9,_xlfn.IFNA(INDEX($D$2:$D$4001,_xlfn.XMATCH(L$1&amp;"-"&amp;$F1497,YEAR($B$2:$B$4001)&amp;"-"&amp;$A$2:$A$4001,0,-1)),K1497))</f>
        <v>0</v>
      </c>
      <c r="M1497" cm="1">
        <f t="array" ref="M1497">IF(OR(AND(L1497=9,M$1&gt;YEAR($N1497))),9,_xlfn.IFNA(INDEX($D$2:$D$4001,_xlfn.XMATCH(M$1&amp;"-"&amp;$F1497,YEAR($B$2:$B$4001)&amp;"-"&amp;$A$2:$A$4001,0,-1)),L1497))</f>
        <v>0</v>
      </c>
      <c r="N1497" s="1">
        <f t="shared" si="23"/>
        <v>37093</v>
      </c>
    </row>
    <row r="1498" spans="1:14" x14ac:dyDescent="0.35">
      <c r="A1498">
        <v>708</v>
      </c>
      <c r="B1498" s="2">
        <v>36301</v>
      </c>
      <c r="C1498">
        <v>2</v>
      </c>
      <c r="D1498">
        <v>2</v>
      </c>
      <c r="F1498">
        <v>1497</v>
      </c>
      <c r="G1498" cm="1">
        <f t="array" ref="G1498">_xlfn.IFNA(INDEX($D$2:$D$4001,_xlfn.XMATCH(G$1&amp;"-"&amp;$F1498,YEAR($B$2:$B$4001)&amp;"-"&amp;$A$2:$A$4001,0,-1)),9)</f>
        <v>9</v>
      </c>
      <c r="H1498" cm="1">
        <f t="array" ref="H1498">IF(OR(AND(G1498=9,H$1&gt;YEAR($N1498))),9,_xlfn.IFNA(INDEX($D$2:$D$4001,_xlfn.XMATCH(H$1&amp;"-"&amp;$F1498,YEAR($B$2:$B$4001)&amp;"-"&amp;$A$2:$A$4001,0,-1)),G1498))</f>
        <v>9</v>
      </c>
      <c r="I1498" cm="1">
        <f t="array" ref="I1498">IF(OR(AND(H1498=9,I$1&gt;YEAR($N1498))),9,_xlfn.IFNA(INDEX($D$2:$D$4001,_xlfn.XMATCH(I$1&amp;"-"&amp;$F1498,YEAR($B$2:$B$4001)&amp;"-"&amp;$A$2:$A$4001,0,-1)),H1498))</f>
        <v>9</v>
      </c>
      <c r="J1498" cm="1">
        <f t="array" ref="J1498">IF(OR(AND(I1498=9,J$1&gt;YEAR($N1498))),9,_xlfn.IFNA(INDEX($D$2:$D$4001,_xlfn.XMATCH(J$1&amp;"-"&amp;$F1498,YEAR($B$2:$B$4001)&amp;"-"&amp;$A$2:$A$4001,0,-1)),I1498))</f>
        <v>9</v>
      </c>
      <c r="K1498" cm="1">
        <f t="array" ref="K1498">IF(OR(AND(J1498=9,K$1&gt;YEAR($N1498))),9,_xlfn.IFNA(INDEX($D$2:$D$4001,_xlfn.XMATCH(K$1&amp;"-"&amp;$F1498,YEAR($B$2:$B$4001)&amp;"-"&amp;$A$2:$A$4001,0,-1)),J1498))</f>
        <v>9</v>
      </c>
      <c r="L1498" cm="1">
        <f t="array" ref="L1498">IF(OR(AND(K1498=9,L$1&gt;YEAR($N1498))),9,_xlfn.IFNA(INDEX($D$2:$D$4001,_xlfn.XMATCH(L$1&amp;"-"&amp;$F1498,YEAR($B$2:$B$4001)&amp;"-"&amp;$A$2:$A$4001,0,-1)),K1498))</f>
        <v>6</v>
      </c>
      <c r="M1498" cm="1">
        <f t="array" ref="M1498">IF(OR(AND(L1498=9,M$1&gt;YEAR($N1498))),9,_xlfn.IFNA(INDEX($D$2:$D$4001,_xlfn.XMATCH(M$1&amp;"-"&amp;$F1498,YEAR($B$2:$B$4001)&amp;"-"&amp;$A$2:$A$4001,0,-1)),L1498))</f>
        <v>6</v>
      </c>
      <c r="N1498" s="1">
        <f t="shared" si="23"/>
        <v>38137</v>
      </c>
    </row>
    <row r="1499" spans="1:14" x14ac:dyDescent="0.35">
      <c r="A1499">
        <v>709</v>
      </c>
      <c r="B1499" s="2">
        <v>36301</v>
      </c>
      <c r="C1499">
        <v>2</v>
      </c>
      <c r="D1499">
        <v>2</v>
      </c>
      <c r="F1499">
        <v>1498</v>
      </c>
      <c r="G1499" cm="1">
        <f t="array" ref="G1499">_xlfn.IFNA(INDEX($D$2:$D$4001,_xlfn.XMATCH(G$1&amp;"-"&amp;$F1499,YEAR($B$2:$B$4001)&amp;"-"&amp;$A$2:$A$4001,0,-1)),9)</f>
        <v>9</v>
      </c>
      <c r="H1499" cm="1">
        <f t="array" ref="H1499">IF(OR(AND(G1499=9,H$1&gt;YEAR($N1499))),9,_xlfn.IFNA(INDEX($D$2:$D$4001,_xlfn.XMATCH(H$1&amp;"-"&amp;$F1499,YEAR($B$2:$B$4001)&amp;"-"&amp;$A$2:$A$4001,0,-1)),G1499))</f>
        <v>9</v>
      </c>
      <c r="I1499" cm="1">
        <f t="array" ref="I1499">IF(OR(AND(H1499=9,I$1&gt;YEAR($N1499))),9,_xlfn.IFNA(INDEX($D$2:$D$4001,_xlfn.XMATCH(I$1&amp;"-"&amp;$F1499,YEAR($B$2:$B$4001)&amp;"-"&amp;$A$2:$A$4001,0,-1)),H1499))</f>
        <v>5</v>
      </c>
      <c r="J1499" cm="1">
        <f t="array" ref="J1499">IF(OR(AND(I1499=9,J$1&gt;YEAR($N1499))),9,_xlfn.IFNA(INDEX($D$2:$D$4001,_xlfn.XMATCH(J$1&amp;"-"&amp;$F1499,YEAR($B$2:$B$4001)&amp;"-"&amp;$A$2:$A$4001,0,-1)),I1499))</f>
        <v>5</v>
      </c>
      <c r="K1499" cm="1">
        <f t="array" ref="K1499">IF(OR(AND(J1499=9,K$1&gt;YEAR($N1499))),9,_xlfn.IFNA(INDEX($D$2:$D$4001,_xlfn.XMATCH(K$1&amp;"-"&amp;$F1499,YEAR($B$2:$B$4001)&amp;"-"&amp;$A$2:$A$4001,0,-1)),J1499))</f>
        <v>5</v>
      </c>
      <c r="L1499" cm="1">
        <f t="array" ref="L1499">IF(OR(AND(K1499=9,L$1&gt;YEAR($N1499))),9,_xlfn.IFNA(INDEX($D$2:$D$4001,_xlfn.XMATCH(L$1&amp;"-"&amp;$F1499,YEAR($B$2:$B$4001)&amp;"-"&amp;$A$2:$A$4001,0,-1)),K1499))</f>
        <v>5</v>
      </c>
      <c r="M1499" cm="1">
        <f t="array" ref="M1499">IF(OR(AND(L1499=9,M$1&gt;YEAR($N1499))),9,_xlfn.IFNA(INDEX($D$2:$D$4001,_xlfn.XMATCH(M$1&amp;"-"&amp;$F1499,YEAR($B$2:$B$4001)&amp;"-"&amp;$A$2:$A$4001,0,-1)),L1499))</f>
        <v>5</v>
      </c>
      <c r="N1499" s="1">
        <f t="shared" si="23"/>
        <v>37041</v>
      </c>
    </row>
    <row r="1500" spans="1:14" x14ac:dyDescent="0.35">
      <c r="A1500">
        <v>710</v>
      </c>
      <c r="B1500" s="2">
        <v>37522</v>
      </c>
      <c r="C1500">
        <v>3</v>
      </c>
      <c r="D1500">
        <v>3</v>
      </c>
      <c r="F1500">
        <v>1499</v>
      </c>
      <c r="G1500" cm="1">
        <f t="array" ref="G1500">_xlfn.IFNA(INDEX($D$2:$D$4001,_xlfn.XMATCH(G$1&amp;"-"&amp;$F1500,YEAR($B$2:$B$4001)&amp;"-"&amp;$A$2:$A$4001,0,-1)),9)</f>
        <v>4</v>
      </c>
      <c r="H1500" cm="1">
        <f t="array" ref="H1500">IF(OR(AND(G1500=9,H$1&gt;YEAR($N1500))),9,_xlfn.IFNA(INDEX($D$2:$D$4001,_xlfn.XMATCH(H$1&amp;"-"&amp;$F1500,YEAR($B$2:$B$4001)&amp;"-"&amp;$A$2:$A$4001,0,-1)),G1500))</f>
        <v>4</v>
      </c>
      <c r="I1500" cm="1">
        <f t="array" ref="I1500">IF(OR(AND(H1500=9,I$1&gt;YEAR($N1500))),9,_xlfn.IFNA(INDEX($D$2:$D$4001,_xlfn.XMATCH(I$1&amp;"-"&amp;$F1500,YEAR($B$2:$B$4001)&amp;"-"&amp;$A$2:$A$4001,0,-1)),H1500))</f>
        <v>4</v>
      </c>
      <c r="J1500" cm="1">
        <f t="array" ref="J1500">IF(OR(AND(I1500=9,J$1&gt;YEAR($N1500))),9,_xlfn.IFNA(INDEX($D$2:$D$4001,_xlfn.XMATCH(J$1&amp;"-"&amp;$F1500,YEAR($B$2:$B$4001)&amp;"-"&amp;$A$2:$A$4001,0,-1)),I1500))</f>
        <v>3</v>
      </c>
      <c r="K1500" cm="1">
        <f t="array" ref="K1500">IF(OR(AND(J1500=9,K$1&gt;YEAR($N1500))),9,_xlfn.IFNA(INDEX($D$2:$D$4001,_xlfn.XMATCH(K$1&amp;"-"&amp;$F1500,YEAR($B$2:$B$4001)&amp;"-"&amp;$A$2:$A$4001,0,-1)),J1500))</f>
        <v>3</v>
      </c>
      <c r="L1500" cm="1">
        <f t="array" ref="L1500">IF(OR(AND(K1500=9,L$1&gt;YEAR($N1500))),9,_xlfn.IFNA(INDEX($D$2:$D$4001,_xlfn.XMATCH(L$1&amp;"-"&amp;$F1500,YEAR($B$2:$B$4001)&amp;"-"&amp;$A$2:$A$4001,0,-1)),K1500))</f>
        <v>3</v>
      </c>
      <c r="M1500" cm="1">
        <f t="array" ref="M1500">IF(OR(AND(L1500=9,M$1&gt;YEAR($N1500))),9,_xlfn.IFNA(INDEX($D$2:$D$4001,_xlfn.XMATCH(M$1&amp;"-"&amp;$F1500,YEAR($B$2:$B$4001)&amp;"-"&amp;$A$2:$A$4001,0,-1)),L1500))</f>
        <v>3</v>
      </c>
      <c r="N1500" s="1">
        <f t="shared" si="23"/>
        <v>36524</v>
      </c>
    </row>
    <row r="1501" spans="1:14" x14ac:dyDescent="0.35">
      <c r="A1501">
        <v>710</v>
      </c>
      <c r="B1501" s="2">
        <v>37529</v>
      </c>
      <c r="C1501">
        <v>2</v>
      </c>
      <c r="D1501">
        <v>2</v>
      </c>
      <c r="F1501">
        <v>1500</v>
      </c>
      <c r="G1501" cm="1">
        <f t="array" ref="G1501">_xlfn.IFNA(INDEX($D$2:$D$4001,_xlfn.XMATCH(G$1&amp;"-"&amp;$F1501,YEAR($B$2:$B$4001)&amp;"-"&amp;$A$2:$A$4001,0,-1)),9)</f>
        <v>5</v>
      </c>
      <c r="H1501" cm="1">
        <f t="array" ref="H1501">IF(OR(AND(G1501=9,H$1&gt;YEAR($N1501))),9,_xlfn.IFNA(INDEX($D$2:$D$4001,_xlfn.XMATCH(H$1&amp;"-"&amp;$F1501,YEAR($B$2:$B$4001)&amp;"-"&amp;$A$2:$A$4001,0,-1)),G1501))</f>
        <v>5</v>
      </c>
      <c r="I1501" cm="1">
        <f t="array" ref="I1501">IF(OR(AND(H1501=9,I$1&gt;YEAR($N1501))),9,_xlfn.IFNA(INDEX($D$2:$D$4001,_xlfn.XMATCH(I$1&amp;"-"&amp;$F1501,YEAR($B$2:$B$4001)&amp;"-"&amp;$A$2:$A$4001,0,-1)),H1501))</f>
        <v>7</v>
      </c>
      <c r="J1501" cm="1">
        <f t="array" ref="J1501">IF(OR(AND(I1501=9,J$1&gt;YEAR($N1501))),9,_xlfn.IFNA(INDEX($D$2:$D$4001,_xlfn.XMATCH(J$1&amp;"-"&amp;$F1501,YEAR($B$2:$B$4001)&amp;"-"&amp;$A$2:$A$4001,0,-1)),I1501))</f>
        <v>7</v>
      </c>
      <c r="K1501" cm="1">
        <f t="array" ref="K1501">IF(OR(AND(J1501=9,K$1&gt;YEAR($N1501))),9,_xlfn.IFNA(INDEX($D$2:$D$4001,_xlfn.XMATCH(K$1&amp;"-"&amp;$F1501,YEAR($B$2:$B$4001)&amp;"-"&amp;$A$2:$A$4001,0,-1)),J1501))</f>
        <v>0</v>
      </c>
      <c r="L1501" cm="1">
        <f t="array" ref="L1501">IF(OR(AND(K1501=9,L$1&gt;YEAR($N1501))),9,_xlfn.IFNA(INDEX($D$2:$D$4001,_xlfn.XMATCH(L$1&amp;"-"&amp;$F1501,YEAR($B$2:$B$4001)&amp;"-"&amp;$A$2:$A$4001,0,-1)),K1501))</f>
        <v>0</v>
      </c>
      <c r="M1501" cm="1">
        <f t="array" ref="M1501">IF(OR(AND(L1501=9,M$1&gt;YEAR($N1501))),9,_xlfn.IFNA(INDEX($D$2:$D$4001,_xlfn.XMATCH(M$1&amp;"-"&amp;$F1501,YEAR($B$2:$B$4001)&amp;"-"&amp;$A$2:$A$4001,0,-1)),L1501))</f>
        <v>0</v>
      </c>
      <c r="N1501" s="1">
        <f t="shared" si="23"/>
        <v>36301</v>
      </c>
    </row>
    <row r="1502" spans="1:14" x14ac:dyDescent="0.35">
      <c r="A1502">
        <v>711</v>
      </c>
      <c r="B1502" s="2">
        <v>36860</v>
      </c>
      <c r="C1502">
        <v>4</v>
      </c>
      <c r="D1502">
        <v>4</v>
      </c>
      <c r="F1502">
        <v>1501</v>
      </c>
      <c r="G1502" cm="1">
        <f t="array" ref="G1502">_xlfn.IFNA(INDEX($D$2:$D$4001,_xlfn.XMATCH(G$1&amp;"-"&amp;$F1502,YEAR($B$2:$B$4001)&amp;"-"&amp;$A$2:$A$4001,0,-1)),9)</f>
        <v>9</v>
      </c>
      <c r="H1502" cm="1">
        <f t="array" ref="H1502">IF(OR(AND(G1502=9,H$1&gt;YEAR($N1502))),9,_xlfn.IFNA(INDEX($D$2:$D$4001,_xlfn.XMATCH(H$1&amp;"-"&amp;$F1502,YEAR($B$2:$B$4001)&amp;"-"&amp;$A$2:$A$4001,0,-1)),G1502))</f>
        <v>9</v>
      </c>
      <c r="I1502" cm="1">
        <f t="array" ref="I1502">IF(OR(AND(H1502=9,I$1&gt;YEAR($N1502))),9,_xlfn.IFNA(INDEX($D$2:$D$4001,_xlfn.XMATCH(I$1&amp;"-"&amp;$F1502,YEAR($B$2:$B$4001)&amp;"-"&amp;$A$2:$A$4001,0,-1)),H1502))</f>
        <v>9</v>
      </c>
      <c r="J1502" cm="1">
        <f t="array" ref="J1502">IF(OR(AND(I1502=9,J$1&gt;YEAR($N1502))),9,_xlfn.IFNA(INDEX($D$2:$D$4001,_xlfn.XMATCH(J$1&amp;"-"&amp;$F1502,YEAR($B$2:$B$4001)&amp;"-"&amp;$A$2:$A$4001,0,-1)),I1502))</f>
        <v>0</v>
      </c>
      <c r="K1502" cm="1">
        <f t="array" ref="K1502">IF(OR(AND(J1502=9,K$1&gt;YEAR($N1502))),9,_xlfn.IFNA(INDEX($D$2:$D$4001,_xlfn.XMATCH(K$1&amp;"-"&amp;$F1502,YEAR($B$2:$B$4001)&amp;"-"&amp;$A$2:$A$4001,0,-1)),J1502))</f>
        <v>5</v>
      </c>
      <c r="L1502" cm="1">
        <f t="array" ref="L1502">IF(OR(AND(K1502=9,L$1&gt;YEAR($N1502))),9,_xlfn.IFNA(INDEX($D$2:$D$4001,_xlfn.XMATCH(L$1&amp;"-"&amp;$F1502,YEAR($B$2:$B$4001)&amp;"-"&amp;$A$2:$A$4001,0,-1)),K1502))</f>
        <v>5</v>
      </c>
      <c r="M1502" cm="1">
        <f t="array" ref="M1502">IF(OR(AND(L1502=9,M$1&gt;YEAR($N1502))),9,_xlfn.IFNA(INDEX($D$2:$D$4001,_xlfn.XMATCH(M$1&amp;"-"&amp;$F1502,YEAR($B$2:$B$4001)&amp;"-"&amp;$A$2:$A$4001,0,-1)),L1502))</f>
        <v>5</v>
      </c>
      <c r="N1502" s="1">
        <f t="shared" si="23"/>
        <v>37405</v>
      </c>
    </row>
    <row r="1503" spans="1:14" x14ac:dyDescent="0.35">
      <c r="A1503">
        <v>711</v>
      </c>
      <c r="B1503" s="2">
        <v>37397</v>
      </c>
      <c r="C1503">
        <v>4</v>
      </c>
      <c r="D1503">
        <v>4</v>
      </c>
      <c r="F1503">
        <v>1502</v>
      </c>
      <c r="G1503" cm="1">
        <f t="array" ref="G1503">_xlfn.IFNA(INDEX($D$2:$D$4001,_xlfn.XMATCH(G$1&amp;"-"&amp;$F1503,YEAR($B$2:$B$4001)&amp;"-"&amp;$A$2:$A$4001,0,-1)),9)</f>
        <v>9</v>
      </c>
      <c r="H1503" cm="1">
        <f t="array" ref="H1503">IF(OR(AND(G1503=9,H$1&gt;YEAR($N1503))),9,_xlfn.IFNA(INDEX($D$2:$D$4001,_xlfn.XMATCH(H$1&amp;"-"&amp;$F1503,YEAR($B$2:$B$4001)&amp;"-"&amp;$A$2:$A$4001,0,-1)),G1503))</f>
        <v>9</v>
      </c>
      <c r="I1503" cm="1">
        <f t="array" ref="I1503">IF(OR(AND(H1503=9,I$1&gt;YEAR($N1503))),9,_xlfn.IFNA(INDEX($D$2:$D$4001,_xlfn.XMATCH(I$1&amp;"-"&amp;$F1503,YEAR($B$2:$B$4001)&amp;"-"&amp;$A$2:$A$4001,0,-1)),H1503))</f>
        <v>4</v>
      </c>
      <c r="J1503" cm="1">
        <f t="array" ref="J1503">IF(OR(AND(I1503=9,J$1&gt;YEAR($N1503))),9,_xlfn.IFNA(INDEX($D$2:$D$4001,_xlfn.XMATCH(J$1&amp;"-"&amp;$F1503,YEAR($B$2:$B$4001)&amp;"-"&amp;$A$2:$A$4001,0,-1)),I1503))</f>
        <v>4</v>
      </c>
      <c r="K1503" cm="1">
        <f t="array" ref="K1503">IF(OR(AND(J1503=9,K$1&gt;YEAR($N1503))),9,_xlfn.IFNA(INDEX($D$2:$D$4001,_xlfn.XMATCH(K$1&amp;"-"&amp;$F1503,YEAR($B$2:$B$4001)&amp;"-"&amp;$A$2:$A$4001,0,-1)),J1503))</f>
        <v>4</v>
      </c>
      <c r="L1503" cm="1">
        <f t="array" ref="L1503">IF(OR(AND(K1503=9,L$1&gt;YEAR($N1503))),9,_xlfn.IFNA(INDEX($D$2:$D$4001,_xlfn.XMATCH(L$1&amp;"-"&amp;$F1503,YEAR($B$2:$B$4001)&amp;"-"&amp;$A$2:$A$4001,0,-1)),K1503))</f>
        <v>4</v>
      </c>
      <c r="M1503" cm="1">
        <f t="array" ref="M1503">IF(OR(AND(L1503=9,M$1&gt;YEAR($N1503))),9,_xlfn.IFNA(INDEX($D$2:$D$4001,_xlfn.XMATCH(M$1&amp;"-"&amp;$F1503,YEAR($B$2:$B$4001)&amp;"-"&amp;$A$2:$A$4001,0,-1)),L1503))</f>
        <v>4</v>
      </c>
      <c r="N1503" s="1">
        <f t="shared" si="23"/>
        <v>37041</v>
      </c>
    </row>
    <row r="1504" spans="1:14" x14ac:dyDescent="0.35">
      <c r="A1504">
        <v>712</v>
      </c>
      <c r="B1504" s="2">
        <v>36890</v>
      </c>
      <c r="C1504">
        <v>5</v>
      </c>
      <c r="D1504">
        <v>5</v>
      </c>
      <c r="F1504">
        <v>1503</v>
      </c>
      <c r="G1504" cm="1">
        <f t="array" ref="G1504">_xlfn.IFNA(INDEX($D$2:$D$4001,_xlfn.XMATCH(G$1&amp;"-"&amp;$F1504,YEAR($B$2:$B$4001)&amp;"-"&amp;$A$2:$A$4001,0,-1)),9)</f>
        <v>9</v>
      </c>
      <c r="H1504" cm="1">
        <f t="array" ref="H1504">IF(OR(AND(G1504=9,H$1&gt;YEAR($N1504))),9,_xlfn.IFNA(INDEX($D$2:$D$4001,_xlfn.XMATCH(H$1&amp;"-"&amp;$F1504,YEAR($B$2:$B$4001)&amp;"-"&amp;$A$2:$A$4001,0,-1)),G1504))</f>
        <v>9</v>
      </c>
      <c r="I1504" cm="1">
        <f t="array" ref="I1504">IF(OR(AND(H1504=9,I$1&gt;YEAR($N1504))),9,_xlfn.IFNA(INDEX($D$2:$D$4001,_xlfn.XMATCH(I$1&amp;"-"&amp;$F1504,YEAR($B$2:$B$4001)&amp;"-"&amp;$A$2:$A$4001,0,-1)),H1504))</f>
        <v>9</v>
      </c>
      <c r="J1504" cm="1">
        <f t="array" ref="J1504">IF(OR(AND(I1504=9,J$1&gt;YEAR($N1504))),9,_xlfn.IFNA(INDEX($D$2:$D$4001,_xlfn.XMATCH(J$1&amp;"-"&amp;$F1504,YEAR($B$2:$B$4001)&amp;"-"&amp;$A$2:$A$4001,0,-1)),I1504))</f>
        <v>9</v>
      </c>
      <c r="K1504" cm="1">
        <f t="array" ref="K1504">IF(OR(AND(J1504=9,K$1&gt;YEAR($N1504))),9,_xlfn.IFNA(INDEX($D$2:$D$4001,_xlfn.XMATCH(K$1&amp;"-"&amp;$F1504,YEAR($B$2:$B$4001)&amp;"-"&amp;$A$2:$A$4001,0,-1)),J1504))</f>
        <v>9</v>
      </c>
      <c r="L1504" cm="1">
        <f t="array" ref="L1504">IF(OR(AND(K1504=9,L$1&gt;YEAR($N1504))),9,_xlfn.IFNA(INDEX($D$2:$D$4001,_xlfn.XMATCH(L$1&amp;"-"&amp;$F1504,YEAR($B$2:$B$4001)&amp;"-"&amp;$A$2:$A$4001,0,-1)),K1504))</f>
        <v>7</v>
      </c>
      <c r="M1504" cm="1">
        <f t="array" ref="M1504">IF(OR(AND(L1504=9,M$1&gt;YEAR($N1504))),9,_xlfn.IFNA(INDEX($D$2:$D$4001,_xlfn.XMATCH(M$1&amp;"-"&amp;$F1504,YEAR($B$2:$B$4001)&amp;"-"&amp;$A$2:$A$4001,0,-1)),L1504))</f>
        <v>7</v>
      </c>
      <c r="N1504" s="1">
        <f t="shared" si="23"/>
        <v>38229</v>
      </c>
    </row>
    <row r="1505" spans="1:14" x14ac:dyDescent="0.35">
      <c r="A1505">
        <v>712</v>
      </c>
      <c r="B1505" s="2">
        <v>37063</v>
      </c>
      <c r="C1505">
        <v>5</v>
      </c>
      <c r="D1505">
        <v>5</v>
      </c>
      <c r="F1505">
        <v>1504</v>
      </c>
      <c r="G1505" cm="1">
        <f t="array" ref="G1505">_xlfn.IFNA(INDEX($D$2:$D$4001,_xlfn.XMATCH(G$1&amp;"-"&amp;$F1505,YEAR($B$2:$B$4001)&amp;"-"&amp;$A$2:$A$4001,0,-1)),9)</f>
        <v>9</v>
      </c>
      <c r="H1505" cm="1">
        <f t="array" ref="H1505">IF(OR(AND(G1505=9,H$1&gt;YEAR($N1505))),9,_xlfn.IFNA(INDEX($D$2:$D$4001,_xlfn.XMATCH(H$1&amp;"-"&amp;$F1505,YEAR($B$2:$B$4001)&amp;"-"&amp;$A$2:$A$4001,0,-1)),G1505))</f>
        <v>2</v>
      </c>
      <c r="I1505" cm="1">
        <f t="array" ref="I1505">IF(OR(AND(H1505=9,I$1&gt;YEAR($N1505))),9,_xlfn.IFNA(INDEX($D$2:$D$4001,_xlfn.XMATCH(I$1&amp;"-"&amp;$F1505,YEAR($B$2:$B$4001)&amp;"-"&amp;$A$2:$A$4001,0,-1)),H1505))</f>
        <v>2</v>
      </c>
      <c r="J1505" cm="1">
        <f t="array" ref="J1505">IF(OR(AND(I1505=9,J$1&gt;YEAR($N1505))),9,_xlfn.IFNA(INDEX($D$2:$D$4001,_xlfn.XMATCH(J$1&amp;"-"&amp;$F1505,YEAR($B$2:$B$4001)&amp;"-"&amp;$A$2:$A$4001,0,-1)),I1505))</f>
        <v>2</v>
      </c>
      <c r="K1505" cm="1">
        <f t="array" ref="K1505">IF(OR(AND(J1505=9,K$1&gt;YEAR($N1505))),9,_xlfn.IFNA(INDEX($D$2:$D$4001,_xlfn.XMATCH(K$1&amp;"-"&amp;$F1505,YEAR($B$2:$B$4001)&amp;"-"&amp;$A$2:$A$4001,0,-1)),J1505))</f>
        <v>2</v>
      </c>
      <c r="L1505" cm="1">
        <f t="array" ref="L1505">IF(OR(AND(K1505=9,L$1&gt;YEAR($N1505))),9,_xlfn.IFNA(INDEX($D$2:$D$4001,_xlfn.XMATCH(L$1&amp;"-"&amp;$F1505,YEAR($B$2:$B$4001)&amp;"-"&amp;$A$2:$A$4001,0,-1)),K1505))</f>
        <v>2</v>
      </c>
      <c r="M1505" cm="1">
        <f t="array" ref="M1505">IF(OR(AND(L1505=9,M$1&gt;YEAR($N1505))),9,_xlfn.IFNA(INDEX($D$2:$D$4001,_xlfn.XMATCH(M$1&amp;"-"&amp;$F1505,YEAR($B$2:$B$4001)&amp;"-"&amp;$A$2:$A$4001,0,-1)),L1505))</f>
        <v>2</v>
      </c>
      <c r="N1505" s="1">
        <f t="shared" si="23"/>
        <v>36676</v>
      </c>
    </row>
    <row r="1506" spans="1:14" x14ac:dyDescent="0.35">
      <c r="A1506">
        <v>712</v>
      </c>
      <c r="B1506" s="2">
        <v>38351</v>
      </c>
      <c r="C1506">
        <v>4</v>
      </c>
      <c r="D1506">
        <v>4</v>
      </c>
      <c r="F1506">
        <v>1505</v>
      </c>
      <c r="G1506" cm="1">
        <f t="array" ref="G1506">_xlfn.IFNA(INDEX($D$2:$D$4001,_xlfn.XMATCH(G$1&amp;"-"&amp;$F1506,YEAR($B$2:$B$4001)&amp;"-"&amp;$A$2:$A$4001,0,-1)),9)</f>
        <v>9</v>
      </c>
      <c r="H1506" cm="1">
        <f t="array" ref="H1506">IF(OR(AND(G1506=9,H$1&gt;YEAR($N1506))),9,_xlfn.IFNA(INDEX($D$2:$D$4001,_xlfn.XMATCH(H$1&amp;"-"&amp;$F1506,YEAR($B$2:$B$4001)&amp;"-"&amp;$A$2:$A$4001,0,-1)),G1506))</f>
        <v>9</v>
      </c>
      <c r="I1506" cm="1">
        <f t="array" ref="I1506">IF(OR(AND(H1506=9,I$1&gt;YEAR($N1506))),9,_xlfn.IFNA(INDEX($D$2:$D$4001,_xlfn.XMATCH(I$1&amp;"-"&amp;$F1506,YEAR($B$2:$B$4001)&amp;"-"&amp;$A$2:$A$4001,0,-1)),H1506))</f>
        <v>9</v>
      </c>
      <c r="J1506" cm="1">
        <f t="array" ref="J1506">IF(OR(AND(I1506=9,J$1&gt;YEAR($N1506))),9,_xlfn.IFNA(INDEX($D$2:$D$4001,_xlfn.XMATCH(J$1&amp;"-"&amp;$F1506,YEAR($B$2:$B$4001)&amp;"-"&amp;$A$2:$A$4001,0,-1)),I1506))</f>
        <v>9</v>
      </c>
      <c r="K1506" cm="1">
        <f t="array" ref="K1506">IF(OR(AND(J1506=9,K$1&gt;YEAR($N1506))),9,_xlfn.IFNA(INDEX($D$2:$D$4001,_xlfn.XMATCH(K$1&amp;"-"&amp;$F1506,YEAR($B$2:$B$4001)&amp;"-"&amp;$A$2:$A$4001,0,-1)),J1506))</f>
        <v>3</v>
      </c>
      <c r="L1506" cm="1">
        <f t="array" ref="L1506">IF(OR(AND(K1506=9,L$1&gt;YEAR($N1506))),9,_xlfn.IFNA(INDEX($D$2:$D$4001,_xlfn.XMATCH(L$1&amp;"-"&amp;$F1506,YEAR($B$2:$B$4001)&amp;"-"&amp;$A$2:$A$4001,0,-1)),K1506))</f>
        <v>3</v>
      </c>
      <c r="M1506" cm="1">
        <f t="array" ref="M1506">IF(OR(AND(L1506=9,M$1&gt;YEAR($N1506))),9,_xlfn.IFNA(INDEX($D$2:$D$4001,_xlfn.XMATCH(M$1&amp;"-"&amp;$F1506,YEAR($B$2:$B$4001)&amp;"-"&amp;$A$2:$A$4001,0,-1)),L1506))</f>
        <v>3</v>
      </c>
      <c r="N1506" s="1">
        <f t="shared" si="23"/>
        <v>37985</v>
      </c>
    </row>
    <row r="1507" spans="1:14" x14ac:dyDescent="0.35">
      <c r="A1507">
        <v>713</v>
      </c>
      <c r="B1507" s="2">
        <v>36301</v>
      </c>
      <c r="C1507">
        <v>4</v>
      </c>
      <c r="D1507">
        <v>4</v>
      </c>
      <c r="F1507">
        <v>1506</v>
      </c>
      <c r="G1507" cm="1">
        <f t="array" ref="G1507">_xlfn.IFNA(INDEX($D$2:$D$4001,_xlfn.XMATCH(G$1&amp;"-"&amp;$F1507,YEAR($B$2:$B$4001)&amp;"-"&amp;$A$2:$A$4001,0,-1)),9)</f>
        <v>9</v>
      </c>
      <c r="H1507" cm="1">
        <f t="array" ref="H1507">IF(OR(AND(G1507=9,H$1&gt;YEAR($N1507))),9,_xlfn.IFNA(INDEX($D$2:$D$4001,_xlfn.XMATCH(H$1&amp;"-"&amp;$F1507,YEAR($B$2:$B$4001)&amp;"-"&amp;$A$2:$A$4001,0,-1)),G1507))</f>
        <v>9</v>
      </c>
      <c r="I1507" cm="1">
        <f t="array" ref="I1507">IF(OR(AND(H1507=9,I$1&gt;YEAR($N1507))),9,_xlfn.IFNA(INDEX($D$2:$D$4001,_xlfn.XMATCH(I$1&amp;"-"&amp;$F1507,YEAR($B$2:$B$4001)&amp;"-"&amp;$A$2:$A$4001,0,-1)),H1507))</f>
        <v>4</v>
      </c>
      <c r="J1507" cm="1">
        <f t="array" ref="J1507">IF(OR(AND(I1507=9,J$1&gt;YEAR($N1507))),9,_xlfn.IFNA(INDEX($D$2:$D$4001,_xlfn.XMATCH(J$1&amp;"-"&amp;$F1507,YEAR($B$2:$B$4001)&amp;"-"&amp;$A$2:$A$4001,0,-1)),I1507))</f>
        <v>4</v>
      </c>
      <c r="K1507" cm="1">
        <f t="array" ref="K1507">IF(OR(AND(J1507=9,K$1&gt;YEAR($N1507))),9,_xlfn.IFNA(INDEX($D$2:$D$4001,_xlfn.XMATCH(K$1&amp;"-"&amp;$F1507,YEAR($B$2:$B$4001)&amp;"-"&amp;$A$2:$A$4001,0,-1)),J1507))</f>
        <v>4</v>
      </c>
      <c r="L1507" cm="1">
        <f t="array" ref="L1507">IF(OR(AND(K1507=9,L$1&gt;YEAR($N1507))),9,_xlfn.IFNA(INDEX($D$2:$D$4001,_xlfn.XMATCH(L$1&amp;"-"&amp;$F1507,YEAR($B$2:$B$4001)&amp;"-"&amp;$A$2:$A$4001,0,-1)),K1507))</f>
        <v>5</v>
      </c>
      <c r="M1507" cm="1">
        <f t="array" ref="M1507">IF(OR(AND(L1507=9,M$1&gt;YEAR($N1507))),9,_xlfn.IFNA(INDEX($D$2:$D$4001,_xlfn.XMATCH(M$1&amp;"-"&amp;$F1507,YEAR($B$2:$B$4001)&amp;"-"&amp;$A$2:$A$4001,0,-1)),L1507))</f>
        <v>5</v>
      </c>
      <c r="N1507" s="1">
        <f t="shared" si="23"/>
        <v>37194</v>
      </c>
    </row>
    <row r="1508" spans="1:14" x14ac:dyDescent="0.35">
      <c r="A1508">
        <v>713</v>
      </c>
      <c r="B1508" s="2">
        <v>36790</v>
      </c>
      <c r="C1508">
        <v>5</v>
      </c>
      <c r="D1508">
        <v>5</v>
      </c>
      <c r="F1508">
        <v>1507</v>
      </c>
      <c r="G1508" cm="1">
        <f t="array" ref="G1508">_xlfn.IFNA(INDEX($D$2:$D$4001,_xlfn.XMATCH(G$1&amp;"-"&amp;$F1508,YEAR($B$2:$B$4001)&amp;"-"&amp;$A$2:$A$4001,0,-1)),9)</f>
        <v>9</v>
      </c>
      <c r="H1508" cm="1">
        <f t="array" ref="H1508">IF(OR(AND(G1508=9,H$1&gt;YEAR($N1508))),9,_xlfn.IFNA(INDEX($D$2:$D$4001,_xlfn.XMATCH(H$1&amp;"-"&amp;$F1508,YEAR($B$2:$B$4001)&amp;"-"&amp;$A$2:$A$4001,0,-1)),G1508))</f>
        <v>9</v>
      </c>
      <c r="I1508" cm="1">
        <f t="array" ref="I1508">IF(OR(AND(H1508=9,I$1&gt;YEAR($N1508))),9,_xlfn.IFNA(INDEX($D$2:$D$4001,_xlfn.XMATCH(I$1&amp;"-"&amp;$F1508,YEAR($B$2:$B$4001)&amp;"-"&amp;$A$2:$A$4001,0,-1)),H1508))</f>
        <v>9</v>
      </c>
      <c r="J1508" cm="1">
        <f t="array" ref="J1508">IF(OR(AND(I1508=9,J$1&gt;YEAR($N1508))),9,_xlfn.IFNA(INDEX($D$2:$D$4001,_xlfn.XMATCH(J$1&amp;"-"&amp;$F1508,YEAR($B$2:$B$4001)&amp;"-"&amp;$A$2:$A$4001,0,-1)),I1508))</f>
        <v>5</v>
      </c>
      <c r="K1508" cm="1">
        <f t="array" ref="K1508">IF(OR(AND(J1508=9,K$1&gt;YEAR($N1508))),9,_xlfn.IFNA(INDEX($D$2:$D$4001,_xlfn.XMATCH(K$1&amp;"-"&amp;$F1508,YEAR($B$2:$B$4001)&amp;"-"&amp;$A$2:$A$4001,0,-1)),J1508))</f>
        <v>5</v>
      </c>
      <c r="L1508" cm="1">
        <f t="array" ref="L1508">IF(OR(AND(K1508=9,L$1&gt;YEAR($N1508))),9,_xlfn.IFNA(INDEX($D$2:$D$4001,_xlfn.XMATCH(L$1&amp;"-"&amp;$F1508,YEAR($B$2:$B$4001)&amp;"-"&amp;$A$2:$A$4001,0,-1)),K1508))</f>
        <v>5</v>
      </c>
      <c r="M1508" cm="1">
        <f t="array" ref="M1508">IF(OR(AND(L1508=9,M$1&gt;YEAR($N1508))),9,_xlfn.IFNA(INDEX($D$2:$D$4001,_xlfn.XMATCH(M$1&amp;"-"&amp;$F1508,YEAR($B$2:$B$4001)&amp;"-"&amp;$A$2:$A$4001,0,-1)),L1508))</f>
        <v>5</v>
      </c>
      <c r="N1508" s="1">
        <f t="shared" si="23"/>
        <v>37437</v>
      </c>
    </row>
    <row r="1509" spans="1:14" x14ac:dyDescent="0.35">
      <c r="A1509">
        <v>713</v>
      </c>
      <c r="B1509" s="2">
        <v>36890</v>
      </c>
      <c r="C1509">
        <v>0</v>
      </c>
      <c r="D1509">
        <v>0</v>
      </c>
      <c r="F1509">
        <v>1508</v>
      </c>
      <c r="G1509" cm="1">
        <f t="array" ref="G1509">_xlfn.IFNA(INDEX($D$2:$D$4001,_xlfn.XMATCH(G$1&amp;"-"&amp;$F1509,YEAR($B$2:$B$4001)&amp;"-"&amp;$A$2:$A$4001,0,-1)),9)</f>
        <v>9</v>
      </c>
      <c r="H1509" cm="1">
        <f t="array" ref="H1509">IF(OR(AND(G1509=9,H$1&gt;YEAR($N1509))),9,_xlfn.IFNA(INDEX($D$2:$D$4001,_xlfn.XMATCH(H$1&amp;"-"&amp;$F1509,YEAR($B$2:$B$4001)&amp;"-"&amp;$A$2:$A$4001,0,-1)),G1509))</f>
        <v>3</v>
      </c>
      <c r="I1509" cm="1">
        <f t="array" ref="I1509">IF(OR(AND(H1509=9,I$1&gt;YEAR($N1509))),9,_xlfn.IFNA(INDEX($D$2:$D$4001,_xlfn.XMATCH(I$1&amp;"-"&amp;$F1509,YEAR($B$2:$B$4001)&amp;"-"&amp;$A$2:$A$4001,0,-1)),H1509))</f>
        <v>3</v>
      </c>
      <c r="J1509" cm="1">
        <f t="array" ref="J1509">IF(OR(AND(I1509=9,J$1&gt;YEAR($N1509))),9,_xlfn.IFNA(INDEX($D$2:$D$4001,_xlfn.XMATCH(J$1&amp;"-"&amp;$F1509,YEAR($B$2:$B$4001)&amp;"-"&amp;$A$2:$A$4001,0,-1)),I1509))</f>
        <v>4</v>
      </c>
      <c r="K1509" cm="1">
        <f t="array" ref="K1509">IF(OR(AND(J1509=9,K$1&gt;YEAR($N1509))),9,_xlfn.IFNA(INDEX($D$2:$D$4001,_xlfn.XMATCH(K$1&amp;"-"&amp;$F1509,YEAR($B$2:$B$4001)&amp;"-"&amp;$A$2:$A$4001,0,-1)),J1509))</f>
        <v>4</v>
      </c>
      <c r="L1509" cm="1">
        <f t="array" ref="L1509">IF(OR(AND(K1509=9,L$1&gt;YEAR($N1509))),9,_xlfn.IFNA(INDEX($D$2:$D$4001,_xlfn.XMATCH(L$1&amp;"-"&amp;$F1509,YEAR($B$2:$B$4001)&amp;"-"&amp;$A$2:$A$4001,0,-1)),K1509))</f>
        <v>4</v>
      </c>
      <c r="M1509" cm="1">
        <f t="array" ref="M1509">IF(OR(AND(L1509=9,M$1&gt;YEAR($N1509))),9,_xlfn.IFNA(INDEX($D$2:$D$4001,_xlfn.XMATCH(M$1&amp;"-"&amp;$F1509,YEAR($B$2:$B$4001)&amp;"-"&amp;$A$2:$A$4001,0,-1)),L1509))</f>
        <v>4</v>
      </c>
      <c r="N1509" s="1">
        <f t="shared" si="23"/>
        <v>36676</v>
      </c>
    </row>
    <row r="1510" spans="1:14" x14ac:dyDescent="0.35">
      <c r="A1510">
        <v>714</v>
      </c>
      <c r="B1510" s="2">
        <v>37765</v>
      </c>
      <c r="C1510">
        <v>6</v>
      </c>
      <c r="D1510">
        <v>6</v>
      </c>
      <c r="F1510">
        <v>1509</v>
      </c>
      <c r="G1510" cm="1">
        <f t="array" ref="G1510">_xlfn.IFNA(INDEX($D$2:$D$4001,_xlfn.XMATCH(G$1&amp;"-"&amp;$F1510,YEAR($B$2:$B$4001)&amp;"-"&amp;$A$2:$A$4001,0,-1)),9)</f>
        <v>9</v>
      </c>
      <c r="H1510" cm="1">
        <f t="array" ref="H1510">IF(OR(AND(G1510=9,H$1&gt;YEAR($N1510))),9,_xlfn.IFNA(INDEX($D$2:$D$4001,_xlfn.XMATCH(H$1&amp;"-"&amp;$F1510,YEAR($B$2:$B$4001)&amp;"-"&amp;$A$2:$A$4001,0,-1)),G1510))</f>
        <v>9</v>
      </c>
      <c r="I1510" cm="1">
        <f t="array" ref="I1510">IF(OR(AND(H1510=9,I$1&gt;YEAR($N1510))),9,_xlfn.IFNA(INDEX($D$2:$D$4001,_xlfn.XMATCH(I$1&amp;"-"&amp;$F1510,YEAR($B$2:$B$4001)&amp;"-"&amp;$A$2:$A$4001,0,-1)),H1510))</f>
        <v>9</v>
      </c>
      <c r="J1510" cm="1">
        <f t="array" ref="J1510">IF(OR(AND(I1510=9,J$1&gt;YEAR($N1510))),9,_xlfn.IFNA(INDEX($D$2:$D$4001,_xlfn.XMATCH(J$1&amp;"-"&amp;$F1510,YEAR($B$2:$B$4001)&amp;"-"&amp;$A$2:$A$4001,0,-1)),I1510))</f>
        <v>9</v>
      </c>
      <c r="K1510" cm="1">
        <f t="array" ref="K1510">IF(OR(AND(J1510=9,K$1&gt;YEAR($N1510))),9,_xlfn.IFNA(INDEX($D$2:$D$4001,_xlfn.XMATCH(K$1&amp;"-"&amp;$F1510,YEAR($B$2:$B$4001)&amp;"-"&amp;$A$2:$A$4001,0,-1)),J1510))</f>
        <v>4</v>
      </c>
      <c r="L1510" cm="1">
        <f t="array" ref="L1510">IF(OR(AND(K1510=9,L$1&gt;YEAR($N1510))),9,_xlfn.IFNA(INDEX($D$2:$D$4001,_xlfn.XMATCH(L$1&amp;"-"&amp;$F1510,YEAR($B$2:$B$4001)&amp;"-"&amp;$A$2:$A$4001,0,-1)),K1510))</f>
        <v>4</v>
      </c>
      <c r="M1510" cm="1">
        <f t="array" ref="M1510">IF(OR(AND(L1510=9,M$1&gt;YEAR($N1510))),9,_xlfn.IFNA(INDEX($D$2:$D$4001,_xlfn.XMATCH(M$1&amp;"-"&amp;$F1510,YEAR($B$2:$B$4001)&amp;"-"&amp;$A$2:$A$4001,0,-1)),L1510))</f>
        <v>4</v>
      </c>
      <c r="N1510" s="1">
        <f t="shared" si="23"/>
        <v>37885</v>
      </c>
    </row>
    <row r="1511" spans="1:14" x14ac:dyDescent="0.35">
      <c r="A1511">
        <v>715</v>
      </c>
      <c r="B1511" s="2">
        <v>36860</v>
      </c>
      <c r="C1511">
        <v>2</v>
      </c>
      <c r="D1511">
        <v>2</v>
      </c>
      <c r="F1511">
        <v>1510</v>
      </c>
      <c r="G1511" cm="1">
        <f t="array" ref="G1511">_xlfn.IFNA(INDEX($D$2:$D$4001,_xlfn.XMATCH(G$1&amp;"-"&amp;$F1511,YEAR($B$2:$B$4001)&amp;"-"&amp;$A$2:$A$4001,0,-1)),9)</f>
        <v>9</v>
      </c>
      <c r="H1511" cm="1">
        <f t="array" ref="H1511">IF(OR(AND(G1511=9,H$1&gt;YEAR($N1511))),9,_xlfn.IFNA(INDEX($D$2:$D$4001,_xlfn.XMATCH(H$1&amp;"-"&amp;$F1511,YEAR($B$2:$B$4001)&amp;"-"&amp;$A$2:$A$4001,0,-1)),G1511))</f>
        <v>9</v>
      </c>
      <c r="I1511" cm="1">
        <f t="array" ref="I1511">IF(OR(AND(H1511=9,I$1&gt;YEAR($N1511))),9,_xlfn.IFNA(INDEX($D$2:$D$4001,_xlfn.XMATCH(I$1&amp;"-"&amp;$F1511,YEAR($B$2:$B$4001)&amp;"-"&amp;$A$2:$A$4001,0,-1)),H1511))</f>
        <v>9</v>
      </c>
      <c r="J1511" cm="1">
        <f t="array" ref="J1511">IF(OR(AND(I1511=9,J$1&gt;YEAR($N1511))),9,_xlfn.IFNA(INDEX($D$2:$D$4001,_xlfn.XMATCH(J$1&amp;"-"&amp;$F1511,YEAR($B$2:$B$4001)&amp;"-"&amp;$A$2:$A$4001,0,-1)),I1511))</f>
        <v>9</v>
      </c>
      <c r="K1511" cm="1">
        <f t="array" ref="K1511">IF(OR(AND(J1511=9,K$1&gt;YEAR($N1511))),9,_xlfn.IFNA(INDEX($D$2:$D$4001,_xlfn.XMATCH(K$1&amp;"-"&amp;$F1511,YEAR($B$2:$B$4001)&amp;"-"&amp;$A$2:$A$4001,0,-1)),J1511))</f>
        <v>9</v>
      </c>
      <c r="L1511" cm="1">
        <f t="array" ref="L1511">IF(OR(AND(K1511=9,L$1&gt;YEAR($N1511))),9,_xlfn.IFNA(INDEX($D$2:$D$4001,_xlfn.XMATCH(L$1&amp;"-"&amp;$F1511,YEAR($B$2:$B$4001)&amp;"-"&amp;$A$2:$A$4001,0,-1)),K1511))</f>
        <v>9</v>
      </c>
      <c r="M1511" cm="1">
        <f t="array" ref="M1511">IF(OR(AND(L1511=9,M$1&gt;YEAR($N1511))),9,_xlfn.IFNA(INDEX($D$2:$D$4001,_xlfn.XMATCH(M$1&amp;"-"&amp;$F1511,YEAR($B$2:$B$4001)&amp;"-"&amp;$A$2:$A$4001,0,-1)),L1511))</f>
        <v>6</v>
      </c>
      <c r="N1511" s="1">
        <f t="shared" si="23"/>
        <v>38493</v>
      </c>
    </row>
    <row r="1512" spans="1:14" x14ac:dyDescent="0.35">
      <c r="A1512">
        <v>715</v>
      </c>
      <c r="B1512" s="2">
        <v>37762</v>
      </c>
      <c r="C1512">
        <v>2</v>
      </c>
      <c r="D1512">
        <v>2</v>
      </c>
      <c r="F1512">
        <v>1511</v>
      </c>
      <c r="G1512" cm="1">
        <f t="array" ref="G1512">_xlfn.IFNA(INDEX($D$2:$D$4001,_xlfn.XMATCH(G$1&amp;"-"&amp;$F1512,YEAR($B$2:$B$4001)&amp;"-"&amp;$A$2:$A$4001,0,-1)),9)</f>
        <v>9</v>
      </c>
      <c r="H1512" cm="1">
        <f t="array" ref="H1512">IF(OR(AND(G1512=9,H$1&gt;YEAR($N1512))),9,_xlfn.IFNA(INDEX($D$2:$D$4001,_xlfn.XMATCH(H$1&amp;"-"&amp;$F1512,YEAR($B$2:$B$4001)&amp;"-"&amp;$A$2:$A$4001,0,-1)),G1512))</f>
        <v>9</v>
      </c>
      <c r="I1512" cm="1">
        <f t="array" ref="I1512">IF(OR(AND(H1512=9,I$1&gt;YEAR($N1512))),9,_xlfn.IFNA(INDEX($D$2:$D$4001,_xlfn.XMATCH(I$1&amp;"-"&amp;$F1512,YEAR($B$2:$B$4001)&amp;"-"&amp;$A$2:$A$4001,0,-1)),H1512))</f>
        <v>3</v>
      </c>
      <c r="J1512" cm="1">
        <f t="array" ref="J1512">IF(OR(AND(I1512=9,J$1&gt;YEAR($N1512))),9,_xlfn.IFNA(INDEX($D$2:$D$4001,_xlfn.XMATCH(J$1&amp;"-"&amp;$F1512,YEAR($B$2:$B$4001)&amp;"-"&amp;$A$2:$A$4001,0,-1)),I1512))</f>
        <v>3</v>
      </c>
      <c r="K1512" cm="1">
        <f t="array" ref="K1512">IF(OR(AND(J1512=9,K$1&gt;YEAR($N1512))),9,_xlfn.IFNA(INDEX($D$2:$D$4001,_xlfn.XMATCH(K$1&amp;"-"&amp;$F1512,YEAR($B$2:$B$4001)&amp;"-"&amp;$A$2:$A$4001,0,-1)),J1512))</f>
        <v>3</v>
      </c>
      <c r="L1512" cm="1">
        <f t="array" ref="L1512">IF(OR(AND(K1512=9,L$1&gt;YEAR($N1512))),9,_xlfn.IFNA(INDEX($D$2:$D$4001,_xlfn.XMATCH(L$1&amp;"-"&amp;$F1512,YEAR($B$2:$B$4001)&amp;"-"&amp;$A$2:$A$4001,0,-1)),K1512))</f>
        <v>3</v>
      </c>
      <c r="M1512" cm="1">
        <f t="array" ref="M1512">IF(OR(AND(L1512=9,M$1&gt;YEAR($N1512))),9,_xlfn.IFNA(INDEX($D$2:$D$4001,_xlfn.XMATCH(M$1&amp;"-"&amp;$F1512,YEAR($B$2:$B$4001)&amp;"-"&amp;$A$2:$A$4001,0,-1)),L1512))</f>
        <v>3</v>
      </c>
      <c r="N1512" s="1">
        <f t="shared" si="23"/>
        <v>37194</v>
      </c>
    </row>
    <row r="1513" spans="1:14" x14ac:dyDescent="0.35">
      <c r="A1513">
        <v>716</v>
      </c>
      <c r="B1513" s="2">
        <v>36524</v>
      </c>
      <c r="C1513">
        <v>6</v>
      </c>
      <c r="D1513">
        <v>6</v>
      </c>
      <c r="F1513">
        <v>1512</v>
      </c>
      <c r="G1513" cm="1">
        <f t="array" ref="G1513">_xlfn.IFNA(INDEX($D$2:$D$4001,_xlfn.XMATCH(G$1&amp;"-"&amp;$F1513,YEAR($B$2:$B$4001)&amp;"-"&amp;$A$2:$A$4001,0,-1)),9)</f>
        <v>9</v>
      </c>
      <c r="H1513" cm="1">
        <f t="array" ref="H1513">IF(OR(AND(G1513=9,H$1&gt;YEAR($N1513))),9,_xlfn.IFNA(INDEX($D$2:$D$4001,_xlfn.XMATCH(H$1&amp;"-"&amp;$F1513,YEAR($B$2:$B$4001)&amp;"-"&amp;$A$2:$A$4001,0,-1)),G1513))</f>
        <v>9</v>
      </c>
      <c r="I1513" cm="1">
        <f t="array" ref="I1513">IF(OR(AND(H1513=9,I$1&gt;YEAR($N1513))),9,_xlfn.IFNA(INDEX($D$2:$D$4001,_xlfn.XMATCH(I$1&amp;"-"&amp;$F1513,YEAR($B$2:$B$4001)&amp;"-"&amp;$A$2:$A$4001,0,-1)),H1513))</f>
        <v>9</v>
      </c>
      <c r="J1513" cm="1">
        <f t="array" ref="J1513">IF(OR(AND(I1513=9,J$1&gt;YEAR($N1513))),9,_xlfn.IFNA(INDEX($D$2:$D$4001,_xlfn.XMATCH(J$1&amp;"-"&amp;$F1513,YEAR($B$2:$B$4001)&amp;"-"&amp;$A$2:$A$4001,0,-1)),I1513))</f>
        <v>9</v>
      </c>
      <c r="K1513" cm="1">
        <f t="array" ref="K1513">IF(OR(AND(J1513=9,K$1&gt;YEAR($N1513))),9,_xlfn.IFNA(INDEX($D$2:$D$4001,_xlfn.XMATCH(K$1&amp;"-"&amp;$F1513,YEAR($B$2:$B$4001)&amp;"-"&amp;$A$2:$A$4001,0,-1)),J1513))</f>
        <v>0</v>
      </c>
      <c r="L1513" cm="1">
        <f t="array" ref="L1513">IF(OR(AND(K1513=9,L$1&gt;YEAR($N1513))),9,_xlfn.IFNA(INDEX($D$2:$D$4001,_xlfn.XMATCH(L$1&amp;"-"&amp;$F1513,YEAR($B$2:$B$4001)&amp;"-"&amp;$A$2:$A$4001,0,-1)),K1513))</f>
        <v>0</v>
      </c>
      <c r="M1513" cm="1">
        <f t="array" ref="M1513">IF(OR(AND(L1513=9,M$1&gt;YEAR($N1513))),9,_xlfn.IFNA(INDEX($D$2:$D$4001,_xlfn.XMATCH(M$1&amp;"-"&amp;$F1513,YEAR($B$2:$B$4001)&amp;"-"&amp;$A$2:$A$4001,0,-1)),L1513))</f>
        <v>0</v>
      </c>
      <c r="N1513" s="1">
        <f t="shared" si="23"/>
        <v>37823</v>
      </c>
    </row>
    <row r="1514" spans="1:14" x14ac:dyDescent="0.35">
      <c r="A1514">
        <v>716</v>
      </c>
      <c r="B1514" s="2">
        <v>37041</v>
      </c>
      <c r="C1514">
        <v>5</v>
      </c>
      <c r="D1514">
        <v>5</v>
      </c>
      <c r="F1514">
        <v>1513</v>
      </c>
      <c r="G1514" cm="1">
        <f t="array" ref="G1514">_xlfn.IFNA(INDEX($D$2:$D$4001,_xlfn.XMATCH(G$1&amp;"-"&amp;$F1514,YEAR($B$2:$B$4001)&amp;"-"&amp;$A$2:$A$4001,0,-1)),9)</f>
        <v>9</v>
      </c>
      <c r="H1514" cm="1">
        <f t="array" ref="H1514">IF(OR(AND(G1514=9,H$1&gt;YEAR($N1514))),9,_xlfn.IFNA(INDEX($D$2:$D$4001,_xlfn.XMATCH(H$1&amp;"-"&amp;$F1514,YEAR($B$2:$B$4001)&amp;"-"&amp;$A$2:$A$4001,0,-1)),G1514))</f>
        <v>9</v>
      </c>
      <c r="I1514" cm="1">
        <f t="array" ref="I1514">IF(OR(AND(H1514=9,I$1&gt;YEAR($N1514))),9,_xlfn.IFNA(INDEX($D$2:$D$4001,_xlfn.XMATCH(I$1&amp;"-"&amp;$F1514,YEAR($B$2:$B$4001)&amp;"-"&amp;$A$2:$A$4001,0,-1)),H1514))</f>
        <v>9</v>
      </c>
      <c r="J1514" cm="1">
        <f t="array" ref="J1514">IF(OR(AND(I1514=9,J$1&gt;YEAR($N1514))),9,_xlfn.IFNA(INDEX($D$2:$D$4001,_xlfn.XMATCH(J$1&amp;"-"&amp;$F1514,YEAR($B$2:$B$4001)&amp;"-"&amp;$A$2:$A$4001,0,-1)),I1514))</f>
        <v>0</v>
      </c>
      <c r="K1514" cm="1">
        <f t="array" ref="K1514">IF(OR(AND(J1514=9,K$1&gt;YEAR($N1514))),9,_xlfn.IFNA(INDEX($D$2:$D$4001,_xlfn.XMATCH(K$1&amp;"-"&amp;$F1514,YEAR($B$2:$B$4001)&amp;"-"&amp;$A$2:$A$4001,0,-1)),J1514))</f>
        <v>0</v>
      </c>
      <c r="L1514" cm="1">
        <f t="array" ref="L1514">IF(OR(AND(K1514=9,L$1&gt;YEAR($N1514))),9,_xlfn.IFNA(INDEX($D$2:$D$4001,_xlfn.XMATCH(L$1&amp;"-"&amp;$F1514,YEAR($B$2:$B$4001)&amp;"-"&amp;$A$2:$A$4001,0,-1)),K1514))</f>
        <v>0</v>
      </c>
      <c r="M1514" cm="1">
        <f t="array" ref="M1514">IF(OR(AND(L1514=9,M$1&gt;YEAR($N1514))),9,_xlfn.IFNA(INDEX($D$2:$D$4001,_xlfn.XMATCH(M$1&amp;"-"&amp;$F1514,YEAR($B$2:$B$4001)&amp;"-"&amp;$A$2:$A$4001,0,-1)),L1514))</f>
        <v>0</v>
      </c>
      <c r="N1514" s="1">
        <f t="shared" si="23"/>
        <v>37397</v>
      </c>
    </row>
    <row r="1515" spans="1:14" x14ac:dyDescent="0.35">
      <c r="A1515">
        <v>716</v>
      </c>
      <c r="B1515" s="2">
        <v>37255</v>
      </c>
      <c r="C1515">
        <v>6</v>
      </c>
      <c r="D1515">
        <v>6</v>
      </c>
      <c r="F1515">
        <v>1514</v>
      </c>
      <c r="G1515" cm="1">
        <f t="array" ref="G1515">_xlfn.IFNA(INDEX($D$2:$D$4001,_xlfn.XMATCH(G$1&amp;"-"&amp;$F1515,YEAR($B$2:$B$4001)&amp;"-"&amp;$A$2:$A$4001,0,-1)),9)</f>
        <v>9</v>
      </c>
      <c r="H1515" cm="1">
        <f t="array" ref="H1515">IF(OR(AND(G1515=9,H$1&gt;YEAR($N1515))),9,_xlfn.IFNA(INDEX($D$2:$D$4001,_xlfn.XMATCH(H$1&amp;"-"&amp;$F1515,YEAR($B$2:$B$4001)&amp;"-"&amp;$A$2:$A$4001,0,-1)),G1515))</f>
        <v>4</v>
      </c>
      <c r="I1515" cm="1">
        <f t="array" ref="I1515">IF(OR(AND(H1515=9,I$1&gt;YEAR($N1515))),9,_xlfn.IFNA(INDEX($D$2:$D$4001,_xlfn.XMATCH(I$1&amp;"-"&amp;$F1515,YEAR($B$2:$B$4001)&amp;"-"&amp;$A$2:$A$4001,0,-1)),H1515))</f>
        <v>4</v>
      </c>
      <c r="J1515" cm="1">
        <f t="array" ref="J1515">IF(OR(AND(I1515=9,J$1&gt;YEAR($N1515))),9,_xlfn.IFNA(INDEX($D$2:$D$4001,_xlfn.XMATCH(J$1&amp;"-"&amp;$F1515,YEAR($B$2:$B$4001)&amp;"-"&amp;$A$2:$A$4001,0,-1)),I1515))</f>
        <v>6</v>
      </c>
      <c r="K1515" cm="1">
        <f t="array" ref="K1515">IF(OR(AND(J1515=9,K$1&gt;YEAR($N1515))),9,_xlfn.IFNA(INDEX($D$2:$D$4001,_xlfn.XMATCH(K$1&amp;"-"&amp;$F1515,YEAR($B$2:$B$4001)&amp;"-"&amp;$A$2:$A$4001,0,-1)),J1515))</f>
        <v>6</v>
      </c>
      <c r="L1515" cm="1">
        <f t="array" ref="L1515">IF(OR(AND(K1515=9,L$1&gt;YEAR($N1515))),9,_xlfn.IFNA(INDEX($D$2:$D$4001,_xlfn.XMATCH(L$1&amp;"-"&amp;$F1515,YEAR($B$2:$B$4001)&amp;"-"&amp;$A$2:$A$4001,0,-1)),K1515))</f>
        <v>6</v>
      </c>
      <c r="M1515" cm="1">
        <f t="array" ref="M1515">IF(OR(AND(L1515=9,M$1&gt;YEAR($N1515))),9,_xlfn.IFNA(INDEX($D$2:$D$4001,_xlfn.XMATCH(M$1&amp;"-"&amp;$F1515,YEAR($B$2:$B$4001)&amp;"-"&amp;$A$2:$A$4001,0,-1)),L1515))</f>
        <v>6</v>
      </c>
      <c r="N1515" s="1">
        <f t="shared" si="23"/>
        <v>36890</v>
      </c>
    </row>
    <row r="1516" spans="1:14" x14ac:dyDescent="0.35">
      <c r="A1516">
        <v>716</v>
      </c>
      <c r="B1516" s="2">
        <v>37498</v>
      </c>
      <c r="C1516">
        <v>6</v>
      </c>
      <c r="D1516">
        <v>6</v>
      </c>
      <c r="F1516">
        <v>1515</v>
      </c>
      <c r="G1516" cm="1">
        <f t="array" ref="G1516">_xlfn.IFNA(INDEX($D$2:$D$4001,_xlfn.XMATCH(G$1&amp;"-"&amp;$F1516,YEAR($B$2:$B$4001)&amp;"-"&amp;$A$2:$A$4001,0,-1)),9)</f>
        <v>5</v>
      </c>
      <c r="H1516" cm="1">
        <f t="array" ref="H1516">IF(OR(AND(G1516=9,H$1&gt;YEAR($N1516))),9,_xlfn.IFNA(INDEX($D$2:$D$4001,_xlfn.XMATCH(H$1&amp;"-"&amp;$F1516,YEAR($B$2:$B$4001)&amp;"-"&amp;$A$2:$A$4001,0,-1)),G1516))</f>
        <v>0</v>
      </c>
      <c r="I1516" cm="1">
        <f t="array" ref="I1516">IF(OR(AND(H1516=9,I$1&gt;YEAR($N1516))),9,_xlfn.IFNA(INDEX($D$2:$D$4001,_xlfn.XMATCH(I$1&amp;"-"&amp;$F1516,YEAR($B$2:$B$4001)&amp;"-"&amp;$A$2:$A$4001,0,-1)),H1516))</f>
        <v>0</v>
      </c>
      <c r="J1516" cm="1">
        <f t="array" ref="J1516">IF(OR(AND(I1516=9,J$1&gt;YEAR($N1516))),9,_xlfn.IFNA(INDEX($D$2:$D$4001,_xlfn.XMATCH(J$1&amp;"-"&amp;$F1516,YEAR($B$2:$B$4001)&amp;"-"&amp;$A$2:$A$4001,0,-1)),I1516))</f>
        <v>0</v>
      </c>
      <c r="K1516" cm="1">
        <f t="array" ref="K1516">IF(OR(AND(J1516=9,K$1&gt;YEAR($N1516))),9,_xlfn.IFNA(INDEX($D$2:$D$4001,_xlfn.XMATCH(K$1&amp;"-"&amp;$F1516,YEAR($B$2:$B$4001)&amp;"-"&amp;$A$2:$A$4001,0,-1)),J1516))</f>
        <v>0</v>
      </c>
      <c r="L1516" cm="1">
        <f t="array" ref="L1516">IF(OR(AND(K1516=9,L$1&gt;YEAR($N1516))),9,_xlfn.IFNA(INDEX($D$2:$D$4001,_xlfn.XMATCH(L$1&amp;"-"&amp;$F1516,YEAR($B$2:$B$4001)&amp;"-"&amp;$A$2:$A$4001,0,-1)),K1516))</f>
        <v>0</v>
      </c>
      <c r="M1516" cm="1">
        <f t="array" ref="M1516">IF(OR(AND(L1516=9,M$1&gt;YEAR($N1516))),9,_xlfn.IFNA(INDEX($D$2:$D$4001,_xlfn.XMATCH(M$1&amp;"-"&amp;$F1516,YEAR($B$2:$B$4001)&amp;"-"&amp;$A$2:$A$4001,0,-1)),L1516))</f>
        <v>0</v>
      </c>
      <c r="N1516" s="1">
        <f t="shared" si="23"/>
        <v>36310</v>
      </c>
    </row>
    <row r="1517" spans="1:14" x14ac:dyDescent="0.35">
      <c r="A1517">
        <v>717</v>
      </c>
      <c r="B1517" s="2">
        <v>36890</v>
      </c>
      <c r="C1517">
        <v>3</v>
      </c>
      <c r="D1517">
        <v>3</v>
      </c>
      <c r="F1517">
        <v>1516</v>
      </c>
      <c r="G1517" cm="1">
        <f t="array" ref="G1517">_xlfn.IFNA(INDEX($D$2:$D$4001,_xlfn.XMATCH(G$1&amp;"-"&amp;$F1517,YEAR($B$2:$B$4001)&amp;"-"&amp;$A$2:$A$4001,0,-1)),9)</f>
        <v>9</v>
      </c>
      <c r="H1517" cm="1">
        <f t="array" ref="H1517">IF(OR(AND(G1517=9,H$1&gt;YEAR($N1517))),9,_xlfn.IFNA(INDEX($D$2:$D$4001,_xlfn.XMATCH(H$1&amp;"-"&amp;$F1517,YEAR($B$2:$B$4001)&amp;"-"&amp;$A$2:$A$4001,0,-1)),G1517))</f>
        <v>9</v>
      </c>
      <c r="I1517" cm="1">
        <f t="array" ref="I1517">IF(OR(AND(H1517=9,I$1&gt;YEAR($N1517))),9,_xlfn.IFNA(INDEX($D$2:$D$4001,_xlfn.XMATCH(I$1&amp;"-"&amp;$F1517,YEAR($B$2:$B$4001)&amp;"-"&amp;$A$2:$A$4001,0,-1)),H1517))</f>
        <v>9</v>
      </c>
      <c r="J1517" cm="1">
        <f t="array" ref="J1517">IF(OR(AND(I1517=9,J$1&gt;YEAR($N1517))),9,_xlfn.IFNA(INDEX($D$2:$D$4001,_xlfn.XMATCH(J$1&amp;"-"&amp;$F1517,YEAR($B$2:$B$4001)&amp;"-"&amp;$A$2:$A$4001,0,-1)),I1517))</f>
        <v>9</v>
      </c>
      <c r="K1517" cm="1">
        <f t="array" ref="K1517">IF(OR(AND(J1517=9,K$1&gt;YEAR($N1517))),9,_xlfn.IFNA(INDEX($D$2:$D$4001,_xlfn.XMATCH(K$1&amp;"-"&amp;$F1517,YEAR($B$2:$B$4001)&amp;"-"&amp;$A$2:$A$4001,0,-1)),J1517))</f>
        <v>0</v>
      </c>
      <c r="L1517" cm="1">
        <f t="array" ref="L1517">IF(OR(AND(K1517=9,L$1&gt;YEAR($N1517))),9,_xlfn.IFNA(INDEX($D$2:$D$4001,_xlfn.XMATCH(L$1&amp;"-"&amp;$F1517,YEAR($B$2:$B$4001)&amp;"-"&amp;$A$2:$A$4001,0,-1)),K1517))</f>
        <v>0</v>
      </c>
      <c r="M1517" cm="1">
        <f t="array" ref="M1517">IF(OR(AND(L1517=9,M$1&gt;YEAR($N1517))),9,_xlfn.IFNA(INDEX($D$2:$D$4001,_xlfn.XMATCH(M$1&amp;"-"&amp;$F1517,YEAR($B$2:$B$4001)&amp;"-"&amp;$A$2:$A$4001,0,-1)),L1517))</f>
        <v>0</v>
      </c>
      <c r="N1517" s="1">
        <f t="shared" si="23"/>
        <v>37771</v>
      </c>
    </row>
    <row r="1518" spans="1:14" x14ac:dyDescent="0.35">
      <c r="A1518">
        <v>717</v>
      </c>
      <c r="B1518" s="2">
        <v>37041</v>
      </c>
      <c r="C1518">
        <v>4</v>
      </c>
      <c r="D1518">
        <v>4</v>
      </c>
      <c r="F1518">
        <v>1517</v>
      </c>
      <c r="G1518" cm="1">
        <f t="array" ref="G1518">_xlfn.IFNA(INDEX($D$2:$D$4001,_xlfn.XMATCH(G$1&amp;"-"&amp;$F1518,YEAR($B$2:$B$4001)&amp;"-"&amp;$A$2:$A$4001,0,-1)),9)</f>
        <v>9</v>
      </c>
      <c r="H1518" cm="1">
        <f t="array" ref="H1518">IF(OR(AND(G1518=9,H$1&gt;YEAR($N1518))),9,_xlfn.IFNA(INDEX($D$2:$D$4001,_xlfn.XMATCH(H$1&amp;"-"&amp;$F1518,YEAR($B$2:$B$4001)&amp;"-"&amp;$A$2:$A$4001,0,-1)),G1518))</f>
        <v>9</v>
      </c>
      <c r="I1518" cm="1">
        <f t="array" ref="I1518">IF(OR(AND(H1518=9,I$1&gt;YEAR($N1518))),9,_xlfn.IFNA(INDEX($D$2:$D$4001,_xlfn.XMATCH(I$1&amp;"-"&amp;$F1518,YEAR($B$2:$B$4001)&amp;"-"&amp;$A$2:$A$4001,0,-1)),H1518))</f>
        <v>0</v>
      </c>
      <c r="J1518" cm="1">
        <f t="array" ref="J1518">IF(OR(AND(I1518=9,J$1&gt;YEAR($N1518))),9,_xlfn.IFNA(INDEX($D$2:$D$4001,_xlfn.XMATCH(J$1&amp;"-"&amp;$F1518,YEAR($B$2:$B$4001)&amp;"-"&amp;$A$2:$A$4001,0,-1)),I1518))</f>
        <v>0</v>
      </c>
      <c r="K1518" cm="1">
        <f t="array" ref="K1518">IF(OR(AND(J1518=9,K$1&gt;YEAR($N1518))),9,_xlfn.IFNA(INDEX($D$2:$D$4001,_xlfn.XMATCH(K$1&amp;"-"&amp;$F1518,YEAR($B$2:$B$4001)&amp;"-"&amp;$A$2:$A$4001,0,-1)),J1518))</f>
        <v>2</v>
      </c>
      <c r="L1518" cm="1">
        <f t="array" ref="L1518">IF(OR(AND(K1518=9,L$1&gt;YEAR($N1518))),9,_xlfn.IFNA(INDEX($D$2:$D$4001,_xlfn.XMATCH(L$1&amp;"-"&amp;$F1518,YEAR($B$2:$B$4001)&amp;"-"&amp;$A$2:$A$4001,0,-1)),K1518))</f>
        <v>2</v>
      </c>
      <c r="M1518" cm="1">
        <f t="array" ref="M1518">IF(OR(AND(L1518=9,M$1&gt;YEAR($N1518))),9,_xlfn.IFNA(INDEX($D$2:$D$4001,_xlfn.XMATCH(M$1&amp;"-"&amp;$F1518,YEAR($B$2:$B$4001)&amp;"-"&amp;$A$2:$A$4001,0,-1)),L1518))</f>
        <v>2</v>
      </c>
      <c r="N1518" s="1">
        <f t="shared" si="23"/>
        <v>37255</v>
      </c>
    </row>
    <row r="1519" spans="1:14" x14ac:dyDescent="0.35">
      <c r="A1519">
        <v>718</v>
      </c>
      <c r="B1519" s="2">
        <v>37771</v>
      </c>
      <c r="C1519">
        <v>4</v>
      </c>
      <c r="D1519">
        <v>4</v>
      </c>
      <c r="F1519">
        <v>1518</v>
      </c>
      <c r="G1519" cm="1">
        <f t="array" ref="G1519">_xlfn.IFNA(INDEX($D$2:$D$4001,_xlfn.XMATCH(G$1&amp;"-"&amp;$F1519,YEAR($B$2:$B$4001)&amp;"-"&amp;$A$2:$A$4001,0,-1)),9)</f>
        <v>9</v>
      </c>
      <c r="H1519" cm="1">
        <f t="array" ref="H1519">IF(OR(AND(G1519=9,H$1&gt;YEAR($N1519))),9,_xlfn.IFNA(INDEX($D$2:$D$4001,_xlfn.XMATCH(H$1&amp;"-"&amp;$F1519,YEAR($B$2:$B$4001)&amp;"-"&amp;$A$2:$A$4001,0,-1)),G1519))</f>
        <v>9</v>
      </c>
      <c r="I1519" cm="1">
        <f t="array" ref="I1519">IF(OR(AND(H1519=9,I$1&gt;YEAR($N1519))),9,_xlfn.IFNA(INDEX($D$2:$D$4001,_xlfn.XMATCH(I$1&amp;"-"&amp;$F1519,YEAR($B$2:$B$4001)&amp;"-"&amp;$A$2:$A$4001,0,-1)),H1519))</f>
        <v>2</v>
      </c>
      <c r="J1519" cm="1">
        <f t="array" ref="J1519">IF(OR(AND(I1519=9,J$1&gt;YEAR($N1519))),9,_xlfn.IFNA(INDEX($D$2:$D$4001,_xlfn.XMATCH(J$1&amp;"-"&amp;$F1519,YEAR($B$2:$B$4001)&amp;"-"&amp;$A$2:$A$4001,0,-1)),I1519))</f>
        <v>2</v>
      </c>
      <c r="K1519" cm="1">
        <f t="array" ref="K1519">IF(OR(AND(J1519=9,K$1&gt;YEAR($N1519))),9,_xlfn.IFNA(INDEX($D$2:$D$4001,_xlfn.XMATCH(K$1&amp;"-"&amp;$F1519,YEAR($B$2:$B$4001)&amp;"-"&amp;$A$2:$A$4001,0,-1)),J1519))</f>
        <v>2</v>
      </c>
      <c r="L1519" cm="1">
        <f t="array" ref="L1519">IF(OR(AND(K1519=9,L$1&gt;YEAR($N1519))),9,_xlfn.IFNA(INDEX($D$2:$D$4001,_xlfn.XMATCH(L$1&amp;"-"&amp;$F1519,YEAR($B$2:$B$4001)&amp;"-"&amp;$A$2:$A$4001,0,-1)),K1519))</f>
        <v>2</v>
      </c>
      <c r="M1519" cm="1">
        <f t="array" ref="M1519">IF(OR(AND(L1519=9,M$1&gt;YEAR($N1519))),9,_xlfn.IFNA(INDEX($D$2:$D$4001,_xlfn.XMATCH(M$1&amp;"-"&amp;$F1519,YEAR($B$2:$B$4001)&amp;"-"&amp;$A$2:$A$4001,0,-1)),L1519))</f>
        <v>2</v>
      </c>
      <c r="N1519" s="1">
        <f t="shared" si="23"/>
        <v>37041</v>
      </c>
    </row>
    <row r="1520" spans="1:14" x14ac:dyDescent="0.35">
      <c r="A1520">
        <v>719</v>
      </c>
      <c r="B1520" s="2">
        <v>37620</v>
      </c>
      <c r="C1520">
        <v>2</v>
      </c>
      <c r="D1520">
        <v>2</v>
      </c>
      <c r="F1520">
        <v>1519</v>
      </c>
      <c r="G1520" cm="1">
        <f t="array" ref="G1520">_xlfn.IFNA(INDEX($D$2:$D$4001,_xlfn.XMATCH(G$1&amp;"-"&amp;$F1520,YEAR($B$2:$B$4001)&amp;"-"&amp;$A$2:$A$4001,0,-1)),9)</f>
        <v>9</v>
      </c>
      <c r="H1520" cm="1">
        <f t="array" ref="H1520">IF(OR(AND(G1520=9,H$1&gt;YEAR($N1520))),9,_xlfn.IFNA(INDEX($D$2:$D$4001,_xlfn.XMATCH(H$1&amp;"-"&amp;$F1520,YEAR($B$2:$B$4001)&amp;"-"&amp;$A$2:$A$4001,0,-1)),G1520))</f>
        <v>9</v>
      </c>
      <c r="I1520" cm="1">
        <f t="array" ref="I1520">IF(OR(AND(H1520=9,I$1&gt;YEAR($N1520))),9,_xlfn.IFNA(INDEX($D$2:$D$4001,_xlfn.XMATCH(I$1&amp;"-"&amp;$F1520,YEAR($B$2:$B$4001)&amp;"-"&amp;$A$2:$A$4001,0,-1)),H1520))</f>
        <v>9</v>
      </c>
      <c r="J1520" cm="1">
        <f t="array" ref="J1520">IF(OR(AND(I1520=9,J$1&gt;YEAR($N1520))),9,_xlfn.IFNA(INDEX($D$2:$D$4001,_xlfn.XMATCH(J$1&amp;"-"&amp;$F1520,YEAR($B$2:$B$4001)&amp;"-"&amp;$A$2:$A$4001,0,-1)),I1520))</f>
        <v>9</v>
      </c>
      <c r="K1520" cm="1">
        <f t="array" ref="K1520">IF(OR(AND(J1520=9,K$1&gt;YEAR($N1520))),9,_xlfn.IFNA(INDEX($D$2:$D$4001,_xlfn.XMATCH(K$1&amp;"-"&amp;$F1520,YEAR($B$2:$B$4001)&amp;"-"&amp;$A$2:$A$4001,0,-1)),J1520))</f>
        <v>3</v>
      </c>
      <c r="L1520" cm="1">
        <f t="array" ref="L1520">IF(OR(AND(K1520=9,L$1&gt;YEAR($N1520))),9,_xlfn.IFNA(INDEX($D$2:$D$4001,_xlfn.XMATCH(L$1&amp;"-"&amp;$F1520,YEAR($B$2:$B$4001)&amp;"-"&amp;$A$2:$A$4001,0,-1)),K1520))</f>
        <v>3</v>
      </c>
      <c r="M1520" cm="1">
        <f t="array" ref="M1520">IF(OR(AND(L1520=9,M$1&gt;YEAR($N1520))),9,_xlfn.IFNA(INDEX($D$2:$D$4001,_xlfn.XMATCH(M$1&amp;"-"&amp;$F1520,YEAR($B$2:$B$4001)&amp;"-"&amp;$A$2:$A$4001,0,-1)),L1520))</f>
        <v>3</v>
      </c>
      <c r="N1520" s="1">
        <f t="shared" si="23"/>
        <v>37762</v>
      </c>
    </row>
    <row r="1521" spans="1:14" x14ac:dyDescent="0.35">
      <c r="A1521">
        <v>720</v>
      </c>
      <c r="B1521" s="2">
        <v>36829</v>
      </c>
      <c r="C1521">
        <v>5</v>
      </c>
      <c r="D1521">
        <v>5</v>
      </c>
      <c r="F1521">
        <v>1520</v>
      </c>
      <c r="G1521" cm="1">
        <f t="array" ref="G1521">_xlfn.IFNA(INDEX($D$2:$D$4001,_xlfn.XMATCH(G$1&amp;"-"&amp;$F1521,YEAR($B$2:$B$4001)&amp;"-"&amp;$A$2:$A$4001,0,-1)),9)</f>
        <v>9</v>
      </c>
      <c r="H1521" cm="1">
        <f t="array" ref="H1521">IF(OR(AND(G1521=9,H$1&gt;YEAR($N1521))),9,_xlfn.IFNA(INDEX($D$2:$D$4001,_xlfn.XMATCH(H$1&amp;"-"&amp;$F1521,YEAR($B$2:$B$4001)&amp;"-"&amp;$A$2:$A$4001,0,-1)),G1521))</f>
        <v>9</v>
      </c>
      <c r="I1521" cm="1">
        <f t="array" ref="I1521">IF(OR(AND(H1521=9,I$1&gt;YEAR($N1521))),9,_xlfn.IFNA(INDEX($D$2:$D$4001,_xlfn.XMATCH(I$1&amp;"-"&amp;$F1521,YEAR($B$2:$B$4001)&amp;"-"&amp;$A$2:$A$4001,0,-1)),H1521))</f>
        <v>9</v>
      </c>
      <c r="J1521" cm="1">
        <f t="array" ref="J1521">IF(OR(AND(I1521=9,J$1&gt;YEAR($N1521))),9,_xlfn.IFNA(INDEX($D$2:$D$4001,_xlfn.XMATCH(J$1&amp;"-"&amp;$F1521,YEAR($B$2:$B$4001)&amp;"-"&amp;$A$2:$A$4001,0,-1)),I1521))</f>
        <v>9</v>
      </c>
      <c r="K1521" cm="1">
        <f t="array" ref="K1521">IF(OR(AND(J1521=9,K$1&gt;YEAR($N1521))),9,_xlfn.IFNA(INDEX($D$2:$D$4001,_xlfn.XMATCH(K$1&amp;"-"&amp;$F1521,YEAR($B$2:$B$4001)&amp;"-"&amp;$A$2:$A$4001,0,-1)),J1521))</f>
        <v>9</v>
      </c>
      <c r="L1521" cm="1">
        <f t="array" ref="L1521">IF(OR(AND(K1521=9,L$1&gt;YEAR($N1521))),9,_xlfn.IFNA(INDEX($D$2:$D$4001,_xlfn.XMATCH(L$1&amp;"-"&amp;$F1521,YEAR($B$2:$B$4001)&amp;"-"&amp;$A$2:$A$4001,0,-1)),K1521))</f>
        <v>0</v>
      </c>
      <c r="M1521" cm="1">
        <f t="array" ref="M1521">IF(OR(AND(L1521=9,M$1&gt;YEAR($N1521))),9,_xlfn.IFNA(INDEX($D$2:$D$4001,_xlfn.XMATCH(M$1&amp;"-"&amp;$F1521,YEAR($B$2:$B$4001)&amp;"-"&amp;$A$2:$A$4001,0,-1)),L1521))</f>
        <v>0</v>
      </c>
      <c r="N1521" s="1">
        <f t="shared" si="23"/>
        <v>38159</v>
      </c>
    </row>
    <row r="1522" spans="1:14" x14ac:dyDescent="0.35">
      <c r="A1522">
        <v>720</v>
      </c>
      <c r="B1522" s="2">
        <v>38137</v>
      </c>
      <c r="C1522">
        <v>4</v>
      </c>
      <c r="D1522">
        <v>4</v>
      </c>
      <c r="F1522">
        <v>1521</v>
      </c>
      <c r="G1522" cm="1">
        <f t="array" ref="G1522">_xlfn.IFNA(INDEX($D$2:$D$4001,_xlfn.XMATCH(G$1&amp;"-"&amp;$F1522,YEAR($B$2:$B$4001)&amp;"-"&amp;$A$2:$A$4001,0,-1)),9)</f>
        <v>9</v>
      </c>
      <c r="H1522" cm="1">
        <f t="array" ref="H1522">IF(OR(AND(G1522=9,H$1&gt;YEAR($N1522))),9,_xlfn.IFNA(INDEX($D$2:$D$4001,_xlfn.XMATCH(H$1&amp;"-"&amp;$F1522,YEAR($B$2:$B$4001)&amp;"-"&amp;$A$2:$A$4001,0,-1)),G1522))</f>
        <v>9</v>
      </c>
      <c r="I1522" cm="1">
        <f t="array" ref="I1522">IF(OR(AND(H1522=9,I$1&gt;YEAR($N1522))),9,_xlfn.IFNA(INDEX($D$2:$D$4001,_xlfn.XMATCH(I$1&amp;"-"&amp;$F1522,YEAR($B$2:$B$4001)&amp;"-"&amp;$A$2:$A$4001,0,-1)),H1522))</f>
        <v>4</v>
      </c>
      <c r="J1522" cm="1">
        <f t="array" ref="J1522">IF(OR(AND(I1522=9,J$1&gt;YEAR($N1522))),9,_xlfn.IFNA(INDEX($D$2:$D$4001,_xlfn.XMATCH(J$1&amp;"-"&amp;$F1522,YEAR($B$2:$B$4001)&amp;"-"&amp;$A$2:$A$4001,0,-1)),I1522))</f>
        <v>4</v>
      </c>
      <c r="K1522" cm="1">
        <f t="array" ref="K1522">IF(OR(AND(J1522=9,K$1&gt;YEAR($N1522))),9,_xlfn.IFNA(INDEX($D$2:$D$4001,_xlfn.XMATCH(K$1&amp;"-"&amp;$F1522,YEAR($B$2:$B$4001)&amp;"-"&amp;$A$2:$A$4001,0,-1)),J1522))</f>
        <v>5</v>
      </c>
      <c r="L1522" cm="1">
        <f t="array" ref="L1522">IF(OR(AND(K1522=9,L$1&gt;YEAR($N1522))),9,_xlfn.IFNA(INDEX($D$2:$D$4001,_xlfn.XMATCH(L$1&amp;"-"&amp;$F1522,YEAR($B$2:$B$4001)&amp;"-"&amp;$A$2:$A$4001,0,-1)),K1522))</f>
        <v>3</v>
      </c>
      <c r="M1522" cm="1">
        <f t="array" ref="M1522">IF(OR(AND(L1522=9,M$1&gt;YEAR($N1522))),9,_xlfn.IFNA(INDEX($D$2:$D$4001,_xlfn.XMATCH(M$1&amp;"-"&amp;$F1522,YEAR($B$2:$B$4001)&amp;"-"&amp;$A$2:$A$4001,0,-1)),L1522))</f>
        <v>3</v>
      </c>
      <c r="N1522" s="1">
        <f t="shared" si="23"/>
        <v>37041</v>
      </c>
    </row>
    <row r="1523" spans="1:14" x14ac:dyDescent="0.35">
      <c r="A1523">
        <v>720</v>
      </c>
      <c r="B1523" s="2">
        <v>38563</v>
      </c>
      <c r="C1523">
        <v>3</v>
      </c>
      <c r="D1523">
        <v>3</v>
      </c>
      <c r="F1523">
        <v>1522</v>
      </c>
      <c r="G1523" cm="1">
        <f t="array" ref="G1523">_xlfn.IFNA(INDEX($D$2:$D$4001,_xlfn.XMATCH(G$1&amp;"-"&amp;$F1523,YEAR($B$2:$B$4001)&amp;"-"&amp;$A$2:$A$4001,0,-1)),9)</f>
        <v>9</v>
      </c>
      <c r="H1523" cm="1">
        <f t="array" ref="H1523">IF(OR(AND(G1523=9,H$1&gt;YEAR($N1523))),9,_xlfn.IFNA(INDEX($D$2:$D$4001,_xlfn.XMATCH(H$1&amp;"-"&amp;$F1523,YEAR($B$2:$B$4001)&amp;"-"&amp;$A$2:$A$4001,0,-1)),G1523))</f>
        <v>9</v>
      </c>
      <c r="I1523" cm="1">
        <f t="array" ref="I1523">IF(OR(AND(H1523=9,I$1&gt;YEAR($N1523))),9,_xlfn.IFNA(INDEX($D$2:$D$4001,_xlfn.XMATCH(I$1&amp;"-"&amp;$F1523,YEAR($B$2:$B$4001)&amp;"-"&amp;$A$2:$A$4001,0,-1)),H1523))</f>
        <v>9</v>
      </c>
      <c r="J1523" cm="1">
        <f t="array" ref="J1523">IF(OR(AND(I1523=9,J$1&gt;YEAR($N1523))),9,_xlfn.IFNA(INDEX($D$2:$D$4001,_xlfn.XMATCH(J$1&amp;"-"&amp;$F1523,YEAR($B$2:$B$4001)&amp;"-"&amp;$A$2:$A$4001,0,-1)),I1523))</f>
        <v>9</v>
      </c>
      <c r="K1523" cm="1">
        <f t="array" ref="K1523">IF(OR(AND(J1523=9,K$1&gt;YEAR($N1523))),9,_xlfn.IFNA(INDEX($D$2:$D$4001,_xlfn.XMATCH(K$1&amp;"-"&amp;$F1523,YEAR($B$2:$B$4001)&amp;"-"&amp;$A$2:$A$4001,0,-1)),J1523))</f>
        <v>9</v>
      </c>
      <c r="L1523" cm="1">
        <f t="array" ref="L1523">IF(OR(AND(K1523=9,L$1&gt;YEAR($N1523))),9,_xlfn.IFNA(INDEX($D$2:$D$4001,_xlfn.XMATCH(L$1&amp;"-"&amp;$F1523,YEAR($B$2:$B$4001)&amp;"-"&amp;$A$2:$A$4001,0,-1)),K1523))</f>
        <v>9</v>
      </c>
      <c r="M1523" cm="1">
        <f t="array" ref="M1523">IF(OR(AND(L1523=9,M$1&gt;YEAR($N1523))),9,_xlfn.IFNA(INDEX($D$2:$D$4001,_xlfn.XMATCH(M$1&amp;"-"&amp;$F1523,YEAR($B$2:$B$4001)&amp;"-"&amp;$A$2:$A$4001,0,-1)),L1523))</f>
        <v>2</v>
      </c>
      <c r="N1523" s="1">
        <f t="shared" si="23"/>
        <v>38502</v>
      </c>
    </row>
    <row r="1524" spans="1:14" x14ac:dyDescent="0.35">
      <c r="A1524">
        <v>721</v>
      </c>
      <c r="B1524" s="2">
        <v>36524</v>
      </c>
      <c r="C1524">
        <v>5</v>
      </c>
      <c r="D1524">
        <v>5</v>
      </c>
      <c r="F1524">
        <v>1523</v>
      </c>
      <c r="G1524" cm="1">
        <f t="array" ref="G1524">_xlfn.IFNA(INDEX($D$2:$D$4001,_xlfn.XMATCH(G$1&amp;"-"&amp;$F1524,YEAR($B$2:$B$4001)&amp;"-"&amp;$A$2:$A$4001,0,-1)),9)</f>
        <v>9</v>
      </c>
      <c r="H1524" cm="1">
        <f t="array" ref="H1524">IF(OR(AND(G1524=9,H$1&gt;YEAR($N1524))),9,_xlfn.IFNA(INDEX($D$2:$D$4001,_xlfn.XMATCH(H$1&amp;"-"&amp;$F1524,YEAR($B$2:$B$4001)&amp;"-"&amp;$A$2:$A$4001,0,-1)),G1524))</f>
        <v>9</v>
      </c>
      <c r="I1524" cm="1">
        <f t="array" ref="I1524">IF(OR(AND(H1524=9,I$1&gt;YEAR($N1524))),9,_xlfn.IFNA(INDEX($D$2:$D$4001,_xlfn.XMATCH(I$1&amp;"-"&amp;$F1524,YEAR($B$2:$B$4001)&amp;"-"&amp;$A$2:$A$4001,0,-1)),H1524))</f>
        <v>9</v>
      </c>
      <c r="J1524" cm="1">
        <f t="array" ref="J1524">IF(OR(AND(I1524=9,J$1&gt;YEAR($N1524))),9,_xlfn.IFNA(INDEX($D$2:$D$4001,_xlfn.XMATCH(J$1&amp;"-"&amp;$F1524,YEAR($B$2:$B$4001)&amp;"-"&amp;$A$2:$A$4001,0,-1)),I1524))</f>
        <v>9</v>
      </c>
      <c r="K1524" cm="1">
        <f t="array" ref="K1524">IF(OR(AND(J1524=9,K$1&gt;YEAR($N1524))),9,_xlfn.IFNA(INDEX($D$2:$D$4001,_xlfn.XMATCH(K$1&amp;"-"&amp;$F1524,YEAR($B$2:$B$4001)&amp;"-"&amp;$A$2:$A$4001,0,-1)),J1524))</f>
        <v>9</v>
      </c>
      <c r="L1524" cm="1">
        <f t="array" ref="L1524">IF(OR(AND(K1524=9,L$1&gt;YEAR($N1524))),9,_xlfn.IFNA(INDEX($D$2:$D$4001,_xlfn.XMATCH(L$1&amp;"-"&amp;$F1524,YEAR($B$2:$B$4001)&amp;"-"&amp;$A$2:$A$4001,0,-1)),K1524))</f>
        <v>3</v>
      </c>
      <c r="M1524" cm="1">
        <f t="array" ref="M1524">IF(OR(AND(L1524=9,M$1&gt;YEAR($N1524))),9,_xlfn.IFNA(INDEX($D$2:$D$4001,_xlfn.XMATCH(M$1&amp;"-"&amp;$F1524,YEAR($B$2:$B$4001)&amp;"-"&amp;$A$2:$A$4001,0,-1)),L1524))</f>
        <v>3</v>
      </c>
      <c r="N1524" s="1">
        <f t="shared" si="23"/>
        <v>38137</v>
      </c>
    </row>
    <row r="1525" spans="1:14" x14ac:dyDescent="0.35">
      <c r="A1525">
        <v>721</v>
      </c>
      <c r="B1525" s="2">
        <v>36790</v>
      </c>
      <c r="C1525">
        <v>6</v>
      </c>
      <c r="D1525">
        <v>6</v>
      </c>
      <c r="F1525">
        <v>1524</v>
      </c>
      <c r="G1525" cm="1">
        <f t="array" ref="G1525">_xlfn.IFNA(INDEX($D$2:$D$4001,_xlfn.XMATCH(G$1&amp;"-"&amp;$F1525,YEAR($B$2:$B$4001)&amp;"-"&amp;$A$2:$A$4001,0,-1)),9)</f>
        <v>9</v>
      </c>
      <c r="H1525" cm="1">
        <f t="array" ref="H1525">IF(OR(AND(G1525=9,H$1&gt;YEAR($N1525))),9,_xlfn.IFNA(INDEX($D$2:$D$4001,_xlfn.XMATCH(H$1&amp;"-"&amp;$F1525,YEAR($B$2:$B$4001)&amp;"-"&amp;$A$2:$A$4001,0,-1)),G1525))</f>
        <v>9</v>
      </c>
      <c r="I1525" cm="1">
        <f t="array" ref="I1525">IF(OR(AND(H1525=9,I$1&gt;YEAR($N1525))),9,_xlfn.IFNA(INDEX($D$2:$D$4001,_xlfn.XMATCH(I$1&amp;"-"&amp;$F1525,YEAR($B$2:$B$4001)&amp;"-"&amp;$A$2:$A$4001,0,-1)),H1525))</f>
        <v>9</v>
      </c>
      <c r="J1525" cm="1">
        <f t="array" ref="J1525">IF(OR(AND(I1525=9,J$1&gt;YEAR($N1525))),9,_xlfn.IFNA(INDEX($D$2:$D$4001,_xlfn.XMATCH(J$1&amp;"-"&amp;$F1525,YEAR($B$2:$B$4001)&amp;"-"&amp;$A$2:$A$4001,0,-1)),I1525))</f>
        <v>9</v>
      </c>
      <c r="K1525" cm="1">
        <f t="array" ref="K1525">IF(OR(AND(J1525=9,K$1&gt;YEAR($N1525))),9,_xlfn.IFNA(INDEX($D$2:$D$4001,_xlfn.XMATCH(K$1&amp;"-"&amp;$F1525,YEAR($B$2:$B$4001)&amp;"-"&amp;$A$2:$A$4001,0,-1)),J1525))</f>
        <v>9</v>
      </c>
      <c r="L1525" cm="1">
        <f t="array" ref="L1525">IF(OR(AND(K1525=9,L$1&gt;YEAR($N1525))),9,_xlfn.IFNA(INDEX($D$2:$D$4001,_xlfn.XMATCH(L$1&amp;"-"&amp;$F1525,YEAR($B$2:$B$4001)&amp;"-"&amp;$A$2:$A$4001,0,-1)),K1525))</f>
        <v>3</v>
      </c>
      <c r="M1525" cm="1">
        <f t="array" ref="M1525">IF(OR(AND(L1525=9,M$1&gt;YEAR($N1525))),9,_xlfn.IFNA(INDEX($D$2:$D$4001,_xlfn.XMATCH(M$1&amp;"-"&amp;$F1525,YEAR($B$2:$B$4001)&amp;"-"&amp;$A$2:$A$4001,0,-1)),L1525))</f>
        <v>3</v>
      </c>
      <c r="N1525" s="1">
        <f t="shared" si="23"/>
        <v>38137</v>
      </c>
    </row>
    <row r="1526" spans="1:14" x14ac:dyDescent="0.35">
      <c r="A1526">
        <v>721</v>
      </c>
      <c r="B1526" s="2">
        <v>36890</v>
      </c>
      <c r="C1526">
        <v>5</v>
      </c>
      <c r="D1526">
        <v>5</v>
      </c>
      <c r="F1526">
        <v>1525</v>
      </c>
      <c r="G1526" cm="1">
        <f t="array" ref="G1526">_xlfn.IFNA(INDEX($D$2:$D$4001,_xlfn.XMATCH(G$1&amp;"-"&amp;$F1526,YEAR($B$2:$B$4001)&amp;"-"&amp;$A$2:$A$4001,0,-1)),9)</f>
        <v>9</v>
      </c>
      <c r="H1526" cm="1">
        <f t="array" ref="H1526">IF(OR(AND(G1526=9,H$1&gt;YEAR($N1526))),9,_xlfn.IFNA(INDEX($D$2:$D$4001,_xlfn.XMATCH(H$1&amp;"-"&amp;$F1526,YEAR($B$2:$B$4001)&amp;"-"&amp;$A$2:$A$4001,0,-1)),G1526))</f>
        <v>9</v>
      </c>
      <c r="I1526" cm="1">
        <f t="array" ref="I1526">IF(OR(AND(H1526=9,I$1&gt;YEAR($N1526))),9,_xlfn.IFNA(INDEX($D$2:$D$4001,_xlfn.XMATCH(I$1&amp;"-"&amp;$F1526,YEAR($B$2:$B$4001)&amp;"-"&amp;$A$2:$A$4001,0,-1)),H1526))</f>
        <v>9</v>
      </c>
      <c r="J1526" cm="1">
        <f t="array" ref="J1526">IF(OR(AND(I1526=9,J$1&gt;YEAR($N1526))),9,_xlfn.IFNA(INDEX($D$2:$D$4001,_xlfn.XMATCH(J$1&amp;"-"&amp;$F1526,YEAR($B$2:$B$4001)&amp;"-"&amp;$A$2:$A$4001,0,-1)),I1526))</f>
        <v>9</v>
      </c>
      <c r="K1526" cm="1">
        <f t="array" ref="K1526">IF(OR(AND(J1526=9,K$1&gt;YEAR($N1526))),9,_xlfn.IFNA(INDEX($D$2:$D$4001,_xlfn.XMATCH(K$1&amp;"-"&amp;$F1526,YEAR($B$2:$B$4001)&amp;"-"&amp;$A$2:$A$4001,0,-1)),J1526))</f>
        <v>9</v>
      </c>
      <c r="L1526" cm="1">
        <f t="array" ref="L1526">IF(OR(AND(K1526=9,L$1&gt;YEAR($N1526))),9,_xlfn.IFNA(INDEX($D$2:$D$4001,_xlfn.XMATCH(L$1&amp;"-"&amp;$F1526,YEAR($B$2:$B$4001)&amp;"-"&amp;$A$2:$A$4001,0,-1)),K1526))</f>
        <v>4</v>
      </c>
      <c r="M1526" cm="1">
        <f t="array" ref="M1526">IF(OR(AND(L1526=9,M$1&gt;YEAR($N1526))),9,_xlfn.IFNA(INDEX($D$2:$D$4001,_xlfn.XMATCH(M$1&amp;"-"&amp;$F1526,YEAR($B$2:$B$4001)&amp;"-"&amp;$A$2:$A$4001,0,-1)),L1526))</f>
        <v>4</v>
      </c>
      <c r="N1526" s="1">
        <f t="shared" si="23"/>
        <v>38137</v>
      </c>
    </row>
    <row r="1527" spans="1:14" x14ac:dyDescent="0.35">
      <c r="A1527">
        <v>721</v>
      </c>
      <c r="B1527" s="2">
        <v>37124</v>
      </c>
      <c r="C1527">
        <v>5</v>
      </c>
      <c r="D1527">
        <v>5</v>
      </c>
      <c r="F1527">
        <v>1526</v>
      </c>
      <c r="G1527" cm="1">
        <f t="array" ref="G1527">_xlfn.IFNA(INDEX($D$2:$D$4001,_xlfn.XMATCH(G$1&amp;"-"&amp;$F1527,YEAR($B$2:$B$4001)&amp;"-"&amp;$A$2:$A$4001,0,-1)),9)</f>
        <v>9</v>
      </c>
      <c r="H1527" cm="1">
        <f t="array" ref="H1527">IF(OR(AND(G1527=9,H$1&gt;YEAR($N1527))),9,_xlfn.IFNA(INDEX($D$2:$D$4001,_xlfn.XMATCH(H$1&amp;"-"&amp;$F1527,YEAR($B$2:$B$4001)&amp;"-"&amp;$A$2:$A$4001,0,-1)),G1527))</f>
        <v>9</v>
      </c>
      <c r="I1527" cm="1">
        <f t="array" ref="I1527">IF(OR(AND(H1527=9,I$1&gt;YEAR($N1527))),9,_xlfn.IFNA(INDEX($D$2:$D$4001,_xlfn.XMATCH(I$1&amp;"-"&amp;$F1527,YEAR($B$2:$B$4001)&amp;"-"&amp;$A$2:$A$4001,0,-1)),H1527))</f>
        <v>9</v>
      </c>
      <c r="J1527" cm="1">
        <f t="array" ref="J1527">IF(OR(AND(I1527=9,J$1&gt;YEAR($N1527))),9,_xlfn.IFNA(INDEX($D$2:$D$4001,_xlfn.XMATCH(J$1&amp;"-"&amp;$F1527,YEAR($B$2:$B$4001)&amp;"-"&amp;$A$2:$A$4001,0,-1)),I1527))</f>
        <v>4</v>
      </c>
      <c r="K1527" cm="1">
        <f t="array" ref="K1527">IF(OR(AND(J1527=9,K$1&gt;YEAR($N1527))),9,_xlfn.IFNA(INDEX($D$2:$D$4001,_xlfn.XMATCH(K$1&amp;"-"&amp;$F1527,YEAR($B$2:$B$4001)&amp;"-"&amp;$A$2:$A$4001,0,-1)),J1527))</f>
        <v>4</v>
      </c>
      <c r="L1527" cm="1">
        <f t="array" ref="L1527">IF(OR(AND(K1527=9,L$1&gt;YEAR($N1527))),9,_xlfn.IFNA(INDEX($D$2:$D$4001,_xlfn.XMATCH(L$1&amp;"-"&amp;$F1527,YEAR($B$2:$B$4001)&amp;"-"&amp;$A$2:$A$4001,0,-1)),K1527))</f>
        <v>4</v>
      </c>
      <c r="M1527" cm="1">
        <f t="array" ref="M1527">IF(OR(AND(L1527=9,M$1&gt;YEAR($N1527))),9,_xlfn.IFNA(INDEX($D$2:$D$4001,_xlfn.XMATCH(M$1&amp;"-"&amp;$F1527,YEAR($B$2:$B$4001)&amp;"-"&amp;$A$2:$A$4001,0,-1)),L1527))</f>
        <v>4</v>
      </c>
      <c r="N1527" s="1">
        <f t="shared" si="23"/>
        <v>37428</v>
      </c>
    </row>
    <row r="1528" spans="1:14" x14ac:dyDescent="0.35">
      <c r="A1528">
        <v>721</v>
      </c>
      <c r="B1528" s="2">
        <v>38251</v>
      </c>
      <c r="C1528">
        <v>6</v>
      </c>
      <c r="D1528">
        <v>6</v>
      </c>
      <c r="F1528">
        <v>1527</v>
      </c>
      <c r="G1528" cm="1">
        <f t="array" ref="G1528">_xlfn.IFNA(INDEX($D$2:$D$4001,_xlfn.XMATCH(G$1&amp;"-"&amp;$F1528,YEAR($B$2:$B$4001)&amp;"-"&amp;$A$2:$A$4001,0,-1)),9)</f>
        <v>9</v>
      </c>
      <c r="H1528" cm="1">
        <f t="array" ref="H1528">IF(OR(AND(G1528=9,H$1&gt;YEAR($N1528))),9,_xlfn.IFNA(INDEX($D$2:$D$4001,_xlfn.XMATCH(H$1&amp;"-"&amp;$F1528,YEAR($B$2:$B$4001)&amp;"-"&amp;$A$2:$A$4001,0,-1)),G1528))</f>
        <v>9</v>
      </c>
      <c r="I1528" cm="1">
        <f t="array" ref="I1528">IF(OR(AND(H1528=9,I$1&gt;YEAR($N1528))),9,_xlfn.IFNA(INDEX($D$2:$D$4001,_xlfn.XMATCH(I$1&amp;"-"&amp;$F1528,YEAR($B$2:$B$4001)&amp;"-"&amp;$A$2:$A$4001,0,-1)),H1528))</f>
        <v>7</v>
      </c>
      <c r="J1528" cm="1">
        <f t="array" ref="J1528">IF(OR(AND(I1528=9,J$1&gt;YEAR($N1528))),9,_xlfn.IFNA(INDEX($D$2:$D$4001,_xlfn.XMATCH(J$1&amp;"-"&amp;$F1528,YEAR($B$2:$B$4001)&amp;"-"&amp;$A$2:$A$4001,0,-1)),I1528))</f>
        <v>7</v>
      </c>
      <c r="K1528" cm="1">
        <f t="array" ref="K1528">IF(OR(AND(J1528=9,K$1&gt;YEAR($N1528))),9,_xlfn.IFNA(INDEX($D$2:$D$4001,_xlfn.XMATCH(K$1&amp;"-"&amp;$F1528,YEAR($B$2:$B$4001)&amp;"-"&amp;$A$2:$A$4001,0,-1)),J1528))</f>
        <v>7</v>
      </c>
      <c r="L1528" cm="1">
        <f t="array" ref="L1528">IF(OR(AND(K1528=9,L$1&gt;YEAR($N1528))),9,_xlfn.IFNA(INDEX($D$2:$D$4001,_xlfn.XMATCH(L$1&amp;"-"&amp;$F1528,YEAR($B$2:$B$4001)&amp;"-"&amp;$A$2:$A$4001,0,-1)),K1528))</f>
        <v>0</v>
      </c>
      <c r="M1528" cm="1">
        <f t="array" ref="M1528">IF(OR(AND(L1528=9,M$1&gt;YEAR($N1528))),9,_xlfn.IFNA(INDEX($D$2:$D$4001,_xlfn.XMATCH(M$1&amp;"-"&amp;$F1528,YEAR($B$2:$B$4001)&amp;"-"&amp;$A$2:$A$4001,0,-1)),L1528))</f>
        <v>0</v>
      </c>
      <c r="N1528" s="1">
        <f t="shared" si="23"/>
        <v>37041</v>
      </c>
    </row>
    <row r="1529" spans="1:14" x14ac:dyDescent="0.35">
      <c r="A1529">
        <v>721</v>
      </c>
      <c r="B1529" s="2">
        <v>38716</v>
      </c>
      <c r="C1529">
        <v>0</v>
      </c>
      <c r="D1529">
        <v>0</v>
      </c>
      <c r="F1529">
        <v>1528</v>
      </c>
      <c r="G1529" cm="1">
        <f t="array" ref="G1529">_xlfn.IFNA(INDEX($D$2:$D$4001,_xlfn.XMATCH(G$1&amp;"-"&amp;$F1529,YEAR($B$2:$B$4001)&amp;"-"&amp;$A$2:$A$4001,0,-1)),9)</f>
        <v>4</v>
      </c>
      <c r="H1529" cm="1">
        <f t="array" ref="H1529">IF(OR(AND(G1529=9,H$1&gt;YEAR($N1529))),9,_xlfn.IFNA(INDEX($D$2:$D$4001,_xlfn.XMATCH(H$1&amp;"-"&amp;$F1529,YEAR($B$2:$B$4001)&amp;"-"&amp;$A$2:$A$4001,0,-1)),G1529))</f>
        <v>4</v>
      </c>
      <c r="I1529" cm="1">
        <f t="array" ref="I1529">IF(OR(AND(H1529=9,I$1&gt;YEAR($N1529))),9,_xlfn.IFNA(INDEX($D$2:$D$4001,_xlfn.XMATCH(I$1&amp;"-"&amp;$F1529,YEAR($B$2:$B$4001)&amp;"-"&amp;$A$2:$A$4001,0,-1)),H1529))</f>
        <v>4</v>
      </c>
      <c r="J1529" cm="1">
        <f t="array" ref="J1529">IF(OR(AND(I1529=9,J$1&gt;YEAR($N1529))),9,_xlfn.IFNA(INDEX($D$2:$D$4001,_xlfn.XMATCH(J$1&amp;"-"&amp;$F1529,YEAR($B$2:$B$4001)&amp;"-"&amp;$A$2:$A$4001,0,-1)),I1529))</f>
        <v>4</v>
      </c>
      <c r="K1529" cm="1">
        <f t="array" ref="K1529">IF(OR(AND(J1529=9,K$1&gt;YEAR($N1529))),9,_xlfn.IFNA(INDEX($D$2:$D$4001,_xlfn.XMATCH(K$1&amp;"-"&amp;$F1529,YEAR($B$2:$B$4001)&amp;"-"&amp;$A$2:$A$4001,0,-1)),J1529))</f>
        <v>4</v>
      </c>
      <c r="L1529" cm="1">
        <f t="array" ref="L1529">IF(OR(AND(K1529=9,L$1&gt;YEAR($N1529))),9,_xlfn.IFNA(INDEX($D$2:$D$4001,_xlfn.XMATCH(L$1&amp;"-"&amp;$F1529,YEAR($B$2:$B$4001)&amp;"-"&amp;$A$2:$A$4001,0,-1)),K1529))</f>
        <v>4</v>
      </c>
      <c r="M1529" cm="1">
        <f t="array" ref="M1529">IF(OR(AND(L1529=9,M$1&gt;YEAR($N1529))),9,_xlfn.IFNA(INDEX($D$2:$D$4001,_xlfn.XMATCH(M$1&amp;"-"&amp;$F1529,YEAR($B$2:$B$4001)&amp;"-"&amp;$A$2:$A$4001,0,-1)),L1529))</f>
        <v>4</v>
      </c>
      <c r="N1529" s="1">
        <f t="shared" si="23"/>
        <v>36301</v>
      </c>
    </row>
    <row r="1530" spans="1:14" x14ac:dyDescent="0.35">
      <c r="A1530">
        <v>722</v>
      </c>
      <c r="B1530" s="2">
        <v>37885</v>
      </c>
      <c r="C1530">
        <v>6</v>
      </c>
      <c r="D1530">
        <v>6</v>
      </c>
      <c r="F1530">
        <v>1529</v>
      </c>
      <c r="G1530" cm="1">
        <f t="array" ref="G1530">_xlfn.IFNA(INDEX($D$2:$D$4001,_xlfn.XMATCH(G$1&amp;"-"&amp;$F1530,YEAR($B$2:$B$4001)&amp;"-"&amp;$A$2:$A$4001,0,-1)),9)</f>
        <v>9</v>
      </c>
      <c r="H1530" cm="1">
        <f t="array" ref="H1530">IF(OR(AND(G1530=9,H$1&gt;YEAR($N1530))),9,_xlfn.IFNA(INDEX($D$2:$D$4001,_xlfn.XMATCH(H$1&amp;"-"&amp;$F1530,YEAR($B$2:$B$4001)&amp;"-"&amp;$A$2:$A$4001,0,-1)),G1530))</f>
        <v>9</v>
      </c>
      <c r="I1530" cm="1">
        <f t="array" ref="I1530">IF(OR(AND(H1530=9,I$1&gt;YEAR($N1530))),9,_xlfn.IFNA(INDEX($D$2:$D$4001,_xlfn.XMATCH(I$1&amp;"-"&amp;$F1530,YEAR($B$2:$B$4001)&amp;"-"&amp;$A$2:$A$4001,0,-1)),H1530))</f>
        <v>4</v>
      </c>
      <c r="J1530" cm="1">
        <f t="array" ref="J1530">IF(OR(AND(I1530=9,J$1&gt;YEAR($N1530))),9,_xlfn.IFNA(INDEX($D$2:$D$4001,_xlfn.XMATCH(J$1&amp;"-"&amp;$F1530,YEAR($B$2:$B$4001)&amp;"-"&amp;$A$2:$A$4001,0,-1)),I1530))</f>
        <v>5</v>
      </c>
      <c r="K1530" cm="1">
        <f t="array" ref="K1530">IF(OR(AND(J1530=9,K$1&gt;YEAR($N1530))),9,_xlfn.IFNA(INDEX($D$2:$D$4001,_xlfn.XMATCH(K$1&amp;"-"&amp;$F1530,YEAR($B$2:$B$4001)&amp;"-"&amp;$A$2:$A$4001,0,-1)),J1530))</f>
        <v>5</v>
      </c>
      <c r="L1530" cm="1">
        <f t="array" ref="L1530">IF(OR(AND(K1530=9,L$1&gt;YEAR($N1530))),9,_xlfn.IFNA(INDEX($D$2:$D$4001,_xlfn.XMATCH(L$1&amp;"-"&amp;$F1530,YEAR($B$2:$B$4001)&amp;"-"&amp;$A$2:$A$4001,0,-1)),K1530))</f>
        <v>5</v>
      </c>
      <c r="M1530" cm="1">
        <f t="array" ref="M1530">IF(OR(AND(L1530=9,M$1&gt;YEAR($N1530))),9,_xlfn.IFNA(INDEX($D$2:$D$4001,_xlfn.XMATCH(M$1&amp;"-"&amp;$F1530,YEAR($B$2:$B$4001)&amp;"-"&amp;$A$2:$A$4001,0,-1)),L1530))</f>
        <v>5</v>
      </c>
      <c r="N1530" s="1">
        <f t="shared" si="23"/>
        <v>37194</v>
      </c>
    </row>
    <row r="1531" spans="1:14" x14ac:dyDescent="0.35">
      <c r="A1531">
        <v>722</v>
      </c>
      <c r="B1531" s="2">
        <v>37985</v>
      </c>
      <c r="C1531">
        <v>6</v>
      </c>
      <c r="D1531">
        <v>6</v>
      </c>
      <c r="F1531">
        <v>1530</v>
      </c>
      <c r="G1531" cm="1">
        <f t="array" ref="G1531">_xlfn.IFNA(INDEX($D$2:$D$4001,_xlfn.XMATCH(G$1&amp;"-"&amp;$F1531,YEAR($B$2:$B$4001)&amp;"-"&amp;$A$2:$A$4001,0,-1)),9)</f>
        <v>9</v>
      </c>
      <c r="H1531" cm="1">
        <f t="array" ref="H1531">IF(OR(AND(G1531=9,H$1&gt;YEAR($N1531))),9,_xlfn.IFNA(INDEX($D$2:$D$4001,_xlfn.XMATCH(H$1&amp;"-"&amp;$F1531,YEAR($B$2:$B$4001)&amp;"-"&amp;$A$2:$A$4001,0,-1)),G1531))</f>
        <v>5</v>
      </c>
      <c r="I1531" cm="1">
        <f t="array" ref="I1531">IF(OR(AND(H1531=9,I$1&gt;YEAR($N1531))),9,_xlfn.IFNA(INDEX($D$2:$D$4001,_xlfn.XMATCH(I$1&amp;"-"&amp;$F1531,YEAR($B$2:$B$4001)&amp;"-"&amp;$A$2:$A$4001,0,-1)),H1531))</f>
        <v>4</v>
      </c>
      <c r="J1531" cm="1">
        <f t="array" ref="J1531">IF(OR(AND(I1531=9,J$1&gt;YEAR($N1531))),9,_xlfn.IFNA(INDEX($D$2:$D$4001,_xlfn.XMATCH(J$1&amp;"-"&amp;$F1531,YEAR($B$2:$B$4001)&amp;"-"&amp;$A$2:$A$4001,0,-1)),I1531))</f>
        <v>4</v>
      </c>
      <c r="K1531" cm="1">
        <f t="array" ref="K1531">IF(OR(AND(J1531=9,K$1&gt;YEAR($N1531))),9,_xlfn.IFNA(INDEX($D$2:$D$4001,_xlfn.XMATCH(K$1&amp;"-"&amp;$F1531,YEAR($B$2:$B$4001)&amp;"-"&amp;$A$2:$A$4001,0,-1)),J1531))</f>
        <v>4</v>
      </c>
      <c r="L1531" cm="1">
        <f t="array" ref="L1531">IF(OR(AND(K1531=9,L$1&gt;YEAR($N1531))),9,_xlfn.IFNA(INDEX($D$2:$D$4001,_xlfn.XMATCH(L$1&amp;"-"&amp;$F1531,YEAR($B$2:$B$4001)&amp;"-"&amp;$A$2:$A$4001,0,-1)),K1531))</f>
        <v>4</v>
      </c>
      <c r="M1531" cm="1">
        <f t="array" ref="M1531">IF(OR(AND(L1531=9,M$1&gt;YEAR($N1531))),9,_xlfn.IFNA(INDEX($D$2:$D$4001,_xlfn.XMATCH(M$1&amp;"-"&amp;$F1531,YEAR($B$2:$B$4001)&amp;"-"&amp;$A$2:$A$4001,0,-1)),L1531))</f>
        <v>4</v>
      </c>
      <c r="N1531" s="1">
        <f t="shared" si="23"/>
        <v>36667</v>
      </c>
    </row>
    <row r="1532" spans="1:14" x14ac:dyDescent="0.35">
      <c r="A1532">
        <v>722</v>
      </c>
      <c r="B1532" s="2">
        <v>38128</v>
      </c>
      <c r="C1532">
        <v>6</v>
      </c>
      <c r="D1532">
        <v>6</v>
      </c>
      <c r="F1532">
        <v>1531</v>
      </c>
      <c r="G1532" cm="1">
        <f t="array" ref="G1532">_xlfn.IFNA(INDEX($D$2:$D$4001,_xlfn.XMATCH(G$1&amp;"-"&amp;$F1532,YEAR($B$2:$B$4001)&amp;"-"&amp;$A$2:$A$4001,0,-1)),9)</f>
        <v>4</v>
      </c>
      <c r="H1532" cm="1">
        <f t="array" ref="H1532">IF(OR(AND(G1532=9,H$1&gt;YEAR($N1532))),9,_xlfn.IFNA(INDEX($D$2:$D$4001,_xlfn.XMATCH(H$1&amp;"-"&amp;$F1532,YEAR($B$2:$B$4001)&amp;"-"&amp;$A$2:$A$4001,0,-1)),G1532))</f>
        <v>4</v>
      </c>
      <c r="I1532" cm="1">
        <f t="array" ref="I1532">IF(OR(AND(H1532=9,I$1&gt;YEAR($N1532))),9,_xlfn.IFNA(INDEX($D$2:$D$4001,_xlfn.XMATCH(I$1&amp;"-"&amp;$F1532,YEAR($B$2:$B$4001)&amp;"-"&amp;$A$2:$A$4001,0,-1)),H1532))</f>
        <v>4</v>
      </c>
      <c r="J1532" cm="1">
        <f t="array" ref="J1532">IF(OR(AND(I1532=9,J$1&gt;YEAR($N1532))),9,_xlfn.IFNA(INDEX($D$2:$D$4001,_xlfn.XMATCH(J$1&amp;"-"&amp;$F1532,YEAR($B$2:$B$4001)&amp;"-"&amp;$A$2:$A$4001,0,-1)),I1532))</f>
        <v>4</v>
      </c>
      <c r="K1532" cm="1">
        <f t="array" ref="K1532">IF(OR(AND(J1532=9,K$1&gt;YEAR($N1532))),9,_xlfn.IFNA(INDEX($D$2:$D$4001,_xlfn.XMATCH(K$1&amp;"-"&amp;$F1532,YEAR($B$2:$B$4001)&amp;"-"&amp;$A$2:$A$4001,0,-1)),J1532))</f>
        <v>4</v>
      </c>
      <c r="L1532" cm="1">
        <f t="array" ref="L1532">IF(OR(AND(K1532=9,L$1&gt;YEAR($N1532))),9,_xlfn.IFNA(INDEX($D$2:$D$4001,_xlfn.XMATCH(L$1&amp;"-"&amp;$F1532,YEAR($B$2:$B$4001)&amp;"-"&amp;$A$2:$A$4001,0,-1)),K1532))</f>
        <v>4</v>
      </c>
      <c r="M1532" cm="1">
        <f t="array" ref="M1532">IF(OR(AND(L1532=9,M$1&gt;YEAR($N1532))),9,_xlfn.IFNA(INDEX($D$2:$D$4001,_xlfn.XMATCH(M$1&amp;"-"&amp;$F1532,YEAR($B$2:$B$4001)&amp;"-"&amp;$A$2:$A$4001,0,-1)),L1532))</f>
        <v>4</v>
      </c>
      <c r="N1532" s="1">
        <f t="shared" si="23"/>
        <v>36396</v>
      </c>
    </row>
    <row r="1533" spans="1:14" x14ac:dyDescent="0.35">
      <c r="A1533">
        <v>723</v>
      </c>
      <c r="B1533" s="2">
        <v>36820</v>
      </c>
      <c r="C1533">
        <v>0</v>
      </c>
      <c r="D1533">
        <v>0</v>
      </c>
      <c r="F1533">
        <v>1532</v>
      </c>
      <c r="G1533" cm="1">
        <f t="array" ref="G1533">_xlfn.IFNA(INDEX($D$2:$D$4001,_xlfn.XMATCH(G$1&amp;"-"&amp;$F1533,YEAR($B$2:$B$4001)&amp;"-"&amp;$A$2:$A$4001,0,-1)),9)</f>
        <v>9</v>
      </c>
      <c r="H1533" cm="1">
        <f t="array" ref="H1533">IF(OR(AND(G1533=9,H$1&gt;YEAR($N1533))),9,_xlfn.IFNA(INDEX($D$2:$D$4001,_xlfn.XMATCH(H$1&amp;"-"&amp;$F1533,YEAR($B$2:$B$4001)&amp;"-"&amp;$A$2:$A$4001,0,-1)),G1533))</f>
        <v>9</v>
      </c>
      <c r="I1533" cm="1">
        <f t="array" ref="I1533">IF(OR(AND(H1533=9,I$1&gt;YEAR($N1533))),9,_xlfn.IFNA(INDEX($D$2:$D$4001,_xlfn.XMATCH(I$1&amp;"-"&amp;$F1533,YEAR($B$2:$B$4001)&amp;"-"&amp;$A$2:$A$4001,0,-1)),H1533))</f>
        <v>9</v>
      </c>
      <c r="J1533" cm="1">
        <f t="array" ref="J1533">IF(OR(AND(I1533=9,J$1&gt;YEAR($N1533))),9,_xlfn.IFNA(INDEX($D$2:$D$4001,_xlfn.XMATCH(J$1&amp;"-"&amp;$F1533,YEAR($B$2:$B$4001)&amp;"-"&amp;$A$2:$A$4001,0,-1)),I1533))</f>
        <v>9</v>
      </c>
      <c r="K1533" cm="1">
        <f t="array" ref="K1533">IF(OR(AND(J1533=9,K$1&gt;YEAR($N1533))),9,_xlfn.IFNA(INDEX($D$2:$D$4001,_xlfn.XMATCH(K$1&amp;"-"&amp;$F1533,YEAR($B$2:$B$4001)&amp;"-"&amp;$A$2:$A$4001,0,-1)),J1533))</f>
        <v>4</v>
      </c>
      <c r="L1533" cm="1">
        <f t="array" ref="L1533">IF(OR(AND(K1533=9,L$1&gt;YEAR($N1533))),9,_xlfn.IFNA(INDEX($D$2:$D$4001,_xlfn.XMATCH(L$1&amp;"-"&amp;$F1533,YEAR($B$2:$B$4001)&amp;"-"&amp;$A$2:$A$4001,0,-1)),K1533))</f>
        <v>4</v>
      </c>
      <c r="M1533" cm="1">
        <f t="array" ref="M1533">IF(OR(AND(L1533=9,M$1&gt;YEAR($N1533))),9,_xlfn.IFNA(INDEX($D$2:$D$4001,_xlfn.XMATCH(M$1&amp;"-"&amp;$F1533,YEAR($B$2:$B$4001)&amp;"-"&amp;$A$2:$A$4001,0,-1)),L1533))</f>
        <v>4</v>
      </c>
      <c r="N1533" s="1">
        <f t="shared" si="23"/>
        <v>37762</v>
      </c>
    </row>
    <row r="1534" spans="1:14" x14ac:dyDescent="0.35">
      <c r="A1534">
        <v>724</v>
      </c>
      <c r="B1534" s="2">
        <v>36890</v>
      </c>
      <c r="C1534">
        <v>4</v>
      </c>
      <c r="D1534">
        <v>4</v>
      </c>
      <c r="F1534">
        <v>1533</v>
      </c>
      <c r="G1534" cm="1">
        <f t="array" ref="G1534">_xlfn.IFNA(INDEX($D$2:$D$4001,_xlfn.XMATCH(G$1&amp;"-"&amp;$F1534,YEAR($B$2:$B$4001)&amp;"-"&amp;$A$2:$A$4001,0,-1)),9)</f>
        <v>9</v>
      </c>
      <c r="H1534" cm="1">
        <f t="array" ref="H1534">IF(OR(AND(G1534=9,H$1&gt;YEAR($N1534))),9,_xlfn.IFNA(INDEX($D$2:$D$4001,_xlfn.XMATCH(H$1&amp;"-"&amp;$F1534,YEAR($B$2:$B$4001)&amp;"-"&amp;$A$2:$A$4001,0,-1)),G1534))</f>
        <v>9</v>
      </c>
      <c r="I1534" cm="1">
        <f t="array" ref="I1534">IF(OR(AND(H1534=9,I$1&gt;YEAR($N1534))),9,_xlfn.IFNA(INDEX($D$2:$D$4001,_xlfn.XMATCH(I$1&amp;"-"&amp;$F1534,YEAR($B$2:$B$4001)&amp;"-"&amp;$A$2:$A$4001,0,-1)),H1534))</f>
        <v>9</v>
      </c>
      <c r="J1534" cm="1">
        <f t="array" ref="J1534">IF(OR(AND(I1534=9,J$1&gt;YEAR($N1534))),9,_xlfn.IFNA(INDEX($D$2:$D$4001,_xlfn.XMATCH(J$1&amp;"-"&amp;$F1534,YEAR($B$2:$B$4001)&amp;"-"&amp;$A$2:$A$4001,0,-1)),I1534))</f>
        <v>4</v>
      </c>
      <c r="K1534" cm="1">
        <f t="array" ref="K1534">IF(OR(AND(J1534=9,K$1&gt;YEAR($N1534))),9,_xlfn.IFNA(INDEX($D$2:$D$4001,_xlfn.XMATCH(K$1&amp;"-"&amp;$F1534,YEAR($B$2:$B$4001)&amp;"-"&amp;$A$2:$A$4001,0,-1)),J1534))</f>
        <v>4</v>
      </c>
      <c r="L1534" cm="1">
        <f t="array" ref="L1534">IF(OR(AND(K1534=9,L$1&gt;YEAR($N1534))),9,_xlfn.IFNA(INDEX($D$2:$D$4001,_xlfn.XMATCH(L$1&amp;"-"&amp;$F1534,YEAR($B$2:$B$4001)&amp;"-"&amp;$A$2:$A$4001,0,-1)),K1534))</f>
        <v>4</v>
      </c>
      <c r="M1534" cm="1">
        <f t="array" ref="M1534">IF(OR(AND(L1534=9,M$1&gt;YEAR($N1534))),9,_xlfn.IFNA(INDEX($D$2:$D$4001,_xlfn.XMATCH(M$1&amp;"-"&amp;$F1534,YEAR($B$2:$B$4001)&amp;"-"&amp;$A$2:$A$4001,0,-1)),L1534))</f>
        <v>4</v>
      </c>
      <c r="N1534" s="1">
        <f t="shared" si="23"/>
        <v>37620</v>
      </c>
    </row>
    <row r="1535" spans="1:14" x14ac:dyDescent="0.35">
      <c r="A1535">
        <v>724</v>
      </c>
      <c r="B1535" s="2">
        <v>37854</v>
      </c>
      <c r="C1535">
        <v>6</v>
      </c>
      <c r="D1535">
        <v>6</v>
      </c>
      <c r="F1535">
        <v>1534</v>
      </c>
      <c r="G1535" cm="1">
        <f t="array" ref="G1535">_xlfn.IFNA(INDEX($D$2:$D$4001,_xlfn.XMATCH(G$1&amp;"-"&amp;$F1535,YEAR($B$2:$B$4001)&amp;"-"&amp;$A$2:$A$4001,0,-1)),9)</f>
        <v>4</v>
      </c>
      <c r="H1535" cm="1">
        <f t="array" ref="H1535">IF(OR(AND(G1535=9,H$1&gt;YEAR($N1535))),9,_xlfn.IFNA(INDEX($D$2:$D$4001,_xlfn.XMATCH(H$1&amp;"-"&amp;$F1535,YEAR($B$2:$B$4001)&amp;"-"&amp;$A$2:$A$4001,0,-1)),G1535))</f>
        <v>3</v>
      </c>
      <c r="I1535" cm="1">
        <f t="array" ref="I1535">IF(OR(AND(H1535=9,I$1&gt;YEAR($N1535))),9,_xlfn.IFNA(INDEX($D$2:$D$4001,_xlfn.XMATCH(I$1&amp;"-"&amp;$F1535,YEAR($B$2:$B$4001)&amp;"-"&amp;$A$2:$A$4001,0,-1)),H1535))</f>
        <v>3</v>
      </c>
      <c r="J1535" cm="1">
        <f t="array" ref="J1535">IF(OR(AND(I1535=9,J$1&gt;YEAR($N1535))),9,_xlfn.IFNA(INDEX($D$2:$D$4001,_xlfn.XMATCH(J$1&amp;"-"&amp;$F1535,YEAR($B$2:$B$4001)&amp;"-"&amp;$A$2:$A$4001,0,-1)),I1535))</f>
        <v>3</v>
      </c>
      <c r="K1535" cm="1">
        <f t="array" ref="K1535">IF(OR(AND(J1535=9,K$1&gt;YEAR($N1535))),9,_xlfn.IFNA(INDEX($D$2:$D$4001,_xlfn.XMATCH(K$1&amp;"-"&amp;$F1535,YEAR($B$2:$B$4001)&amp;"-"&amp;$A$2:$A$4001,0,-1)),J1535))</f>
        <v>3</v>
      </c>
      <c r="L1535" cm="1">
        <f t="array" ref="L1535">IF(OR(AND(K1535=9,L$1&gt;YEAR($N1535))),9,_xlfn.IFNA(INDEX($D$2:$D$4001,_xlfn.XMATCH(L$1&amp;"-"&amp;$F1535,YEAR($B$2:$B$4001)&amp;"-"&amp;$A$2:$A$4001,0,-1)),K1535))</f>
        <v>3</v>
      </c>
      <c r="M1535" cm="1">
        <f t="array" ref="M1535">IF(OR(AND(L1535=9,M$1&gt;YEAR($N1535))),9,_xlfn.IFNA(INDEX($D$2:$D$4001,_xlfn.XMATCH(M$1&amp;"-"&amp;$F1535,YEAR($B$2:$B$4001)&amp;"-"&amp;$A$2:$A$4001,0,-1)),L1535))</f>
        <v>3</v>
      </c>
      <c r="N1535" s="1">
        <f t="shared" si="23"/>
        <v>36402</v>
      </c>
    </row>
    <row r="1536" spans="1:14" x14ac:dyDescent="0.35">
      <c r="A1536">
        <v>725</v>
      </c>
      <c r="B1536" s="2">
        <v>37194</v>
      </c>
      <c r="C1536">
        <v>0</v>
      </c>
      <c r="D1536">
        <v>0</v>
      </c>
      <c r="F1536">
        <v>1535</v>
      </c>
      <c r="G1536" cm="1">
        <f t="array" ref="G1536">_xlfn.IFNA(INDEX($D$2:$D$4001,_xlfn.XMATCH(G$1&amp;"-"&amp;$F1536,YEAR($B$2:$B$4001)&amp;"-"&amp;$A$2:$A$4001,0,-1)),9)</f>
        <v>0</v>
      </c>
      <c r="H1536" cm="1">
        <f t="array" ref="H1536">IF(OR(AND(G1536=9,H$1&gt;YEAR($N1536))),9,_xlfn.IFNA(INDEX($D$2:$D$4001,_xlfn.XMATCH(H$1&amp;"-"&amp;$F1536,YEAR($B$2:$B$4001)&amp;"-"&amp;$A$2:$A$4001,0,-1)),G1536))</f>
        <v>0</v>
      </c>
      <c r="I1536" cm="1">
        <f t="array" ref="I1536">IF(OR(AND(H1536=9,I$1&gt;YEAR($N1536))),9,_xlfn.IFNA(INDEX($D$2:$D$4001,_xlfn.XMATCH(I$1&amp;"-"&amp;$F1536,YEAR($B$2:$B$4001)&amp;"-"&amp;$A$2:$A$4001,0,-1)),H1536))</f>
        <v>0</v>
      </c>
      <c r="J1536" cm="1">
        <f t="array" ref="J1536">IF(OR(AND(I1536=9,J$1&gt;YEAR($N1536))),9,_xlfn.IFNA(INDEX($D$2:$D$4001,_xlfn.XMATCH(J$1&amp;"-"&amp;$F1536,YEAR($B$2:$B$4001)&amp;"-"&amp;$A$2:$A$4001,0,-1)),I1536))</f>
        <v>0</v>
      </c>
      <c r="K1536" cm="1">
        <f t="array" ref="K1536">IF(OR(AND(J1536=9,K$1&gt;YEAR($N1536))),9,_xlfn.IFNA(INDEX($D$2:$D$4001,_xlfn.XMATCH(K$1&amp;"-"&amp;$F1536,YEAR($B$2:$B$4001)&amp;"-"&amp;$A$2:$A$4001,0,-1)),J1536))</f>
        <v>0</v>
      </c>
      <c r="L1536" cm="1">
        <f t="array" ref="L1536">IF(OR(AND(K1536=9,L$1&gt;YEAR($N1536))),9,_xlfn.IFNA(INDEX($D$2:$D$4001,_xlfn.XMATCH(L$1&amp;"-"&amp;$F1536,YEAR($B$2:$B$4001)&amp;"-"&amp;$A$2:$A$4001,0,-1)),K1536))</f>
        <v>0</v>
      </c>
      <c r="M1536" cm="1">
        <f t="array" ref="M1536">IF(OR(AND(L1536=9,M$1&gt;YEAR($N1536))),9,_xlfn.IFNA(INDEX($D$2:$D$4001,_xlfn.XMATCH(M$1&amp;"-"&amp;$F1536,YEAR($B$2:$B$4001)&amp;"-"&amp;$A$2:$A$4001,0,-1)),L1536))</f>
        <v>0</v>
      </c>
      <c r="N1536" s="1">
        <f t="shared" si="23"/>
        <v>36301</v>
      </c>
    </row>
    <row r="1537" spans="1:14" x14ac:dyDescent="0.35">
      <c r="A1537">
        <v>726</v>
      </c>
      <c r="B1537" s="2">
        <v>37985</v>
      </c>
      <c r="C1537">
        <v>4</v>
      </c>
      <c r="D1537">
        <v>4</v>
      </c>
      <c r="F1537">
        <v>1536</v>
      </c>
      <c r="G1537" cm="1">
        <f t="array" ref="G1537">_xlfn.IFNA(INDEX($D$2:$D$4001,_xlfn.XMATCH(G$1&amp;"-"&amp;$F1537,YEAR($B$2:$B$4001)&amp;"-"&amp;$A$2:$A$4001,0,-1)),9)</f>
        <v>9</v>
      </c>
      <c r="H1537" cm="1">
        <f t="array" ref="H1537">IF(OR(AND(G1537=9,H$1&gt;YEAR($N1537))),9,_xlfn.IFNA(INDEX($D$2:$D$4001,_xlfn.XMATCH(H$1&amp;"-"&amp;$F1537,YEAR($B$2:$B$4001)&amp;"-"&amp;$A$2:$A$4001,0,-1)),G1537))</f>
        <v>3</v>
      </c>
      <c r="I1537" cm="1">
        <f t="array" ref="I1537">IF(OR(AND(H1537=9,I$1&gt;YEAR($N1537))),9,_xlfn.IFNA(INDEX($D$2:$D$4001,_xlfn.XMATCH(I$1&amp;"-"&amp;$F1537,YEAR($B$2:$B$4001)&amp;"-"&amp;$A$2:$A$4001,0,-1)),H1537))</f>
        <v>3</v>
      </c>
      <c r="J1537" cm="1">
        <f t="array" ref="J1537">IF(OR(AND(I1537=9,J$1&gt;YEAR($N1537))),9,_xlfn.IFNA(INDEX($D$2:$D$4001,_xlfn.XMATCH(J$1&amp;"-"&amp;$F1537,YEAR($B$2:$B$4001)&amp;"-"&amp;$A$2:$A$4001,0,-1)),I1537))</f>
        <v>3</v>
      </c>
      <c r="K1537" cm="1">
        <f t="array" ref="K1537">IF(OR(AND(J1537=9,K$1&gt;YEAR($N1537))),9,_xlfn.IFNA(INDEX($D$2:$D$4001,_xlfn.XMATCH(K$1&amp;"-"&amp;$F1537,YEAR($B$2:$B$4001)&amp;"-"&amp;$A$2:$A$4001,0,-1)),J1537))</f>
        <v>3</v>
      </c>
      <c r="L1537" cm="1">
        <f t="array" ref="L1537">IF(OR(AND(K1537=9,L$1&gt;YEAR($N1537))),9,_xlfn.IFNA(INDEX($D$2:$D$4001,_xlfn.XMATCH(L$1&amp;"-"&amp;$F1537,YEAR($B$2:$B$4001)&amp;"-"&amp;$A$2:$A$4001,0,-1)),K1537))</f>
        <v>3</v>
      </c>
      <c r="M1537" cm="1">
        <f t="array" ref="M1537">IF(OR(AND(L1537=9,M$1&gt;YEAR($N1537))),9,_xlfn.IFNA(INDEX($D$2:$D$4001,_xlfn.XMATCH(M$1&amp;"-"&amp;$F1537,YEAR($B$2:$B$4001)&amp;"-"&amp;$A$2:$A$4001,0,-1)),L1537))</f>
        <v>3</v>
      </c>
      <c r="N1537" s="1">
        <f t="shared" si="23"/>
        <v>36829</v>
      </c>
    </row>
    <row r="1538" spans="1:14" x14ac:dyDescent="0.35">
      <c r="A1538">
        <v>727</v>
      </c>
      <c r="B1538" s="2">
        <v>37255</v>
      </c>
      <c r="C1538">
        <v>3</v>
      </c>
      <c r="D1538">
        <v>3</v>
      </c>
      <c r="F1538">
        <v>1537</v>
      </c>
      <c r="G1538" cm="1">
        <f t="array" ref="G1538">_xlfn.IFNA(INDEX($D$2:$D$4001,_xlfn.XMATCH(G$1&amp;"-"&amp;$F1538,YEAR($B$2:$B$4001)&amp;"-"&amp;$A$2:$A$4001,0,-1)),9)</f>
        <v>9</v>
      </c>
      <c r="H1538" cm="1">
        <f t="array" ref="H1538">IF(OR(AND(G1538=9,H$1&gt;YEAR($N1538))),9,_xlfn.IFNA(INDEX($D$2:$D$4001,_xlfn.XMATCH(H$1&amp;"-"&amp;$F1538,YEAR($B$2:$B$4001)&amp;"-"&amp;$A$2:$A$4001,0,-1)),G1538))</f>
        <v>9</v>
      </c>
      <c r="I1538" cm="1">
        <f t="array" ref="I1538">IF(OR(AND(H1538=9,I$1&gt;YEAR($N1538))),9,_xlfn.IFNA(INDEX($D$2:$D$4001,_xlfn.XMATCH(I$1&amp;"-"&amp;$F1538,YEAR($B$2:$B$4001)&amp;"-"&amp;$A$2:$A$4001,0,-1)),H1538))</f>
        <v>9</v>
      </c>
      <c r="J1538" cm="1">
        <f t="array" ref="J1538">IF(OR(AND(I1538=9,J$1&gt;YEAR($N1538))),9,_xlfn.IFNA(INDEX($D$2:$D$4001,_xlfn.XMATCH(J$1&amp;"-"&amp;$F1538,YEAR($B$2:$B$4001)&amp;"-"&amp;$A$2:$A$4001,0,-1)),I1538))</f>
        <v>9</v>
      </c>
      <c r="K1538" cm="1">
        <f t="array" ref="K1538">IF(OR(AND(J1538=9,K$1&gt;YEAR($N1538))),9,_xlfn.IFNA(INDEX($D$2:$D$4001,_xlfn.XMATCH(K$1&amp;"-"&amp;$F1538,YEAR($B$2:$B$4001)&amp;"-"&amp;$A$2:$A$4001,0,-1)),J1538))</f>
        <v>9</v>
      </c>
      <c r="L1538" cm="1">
        <f t="array" ref="L1538">IF(OR(AND(K1538=9,L$1&gt;YEAR($N1538))),9,_xlfn.IFNA(INDEX($D$2:$D$4001,_xlfn.XMATCH(L$1&amp;"-"&amp;$F1538,YEAR($B$2:$B$4001)&amp;"-"&amp;$A$2:$A$4001,0,-1)),K1538))</f>
        <v>0</v>
      </c>
      <c r="M1538" cm="1">
        <f t="array" ref="M1538">IF(OR(AND(L1538=9,M$1&gt;YEAR($N1538))),9,_xlfn.IFNA(INDEX($D$2:$D$4001,_xlfn.XMATCH(M$1&amp;"-"&amp;$F1538,YEAR($B$2:$B$4001)&amp;"-"&amp;$A$2:$A$4001,0,-1)),L1538))</f>
        <v>0</v>
      </c>
      <c r="N1538" s="1">
        <f t="shared" si="23"/>
        <v>38321</v>
      </c>
    </row>
    <row r="1539" spans="1:14" x14ac:dyDescent="0.35">
      <c r="A1539">
        <v>727</v>
      </c>
      <c r="B1539" s="2">
        <v>37402</v>
      </c>
      <c r="C1539">
        <v>0</v>
      </c>
      <c r="D1539">
        <v>0</v>
      </c>
      <c r="F1539">
        <v>1538</v>
      </c>
      <c r="G1539" cm="1">
        <f t="array" ref="G1539">_xlfn.IFNA(INDEX($D$2:$D$4001,_xlfn.XMATCH(G$1&amp;"-"&amp;$F1539,YEAR($B$2:$B$4001)&amp;"-"&amp;$A$2:$A$4001,0,-1)),9)</f>
        <v>9</v>
      </c>
      <c r="H1539" cm="1">
        <f t="array" ref="H1539">IF(OR(AND(G1539=9,H$1&gt;YEAR($N1539))),9,_xlfn.IFNA(INDEX($D$2:$D$4001,_xlfn.XMATCH(H$1&amp;"-"&amp;$F1539,YEAR($B$2:$B$4001)&amp;"-"&amp;$A$2:$A$4001,0,-1)),G1539))</f>
        <v>3</v>
      </c>
      <c r="I1539" cm="1">
        <f t="array" ref="I1539">IF(OR(AND(H1539=9,I$1&gt;YEAR($N1539))),9,_xlfn.IFNA(INDEX($D$2:$D$4001,_xlfn.XMATCH(I$1&amp;"-"&amp;$F1539,YEAR($B$2:$B$4001)&amp;"-"&amp;$A$2:$A$4001,0,-1)),H1539))</f>
        <v>3</v>
      </c>
      <c r="J1539" cm="1">
        <f t="array" ref="J1539">IF(OR(AND(I1539=9,J$1&gt;YEAR($N1539))),9,_xlfn.IFNA(INDEX($D$2:$D$4001,_xlfn.XMATCH(J$1&amp;"-"&amp;$F1539,YEAR($B$2:$B$4001)&amp;"-"&amp;$A$2:$A$4001,0,-1)),I1539))</f>
        <v>3</v>
      </c>
      <c r="K1539" cm="1">
        <f t="array" ref="K1539">IF(OR(AND(J1539=9,K$1&gt;YEAR($N1539))),9,_xlfn.IFNA(INDEX($D$2:$D$4001,_xlfn.XMATCH(K$1&amp;"-"&amp;$F1539,YEAR($B$2:$B$4001)&amp;"-"&amp;$A$2:$A$4001,0,-1)),J1539))</f>
        <v>3</v>
      </c>
      <c r="L1539" cm="1">
        <f t="array" ref="L1539">IF(OR(AND(K1539=9,L$1&gt;YEAR($N1539))),9,_xlfn.IFNA(INDEX($D$2:$D$4001,_xlfn.XMATCH(L$1&amp;"-"&amp;$F1539,YEAR($B$2:$B$4001)&amp;"-"&amp;$A$2:$A$4001,0,-1)),K1539))</f>
        <v>3</v>
      </c>
      <c r="M1539" cm="1">
        <f t="array" ref="M1539">IF(OR(AND(L1539=9,M$1&gt;YEAR($N1539))),9,_xlfn.IFNA(INDEX($D$2:$D$4001,_xlfn.XMATCH(M$1&amp;"-"&amp;$F1539,YEAR($B$2:$B$4001)&amp;"-"&amp;$A$2:$A$4001,0,-1)),L1539))</f>
        <v>3</v>
      </c>
      <c r="N1539" s="1">
        <f t="shared" ref="N1539:N1602" si="24">_xlfn.MINIFS($B$2:$B$4001,$A$2:$A$4001,F1539)</f>
        <v>36890</v>
      </c>
    </row>
    <row r="1540" spans="1:14" x14ac:dyDescent="0.35">
      <c r="A1540">
        <v>728</v>
      </c>
      <c r="B1540" s="2">
        <v>36524</v>
      </c>
      <c r="C1540">
        <v>6</v>
      </c>
      <c r="D1540">
        <v>6</v>
      </c>
      <c r="F1540">
        <v>1539</v>
      </c>
      <c r="G1540" cm="1">
        <f t="array" ref="G1540">_xlfn.IFNA(INDEX($D$2:$D$4001,_xlfn.XMATCH(G$1&amp;"-"&amp;$F1540,YEAR($B$2:$B$4001)&amp;"-"&amp;$A$2:$A$4001,0,-1)),9)</f>
        <v>9</v>
      </c>
      <c r="H1540" cm="1">
        <f t="array" ref="H1540">IF(OR(AND(G1540=9,H$1&gt;YEAR($N1540))),9,_xlfn.IFNA(INDEX($D$2:$D$4001,_xlfn.XMATCH(H$1&amp;"-"&amp;$F1540,YEAR($B$2:$B$4001)&amp;"-"&amp;$A$2:$A$4001,0,-1)),G1540))</f>
        <v>9</v>
      </c>
      <c r="I1540" cm="1">
        <f t="array" ref="I1540">IF(OR(AND(H1540=9,I$1&gt;YEAR($N1540))),9,_xlfn.IFNA(INDEX($D$2:$D$4001,_xlfn.XMATCH(I$1&amp;"-"&amp;$F1540,YEAR($B$2:$B$4001)&amp;"-"&amp;$A$2:$A$4001,0,-1)),H1540))</f>
        <v>9</v>
      </c>
      <c r="J1540" cm="1">
        <f t="array" ref="J1540">IF(OR(AND(I1540=9,J$1&gt;YEAR($N1540))),9,_xlfn.IFNA(INDEX($D$2:$D$4001,_xlfn.XMATCH(J$1&amp;"-"&amp;$F1540,YEAR($B$2:$B$4001)&amp;"-"&amp;$A$2:$A$4001,0,-1)),I1540))</f>
        <v>5</v>
      </c>
      <c r="K1540" cm="1">
        <f t="array" ref="K1540">IF(OR(AND(J1540=9,K$1&gt;YEAR($N1540))),9,_xlfn.IFNA(INDEX($D$2:$D$4001,_xlfn.XMATCH(K$1&amp;"-"&amp;$F1540,YEAR($B$2:$B$4001)&amp;"-"&amp;$A$2:$A$4001,0,-1)),J1540))</f>
        <v>5</v>
      </c>
      <c r="L1540" cm="1">
        <f t="array" ref="L1540">IF(OR(AND(K1540=9,L$1&gt;YEAR($N1540))),9,_xlfn.IFNA(INDEX($D$2:$D$4001,_xlfn.XMATCH(L$1&amp;"-"&amp;$F1540,YEAR($B$2:$B$4001)&amp;"-"&amp;$A$2:$A$4001,0,-1)),K1540))</f>
        <v>5</v>
      </c>
      <c r="M1540" cm="1">
        <f t="array" ref="M1540">IF(OR(AND(L1540=9,M$1&gt;YEAR($N1540))),9,_xlfn.IFNA(INDEX($D$2:$D$4001,_xlfn.XMATCH(M$1&amp;"-"&amp;$F1540,YEAR($B$2:$B$4001)&amp;"-"&amp;$A$2:$A$4001,0,-1)),L1540))</f>
        <v>5</v>
      </c>
      <c r="N1540" s="1">
        <f t="shared" si="24"/>
        <v>37550</v>
      </c>
    </row>
    <row r="1541" spans="1:14" x14ac:dyDescent="0.35">
      <c r="A1541">
        <v>729</v>
      </c>
      <c r="B1541" s="2">
        <v>36667</v>
      </c>
      <c r="C1541">
        <v>4</v>
      </c>
      <c r="D1541">
        <v>4</v>
      </c>
      <c r="F1541">
        <v>1540</v>
      </c>
      <c r="G1541" cm="1">
        <f t="array" ref="G1541">_xlfn.IFNA(INDEX($D$2:$D$4001,_xlfn.XMATCH(G$1&amp;"-"&amp;$F1541,YEAR($B$2:$B$4001)&amp;"-"&amp;$A$2:$A$4001,0,-1)),9)</f>
        <v>9</v>
      </c>
      <c r="H1541" cm="1">
        <f t="array" ref="H1541">IF(OR(AND(G1541=9,H$1&gt;YEAR($N1541))),9,_xlfn.IFNA(INDEX($D$2:$D$4001,_xlfn.XMATCH(H$1&amp;"-"&amp;$F1541,YEAR($B$2:$B$4001)&amp;"-"&amp;$A$2:$A$4001,0,-1)),G1541))</f>
        <v>9</v>
      </c>
      <c r="I1541" cm="1">
        <f t="array" ref="I1541">IF(OR(AND(H1541=9,I$1&gt;YEAR($N1541))),9,_xlfn.IFNA(INDEX($D$2:$D$4001,_xlfn.XMATCH(I$1&amp;"-"&amp;$F1541,YEAR($B$2:$B$4001)&amp;"-"&amp;$A$2:$A$4001,0,-1)),H1541))</f>
        <v>3</v>
      </c>
      <c r="J1541" cm="1">
        <f t="array" ref="J1541">IF(OR(AND(I1541=9,J$1&gt;YEAR($N1541))),9,_xlfn.IFNA(INDEX($D$2:$D$4001,_xlfn.XMATCH(J$1&amp;"-"&amp;$F1541,YEAR($B$2:$B$4001)&amp;"-"&amp;$A$2:$A$4001,0,-1)),I1541))</f>
        <v>3</v>
      </c>
      <c r="K1541" cm="1">
        <f t="array" ref="K1541">IF(OR(AND(J1541=9,K$1&gt;YEAR($N1541))),9,_xlfn.IFNA(INDEX($D$2:$D$4001,_xlfn.XMATCH(K$1&amp;"-"&amp;$F1541,YEAR($B$2:$B$4001)&amp;"-"&amp;$A$2:$A$4001,0,-1)),J1541))</f>
        <v>3</v>
      </c>
      <c r="L1541" cm="1">
        <f t="array" ref="L1541">IF(OR(AND(K1541=9,L$1&gt;YEAR($N1541))),9,_xlfn.IFNA(INDEX($D$2:$D$4001,_xlfn.XMATCH(L$1&amp;"-"&amp;$F1541,YEAR($B$2:$B$4001)&amp;"-"&amp;$A$2:$A$4001,0,-1)),K1541))</f>
        <v>3</v>
      </c>
      <c r="M1541" cm="1">
        <f t="array" ref="M1541">IF(OR(AND(L1541=9,M$1&gt;YEAR($N1541))),9,_xlfn.IFNA(INDEX($D$2:$D$4001,_xlfn.XMATCH(M$1&amp;"-"&amp;$F1541,YEAR($B$2:$B$4001)&amp;"-"&amp;$A$2:$A$4001,0,-1)),L1541))</f>
        <v>3</v>
      </c>
      <c r="N1541" s="1">
        <f t="shared" si="24"/>
        <v>37039</v>
      </c>
    </row>
    <row r="1542" spans="1:14" x14ac:dyDescent="0.35">
      <c r="A1542">
        <v>730</v>
      </c>
      <c r="B1542" s="2">
        <v>36890</v>
      </c>
      <c r="C1542">
        <v>3</v>
      </c>
      <c r="D1542">
        <v>3</v>
      </c>
      <c r="F1542">
        <v>1541</v>
      </c>
      <c r="G1542" cm="1">
        <f t="array" ref="G1542">_xlfn.IFNA(INDEX($D$2:$D$4001,_xlfn.XMATCH(G$1&amp;"-"&amp;$F1542,YEAR($B$2:$B$4001)&amp;"-"&amp;$A$2:$A$4001,0,-1)),9)</f>
        <v>9</v>
      </c>
      <c r="H1542" cm="1">
        <f t="array" ref="H1542">IF(OR(AND(G1542=9,H$1&gt;YEAR($N1542))),9,_xlfn.IFNA(INDEX($D$2:$D$4001,_xlfn.XMATCH(H$1&amp;"-"&amp;$F1542,YEAR($B$2:$B$4001)&amp;"-"&amp;$A$2:$A$4001,0,-1)),G1542))</f>
        <v>9</v>
      </c>
      <c r="I1542" cm="1">
        <f t="array" ref="I1542">IF(OR(AND(H1542=9,I$1&gt;YEAR($N1542))),9,_xlfn.IFNA(INDEX($D$2:$D$4001,_xlfn.XMATCH(I$1&amp;"-"&amp;$F1542,YEAR($B$2:$B$4001)&amp;"-"&amp;$A$2:$A$4001,0,-1)),H1542))</f>
        <v>9</v>
      </c>
      <c r="J1542" cm="1">
        <f t="array" ref="J1542">IF(OR(AND(I1542=9,J$1&gt;YEAR($N1542))),9,_xlfn.IFNA(INDEX($D$2:$D$4001,_xlfn.XMATCH(J$1&amp;"-"&amp;$F1542,YEAR($B$2:$B$4001)&amp;"-"&amp;$A$2:$A$4001,0,-1)),I1542))</f>
        <v>1</v>
      </c>
      <c r="K1542" cm="1">
        <f t="array" ref="K1542">IF(OR(AND(J1542=9,K$1&gt;YEAR($N1542))),9,_xlfn.IFNA(INDEX($D$2:$D$4001,_xlfn.XMATCH(K$1&amp;"-"&amp;$F1542,YEAR($B$2:$B$4001)&amp;"-"&amp;$A$2:$A$4001,0,-1)),J1542))</f>
        <v>1</v>
      </c>
      <c r="L1542" cm="1">
        <f t="array" ref="L1542">IF(OR(AND(K1542=9,L$1&gt;YEAR($N1542))),9,_xlfn.IFNA(INDEX($D$2:$D$4001,_xlfn.XMATCH(L$1&amp;"-"&amp;$F1542,YEAR($B$2:$B$4001)&amp;"-"&amp;$A$2:$A$4001,0,-1)),K1542))</f>
        <v>1</v>
      </c>
      <c r="M1542" cm="1">
        <f t="array" ref="M1542">IF(OR(AND(L1542=9,M$1&gt;YEAR($N1542))),9,_xlfn.IFNA(INDEX($D$2:$D$4001,_xlfn.XMATCH(M$1&amp;"-"&amp;$F1542,YEAR($B$2:$B$4001)&amp;"-"&amp;$A$2:$A$4001,0,-1)),L1542))</f>
        <v>1</v>
      </c>
      <c r="N1542" s="1">
        <f t="shared" si="24"/>
        <v>37458</v>
      </c>
    </row>
    <row r="1543" spans="1:14" x14ac:dyDescent="0.35">
      <c r="A1543">
        <v>730</v>
      </c>
      <c r="B1543" s="2">
        <v>37255</v>
      </c>
      <c r="C1543">
        <v>2</v>
      </c>
      <c r="D1543">
        <v>2</v>
      </c>
      <c r="F1543">
        <v>1542</v>
      </c>
      <c r="G1543" cm="1">
        <f t="array" ref="G1543">_xlfn.IFNA(INDEX($D$2:$D$4001,_xlfn.XMATCH(G$1&amp;"-"&amp;$F1543,YEAR($B$2:$B$4001)&amp;"-"&amp;$A$2:$A$4001,0,-1)),9)</f>
        <v>9</v>
      </c>
      <c r="H1543" cm="1">
        <f t="array" ref="H1543">IF(OR(AND(G1543=9,H$1&gt;YEAR($N1543))),9,_xlfn.IFNA(INDEX($D$2:$D$4001,_xlfn.XMATCH(H$1&amp;"-"&amp;$F1543,YEAR($B$2:$B$4001)&amp;"-"&amp;$A$2:$A$4001,0,-1)),G1543))</f>
        <v>3</v>
      </c>
      <c r="I1543" cm="1">
        <f t="array" ref="I1543">IF(OR(AND(H1543=9,I$1&gt;YEAR($N1543))),9,_xlfn.IFNA(INDEX($D$2:$D$4001,_xlfn.XMATCH(I$1&amp;"-"&amp;$F1543,YEAR($B$2:$B$4001)&amp;"-"&amp;$A$2:$A$4001,0,-1)),H1543))</f>
        <v>1</v>
      </c>
      <c r="J1543" cm="1">
        <f t="array" ref="J1543">IF(OR(AND(I1543=9,J$1&gt;YEAR($N1543))),9,_xlfn.IFNA(INDEX($D$2:$D$4001,_xlfn.XMATCH(J$1&amp;"-"&amp;$F1543,YEAR($B$2:$B$4001)&amp;"-"&amp;$A$2:$A$4001,0,-1)),I1543))</f>
        <v>0</v>
      </c>
      <c r="K1543" cm="1">
        <f t="array" ref="K1543">IF(OR(AND(J1543=9,K$1&gt;YEAR($N1543))),9,_xlfn.IFNA(INDEX($D$2:$D$4001,_xlfn.XMATCH(K$1&amp;"-"&amp;$F1543,YEAR($B$2:$B$4001)&amp;"-"&amp;$A$2:$A$4001,0,-1)),J1543))</f>
        <v>0</v>
      </c>
      <c r="L1543" cm="1">
        <f t="array" ref="L1543">IF(OR(AND(K1543=9,L$1&gt;YEAR($N1543))),9,_xlfn.IFNA(INDEX($D$2:$D$4001,_xlfn.XMATCH(L$1&amp;"-"&amp;$F1543,YEAR($B$2:$B$4001)&amp;"-"&amp;$A$2:$A$4001,0,-1)),K1543))</f>
        <v>0</v>
      </c>
      <c r="M1543" cm="1">
        <f t="array" ref="M1543">IF(OR(AND(L1543=9,M$1&gt;YEAR($N1543))),9,_xlfn.IFNA(INDEX($D$2:$D$4001,_xlfn.XMATCH(M$1&amp;"-"&amp;$F1543,YEAR($B$2:$B$4001)&amp;"-"&amp;$A$2:$A$4001,0,-1)),L1543))</f>
        <v>0</v>
      </c>
      <c r="N1543" s="1">
        <f t="shared" si="24"/>
        <v>36667</v>
      </c>
    </row>
    <row r="1544" spans="1:14" x14ac:dyDescent="0.35">
      <c r="A1544">
        <v>731</v>
      </c>
      <c r="B1544" s="2">
        <v>37467</v>
      </c>
      <c r="C1544">
        <v>0</v>
      </c>
      <c r="D1544">
        <v>0</v>
      </c>
      <c r="F1544">
        <v>1543</v>
      </c>
      <c r="G1544" cm="1">
        <f t="array" ref="G1544">_xlfn.IFNA(INDEX($D$2:$D$4001,_xlfn.XMATCH(G$1&amp;"-"&amp;$F1544,YEAR($B$2:$B$4001)&amp;"-"&amp;$A$2:$A$4001,0,-1)),9)</f>
        <v>4</v>
      </c>
      <c r="H1544" cm="1">
        <f t="array" ref="H1544">IF(OR(AND(G1544=9,H$1&gt;YEAR($N1544))),9,_xlfn.IFNA(INDEX($D$2:$D$4001,_xlfn.XMATCH(H$1&amp;"-"&amp;$F1544,YEAR($B$2:$B$4001)&amp;"-"&amp;$A$2:$A$4001,0,-1)),G1544))</f>
        <v>4</v>
      </c>
      <c r="I1544" cm="1">
        <f t="array" ref="I1544">IF(OR(AND(H1544=9,I$1&gt;YEAR($N1544))),9,_xlfn.IFNA(INDEX($D$2:$D$4001,_xlfn.XMATCH(I$1&amp;"-"&amp;$F1544,YEAR($B$2:$B$4001)&amp;"-"&amp;$A$2:$A$4001,0,-1)),H1544))</f>
        <v>4</v>
      </c>
      <c r="J1544" cm="1">
        <f t="array" ref="J1544">IF(OR(AND(I1544=9,J$1&gt;YEAR($N1544))),9,_xlfn.IFNA(INDEX($D$2:$D$4001,_xlfn.XMATCH(J$1&amp;"-"&amp;$F1544,YEAR($B$2:$B$4001)&amp;"-"&amp;$A$2:$A$4001,0,-1)),I1544))</f>
        <v>4</v>
      </c>
      <c r="K1544" cm="1">
        <f t="array" ref="K1544">IF(OR(AND(J1544=9,K$1&gt;YEAR($N1544))),9,_xlfn.IFNA(INDEX($D$2:$D$4001,_xlfn.XMATCH(K$1&amp;"-"&amp;$F1544,YEAR($B$2:$B$4001)&amp;"-"&amp;$A$2:$A$4001,0,-1)),J1544))</f>
        <v>4</v>
      </c>
      <c r="L1544" cm="1">
        <f t="array" ref="L1544">IF(OR(AND(K1544=9,L$1&gt;YEAR($N1544))),9,_xlfn.IFNA(INDEX($D$2:$D$4001,_xlfn.XMATCH(L$1&amp;"-"&amp;$F1544,YEAR($B$2:$B$4001)&amp;"-"&amp;$A$2:$A$4001,0,-1)),K1544))</f>
        <v>4</v>
      </c>
      <c r="M1544" cm="1">
        <f t="array" ref="M1544">IF(OR(AND(L1544=9,M$1&gt;YEAR($N1544))),9,_xlfn.IFNA(INDEX($D$2:$D$4001,_xlfn.XMATCH(M$1&amp;"-"&amp;$F1544,YEAR($B$2:$B$4001)&amp;"-"&amp;$A$2:$A$4001,0,-1)),L1544))</f>
        <v>4</v>
      </c>
      <c r="N1544" s="1">
        <f t="shared" si="24"/>
        <v>36524</v>
      </c>
    </row>
    <row r="1545" spans="1:14" x14ac:dyDescent="0.35">
      <c r="A1545">
        <v>732</v>
      </c>
      <c r="B1545" s="2">
        <v>38493</v>
      </c>
      <c r="C1545">
        <v>3</v>
      </c>
      <c r="D1545">
        <v>3</v>
      </c>
      <c r="F1545">
        <v>1544</v>
      </c>
      <c r="G1545" cm="1">
        <f t="array" ref="G1545">_xlfn.IFNA(INDEX($D$2:$D$4001,_xlfn.XMATCH(G$1&amp;"-"&amp;$F1545,YEAR($B$2:$B$4001)&amp;"-"&amp;$A$2:$A$4001,0,-1)),9)</f>
        <v>9</v>
      </c>
      <c r="H1545" cm="1">
        <f t="array" ref="H1545">IF(OR(AND(G1545=9,H$1&gt;YEAR($N1545))),9,_xlfn.IFNA(INDEX($D$2:$D$4001,_xlfn.XMATCH(H$1&amp;"-"&amp;$F1545,YEAR($B$2:$B$4001)&amp;"-"&amp;$A$2:$A$4001,0,-1)),G1545))</f>
        <v>3</v>
      </c>
      <c r="I1545" cm="1">
        <f t="array" ref="I1545">IF(OR(AND(H1545=9,I$1&gt;YEAR($N1545))),9,_xlfn.IFNA(INDEX($D$2:$D$4001,_xlfn.XMATCH(I$1&amp;"-"&amp;$F1545,YEAR($B$2:$B$4001)&amp;"-"&amp;$A$2:$A$4001,0,-1)),H1545))</f>
        <v>3</v>
      </c>
      <c r="J1545" cm="1">
        <f t="array" ref="J1545">IF(OR(AND(I1545=9,J$1&gt;YEAR($N1545))),9,_xlfn.IFNA(INDEX($D$2:$D$4001,_xlfn.XMATCH(J$1&amp;"-"&amp;$F1545,YEAR($B$2:$B$4001)&amp;"-"&amp;$A$2:$A$4001,0,-1)),I1545))</f>
        <v>3</v>
      </c>
      <c r="K1545" cm="1">
        <f t="array" ref="K1545">IF(OR(AND(J1545=9,K$1&gt;YEAR($N1545))),9,_xlfn.IFNA(INDEX($D$2:$D$4001,_xlfn.XMATCH(K$1&amp;"-"&amp;$F1545,YEAR($B$2:$B$4001)&amp;"-"&amp;$A$2:$A$4001,0,-1)),J1545))</f>
        <v>3</v>
      </c>
      <c r="L1545" cm="1">
        <f t="array" ref="L1545">IF(OR(AND(K1545=9,L$1&gt;YEAR($N1545))),9,_xlfn.IFNA(INDEX($D$2:$D$4001,_xlfn.XMATCH(L$1&amp;"-"&amp;$F1545,YEAR($B$2:$B$4001)&amp;"-"&amp;$A$2:$A$4001,0,-1)),K1545))</f>
        <v>3</v>
      </c>
      <c r="M1545" cm="1">
        <f t="array" ref="M1545">IF(OR(AND(L1545=9,M$1&gt;YEAR($N1545))),9,_xlfn.IFNA(INDEX($D$2:$D$4001,_xlfn.XMATCH(M$1&amp;"-"&amp;$F1545,YEAR($B$2:$B$4001)&amp;"-"&amp;$A$2:$A$4001,0,-1)),L1545))</f>
        <v>3</v>
      </c>
      <c r="N1545" s="1">
        <f t="shared" si="24"/>
        <v>36676</v>
      </c>
    </row>
    <row r="1546" spans="1:14" x14ac:dyDescent="0.35">
      <c r="A1546">
        <v>733</v>
      </c>
      <c r="B1546" s="2">
        <v>36494</v>
      </c>
      <c r="C1546">
        <v>2</v>
      </c>
      <c r="D1546">
        <v>2</v>
      </c>
      <c r="F1546">
        <v>1545</v>
      </c>
      <c r="G1546" cm="1">
        <f t="array" ref="G1546">_xlfn.IFNA(INDEX($D$2:$D$4001,_xlfn.XMATCH(G$1&amp;"-"&amp;$F1546,YEAR($B$2:$B$4001)&amp;"-"&amp;$A$2:$A$4001,0,-1)),9)</f>
        <v>9</v>
      </c>
      <c r="H1546" cm="1">
        <f t="array" ref="H1546">IF(OR(AND(G1546=9,H$1&gt;YEAR($N1546))),9,_xlfn.IFNA(INDEX($D$2:$D$4001,_xlfn.XMATCH(H$1&amp;"-"&amp;$F1546,YEAR($B$2:$B$4001)&amp;"-"&amp;$A$2:$A$4001,0,-1)),G1546))</f>
        <v>0</v>
      </c>
      <c r="I1546" cm="1">
        <f t="array" ref="I1546">IF(OR(AND(H1546=9,I$1&gt;YEAR($N1546))),9,_xlfn.IFNA(INDEX($D$2:$D$4001,_xlfn.XMATCH(I$1&amp;"-"&amp;$F1546,YEAR($B$2:$B$4001)&amp;"-"&amp;$A$2:$A$4001,0,-1)),H1546))</f>
        <v>0</v>
      </c>
      <c r="J1546" cm="1">
        <f t="array" ref="J1546">IF(OR(AND(I1546=9,J$1&gt;YEAR($N1546))),9,_xlfn.IFNA(INDEX($D$2:$D$4001,_xlfn.XMATCH(J$1&amp;"-"&amp;$F1546,YEAR($B$2:$B$4001)&amp;"-"&amp;$A$2:$A$4001,0,-1)),I1546))</f>
        <v>0</v>
      </c>
      <c r="K1546" cm="1">
        <f t="array" ref="K1546">IF(OR(AND(J1546=9,K$1&gt;YEAR($N1546))),9,_xlfn.IFNA(INDEX($D$2:$D$4001,_xlfn.XMATCH(K$1&amp;"-"&amp;$F1546,YEAR($B$2:$B$4001)&amp;"-"&amp;$A$2:$A$4001,0,-1)),J1546))</f>
        <v>0</v>
      </c>
      <c r="L1546" cm="1">
        <f t="array" ref="L1546">IF(OR(AND(K1546=9,L$1&gt;YEAR($N1546))),9,_xlfn.IFNA(INDEX($D$2:$D$4001,_xlfn.XMATCH(L$1&amp;"-"&amp;$F1546,YEAR($B$2:$B$4001)&amp;"-"&amp;$A$2:$A$4001,0,-1)),K1546))</f>
        <v>0</v>
      </c>
      <c r="M1546" cm="1">
        <f t="array" ref="M1546">IF(OR(AND(L1546=9,M$1&gt;YEAR($N1546))),9,_xlfn.IFNA(INDEX($D$2:$D$4001,_xlfn.XMATCH(M$1&amp;"-"&amp;$F1546,YEAR($B$2:$B$4001)&amp;"-"&amp;$A$2:$A$4001,0,-1)),L1546))</f>
        <v>0</v>
      </c>
      <c r="N1546" s="1">
        <f t="shared" si="24"/>
        <v>36768</v>
      </c>
    </row>
    <row r="1547" spans="1:14" x14ac:dyDescent="0.35">
      <c r="A1547">
        <v>733</v>
      </c>
      <c r="B1547" s="2">
        <v>37032</v>
      </c>
      <c r="C1547">
        <v>2</v>
      </c>
      <c r="D1547">
        <v>2</v>
      </c>
      <c r="F1547">
        <v>1546</v>
      </c>
      <c r="G1547" cm="1">
        <f t="array" ref="G1547">_xlfn.IFNA(INDEX($D$2:$D$4001,_xlfn.XMATCH(G$1&amp;"-"&amp;$F1547,YEAR($B$2:$B$4001)&amp;"-"&amp;$A$2:$A$4001,0,-1)),9)</f>
        <v>5</v>
      </c>
      <c r="H1547" cm="1">
        <f t="array" ref="H1547">IF(OR(AND(G1547=9,H$1&gt;YEAR($N1547))),9,_xlfn.IFNA(INDEX($D$2:$D$4001,_xlfn.XMATCH(H$1&amp;"-"&amp;$F1547,YEAR($B$2:$B$4001)&amp;"-"&amp;$A$2:$A$4001,0,-1)),G1547))</f>
        <v>0</v>
      </c>
      <c r="I1547" cm="1">
        <f t="array" ref="I1547">IF(OR(AND(H1547=9,I$1&gt;YEAR($N1547))),9,_xlfn.IFNA(INDEX($D$2:$D$4001,_xlfn.XMATCH(I$1&amp;"-"&amp;$F1547,YEAR($B$2:$B$4001)&amp;"-"&amp;$A$2:$A$4001,0,-1)),H1547))</f>
        <v>0</v>
      </c>
      <c r="J1547" cm="1">
        <f t="array" ref="J1547">IF(OR(AND(I1547=9,J$1&gt;YEAR($N1547))),9,_xlfn.IFNA(INDEX($D$2:$D$4001,_xlfn.XMATCH(J$1&amp;"-"&amp;$F1547,YEAR($B$2:$B$4001)&amp;"-"&amp;$A$2:$A$4001,0,-1)),I1547))</f>
        <v>0</v>
      </c>
      <c r="K1547" cm="1">
        <f t="array" ref="K1547">IF(OR(AND(J1547=9,K$1&gt;YEAR($N1547))),9,_xlfn.IFNA(INDEX($D$2:$D$4001,_xlfn.XMATCH(K$1&amp;"-"&amp;$F1547,YEAR($B$2:$B$4001)&amp;"-"&amp;$A$2:$A$4001,0,-1)),J1547))</f>
        <v>0</v>
      </c>
      <c r="L1547" cm="1">
        <f t="array" ref="L1547">IF(OR(AND(K1547=9,L$1&gt;YEAR($N1547))),9,_xlfn.IFNA(INDEX($D$2:$D$4001,_xlfn.XMATCH(L$1&amp;"-"&amp;$F1547,YEAR($B$2:$B$4001)&amp;"-"&amp;$A$2:$A$4001,0,-1)),K1547))</f>
        <v>0</v>
      </c>
      <c r="M1547" cm="1">
        <f t="array" ref="M1547">IF(OR(AND(L1547=9,M$1&gt;YEAR($N1547))),9,_xlfn.IFNA(INDEX($D$2:$D$4001,_xlfn.XMATCH(M$1&amp;"-"&amp;$F1547,YEAR($B$2:$B$4001)&amp;"-"&amp;$A$2:$A$4001,0,-1)),L1547))</f>
        <v>0</v>
      </c>
      <c r="N1547" s="1">
        <f t="shared" si="24"/>
        <v>36303</v>
      </c>
    </row>
    <row r="1548" spans="1:14" x14ac:dyDescent="0.35">
      <c r="A1548">
        <v>733</v>
      </c>
      <c r="B1548" s="2">
        <v>37406</v>
      </c>
      <c r="C1548">
        <v>2</v>
      </c>
      <c r="D1548">
        <v>2</v>
      </c>
      <c r="F1548">
        <v>1547</v>
      </c>
      <c r="G1548" cm="1">
        <f t="array" ref="G1548">_xlfn.IFNA(INDEX($D$2:$D$4001,_xlfn.XMATCH(G$1&amp;"-"&amp;$F1548,YEAR($B$2:$B$4001)&amp;"-"&amp;$A$2:$A$4001,0,-1)),9)</f>
        <v>9</v>
      </c>
      <c r="H1548" cm="1">
        <f t="array" ref="H1548">IF(OR(AND(G1548=9,H$1&gt;YEAR($N1548))),9,_xlfn.IFNA(INDEX($D$2:$D$4001,_xlfn.XMATCH(H$1&amp;"-"&amp;$F1548,YEAR($B$2:$B$4001)&amp;"-"&amp;$A$2:$A$4001,0,-1)),G1548))</f>
        <v>4</v>
      </c>
      <c r="I1548" cm="1">
        <f t="array" ref="I1548">IF(OR(AND(H1548=9,I$1&gt;YEAR($N1548))),9,_xlfn.IFNA(INDEX($D$2:$D$4001,_xlfn.XMATCH(I$1&amp;"-"&amp;$F1548,YEAR($B$2:$B$4001)&amp;"-"&amp;$A$2:$A$4001,0,-1)),H1548))</f>
        <v>4</v>
      </c>
      <c r="J1548" cm="1">
        <f t="array" ref="J1548">IF(OR(AND(I1548=9,J$1&gt;YEAR($N1548))),9,_xlfn.IFNA(INDEX($D$2:$D$4001,_xlfn.XMATCH(J$1&amp;"-"&amp;$F1548,YEAR($B$2:$B$4001)&amp;"-"&amp;$A$2:$A$4001,0,-1)),I1548))</f>
        <v>4</v>
      </c>
      <c r="K1548" cm="1">
        <f t="array" ref="K1548">IF(OR(AND(J1548=9,K$1&gt;YEAR($N1548))),9,_xlfn.IFNA(INDEX($D$2:$D$4001,_xlfn.XMATCH(K$1&amp;"-"&amp;$F1548,YEAR($B$2:$B$4001)&amp;"-"&amp;$A$2:$A$4001,0,-1)),J1548))</f>
        <v>0</v>
      </c>
      <c r="L1548" cm="1">
        <f t="array" ref="L1548">IF(OR(AND(K1548=9,L$1&gt;YEAR($N1548))),9,_xlfn.IFNA(INDEX($D$2:$D$4001,_xlfn.XMATCH(L$1&amp;"-"&amp;$F1548,YEAR($B$2:$B$4001)&amp;"-"&amp;$A$2:$A$4001,0,-1)),K1548))</f>
        <v>0</v>
      </c>
      <c r="M1548" cm="1">
        <f t="array" ref="M1548">IF(OR(AND(L1548=9,M$1&gt;YEAR($N1548))),9,_xlfn.IFNA(INDEX($D$2:$D$4001,_xlfn.XMATCH(M$1&amp;"-"&amp;$F1548,YEAR($B$2:$B$4001)&amp;"-"&amp;$A$2:$A$4001,0,-1)),L1548))</f>
        <v>0</v>
      </c>
      <c r="N1548" s="1">
        <f t="shared" si="24"/>
        <v>36768</v>
      </c>
    </row>
    <row r="1549" spans="1:14" x14ac:dyDescent="0.35">
      <c r="A1549">
        <v>733</v>
      </c>
      <c r="B1549" s="2">
        <v>37985</v>
      </c>
      <c r="C1549">
        <v>3</v>
      </c>
      <c r="D1549">
        <v>3</v>
      </c>
      <c r="F1549">
        <v>1548</v>
      </c>
      <c r="G1549" cm="1">
        <f t="array" ref="G1549">_xlfn.IFNA(INDEX($D$2:$D$4001,_xlfn.XMATCH(G$1&amp;"-"&amp;$F1549,YEAR($B$2:$B$4001)&amp;"-"&amp;$A$2:$A$4001,0,-1)),9)</f>
        <v>9</v>
      </c>
      <c r="H1549" cm="1">
        <f t="array" ref="H1549">IF(OR(AND(G1549=9,H$1&gt;YEAR($N1549))),9,_xlfn.IFNA(INDEX($D$2:$D$4001,_xlfn.XMATCH(H$1&amp;"-"&amp;$F1549,YEAR($B$2:$B$4001)&amp;"-"&amp;$A$2:$A$4001,0,-1)),G1549))</f>
        <v>2</v>
      </c>
      <c r="I1549" cm="1">
        <f t="array" ref="I1549">IF(OR(AND(H1549=9,I$1&gt;YEAR($N1549))),9,_xlfn.IFNA(INDEX($D$2:$D$4001,_xlfn.XMATCH(I$1&amp;"-"&amp;$F1549,YEAR($B$2:$B$4001)&amp;"-"&amp;$A$2:$A$4001,0,-1)),H1549))</f>
        <v>2</v>
      </c>
      <c r="J1549" cm="1">
        <f t="array" ref="J1549">IF(OR(AND(I1549=9,J$1&gt;YEAR($N1549))),9,_xlfn.IFNA(INDEX($D$2:$D$4001,_xlfn.XMATCH(J$1&amp;"-"&amp;$F1549,YEAR($B$2:$B$4001)&amp;"-"&amp;$A$2:$A$4001,0,-1)),I1549))</f>
        <v>3</v>
      </c>
      <c r="K1549" cm="1">
        <f t="array" ref="K1549">IF(OR(AND(J1549=9,K$1&gt;YEAR($N1549))),9,_xlfn.IFNA(INDEX($D$2:$D$4001,_xlfn.XMATCH(K$1&amp;"-"&amp;$F1549,YEAR($B$2:$B$4001)&amp;"-"&amp;$A$2:$A$4001,0,-1)),J1549))</f>
        <v>3</v>
      </c>
      <c r="L1549" cm="1">
        <f t="array" ref="L1549">IF(OR(AND(K1549=9,L$1&gt;YEAR($N1549))),9,_xlfn.IFNA(INDEX($D$2:$D$4001,_xlfn.XMATCH(L$1&amp;"-"&amp;$F1549,YEAR($B$2:$B$4001)&amp;"-"&amp;$A$2:$A$4001,0,-1)),K1549))</f>
        <v>3</v>
      </c>
      <c r="M1549" cm="1">
        <f t="array" ref="M1549">IF(OR(AND(L1549=9,M$1&gt;YEAR($N1549))),9,_xlfn.IFNA(INDEX($D$2:$D$4001,_xlfn.XMATCH(M$1&amp;"-"&amp;$F1549,YEAR($B$2:$B$4001)&amp;"-"&amp;$A$2:$A$4001,0,-1)),L1549))</f>
        <v>3</v>
      </c>
      <c r="N1549" s="1">
        <f t="shared" si="24"/>
        <v>36667</v>
      </c>
    </row>
    <row r="1550" spans="1:14" x14ac:dyDescent="0.35">
      <c r="A1550">
        <v>734</v>
      </c>
      <c r="B1550" s="2">
        <v>37155</v>
      </c>
      <c r="C1550">
        <v>3</v>
      </c>
      <c r="D1550">
        <v>3</v>
      </c>
      <c r="F1550">
        <v>1549</v>
      </c>
      <c r="G1550" cm="1">
        <f t="array" ref="G1550">_xlfn.IFNA(INDEX($D$2:$D$4001,_xlfn.XMATCH(G$1&amp;"-"&amp;$F1550,YEAR($B$2:$B$4001)&amp;"-"&amp;$A$2:$A$4001,0,-1)),9)</f>
        <v>9</v>
      </c>
      <c r="H1550" cm="1">
        <f t="array" ref="H1550">IF(OR(AND(G1550=9,H$1&gt;YEAR($N1550))),9,_xlfn.IFNA(INDEX($D$2:$D$4001,_xlfn.XMATCH(H$1&amp;"-"&amp;$F1550,YEAR($B$2:$B$4001)&amp;"-"&amp;$A$2:$A$4001,0,-1)),G1550))</f>
        <v>9</v>
      </c>
      <c r="I1550" cm="1">
        <f t="array" ref="I1550">IF(OR(AND(H1550=9,I$1&gt;YEAR($N1550))),9,_xlfn.IFNA(INDEX($D$2:$D$4001,_xlfn.XMATCH(I$1&amp;"-"&amp;$F1550,YEAR($B$2:$B$4001)&amp;"-"&amp;$A$2:$A$4001,0,-1)),H1550))</f>
        <v>9</v>
      </c>
      <c r="J1550" cm="1">
        <f t="array" ref="J1550">IF(OR(AND(I1550=9,J$1&gt;YEAR($N1550))),9,_xlfn.IFNA(INDEX($D$2:$D$4001,_xlfn.XMATCH(J$1&amp;"-"&amp;$F1550,YEAR($B$2:$B$4001)&amp;"-"&amp;$A$2:$A$4001,0,-1)),I1550))</f>
        <v>9</v>
      </c>
      <c r="K1550" cm="1">
        <f t="array" ref="K1550">IF(OR(AND(J1550=9,K$1&gt;YEAR($N1550))),9,_xlfn.IFNA(INDEX($D$2:$D$4001,_xlfn.XMATCH(K$1&amp;"-"&amp;$F1550,YEAR($B$2:$B$4001)&amp;"-"&amp;$A$2:$A$4001,0,-1)),J1550))</f>
        <v>6</v>
      </c>
      <c r="L1550" cm="1">
        <f t="array" ref="L1550">IF(OR(AND(K1550=9,L$1&gt;YEAR($N1550))),9,_xlfn.IFNA(INDEX($D$2:$D$4001,_xlfn.XMATCH(L$1&amp;"-"&amp;$F1550,YEAR($B$2:$B$4001)&amp;"-"&amp;$A$2:$A$4001,0,-1)),K1550))</f>
        <v>6</v>
      </c>
      <c r="M1550" cm="1">
        <f t="array" ref="M1550">IF(OR(AND(L1550=9,M$1&gt;YEAR($N1550))),9,_xlfn.IFNA(INDEX($D$2:$D$4001,_xlfn.XMATCH(M$1&amp;"-"&amp;$F1550,YEAR($B$2:$B$4001)&amp;"-"&amp;$A$2:$A$4001,0,-1)),L1550))</f>
        <v>6</v>
      </c>
      <c r="N1550" s="1">
        <f t="shared" si="24"/>
        <v>37985</v>
      </c>
    </row>
    <row r="1551" spans="1:14" x14ac:dyDescent="0.35">
      <c r="A1551">
        <v>734</v>
      </c>
      <c r="B1551" s="2">
        <v>37255</v>
      </c>
      <c r="C1551">
        <v>3</v>
      </c>
      <c r="D1551">
        <v>3</v>
      </c>
      <c r="F1551">
        <v>1550</v>
      </c>
      <c r="G1551" cm="1">
        <f t="array" ref="G1551">_xlfn.IFNA(INDEX($D$2:$D$4001,_xlfn.XMATCH(G$1&amp;"-"&amp;$F1551,YEAR($B$2:$B$4001)&amp;"-"&amp;$A$2:$A$4001,0,-1)),9)</f>
        <v>9</v>
      </c>
      <c r="H1551" cm="1">
        <f t="array" ref="H1551">IF(OR(AND(G1551=9,H$1&gt;YEAR($N1551))),9,_xlfn.IFNA(INDEX($D$2:$D$4001,_xlfn.XMATCH(H$1&amp;"-"&amp;$F1551,YEAR($B$2:$B$4001)&amp;"-"&amp;$A$2:$A$4001,0,-1)),G1551))</f>
        <v>9</v>
      </c>
      <c r="I1551" cm="1">
        <f t="array" ref="I1551">IF(OR(AND(H1551=9,I$1&gt;YEAR($N1551))),9,_xlfn.IFNA(INDEX($D$2:$D$4001,_xlfn.XMATCH(I$1&amp;"-"&amp;$F1551,YEAR($B$2:$B$4001)&amp;"-"&amp;$A$2:$A$4001,0,-1)),H1551))</f>
        <v>9</v>
      </c>
      <c r="J1551" cm="1">
        <f t="array" ref="J1551">IF(OR(AND(I1551=9,J$1&gt;YEAR($N1551))),9,_xlfn.IFNA(INDEX($D$2:$D$4001,_xlfn.XMATCH(J$1&amp;"-"&amp;$F1551,YEAR($B$2:$B$4001)&amp;"-"&amp;$A$2:$A$4001,0,-1)),I1551))</f>
        <v>9</v>
      </c>
      <c r="K1551" cm="1">
        <f t="array" ref="K1551">IF(OR(AND(J1551=9,K$1&gt;YEAR($N1551))),9,_xlfn.IFNA(INDEX($D$2:$D$4001,_xlfn.XMATCH(K$1&amp;"-"&amp;$F1551,YEAR($B$2:$B$4001)&amp;"-"&amp;$A$2:$A$4001,0,-1)),J1551))</f>
        <v>3</v>
      </c>
      <c r="L1551" cm="1">
        <f t="array" ref="L1551">IF(OR(AND(K1551=9,L$1&gt;YEAR($N1551))),9,_xlfn.IFNA(INDEX($D$2:$D$4001,_xlfn.XMATCH(L$1&amp;"-"&amp;$F1551,YEAR($B$2:$B$4001)&amp;"-"&amp;$A$2:$A$4001,0,-1)),K1551))</f>
        <v>3</v>
      </c>
      <c r="M1551" cm="1">
        <f t="array" ref="M1551">IF(OR(AND(L1551=9,M$1&gt;YEAR($N1551))),9,_xlfn.IFNA(INDEX($D$2:$D$4001,_xlfn.XMATCH(M$1&amp;"-"&amp;$F1551,YEAR($B$2:$B$4001)&amp;"-"&amp;$A$2:$A$4001,0,-1)),L1551))</f>
        <v>3</v>
      </c>
      <c r="N1551" s="1">
        <f t="shared" si="24"/>
        <v>37985</v>
      </c>
    </row>
    <row r="1552" spans="1:14" x14ac:dyDescent="0.35">
      <c r="A1552">
        <v>734</v>
      </c>
      <c r="B1552" s="2">
        <v>37498</v>
      </c>
      <c r="C1552">
        <v>4</v>
      </c>
      <c r="D1552">
        <v>4</v>
      </c>
      <c r="F1552">
        <v>1551</v>
      </c>
      <c r="G1552" cm="1">
        <f t="array" ref="G1552">_xlfn.IFNA(INDEX($D$2:$D$4001,_xlfn.XMATCH(G$1&amp;"-"&amp;$F1552,YEAR($B$2:$B$4001)&amp;"-"&amp;$A$2:$A$4001,0,-1)),9)</f>
        <v>9</v>
      </c>
      <c r="H1552" cm="1">
        <f t="array" ref="H1552">IF(OR(AND(G1552=9,H$1&gt;YEAR($N1552))),9,_xlfn.IFNA(INDEX($D$2:$D$4001,_xlfn.XMATCH(H$1&amp;"-"&amp;$F1552,YEAR($B$2:$B$4001)&amp;"-"&amp;$A$2:$A$4001,0,-1)),G1552))</f>
        <v>9</v>
      </c>
      <c r="I1552" cm="1">
        <f t="array" ref="I1552">IF(OR(AND(H1552=9,I$1&gt;YEAR($N1552))),9,_xlfn.IFNA(INDEX($D$2:$D$4001,_xlfn.XMATCH(I$1&amp;"-"&amp;$F1552,YEAR($B$2:$B$4001)&amp;"-"&amp;$A$2:$A$4001,0,-1)),H1552))</f>
        <v>4</v>
      </c>
      <c r="J1552" cm="1">
        <f t="array" ref="J1552">IF(OR(AND(I1552=9,J$1&gt;YEAR($N1552))),9,_xlfn.IFNA(INDEX($D$2:$D$4001,_xlfn.XMATCH(J$1&amp;"-"&amp;$F1552,YEAR($B$2:$B$4001)&amp;"-"&amp;$A$2:$A$4001,0,-1)),I1552))</f>
        <v>4</v>
      </c>
      <c r="K1552" cm="1">
        <f t="array" ref="K1552">IF(OR(AND(J1552=9,K$1&gt;YEAR($N1552))),9,_xlfn.IFNA(INDEX($D$2:$D$4001,_xlfn.XMATCH(K$1&amp;"-"&amp;$F1552,YEAR($B$2:$B$4001)&amp;"-"&amp;$A$2:$A$4001,0,-1)),J1552))</f>
        <v>0</v>
      </c>
      <c r="L1552" cm="1">
        <f t="array" ref="L1552">IF(OR(AND(K1552=9,L$1&gt;YEAR($N1552))),9,_xlfn.IFNA(INDEX($D$2:$D$4001,_xlfn.XMATCH(L$1&amp;"-"&amp;$F1552,YEAR($B$2:$B$4001)&amp;"-"&amp;$A$2:$A$4001,0,-1)),K1552))</f>
        <v>0</v>
      </c>
      <c r="M1552" cm="1">
        <f t="array" ref="M1552">IF(OR(AND(L1552=9,M$1&gt;YEAR($N1552))),9,_xlfn.IFNA(INDEX($D$2:$D$4001,_xlfn.XMATCH(M$1&amp;"-"&amp;$F1552,YEAR($B$2:$B$4001)&amp;"-"&amp;$A$2:$A$4001,0,-1)),L1552))</f>
        <v>0</v>
      </c>
      <c r="N1552" s="1">
        <f t="shared" si="24"/>
        <v>37041</v>
      </c>
    </row>
    <row r="1553" spans="1:14" x14ac:dyDescent="0.35">
      <c r="A1553">
        <v>734</v>
      </c>
      <c r="B1553" s="2">
        <v>38128</v>
      </c>
      <c r="C1553">
        <v>0</v>
      </c>
      <c r="D1553">
        <v>0</v>
      </c>
      <c r="F1553">
        <v>1552</v>
      </c>
      <c r="G1553" cm="1">
        <f t="array" ref="G1553">_xlfn.IFNA(INDEX($D$2:$D$4001,_xlfn.XMATCH(G$1&amp;"-"&amp;$F1553,YEAR($B$2:$B$4001)&amp;"-"&amp;$A$2:$A$4001,0,-1)),9)</f>
        <v>9</v>
      </c>
      <c r="H1553" cm="1">
        <f t="array" ref="H1553">IF(OR(AND(G1553=9,H$1&gt;YEAR($N1553))),9,_xlfn.IFNA(INDEX($D$2:$D$4001,_xlfn.XMATCH(H$1&amp;"-"&amp;$F1553,YEAR($B$2:$B$4001)&amp;"-"&amp;$A$2:$A$4001,0,-1)),G1553))</f>
        <v>8</v>
      </c>
      <c r="I1553" cm="1">
        <f t="array" ref="I1553">IF(OR(AND(H1553=9,I$1&gt;YEAR($N1553))),9,_xlfn.IFNA(INDEX($D$2:$D$4001,_xlfn.XMATCH(I$1&amp;"-"&amp;$F1553,YEAR($B$2:$B$4001)&amp;"-"&amp;$A$2:$A$4001,0,-1)),H1553))</f>
        <v>8</v>
      </c>
      <c r="J1553" cm="1">
        <f t="array" ref="J1553">IF(OR(AND(I1553=9,J$1&gt;YEAR($N1553))),9,_xlfn.IFNA(INDEX($D$2:$D$4001,_xlfn.XMATCH(J$1&amp;"-"&amp;$F1553,YEAR($B$2:$B$4001)&amp;"-"&amp;$A$2:$A$4001,0,-1)),I1553))</f>
        <v>8</v>
      </c>
      <c r="K1553" cm="1">
        <f t="array" ref="K1553">IF(OR(AND(J1553=9,K$1&gt;YEAR($N1553))),9,_xlfn.IFNA(INDEX($D$2:$D$4001,_xlfn.XMATCH(K$1&amp;"-"&amp;$F1553,YEAR($B$2:$B$4001)&amp;"-"&amp;$A$2:$A$4001,0,-1)),J1553))</f>
        <v>8</v>
      </c>
      <c r="L1553" cm="1">
        <f t="array" ref="L1553">IF(OR(AND(K1553=9,L$1&gt;YEAR($N1553))),9,_xlfn.IFNA(INDEX($D$2:$D$4001,_xlfn.XMATCH(L$1&amp;"-"&amp;$F1553,YEAR($B$2:$B$4001)&amp;"-"&amp;$A$2:$A$4001,0,-1)),K1553))</f>
        <v>8</v>
      </c>
      <c r="M1553" cm="1">
        <f t="array" ref="M1553">IF(OR(AND(L1553=9,M$1&gt;YEAR($N1553))),9,_xlfn.IFNA(INDEX($D$2:$D$4001,_xlfn.XMATCH(M$1&amp;"-"&amp;$F1553,YEAR($B$2:$B$4001)&amp;"-"&amp;$A$2:$A$4001,0,-1)),L1553))</f>
        <v>8</v>
      </c>
      <c r="N1553" s="1">
        <f t="shared" si="24"/>
        <v>36667</v>
      </c>
    </row>
    <row r="1554" spans="1:14" x14ac:dyDescent="0.35">
      <c r="A1554">
        <v>735</v>
      </c>
      <c r="B1554" s="2">
        <v>36371</v>
      </c>
      <c r="C1554">
        <v>3</v>
      </c>
      <c r="D1554">
        <v>3</v>
      </c>
      <c r="F1554">
        <v>1553</v>
      </c>
      <c r="G1554" cm="1">
        <f t="array" ref="G1554">_xlfn.IFNA(INDEX($D$2:$D$4001,_xlfn.XMATCH(G$1&amp;"-"&amp;$F1554,YEAR($B$2:$B$4001)&amp;"-"&amp;$A$2:$A$4001,0,-1)),9)</f>
        <v>4</v>
      </c>
      <c r="H1554" cm="1">
        <f t="array" ref="H1554">IF(OR(AND(G1554=9,H$1&gt;YEAR($N1554))),9,_xlfn.IFNA(INDEX($D$2:$D$4001,_xlfn.XMATCH(H$1&amp;"-"&amp;$F1554,YEAR($B$2:$B$4001)&amp;"-"&amp;$A$2:$A$4001,0,-1)),G1554))</f>
        <v>4</v>
      </c>
      <c r="I1554" cm="1">
        <f t="array" ref="I1554">IF(OR(AND(H1554=9,I$1&gt;YEAR($N1554))),9,_xlfn.IFNA(INDEX($D$2:$D$4001,_xlfn.XMATCH(I$1&amp;"-"&amp;$F1554,YEAR($B$2:$B$4001)&amp;"-"&amp;$A$2:$A$4001,0,-1)),H1554))</f>
        <v>4</v>
      </c>
      <c r="J1554" cm="1">
        <f t="array" ref="J1554">IF(OR(AND(I1554=9,J$1&gt;YEAR($N1554))),9,_xlfn.IFNA(INDEX($D$2:$D$4001,_xlfn.XMATCH(J$1&amp;"-"&amp;$F1554,YEAR($B$2:$B$4001)&amp;"-"&amp;$A$2:$A$4001,0,-1)),I1554))</f>
        <v>4</v>
      </c>
      <c r="K1554" cm="1">
        <f t="array" ref="K1554">IF(OR(AND(J1554=9,K$1&gt;YEAR($N1554))),9,_xlfn.IFNA(INDEX($D$2:$D$4001,_xlfn.XMATCH(K$1&amp;"-"&amp;$F1554,YEAR($B$2:$B$4001)&amp;"-"&amp;$A$2:$A$4001,0,-1)),J1554))</f>
        <v>4</v>
      </c>
      <c r="L1554" cm="1">
        <f t="array" ref="L1554">IF(OR(AND(K1554=9,L$1&gt;YEAR($N1554))),9,_xlfn.IFNA(INDEX($D$2:$D$4001,_xlfn.XMATCH(L$1&amp;"-"&amp;$F1554,YEAR($B$2:$B$4001)&amp;"-"&amp;$A$2:$A$4001,0,-1)),K1554))</f>
        <v>4</v>
      </c>
      <c r="M1554" cm="1">
        <f t="array" ref="M1554">IF(OR(AND(L1554=9,M$1&gt;YEAR($N1554))),9,_xlfn.IFNA(INDEX($D$2:$D$4001,_xlfn.XMATCH(M$1&amp;"-"&amp;$F1554,YEAR($B$2:$B$4001)&amp;"-"&amp;$A$2:$A$4001,0,-1)),L1554))</f>
        <v>4</v>
      </c>
      <c r="N1554" s="1">
        <f t="shared" si="24"/>
        <v>36310</v>
      </c>
    </row>
    <row r="1555" spans="1:14" x14ac:dyDescent="0.35">
      <c r="A1555">
        <v>735</v>
      </c>
      <c r="B1555" s="2">
        <v>37762</v>
      </c>
      <c r="C1555">
        <v>4</v>
      </c>
      <c r="D1555">
        <v>4</v>
      </c>
      <c r="F1555">
        <v>1554</v>
      </c>
      <c r="G1555" cm="1">
        <f t="array" ref="G1555">_xlfn.IFNA(INDEX($D$2:$D$4001,_xlfn.XMATCH(G$1&amp;"-"&amp;$F1555,YEAR($B$2:$B$4001)&amp;"-"&amp;$A$2:$A$4001,0,-1)),9)</f>
        <v>9</v>
      </c>
      <c r="H1555" cm="1">
        <f t="array" ref="H1555">IF(OR(AND(G1555=9,H$1&gt;YEAR($N1555))),9,_xlfn.IFNA(INDEX($D$2:$D$4001,_xlfn.XMATCH(H$1&amp;"-"&amp;$F1555,YEAR($B$2:$B$4001)&amp;"-"&amp;$A$2:$A$4001,0,-1)),G1555))</f>
        <v>9</v>
      </c>
      <c r="I1555" cm="1">
        <f t="array" ref="I1555">IF(OR(AND(H1555=9,I$1&gt;YEAR($N1555))),9,_xlfn.IFNA(INDEX($D$2:$D$4001,_xlfn.XMATCH(I$1&amp;"-"&amp;$F1555,YEAR($B$2:$B$4001)&amp;"-"&amp;$A$2:$A$4001,0,-1)),H1555))</f>
        <v>9</v>
      </c>
      <c r="J1555" cm="1">
        <f t="array" ref="J1555">IF(OR(AND(I1555=9,J$1&gt;YEAR($N1555))),9,_xlfn.IFNA(INDEX($D$2:$D$4001,_xlfn.XMATCH(J$1&amp;"-"&amp;$F1555,YEAR($B$2:$B$4001)&amp;"-"&amp;$A$2:$A$4001,0,-1)),I1555))</f>
        <v>0</v>
      </c>
      <c r="K1555" cm="1">
        <f t="array" ref="K1555">IF(OR(AND(J1555=9,K$1&gt;YEAR($N1555))),9,_xlfn.IFNA(INDEX($D$2:$D$4001,_xlfn.XMATCH(K$1&amp;"-"&amp;$F1555,YEAR($B$2:$B$4001)&amp;"-"&amp;$A$2:$A$4001,0,-1)),J1555))</f>
        <v>0</v>
      </c>
      <c r="L1555" cm="1">
        <f t="array" ref="L1555">IF(OR(AND(K1555=9,L$1&gt;YEAR($N1555))),9,_xlfn.IFNA(INDEX($D$2:$D$4001,_xlfn.XMATCH(L$1&amp;"-"&amp;$F1555,YEAR($B$2:$B$4001)&amp;"-"&amp;$A$2:$A$4001,0,-1)),K1555))</f>
        <v>0</v>
      </c>
      <c r="M1555" cm="1">
        <f t="array" ref="M1555">IF(OR(AND(L1555=9,M$1&gt;YEAR($N1555))),9,_xlfn.IFNA(INDEX($D$2:$D$4001,_xlfn.XMATCH(M$1&amp;"-"&amp;$F1555,YEAR($B$2:$B$4001)&amp;"-"&amp;$A$2:$A$4001,0,-1)),L1555))</f>
        <v>0</v>
      </c>
      <c r="N1555" s="1">
        <f t="shared" si="24"/>
        <v>37620</v>
      </c>
    </row>
    <row r="1556" spans="1:14" x14ac:dyDescent="0.35">
      <c r="A1556">
        <v>735</v>
      </c>
      <c r="B1556" s="2">
        <v>37924</v>
      </c>
      <c r="C1556">
        <v>4</v>
      </c>
      <c r="D1556">
        <v>4</v>
      </c>
      <c r="F1556">
        <v>1555</v>
      </c>
      <c r="G1556" cm="1">
        <f t="array" ref="G1556">_xlfn.IFNA(INDEX($D$2:$D$4001,_xlfn.XMATCH(G$1&amp;"-"&amp;$F1556,YEAR($B$2:$B$4001)&amp;"-"&amp;$A$2:$A$4001,0,-1)),9)</f>
        <v>9</v>
      </c>
      <c r="H1556" cm="1">
        <f t="array" ref="H1556">IF(OR(AND(G1556=9,H$1&gt;YEAR($N1556))),9,_xlfn.IFNA(INDEX($D$2:$D$4001,_xlfn.XMATCH(H$1&amp;"-"&amp;$F1556,YEAR($B$2:$B$4001)&amp;"-"&amp;$A$2:$A$4001,0,-1)),G1556))</f>
        <v>9</v>
      </c>
      <c r="I1556" cm="1">
        <f t="array" ref="I1556">IF(OR(AND(H1556=9,I$1&gt;YEAR($N1556))),9,_xlfn.IFNA(INDEX($D$2:$D$4001,_xlfn.XMATCH(I$1&amp;"-"&amp;$F1556,YEAR($B$2:$B$4001)&amp;"-"&amp;$A$2:$A$4001,0,-1)),H1556))</f>
        <v>9</v>
      </c>
      <c r="J1556" cm="1">
        <f t="array" ref="J1556">IF(OR(AND(I1556=9,J$1&gt;YEAR($N1556))),9,_xlfn.IFNA(INDEX($D$2:$D$4001,_xlfn.XMATCH(J$1&amp;"-"&amp;$F1556,YEAR($B$2:$B$4001)&amp;"-"&amp;$A$2:$A$4001,0,-1)),I1556))</f>
        <v>9</v>
      </c>
      <c r="K1556" cm="1">
        <f t="array" ref="K1556">IF(OR(AND(J1556=9,K$1&gt;YEAR($N1556))),9,_xlfn.IFNA(INDEX($D$2:$D$4001,_xlfn.XMATCH(K$1&amp;"-"&amp;$F1556,YEAR($B$2:$B$4001)&amp;"-"&amp;$A$2:$A$4001,0,-1)),J1556))</f>
        <v>9</v>
      </c>
      <c r="L1556" cm="1">
        <f t="array" ref="L1556">IF(OR(AND(K1556=9,L$1&gt;YEAR($N1556))),9,_xlfn.IFNA(INDEX($D$2:$D$4001,_xlfn.XMATCH(L$1&amp;"-"&amp;$F1556,YEAR($B$2:$B$4001)&amp;"-"&amp;$A$2:$A$4001,0,-1)),K1556))</f>
        <v>2</v>
      </c>
      <c r="M1556" cm="1">
        <f t="array" ref="M1556">IF(OR(AND(L1556=9,M$1&gt;YEAR($N1556))),9,_xlfn.IFNA(INDEX($D$2:$D$4001,_xlfn.XMATCH(M$1&amp;"-"&amp;$F1556,YEAR($B$2:$B$4001)&amp;"-"&amp;$A$2:$A$4001,0,-1)),L1556))</f>
        <v>2</v>
      </c>
      <c r="N1556" s="1">
        <f t="shared" si="24"/>
        <v>38351</v>
      </c>
    </row>
    <row r="1557" spans="1:14" x14ac:dyDescent="0.35">
      <c r="A1557">
        <v>735</v>
      </c>
      <c r="B1557" s="2">
        <v>38351</v>
      </c>
      <c r="C1557">
        <v>5</v>
      </c>
      <c r="D1557">
        <v>5</v>
      </c>
      <c r="F1557">
        <v>1556</v>
      </c>
      <c r="G1557" cm="1">
        <f t="array" ref="G1557">_xlfn.IFNA(INDEX($D$2:$D$4001,_xlfn.XMATCH(G$1&amp;"-"&amp;$F1557,YEAR($B$2:$B$4001)&amp;"-"&amp;$A$2:$A$4001,0,-1)),9)</f>
        <v>0</v>
      </c>
      <c r="H1557" cm="1">
        <f t="array" ref="H1557">IF(OR(AND(G1557=9,H$1&gt;YEAR($N1557))),9,_xlfn.IFNA(INDEX($D$2:$D$4001,_xlfn.XMATCH(H$1&amp;"-"&amp;$F1557,YEAR($B$2:$B$4001)&amp;"-"&amp;$A$2:$A$4001,0,-1)),G1557))</f>
        <v>0</v>
      </c>
      <c r="I1557" cm="1">
        <f t="array" ref="I1557">IF(OR(AND(H1557=9,I$1&gt;YEAR($N1557))),9,_xlfn.IFNA(INDEX($D$2:$D$4001,_xlfn.XMATCH(I$1&amp;"-"&amp;$F1557,YEAR($B$2:$B$4001)&amp;"-"&amp;$A$2:$A$4001,0,-1)),H1557))</f>
        <v>0</v>
      </c>
      <c r="J1557" cm="1">
        <f t="array" ref="J1557">IF(OR(AND(I1557=9,J$1&gt;YEAR($N1557))),9,_xlfn.IFNA(INDEX($D$2:$D$4001,_xlfn.XMATCH(J$1&amp;"-"&amp;$F1557,YEAR($B$2:$B$4001)&amp;"-"&amp;$A$2:$A$4001,0,-1)),I1557))</f>
        <v>0</v>
      </c>
      <c r="K1557" cm="1">
        <f t="array" ref="K1557">IF(OR(AND(J1557=9,K$1&gt;YEAR($N1557))),9,_xlfn.IFNA(INDEX($D$2:$D$4001,_xlfn.XMATCH(K$1&amp;"-"&amp;$F1557,YEAR($B$2:$B$4001)&amp;"-"&amp;$A$2:$A$4001,0,-1)),J1557))</f>
        <v>0</v>
      </c>
      <c r="L1557" cm="1">
        <f t="array" ref="L1557">IF(OR(AND(K1557=9,L$1&gt;YEAR($N1557))),9,_xlfn.IFNA(INDEX($D$2:$D$4001,_xlfn.XMATCH(L$1&amp;"-"&amp;$F1557,YEAR($B$2:$B$4001)&amp;"-"&amp;$A$2:$A$4001,0,-1)),K1557))</f>
        <v>0</v>
      </c>
      <c r="M1557" cm="1">
        <f t="array" ref="M1557">IF(OR(AND(L1557=9,M$1&gt;YEAR($N1557))),9,_xlfn.IFNA(INDEX($D$2:$D$4001,_xlfn.XMATCH(M$1&amp;"-"&amp;$F1557,YEAR($B$2:$B$4001)&amp;"-"&amp;$A$2:$A$4001,0,-1)),L1557))</f>
        <v>0</v>
      </c>
      <c r="N1557" s="1">
        <f t="shared" si="24"/>
        <v>36304</v>
      </c>
    </row>
    <row r="1558" spans="1:14" x14ac:dyDescent="0.35">
      <c r="A1558">
        <v>736</v>
      </c>
      <c r="B1558" s="2">
        <v>37771</v>
      </c>
      <c r="C1558">
        <v>4</v>
      </c>
      <c r="D1558">
        <v>4</v>
      </c>
      <c r="F1558">
        <v>1557</v>
      </c>
      <c r="G1558" cm="1">
        <f t="array" ref="G1558">_xlfn.IFNA(INDEX($D$2:$D$4001,_xlfn.XMATCH(G$1&amp;"-"&amp;$F1558,YEAR($B$2:$B$4001)&amp;"-"&amp;$A$2:$A$4001,0,-1)),9)</f>
        <v>9</v>
      </c>
      <c r="H1558" cm="1">
        <f t="array" ref="H1558">IF(OR(AND(G1558=9,H$1&gt;YEAR($N1558))),9,_xlfn.IFNA(INDEX($D$2:$D$4001,_xlfn.XMATCH(H$1&amp;"-"&amp;$F1558,YEAR($B$2:$B$4001)&amp;"-"&amp;$A$2:$A$4001,0,-1)),G1558))</f>
        <v>9</v>
      </c>
      <c r="I1558" cm="1">
        <f t="array" ref="I1558">IF(OR(AND(H1558=9,I$1&gt;YEAR($N1558))),9,_xlfn.IFNA(INDEX($D$2:$D$4001,_xlfn.XMATCH(I$1&amp;"-"&amp;$F1558,YEAR($B$2:$B$4001)&amp;"-"&amp;$A$2:$A$4001,0,-1)),H1558))</f>
        <v>9</v>
      </c>
      <c r="J1558" cm="1">
        <f t="array" ref="J1558">IF(OR(AND(I1558=9,J$1&gt;YEAR($N1558))),9,_xlfn.IFNA(INDEX($D$2:$D$4001,_xlfn.XMATCH(J$1&amp;"-"&amp;$F1558,YEAR($B$2:$B$4001)&amp;"-"&amp;$A$2:$A$4001,0,-1)),I1558))</f>
        <v>9</v>
      </c>
      <c r="K1558" cm="1">
        <f t="array" ref="K1558">IF(OR(AND(J1558=9,K$1&gt;YEAR($N1558))),9,_xlfn.IFNA(INDEX($D$2:$D$4001,_xlfn.XMATCH(K$1&amp;"-"&amp;$F1558,YEAR($B$2:$B$4001)&amp;"-"&amp;$A$2:$A$4001,0,-1)),J1558))</f>
        <v>9</v>
      </c>
      <c r="L1558" cm="1">
        <f t="array" ref="L1558">IF(OR(AND(K1558=9,L$1&gt;YEAR($N1558))),9,_xlfn.IFNA(INDEX($D$2:$D$4001,_xlfn.XMATCH(L$1&amp;"-"&amp;$F1558,YEAR($B$2:$B$4001)&amp;"-"&amp;$A$2:$A$4001,0,-1)),K1558))</f>
        <v>0</v>
      </c>
      <c r="M1558" cm="1">
        <f t="array" ref="M1558">IF(OR(AND(L1558=9,M$1&gt;YEAR($N1558))),9,_xlfn.IFNA(INDEX($D$2:$D$4001,_xlfn.XMATCH(M$1&amp;"-"&amp;$F1558,YEAR($B$2:$B$4001)&amp;"-"&amp;$A$2:$A$4001,0,-1)),L1558))</f>
        <v>0</v>
      </c>
      <c r="N1558" s="1">
        <f t="shared" si="24"/>
        <v>38137</v>
      </c>
    </row>
    <row r="1559" spans="1:14" x14ac:dyDescent="0.35">
      <c r="A1559">
        <v>737</v>
      </c>
      <c r="B1559" s="2">
        <v>36332</v>
      </c>
      <c r="C1559">
        <v>5</v>
      </c>
      <c r="D1559">
        <v>5</v>
      </c>
      <c r="F1559">
        <v>1558</v>
      </c>
      <c r="G1559" cm="1">
        <f t="array" ref="G1559">_xlfn.IFNA(INDEX($D$2:$D$4001,_xlfn.XMATCH(G$1&amp;"-"&amp;$F1559,YEAR($B$2:$B$4001)&amp;"-"&amp;$A$2:$A$4001,0,-1)),9)</f>
        <v>6</v>
      </c>
      <c r="H1559" cm="1">
        <f t="array" ref="H1559">IF(OR(AND(G1559=9,H$1&gt;YEAR($N1559))),9,_xlfn.IFNA(INDEX($D$2:$D$4001,_xlfn.XMATCH(H$1&amp;"-"&amp;$F1559,YEAR($B$2:$B$4001)&amp;"-"&amp;$A$2:$A$4001,0,-1)),G1559))</f>
        <v>7</v>
      </c>
      <c r="I1559" cm="1">
        <f t="array" ref="I1559">IF(OR(AND(H1559=9,I$1&gt;YEAR($N1559))),9,_xlfn.IFNA(INDEX($D$2:$D$4001,_xlfn.XMATCH(I$1&amp;"-"&amp;$F1559,YEAR($B$2:$B$4001)&amp;"-"&amp;$A$2:$A$4001,0,-1)),H1559))</f>
        <v>7</v>
      </c>
      <c r="J1559" cm="1">
        <f t="array" ref="J1559">IF(OR(AND(I1559=9,J$1&gt;YEAR($N1559))),9,_xlfn.IFNA(INDEX($D$2:$D$4001,_xlfn.XMATCH(J$1&amp;"-"&amp;$F1559,YEAR($B$2:$B$4001)&amp;"-"&amp;$A$2:$A$4001,0,-1)),I1559))</f>
        <v>8</v>
      </c>
      <c r="K1559" cm="1">
        <f t="array" ref="K1559">IF(OR(AND(J1559=9,K$1&gt;YEAR($N1559))),9,_xlfn.IFNA(INDEX($D$2:$D$4001,_xlfn.XMATCH(K$1&amp;"-"&amp;$F1559,YEAR($B$2:$B$4001)&amp;"-"&amp;$A$2:$A$4001,0,-1)),J1559))</f>
        <v>8</v>
      </c>
      <c r="L1559" cm="1">
        <f t="array" ref="L1559">IF(OR(AND(K1559=9,L$1&gt;YEAR($N1559))),9,_xlfn.IFNA(INDEX($D$2:$D$4001,_xlfn.XMATCH(L$1&amp;"-"&amp;$F1559,YEAR($B$2:$B$4001)&amp;"-"&amp;$A$2:$A$4001,0,-1)),K1559))</f>
        <v>8</v>
      </c>
      <c r="M1559" cm="1">
        <f t="array" ref="M1559">IF(OR(AND(L1559=9,M$1&gt;YEAR($N1559))),9,_xlfn.IFNA(INDEX($D$2:$D$4001,_xlfn.XMATCH(M$1&amp;"-"&amp;$F1559,YEAR($B$2:$B$4001)&amp;"-"&amp;$A$2:$A$4001,0,-1)),L1559))</f>
        <v>8</v>
      </c>
      <c r="N1559" s="1">
        <f t="shared" si="24"/>
        <v>36310</v>
      </c>
    </row>
    <row r="1560" spans="1:14" x14ac:dyDescent="0.35">
      <c r="A1560">
        <v>737</v>
      </c>
      <c r="B1560" s="2">
        <v>36676</v>
      </c>
      <c r="C1560">
        <v>0</v>
      </c>
      <c r="D1560">
        <v>0</v>
      </c>
      <c r="F1560">
        <v>1559</v>
      </c>
      <c r="G1560" cm="1">
        <f t="array" ref="G1560">_xlfn.IFNA(INDEX($D$2:$D$4001,_xlfn.XMATCH(G$1&amp;"-"&amp;$F1560,YEAR($B$2:$B$4001)&amp;"-"&amp;$A$2:$A$4001,0,-1)),9)</f>
        <v>9</v>
      </c>
      <c r="H1560" cm="1">
        <f t="array" ref="H1560">IF(OR(AND(G1560=9,H$1&gt;YEAR($N1560))),9,_xlfn.IFNA(INDEX($D$2:$D$4001,_xlfn.XMATCH(H$1&amp;"-"&amp;$F1560,YEAR($B$2:$B$4001)&amp;"-"&amp;$A$2:$A$4001,0,-1)),G1560))</f>
        <v>3</v>
      </c>
      <c r="I1560" cm="1">
        <f t="array" ref="I1560">IF(OR(AND(H1560=9,I$1&gt;YEAR($N1560))),9,_xlfn.IFNA(INDEX($D$2:$D$4001,_xlfn.XMATCH(I$1&amp;"-"&amp;$F1560,YEAR($B$2:$B$4001)&amp;"-"&amp;$A$2:$A$4001,0,-1)),H1560))</f>
        <v>3</v>
      </c>
      <c r="J1560" cm="1">
        <f t="array" ref="J1560">IF(OR(AND(I1560=9,J$1&gt;YEAR($N1560))),9,_xlfn.IFNA(INDEX($D$2:$D$4001,_xlfn.XMATCH(J$1&amp;"-"&amp;$F1560,YEAR($B$2:$B$4001)&amp;"-"&amp;$A$2:$A$4001,0,-1)),I1560))</f>
        <v>3</v>
      </c>
      <c r="K1560" cm="1">
        <f t="array" ref="K1560">IF(OR(AND(J1560=9,K$1&gt;YEAR($N1560))),9,_xlfn.IFNA(INDEX($D$2:$D$4001,_xlfn.XMATCH(K$1&amp;"-"&amp;$F1560,YEAR($B$2:$B$4001)&amp;"-"&amp;$A$2:$A$4001,0,-1)),J1560))</f>
        <v>0</v>
      </c>
      <c r="L1560" cm="1">
        <f t="array" ref="L1560">IF(OR(AND(K1560=9,L$1&gt;YEAR($N1560))),9,_xlfn.IFNA(INDEX($D$2:$D$4001,_xlfn.XMATCH(L$1&amp;"-"&amp;$F1560,YEAR($B$2:$B$4001)&amp;"-"&amp;$A$2:$A$4001,0,-1)),K1560))</f>
        <v>0</v>
      </c>
      <c r="M1560" cm="1">
        <f t="array" ref="M1560">IF(OR(AND(L1560=9,M$1&gt;YEAR($N1560))),9,_xlfn.IFNA(INDEX($D$2:$D$4001,_xlfn.XMATCH(M$1&amp;"-"&amp;$F1560,YEAR($B$2:$B$4001)&amp;"-"&amp;$A$2:$A$4001,0,-1)),L1560))</f>
        <v>0</v>
      </c>
      <c r="N1560" s="1">
        <f t="shared" si="24"/>
        <v>36667</v>
      </c>
    </row>
    <row r="1561" spans="1:14" x14ac:dyDescent="0.35">
      <c r="A1561">
        <v>738</v>
      </c>
      <c r="B1561" s="2">
        <v>37461</v>
      </c>
      <c r="C1561">
        <v>5</v>
      </c>
      <c r="D1561">
        <v>5</v>
      </c>
      <c r="F1561">
        <v>1560</v>
      </c>
      <c r="G1561" cm="1">
        <f t="array" ref="G1561">_xlfn.IFNA(INDEX($D$2:$D$4001,_xlfn.XMATCH(G$1&amp;"-"&amp;$F1561,YEAR($B$2:$B$4001)&amp;"-"&amp;$A$2:$A$4001,0,-1)),9)</f>
        <v>9</v>
      </c>
      <c r="H1561" cm="1">
        <f t="array" ref="H1561">IF(OR(AND(G1561=9,H$1&gt;YEAR($N1561))),9,_xlfn.IFNA(INDEX($D$2:$D$4001,_xlfn.XMATCH(H$1&amp;"-"&amp;$F1561,YEAR($B$2:$B$4001)&amp;"-"&amp;$A$2:$A$4001,0,-1)),G1561))</f>
        <v>0</v>
      </c>
      <c r="I1561" cm="1">
        <f t="array" ref="I1561">IF(OR(AND(H1561=9,I$1&gt;YEAR($N1561))),9,_xlfn.IFNA(INDEX($D$2:$D$4001,_xlfn.XMATCH(I$1&amp;"-"&amp;$F1561,YEAR($B$2:$B$4001)&amp;"-"&amp;$A$2:$A$4001,0,-1)),H1561))</f>
        <v>0</v>
      </c>
      <c r="J1561" cm="1">
        <f t="array" ref="J1561">IF(OR(AND(I1561=9,J$1&gt;YEAR($N1561))),9,_xlfn.IFNA(INDEX($D$2:$D$4001,_xlfn.XMATCH(J$1&amp;"-"&amp;$F1561,YEAR($B$2:$B$4001)&amp;"-"&amp;$A$2:$A$4001,0,-1)),I1561))</f>
        <v>0</v>
      </c>
      <c r="K1561" cm="1">
        <f t="array" ref="K1561">IF(OR(AND(J1561=9,K$1&gt;YEAR($N1561))),9,_xlfn.IFNA(INDEX($D$2:$D$4001,_xlfn.XMATCH(K$1&amp;"-"&amp;$F1561,YEAR($B$2:$B$4001)&amp;"-"&amp;$A$2:$A$4001,0,-1)),J1561))</f>
        <v>0</v>
      </c>
      <c r="L1561" cm="1">
        <f t="array" ref="L1561">IF(OR(AND(K1561=9,L$1&gt;YEAR($N1561))),9,_xlfn.IFNA(INDEX($D$2:$D$4001,_xlfn.XMATCH(L$1&amp;"-"&amp;$F1561,YEAR($B$2:$B$4001)&amp;"-"&amp;$A$2:$A$4001,0,-1)),K1561))</f>
        <v>0</v>
      </c>
      <c r="M1561" cm="1">
        <f t="array" ref="M1561">IF(OR(AND(L1561=9,M$1&gt;YEAR($N1561))),9,_xlfn.IFNA(INDEX($D$2:$D$4001,_xlfn.XMATCH(M$1&amp;"-"&amp;$F1561,YEAR($B$2:$B$4001)&amp;"-"&amp;$A$2:$A$4001,0,-1)),L1561))</f>
        <v>0</v>
      </c>
      <c r="N1561" s="1">
        <f t="shared" si="24"/>
        <v>36851</v>
      </c>
    </row>
    <row r="1562" spans="1:14" x14ac:dyDescent="0.35">
      <c r="A1562">
        <v>738</v>
      </c>
      <c r="B1562" s="2">
        <v>37489</v>
      </c>
      <c r="C1562">
        <v>4</v>
      </c>
      <c r="D1562">
        <v>4</v>
      </c>
      <c r="F1562">
        <v>1561</v>
      </c>
      <c r="G1562" cm="1">
        <f t="array" ref="G1562">_xlfn.IFNA(INDEX($D$2:$D$4001,_xlfn.XMATCH(G$1&amp;"-"&amp;$F1562,YEAR($B$2:$B$4001)&amp;"-"&amp;$A$2:$A$4001,0,-1)),9)</f>
        <v>9</v>
      </c>
      <c r="H1562" cm="1">
        <f t="array" ref="H1562">IF(OR(AND(G1562=9,H$1&gt;YEAR($N1562))),9,_xlfn.IFNA(INDEX($D$2:$D$4001,_xlfn.XMATCH(H$1&amp;"-"&amp;$F1562,YEAR($B$2:$B$4001)&amp;"-"&amp;$A$2:$A$4001,0,-1)),G1562))</f>
        <v>3</v>
      </c>
      <c r="I1562" cm="1">
        <f t="array" ref="I1562">IF(OR(AND(H1562=9,I$1&gt;YEAR($N1562))),9,_xlfn.IFNA(INDEX($D$2:$D$4001,_xlfn.XMATCH(I$1&amp;"-"&amp;$F1562,YEAR($B$2:$B$4001)&amp;"-"&amp;$A$2:$A$4001,0,-1)),H1562))</f>
        <v>3</v>
      </c>
      <c r="J1562" cm="1">
        <f t="array" ref="J1562">IF(OR(AND(I1562=9,J$1&gt;YEAR($N1562))),9,_xlfn.IFNA(INDEX($D$2:$D$4001,_xlfn.XMATCH(J$1&amp;"-"&amp;$F1562,YEAR($B$2:$B$4001)&amp;"-"&amp;$A$2:$A$4001,0,-1)),I1562))</f>
        <v>3</v>
      </c>
      <c r="K1562" cm="1">
        <f t="array" ref="K1562">IF(OR(AND(J1562=9,K$1&gt;YEAR($N1562))),9,_xlfn.IFNA(INDEX($D$2:$D$4001,_xlfn.XMATCH(K$1&amp;"-"&amp;$F1562,YEAR($B$2:$B$4001)&amp;"-"&amp;$A$2:$A$4001,0,-1)),J1562))</f>
        <v>3</v>
      </c>
      <c r="L1562" cm="1">
        <f t="array" ref="L1562">IF(OR(AND(K1562=9,L$1&gt;YEAR($N1562))),9,_xlfn.IFNA(INDEX($D$2:$D$4001,_xlfn.XMATCH(L$1&amp;"-"&amp;$F1562,YEAR($B$2:$B$4001)&amp;"-"&amp;$A$2:$A$4001,0,-1)),K1562))</f>
        <v>0</v>
      </c>
      <c r="M1562" cm="1">
        <f t="array" ref="M1562">IF(OR(AND(L1562=9,M$1&gt;YEAR($N1562))),9,_xlfn.IFNA(INDEX($D$2:$D$4001,_xlfn.XMATCH(M$1&amp;"-"&amp;$F1562,YEAR($B$2:$B$4001)&amp;"-"&amp;$A$2:$A$4001,0,-1)),L1562))</f>
        <v>0</v>
      </c>
      <c r="N1562" s="1">
        <f t="shared" si="24"/>
        <v>36676</v>
      </c>
    </row>
    <row r="1563" spans="1:14" x14ac:dyDescent="0.35">
      <c r="A1563">
        <v>739</v>
      </c>
      <c r="B1563" s="2">
        <v>37032</v>
      </c>
      <c r="C1563">
        <v>6</v>
      </c>
      <c r="D1563">
        <v>6</v>
      </c>
      <c r="F1563">
        <v>1562</v>
      </c>
      <c r="G1563" cm="1">
        <f t="array" ref="G1563">_xlfn.IFNA(INDEX($D$2:$D$4001,_xlfn.XMATCH(G$1&amp;"-"&amp;$F1563,YEAR($B$2:$B$4001)&amp;"-"&amp;$A$2:$A$4001,0,-1)),9)</f>
        <v>9</v>
      </c>
      <c r="H1563" cm="1">
        <f t="array" ref="H1563">IF(OR(AND(G1563=9,H$1&gt;YEAR($N1563))),9,_xlfn.IFNA(INDEX($D$2:$D$4001,_xlfn.XMATCH(H$1&amp;"-"&amp;$F1563,YEAR($B$2:$B$4001)&amp;"-"&amp;$A$2:$A$4001,0,-1)),G1563))</f>
        <v>5</v>
      </c>
      <c r="I1563" cm="1">
        <f t="array" ref="I1563">IF(OR(AND(H1563=9,I$1&gt;YEAR($N1563))),9,_xlfn.IFNA(INDEX($D$2:$D$4001,_xlfn.XMATCH(I$1&amp;"-"&amp;$F1563,YEAR($B$2:$B$4001)&amp;"-"&amp;$A$2:$A$4001,0,-1)),H1563))</f>
        <v>5</v>
      </c>
      <c r="J1563" cm="1">
        <f t="array" ref="J1563">IF(OR(AND(I1563=9,J$1&gt;YEAR($N1563))),9,_xlfn.IFNA(INDEX($D$2:$D$4001,_xlfn.XMATCH(J$1&amp;"-"&amp;$F1563,YEAR($B$2:$B$4001)&amp;"-"&amp;$A$2:$A$4001,0,-1)),I1563))</f>
        <v>5</v>
      </c>
      <c r="K1563" cm="1">
        <f t="array" ref="K1563">IF(OR(AND(J1563=9,K$1&gt;YEAR($N1563))),9,_xlfn.IFNA(INDEX($D$2:$D$4001,_xlfn.XMATCH(K$1&amp;"-"&amp;$F1563,YEAR($B$2:$B$4001)&amp;"-"&amp;$A$2:$A$4001,0,-1)),J1563))</f>
        <v>5</v>
      </c>
      <c r="L1563" cm="1">
        <f t="array" ref="L1563">IF(OR(AND(K1563=9,L$1&gt;YEAR($N1563))),9,_xlfn.IFNA(INDEX($D$2:$D$4001,_xlfn.XMATCH(L$1&amp;"-"&amp;$F1563,YEAR($B$2:$B$4001)&amp;"-"&amp;$A$2:$A$4001,0,-1)),K1563))</f>
        <v>5</v>
      </c>
      <c r="M1563" cm="1">
        <f t="array" ref="M1563">IF(OR(AND(L1563=9,M$1&gt;YEAR($N1563))),9,_xlfn.IFNA(INDEX($D$2:$D$4001,_xlfn.XMATCH(M$1&amp;"-"&amp;$F1563,YEAR($B$2:$B$4001)&amp;"-"&amp;$A$2:$A$4001,0,-1)),L1563))</f>
        <v>5</v>
      </c>
      <c r="N1563" s="1">
        <f t="shared" si="24"/>
        <v>36701</v>
      </c>
    </row>
    <row r="1564" spans="1:14" x14ac:dyDescent="0.35">
      <c r="A1564">
        <v>739</v>
      </c>
      <c r="B1564" s="2">
        <v>37768</v>
      </c>
      <c r="C1564">
        <v>6</v>
      </c>
      <c r="D1564">
        <v>6</v>
      </c>
      <c r="F1564">
        <v>1563</v>
      </c>
      <c r="G1564" cm="1">
        <f t="array" ref="G1564">_xlfn.IFNA(INDEX($D$2:$D$4001,_xlfn.XMATCH(G$1&amp;"-"&amp;$F1564,YEAR($B$2:$B$4001)&amp;"-"&amp;$A$2:$A$4001,0,-1)),9)</f>
        <v>5</v>
      </c>
      <c r="H1564" cm="1">
        <f t="array" ref="H1564">IF(OR(AND(G1564=9,H$1&gt;YEAR($N1564))),9,_xlfn.IFNA(INDEX($D$2:$D$4001,_xlfn.XMATCH(H$1&amp;"-"&amp;$F1564,YEAR($B$2:$B$4001)&amp;"-"&amp;$A$2:$A$4001,0,-1)),G1564))</f>
        <v>7</v>
      </c>
      <c r="I1564" cm="1">
        <f t="array" ref="I1564">IF(OR(AND(H1564=9,I$1&gt;YEAR($N1564))),9,_xlfn.IFNA(INDEX($D$2:$D$4001,_xlfn.XMATCH(I$1&amp;"-"&amp;$F1564,YEAR($B$2:$B$4001)&amp;"-"&amp;$A$2:$A$4001,0,-1)),H1564))</f>
        <v>7</v>
      </c>
      <c r="J1564" cm="1">
        <f t="array" ref="J1564">IF(OR(AND(I1564=9,J$1&gt;YEAR($N1564))),9,_xlfn.IFNA(INDEX($D$2:$D$4001,_xlfn.XMATCH(J$1&amp;"-"&amp;$F1564,YEAR($B$2:$B$4001)&amp;"-"&amp;$A$2:$A$4001,0,-1)),I1564))</f>
        <v>7</v>
      </c>
      <c r="K1564" cm="1">
        <f t="array" ref="K1564">IF(OR(AND(J1564=9,K$1&gt;YEAR($N1564))),9,_xlfn.IFNA(INDEX($D$2:$D$4001,_xlfn.XMATCH(K$1&amp;"-"&amp;$F1564,YEAR($B$2:$B$4001)&amp;"-"&amp;$A$2:$A$4001,0,-1)),J1564))</f>
        <v>7</v>
      </c>
      <c r="L1564" cm="1">
        <f t="array" ref="L1564">IF(OR(AND(K1564=9,L$1&gt;YEAR($N1564))),9,_xlfn.IFNA(INDEX($D$2:$D$4001,_xlfn.XMATCH(L$1&amp;"-"&amp;$F1564,YEAR($B$2:$B$4001)&amp;"-"&amp;$A$2:$A$4001,0,-1)),K1564))</f>
        <v>7</v>
      </c>
      <c r="M1564" cm="1">
        <f t="array" ref="M1564">IF(OR(AND(L1564=9,M$1&gt;YEAR($N1564))),9,_xlfn.IFNA(INDEX($D$2:$D$4001,_xlfn.XMATCH(M$1&amp;"-"&amp;$F1564,YEAR($B$2:$B$4001)&amp;"-"&amp;$A$2:$A$4001,0,-1)),L1564))</f>
        <v>7</v>
      </c>
      <c r="N1564" s="1">
        <f t="shared" si="24"/>
        <v>36362</v>
      </c>
    </row>
    <row r="1565" spans="1:14" x14ac:dyDescent="0.35">
      <c r="A1565">
        <v>739</v>
      </c>
      <c r="B1565" s="2">
        <v>38502</v>
      </c>
      <c r="C1565">
        <v>7</v>
      </c>
      <c r="D1565">
        <v>7</v>
      </c>
      <c r="F1565">
        <v>1564</v>
      </c>
      <c r="G1565" cm="1">
        <f t="array" ref="G1565">_xlfn.IFNA(INDEX($D$2:$D$4001,_xlfn.XMATCH(G$1&amp;"-"&amp;$F1565,YEAR($B$2:$B$4001)&amp;"-"&amp;$A$2:$A$4001,0,-1)),9)</f>
        <v>9</v>
      </c>
      <c r="H1565" cm="1">
        <f t="array" ref="H1565">IF(OR(AND(G1565=9,H$1&gt;YEAR($N1565))),9,_xlfn.IFNA(INDEX($D$2:$D$4001,_xlfn.XMATCH(H$1&amp;"-"&amp;$F1565,YEAR($B$2:$B$4001)&amp;"-"&amp;$A$2:$A$4001,0,-1)),G1565))</f>
        <v>9</v>
      </c>
      <c r="I1565" cm="1">
        <f t="array" ref="I1565">IF(OR(AND(H1565=9,I$1&gt;YEAR($N1565))),9,_xlfn.IFNA(INDEX($D$2:$D$4001,_xlfn.XMATCH(I$1&amp;"-"&amp;$F1565,YEAR($B$2:$B$4001)&amp;"-"&amp;$A$2:$A$4001,0,-1)),H1565))</f>
        <v>3</v>
      </c>
      <c r="J1565" cm="1">
        <f t="array" ref="J1565">IF(OR(AND(I1565=9,J$1&gt;YEAR($N1565))),9,_xlfn.IFNA(INDEX($D$2:$D$4001,_xlfn.XMATCH(J$1&amp;"-"&amp;$F1565,YEAR($B$2:$B$4001)&amp;"-"&amp;$A$2:$A$4001,0,-1)),I1565))</f>
        <v>3</v>
      </c>
      <c r="K1565" cm="1">
        <f t="array" ref="K1565">IF(OR(AND(J1565=9,K$1&gt;YEAR($N1565))),9,_xlfn.IFNA(INDEX($D$2:$D$4001,_xlfn.XMATCH(K$1&amp;"-"&amp;$F1565,YEAR($B$2:$B$4001)&amp;"-"&amp;$A$2:$A$4001,0,-1)),J1565))</f>
        <v>0</v>
      </c>
      <c r="L1565" cm="1">
        <f t="array" ref="L1565">IF(OR(AND(K1565=9,L$1&gt;YEAR($N1565))),9,_xlfn.IFNA(INDEX($D$2:$D$4001,_xlfn.XMATCH(L$1&amp;"-"&amp;$F1565,YEAR($B$2:$B$4001)&amp;"-"&amp;$A$2:$A$4001,0,-1)),K1565))</f>
        <v>0</v>
      </c>
      <c r="M1565" cm="1">
        <f t="array" ref="M1565">IF(OR(AND(L1565=9,M$1&gt;YEAR($N1565))),9,_xlfn.IFNA(INDEX($D$2:$D$4001,_xlfn.XMATCH(M$1&amp;"-"&amp;$F1565,YEAR($B$2:$B$4001)&amp;"-"&amp;$A$2:$A$4001,0,-1)),L1565))</f>
        <v>0</v>
      </c>
      <c r="N1565" s="1">
        <f t="shared" si="24"/>
        <v>37072</v>
      </c>
    </row>
    <row r="1566" spans="1:14" x14ac:dyDescent="0.35">
      <c r="A1566">
        <v>739</v>
      </c>
      <c r="B1566" s="2">
        <v>38594</v>
      </c>
      <c r="C1566">
        <v>7</v>
      </c>
      <c r="D1566">
        <v>7</v>
      </c>
      <c r="F1566">
        <v>1565</v>
      </c>
      <c r="G1566" cm="1">
        <f t="array" ref="G1566">_xlfn.IFNA(INDEX($D$2:$D$4001,_xlfn.XMATCH(G$1&amp;"-"&amp;$F1566,YEAR($B$2:$B$4001)&amp;"-"&amp;$A$2:$A$4001,0,-1)),9)</f>
        <v>9</v>
      </c>
      <c r="H1566" cm="1">
        <f t="array" ref="H1566">IF(OR(AND(G1566=9,H$1&gt;YEAR($N1566))),9,_xlfn.IFNA(INDEX($D$2:$D$4001,_xlfn.XMATCH(H$1&amp;"-"&amp;$F1566,YEAR($B$2:$B$4001)&amp;"-"&amp;$A$2:$A$4001,0,-1)),G1566))</f>
        <v>9</v>
      </c>
      <c r="I1566" cm="1">
        <f t="array" ref="I1566">IF(OR(AND(H1566=9,I$1&gt;YEAR($N1566))),9,_xlfn.IFNA(INDEX($D$2:$D$4001,_xlfn.XMATCH(I$1&amp;"-"&amp;$F1566,YEAR($B$2:$B$4001)&amp;"-"&amp;$A$2:$A$4001,0,-1)),H1566))</f>
        <v>2</v>
      </c>
      <c r="J1566" cm="1">
        <f t="array" ref="J1566">IF(OR(AND(I1566=9,J$1&gt;YEAR($N1566))),9,_xlfn.IFNA(INDEX($D$2:$D$4001,_xlfn.XMATCH(J$1&amp;"-"&amp;$F1566,YEAR($B$2:$B$4001)&amp;"-"&amp;$A$2:$A$4001,0,-1)),I1566))</f>
        <v>2</v>
      </c>
      <c r="K1566" cm="1">
        <f t="array" ref="K1566">IF(OR(AND(J1566=9,K$1&gt;YEAR($N1566))),9,_xlfn.IFNA(INDEX($D$2:$D$4001,_xlfn.XMATCH(K$1&amp;"-"&amp;$F1566,YEAR($B$2:$B$4001)&amp;"-"&amp;$A$2:$A$4001,0,-1)),J1566))</f>
        <v>2</v>
      </c>
      <c r="L1566" cm="1">
        <f t="array" ref="L1566">IF(OR(AND(K1566=9,L$1&gt;YEAR($N1566))),9,_xlfn.IFNA(INDEX($D$2:$D$4001,_xlfn.XMATCH(L$1&amp;"-"&amp;$F1566,YEAR($B$2:$B$4001)&amp;"-"&amp;$A$2:$A$4001,0,-1)),K1566))</f>
        <v>2</v>
      </c>
      <c r="M1566" cm="1">
        <f t="array" ref="M1566">IF(OR(AND(L1566=9,M$1&gt;YEAR($N1566))),9,_xlfn.IFNA(INDEX($D$2:$D$4001,_xlfn.XMATCH(M$1&amp;"-"&amp;$F1566,YEAR($B$2:$B$4001)&amp;"-"&amp;$A$2:$A$4001,0,-1)),L1566))</f>
        <v>2</v>
      </c>
      <c r="N1566" s="1">
        <f t="shared" si="24"/>
        <v>37034</v>
      </c>
    </row>
    <row r="1567" spans="1:14" x14ac:dyDescent="0.35">
      <c r="A1567">
        <v>740</v>
      </c>
      <c r="B1567" s="2">
        <v>36524</v>
      </c>
      <c r="C1567">
        <v>3</v>
      </c>
      <c r="D1567">
        <v>3</v>
      </c>
      <c r="F1567">
        <v>1566</v>
      </c>
      <c r="G1567" cm="1">
        <f t="array" ref="G1567">_xlfn.IFNA(INDEX($D$2:$D$4001,_xlfn.XMATCH(G$1&amp;"-"&amp;$F1567,YEAR($B$2:$B$4001)&amp;"-"&amp;$A$2:$A$4001,0,-1)),9)</f>
        <v>9</v>
      </c>
      <c r="H1567" cm="1">
        <f t="array" ref="H1567">IF(OR(AND(G1567=9,H$1&gt;YEAR($N1567))),9,_xlfn.IFNA(INDEX($D$2:$D$4001,_xlfn.XMATCH(H$1&amp;"-"&amp;$F1567,YEAR($B$2:$B$4001)&amp;"-"&amp;$A$2:$A$4001,0,-1)),G1567))</f>
        <v>9</v>
      </c>
      <c r="I1567" cm="1">
        <f t="array" ref="I1567">IF(OR(AND(H1567=9,I$1&gt;YEAR($N1567))),9,_xlfn.IFNA(INDEX($D$2:$D$4001,_xlfn.XMATCH(I$1&amp;"-"&amp;$F1567,YEAR($B$2:$B$4001)&amp;"-"&amp;$A$2:$A$4001,0,-1)),H1567))</f>
        <v>9</v>
      </c>
      <c r="J1567" cm="1">
        <f t="array" ref="J1567">IF(OR(AND(I1567=9,J$1&gt;YEAR($N1567))),9,_xlfn.IFNA(INDEX($D$2:$D$4001,_xlfn.XMATCH(J$1&amp;"-"&amp;$F1567,YEAR($B$2:$B$4001)&amp;"-"&amp;$A$2:$A$4001,0,-1)),I1567))</f>
        <v>4</v>
      </c>
      <c r="K1567" cm="1">
        <f t="array" ref="K1567">IF(OR(AND(J1567=9,K$1&gt;YEAR($N1567))),9,_xlfn.IFNA(INDEX($D$2:$D$4001,_xlfn.XMATCH(K$1&amp;"-"&amp;$F1567,YEAR($B$2:$B$4001)&amp;"-"&amp;$A$2:$A$4001,0,-1)),J1567))</f>
        <v>4</v>
      </c>
      <c r="L1567" cm="1">
        <f t="array" ref="L1567">IF(OR(AND(K1567=9,L$1&gt;YEAR($N1567))),9,_xlfn.IFNA(INDEX($D$2:$D$4001,_xlfn.XMATCH(L$1&amp;"-"&amp;$F1567,YEAR($B$2:$B$4001)&amp;"-"&amp;$A$2:$A$4001,0,-1)),K1567))</f>
        <v>4</v>
      </c>
      <c r="M1567" cm="1">
        <f t="array" ref="M1567">IF(OR(AND(L1567=9,M$1&gt;YEAR($N1567))),9,_xlfn.IFNA(INDEX($D$2:$D$4001,_xlfn.XMATCH(M$1&amp;"-"&amp;$F1567,YEAR($B$2:$B$4001)&amp;"-"&amp;$A$2:$A$4001,0,-1)),L1567))</f>
        <v>4</v>
      </c>
      <c r="N1567" s="1">
        <f t="shared" si="24"/>
        <v>37590</v>
      </c>
    </row>
    <row r="1568" spans="1:14" x14ac:dyDescent="0.35">
      <c r="A1568">
        <v>740</v>
      </c>
      <c r="B1568" s="2">
        <v>36890</v>
      </c>
      <c r="C1568">
        <v>0</v>
      </c>
      <c r="D1568">
        <v>0</v>
      </c>
      <c r="F1568">
        <v>1567</v>
      </c>
      <c r="G1568" cm="1">
        <f t="array" ref="G1568">_xlfn.IFNA(INDEX($D$2:$D$4001,_xlfn.XMATCH(G$1&amp;"-"&amp;$F1568,YEAR($B$2:$B$4001)&amp;"-"&amp;$A$2:$A$4001,0,-1)),9)</f>
        <v>9</v>
      </c>
      <c r="H1568" cm="1">
        <f t="array" ref="H1568">IF(OR(AND(G1568=9,H$1&gt;YEAR($N1568))),9,_xlfn.IFNA(INDEX($D$2:$D$4001,_xlfn.XMATCH(H$1&amp;"-"&amp;$F1568,YEAR($B$2:$B$4001)&amp;"-"&amp;$A$2:$A$4001,0,-1)),G1568))</f>
        <v>4</v>
      </c>
      <c r="I1568" cm="1">
        <f t="array" ref="I1568">IF(OR(AND(H1568=9,I$1&gt;YEAR($N1568))),9,_xlfn.IFNA(INDEX($D$2:$D$4001,_xlfn.XMATCH(I$1&amp;"-"&amp;$F1568,YEAR($B$2:$B$4001)&amp;"-"&amp;$A$2:$A$4001,0,-1)),H1568))</f>
        <v>4</v>
      </c>
      <c r="J1568" cm="1">
        <f t="array" ref="J1568">IF(OR(AND(I1568=9,J$1&gt;YEAR($N1568))),9,_xlfn.IFNA(INDEX($D$2:$D$4001,_xlfn.XMATCH(J$1&amp;"-"&amp;$F1568,YEAR($B$2:$B$4001)&amp;"-"&amp;$A$2:$A$4001,0,-1)),I1568))</f>
        <v>4</v>
      </c>
      <c r="K1568" cm="1">
        <f t="array" ref="K1568">IF(OR(AND(J1568=9,K$1&gt;YEAR($N1568))),9,_xlfn.IFNA(INDEX($D$2:$D$4001,_xlfn.XMATCH(K$1&amp;"-"&amp;$F1568,YEAR($B$2:$B$4001)&amp;"-"&amp;$A$2:$A$4001,0,-1)),J1568))</f>
        <v>0</v>
      </c>
      <c r="L1568" cm="1">
        <f t="array" ref="L1568">IF(OR(AND(K1568=9,L$1&gt;YEAR($N1568))),9,_xlfn.IFNA(INDEX($D$2:$D$4001,_xlfn.XMATCH(L$1&amp;"-"&amp;$F1568,YEAR($B$2:$B$4001)&amp;"-"&amp;$A$2:$A$4001,0,-1)),K1568))</f>
        <v>0</v>
      </c>
      <c r="M1568" cm="1">
        <f t="array" ref="M1568">IF(OR(AND(L1568=9,M$1&gt;YEAR($N1568))),9,_xlfn.IFNA(INDEX($D$2:$D$4001,_xlfn.XMATCH(M$1&amp;"-"&amp;$F1568,YEAR($B$2:$B$4001)&amp;"-"&amp;$A$2:$A$4001,0,-1)),L1568))</f>
        <v>0</v>
      </c>
      <c r="N1568" s="1">
        <f t="shared" si="24"/>
        <v>36676</v>
      </c>
    </row>
    <row r="1569" spans="1:14" x14ac:dyDescent="0.35">
      <c r="A1569">
        <v>741</v>
      </c>
      <c r="B1569" s="2">
        <v>36524</v>
      </c>
      <c r="C1569">
        <v>6</v>
      </c>
      <c r="D1569">
        <v>6</v>
      </c>
      <c r="F1569">
        <v>1568</v>
      </c>
      <c r="G1569" cm="1">
        <f t="array" ref="G1569">_xlfn.IFNA(INDEX($D$2:$D$4001,_xlfn.XMATCH(G$1&amp;"-"&amp;$F1569,YEAR($B$2:$B$4001)&amp;"-"&amp;$A$2:$A$4001,0,-1)),9)</f>
        <v>5</v>
      </c>
      <c r="H1569" cm="1">
        <f t="array" ref="H1569">IF(OR(AND(G1569=9,H$1&gt;YEAR($N1569))),9,_xlfn.IFNA(INDEX($D$2:$D$4001,_xlfn.XMATCH(H$1&amp;"-"&amp;$F1569,YEAR($B$2:$B$4001)&amp;"-"&amp;$A$2:$A$4001,0,-1)),G1569))</f>
        <v>5</v>
      </c>
      <c r="I1569" cm="1">
        <f t="array" ref="I1569">IF(OR(AND(H1569=9,I$1&gt;YEAR($N1569))),9,_xlfn.IFNA(INDEX($D$2:$D$4001,_xlfn.XMATCH(I$1&amp;"-"&amp;$F1569,YEAR($B$2:$B$4001)&amp;"-"&amp;$A$2:$A$4001,0,-1)),H1569))</f>
        <v>8</v>
      </c>
      <c r="J1569" cm="1">
        <f t="array" ref="J1569">IF(OR(AND(I1569=9,J$1&gt;YEAR($N1569))),9,_xlfn.IFNA(INDEX($D$2:$D$4001,_xlfn.XMATCH(J$1&amp;"-"&amp;$F1569,YEAR($B$2:$B$4001)&amp;"-"&amp;$A$2:$A$4001,0,-1)),I1569))</f>
        <v>8</v>
      </c>
      <c r="K1569" cm="1">
        <f t="array" ref="K1569">IF(OR(AND(J1569=9,K$1&gt;YEAR($N1569))),9,_xlfn.IFNA(INDEX($D$2:$D$4001,_xlfn.XMATCH(K$1&amp;"-"&amp;$F1569,YEAR($B$2:$B$4001)&amp;"-"&amp;$A$2:$A$4001,0,-1)),J1569))</f>
        <v>8</v>
      </c>
      <c r="L1569" cm="1">
        <f t="array" ref="L1569">IF(OR(AND(K1569=9,L$1&gt;YEAR($N1569))),9,_xlfn.IFNA(INDEX($D$2:$D$4001,_xlfn.XMATCH(L$1&amp;"-"&amp;$F1569,YEAR($B$2:$B$4001)&amp;"-"&amp;$A$2:$A$4001,0,-1)),K1569))</f>
        <v>8</v>
      </c>
      <c r="M1569" cm="1">
        <f t="array" ref="M1569">IF(OR(AND(L1569=9,M$1&gt;YEAR($N1569))),9,_xlfn.IFNA(INDEX($D$2:$D$4001,_xlfn.XMATCH(M$1&amp;"-"&amp;$F1569,YEAR($B$2:$B$4001)&amp;"-"&amp;$A$2:$A$4001,0,-1)),L1569))</f>
        <v>8</v>
      </c>
      <c r="N1569" s="1">
        <f t="shared" si="24"/>
        <v>36524</v>
      </c>
    </row>
    <row r="1570" spans="1:14" x14ac:dyDescent="0.35">
      <c r="A1570">
        <v>741</v>
      </c>
      <c r="B1570" s="2">
        <v>36667</v>
      </c>
      <c r="C1570">
        <v>0</v>
      </c>
      <c r="D1570">
        <v>0</v>
      </c>
      <c r="F1570">
        <v>1569</v>
      </c>
      <c r="G1570" cm="1">
        <f t="array" ref="G1570">_xlfn.IFNA(INDEX($D$2:$D$4001,_xlfn.XMATCH(G$1&amp;"-"&amp;$F1570,YEAR($B$2:$B$4001)&amp;"-"&amp;$A$2:$A$4001,0,-1)),9)</f>
        <v>3</v>
      </c>
      <c r="H1570" cm="1">
        <f t="array" ref="H1570">IF(OR(AND(G1570=9,H$1&gt;YEAR($N1570))),9,_xlfn.IFNA(INDEX($D$2:$D$4001,_xlfn.XMATCH(H$1&amp;"-"&amp;$F1570,YEAR($B$2:$B$4001)&amp;"-"&amp;$A$2:$A$4001,0,-1)),G1570))</f>
        <v>3</v>
      </c>
      <c r="I1570" cm="1">
        <f t="array" ref="I1570">IF(OR(AND(H1570=9,I$1&gt;YEAR($N1570))),9,_xlfn.IFNA(INDEX($D$2:$D$4001,_xlfn.XMATCH(I$1&amp;"-"&amp;$F1570,YEAR($B$2:$B$4001)&amp;"-"&amp;$A$2:$A$4001,0,-1)),H1570))</f>
        <v>3</v>
      </c>
      <c r="J1570" cm="1">
        <f t="array" ref="J1570">IF(OR(AND(I1570=9,J$1&gt;YEAR($N1570))),9,_xlfn.IFNA(INDEX($D$2:$D$4001,_xlfn.XMATCH(J$1&amp;"-"&amp;$F1570,YEAR($B$2:$B$4001)&amp;"-"&amp;$A$2:$A$4001,0,-1)),I1570))</f>
        <v>3</v>
      </c>
      <c r="K1570" cm="1">
        <f t="array" ref="K1570">IF(OR(AND(J1570=9,K$1&gt;YEAR($N1570))),9,_xlfn.IFNA(INDEX($D$2:$D$4001,_xlfn.XMATCH(K$1&amp;"-"&amp;$F1570,YEAR($B$2:$B$4001)&amp;"-"&amp;$A$2:$A$4001,0,-1)),J1570))</f>
        <v>3</v>
      </c>
      <c r="L1570" cm="1">
        <f t="array" ref="L1570">IF(OR(AND(K1570=9,L$1&gt;YEAR($N1570))),9,_xlfn.IFNA(INDEX($D$2:$D$4001,_xlfn.XMATCH(L$1&amp;"-"&amp;$F1570,YEAR($B$2:$B$4001)&amp;"-"&amp;$A$2:$A$4001,0,-1)),K1570))</f>
        <v>3</v>
      </c>
      <c r="M1570" cm="1">
        <f t="array" ref="M1570">IF(OR(AND(L1570=9,M$1&gt;YEAR($N1570))),9,_xlfn.IFNA(INDEX($D$2:$D$4001,_xlfn.XMATCH(M$1&amp;"-"&amp;$F1570,YEAR($B$2:$B$4001)&amp;"-"&amp;$A$2:$A$4001,0,-1)),L1570))</f>
        <v>3</v>
      </c>
      <c r="N1570" s="1">
        <f t="shared" si="24"/>
        <v>36306</v>
      </c>
    </row>
    <row r="1571" spans="1:14" x14ac:dyDescent="0.35">
      <c r="A1571">
        <v>741</v>
      </c>
      <c r="B1571" s="2">
        <v>36676</v>
      </c>
      <c r="C1571">
        <v>7</v>
      </c>
      <c r="D1571">
        <v>7</v>
      </c>
      <c r="F1571">
        <v>1570</v>
      </c>
      <c r="G1571" cm="1">
        <f t="array" ref="G1571">_xlfn.IFNA(INDEX($D$2:$D$4001,_xlfn.XMATCH(G$1&amp;"-"&amp;$F1571,YEAR($B$2:$B$4001)&amp;"-"&amp;$A$2:$A$4001,0,-1)),9)</f>
        <v>9</v>
      </c>
      <c r="H1571" cm="1">
        <f t="array" ref="H1571">IF(OR(AND(G1571=9,H$1&gt;YEAR($N1571))),9,_xlfn.IFNA(INDEX($D$2:$D$4001,_xlfn.XMATCH(H$1&amp;"-"&amp;$F1571,YEAR($B$2:$B$4001)&amp;"-"&amp;$A$2:$A$4001,0,-1)),G1571))</f>
        <v>9</v>
      </c>
      <c r="I1571" cm="1">
        <f t="array" ref="I1571">IF(OR(AND(H1571=9,I$1&gt;YEAR($N1571))),9,_xlfn.IFNA(INDEX($D$2:$D$4001,_xlfn.XMATCH(I$1&amp;"-"&amp;$F1571,YEAR($B$2:$B$4001)&amp;"-"&amp;$A$2:$A$4001,0,-1)),H1571))</f>
        <v>3</v>
      </c>
      <c r="J1571" cm="1">
        <f t="array" ref="J1571">IF(OR(AND(I1571=9,J$1&gt;YEAR($N1571))),9,_xlfn.IFNA(INDEX($D$2:$D$4001,_xlfn.XMATCH(J$1&amp;"-"&amp;$F1571,YEAR($B$2:$B$4001)&amp;"-"&amp;$A$2:$A$4001,0,-1)),I1571))</f>
        <v>3</v>
      </c>
      <c r="K1571" cm="1">
        <f t="array" ref="K1571">IF(OR(AND(J1571=9,K$1&gt;YEAR($N1571))),9,_xlfn.IFNA(INDEX($D$2:$D$4001,_xlfn.XMATCH(K$1&amp;"-"&amp;$F1571,YEAR($B$2:$B$4001)&amp;"-"&amp;$A$2:$A$4001,0,-1)),J1571))</f>
        <v>3</v>
      </c>
      <c r="L1571" cm="1">
        <f t="array" ref="L1571">IF(OR(AND(K1571=9,L$1&gt;YEAR($N1571))),9,_xlfn.IFNA(INDEX($D$2:$D$4001,_xlfn.XMATCH(L$1&amp;"-"&amp;$F1571,YEAR($B$2:$B$4001)&amp;"-"&amp;$A$2:$A$4001,0,-1)),K1571))</f>
        <v>3</v>
      </c>
      <c r="M1571" cm="1">
        <f t="array" ref="M1571">IF(OR(AND(L1571=9,M$1&gt;YEAR($N1571))),9,_xlfn.IFNA(INDEX($D$2:$D$4001,_xlfn.XMATCH(M$1&amp;"-"&amp;$F1571,YEAR($B$2:$B$4001)&amp;"-"&amp;$A$2:$A$4001,0,-1)),L1571))</f>
        <v>3</v>
      </c>
      <c r="N1571" s="1">
        <f t="shared" si="24"/>
        <v>37255</v>
      </c>
    </row>
    <row r="1572" spans="1:14" x14ac:dyDescent="0.35">
      <c r="A1572">
        <v>741</v>
      </c>
      <c r="B1572" s="2">
        <v>36890</v>
      </c>
      <c r="C1572">
        <v>6</v>
      </c>
      <c r="D1572">
        <v>6</v>
      </c>
      <c r="F1572">
        <v>1571</v>
      </c>
      <c r="G1572" cm="1">
        <f t="array" ref="G1572">_xlfn.IFNA(INDEX($D$2:$D$4001,_xlfn.XMATCH(G$1&amp;"-"&amp;$F1572,YEAR($B$2:$B$4001)&amp;"-"&amp;$A$2:$A$4001,0,-1)),9)</f>
        <v>3</v>
      </c>
      <c r="H1572" cm="1">
        <f t="array" ref="H1572">IF(OR(AND(G1572=9,H$1&gt;YEAR($N1572))),9,_xlfn.IFNA(INDEX($D$2:$D$4001,_xlfn.XMATCH(H$1&amp;"-"&amp;$F1572,YEAR($B$2:$B$4001)&amp;"-"&amp;$A$2:$A$4001,0,-1)),G1572))</f>
        <v>3</v>
      </c>
      <c r="I1572" cm="1">
        <f t="array" ref="I1572">IF(OR(AND(H1572=9,I$1&gt;YEAR($N1572))),9,_xlfn.IFNA(INDEX($D$2:$D$4001,_xlfn.XMATCH(I$1&amp;"-"&amp;$F1572,YEAR($B$2:$B$4001)&amp;"-"&amp;$A$2:$A$4001,0,-1)),H1572))</f>
        <v>3</v>
      </c>
      <c r="J1572" cm="1">
        <f t="array" ref="J1572">IF(OR(AND(I1572=9,J$1&gt;YEAR($N1572))),9,_xlfn.IFNA(INDEX($D$2:$D$4001,_xlfn.XMATCH(J$1&amp;"-"&amp;$F1572,YEAR($B$2:$B$4001)&amp;"-"&amp;$A$2:$A$4001,0,-1)),I1572))</f>
        <v>3</v>
      </c>
      <c r="K1572" cm="1">
        <f t="array" ref="K1572">IF(OR(AND(J1572=9,K$1&gt;YEAR($N1572))),9,_xlfn.IFNA(INDEX($D$2:$D$4001,_xlfn.XMATCH(K$1&amp;"-"&amp;$F1572,YEAR($B$2:$B$4001)&amp;"-"&amp;$A$2:$A$4001,0,-1)),J1572))</f>
        <v>3</v>
      </c>
      <c r="L1572" cm="1">
        <f t="array" ref="L1572">IF(OR(AND(K1572=9,L$1&gt;YEAR($N1572))),9,_xlfn.IFNA(INDEX($D$2:$D$4001,_xlfn.XMATCH(L$1&amp;"-"&amp;$F1572,YEAR($B$2:$B$4001)&amp;"-"&amp;$A$2:$A$4001,0,-1)),K1572))</f>
        <v>3</v>
      </c>
      <c r="M1572" cm="1">
        <f t="array" ref="M1572">IF(OR(AND(L1572=9,M$1&gt;YEAR($N1572))),9,_xlfn.IFNA(INDEX($D$2:$D$4001,_xlfn.XMATCH(M$1&amp;"-"&amp;$F1572,YEAR($B$2:$B$4001)&amp;"-"&amp;$A$2:$A$4001,0,-1)),L1572))</f>
        <v>3</v>
      </c>
      <c r="N1572" s="1">
        <f t="shared" si="24"/>
        <v>36433</v>
      </c>
    </row>
    <row r="1573" spans="1:14" x14ac:dyDescent="0.35">
      <c r="A1573">
        <v>741</v>
      </c>
      <c r="B1573" s="2">
        <v>37620</v>
      </c>
      <c r="C1573">
        <v>6</v>
      </c>
      <c r="D1573">
        <v>6</v>
      </c>
      <c r="F1573">
        <v>1572</v>
      </c>
      <c r="G1573" cm="1">
        <f t="array" ref="G1573">_xlfn.IFNA(INDEX($D$2:$D$4001,_xlfn.XMATCH(G$1&amp;"-"&amp;$F1573,YEAR($B$2:$B$4001)&amp;"-"&amp;$A$2:$A$4001,0,-1)),9)</f>
        <v>9</v>
      </c>
      <c r="H1573" cm="1">
        <f t="array" ref="H1573">IF(OR(AND(G1573=9,H$1&gt;YEAR($N1573))),9,_xlfn.IFNA(INDEX($D$2:$D$4001,_xlfn.XMATCH(H$1&amp;"-"&amp;$F1573,YEAR($B$2:$B$4001)&amp;"-"&amp;$A$2:$A$4001,0,-1)),G1573))</f>
        <v>9</v>
      </c>
      <c r="I1573" cm="1">
        <f t="array" ref="I1573">IF(OR(AND(H1573=9,I$1&gt;YEAR($N1573))),9,_xlfn.IFNA(INDEX($D$2:$D$4001,_xlfn.XMATCH(I$1&amp;"-"&amp;$F1573,YEAR($B$2:$B$4001)&amp;"-"&amp;$A$2:$A$4001,0,-1)),H1573))</f>
        <v>9</v>
      </c>
      <c r="J1573" cm="1">
        <f t="array" ref="J1573">IF(OR(AND(I1573=9,J$1&gt;YEAR($N1573))),9,_xlfn.IFNA(INDEX($D$2:$D$4001,_xlfn.XMATCH(J$1&amp;"-"&amp;$F1573,YEAR($B$2:$B$4001)&amp;"-"&amp;$A$2:$A$4001,0,-1)),I1573))</f>
        <v>4</v>
      </c>
      <c r="K1573" cm="1">
        <f t="array" ref="K1573">IF(OR(AND(J1573=9,K$1&gt;YEAR($N1573))),9,_xlfn.IFNA(INDEX($D$2:$D$4001,_xlfn.XMATCH(K$1&amp;"-"&amp;$F1573,YEAR($B$2:$B$4001)&amp;"-"&amp;$A$2:$A$4001,0,-1)),J1573))</f>
        <v>0</v>
      </c>
      <c r="L1573" cm="1">
        <f t="array" ref="L1573">IF(OR(AND(K1573=9,L$1&gt;YEAR($N1573))),9,_xlfn.IFNA(INDEX($D$2:$D$4001,_xlfn.XMATCH(L$1&amp;"-"&amp;$F1573,YEAR($B$2:$B$4001)&amp;"-"&amp;$A$2:$A$4001,0,-1)),K1573))</f>
        <v>0</v>
      </c>
      <c r="M1573" cm="1">
        <f t="array" ref="M1573">IF(OR(AND(L1573=9,M$1&gt;YEAR($N1573))),9,_xlfn.IFNA(INDEX($D$2:$D$4001,_xlfn.XMATCH(M$1&amp;"-"&amp;$F1573,YEAR($B$2:$B$4001)&amp;"-"&amp;$A$2:$A$4001,0,-1)),L1573))</f>
        <v>0</v>
      </c>
      <c r="N1573" s="1">
        <f t="shared" si="24"/>
        <v>37400</v>
      </c>
    </row>
    <row r="1574" spans="1:14" x14ac:dyDescent="0.35">
      <c r="A1574">
        <v>741</v>
      </c>
      <c r="B1574" s="2">
        <v>37762</v>
      </c>
      <c r="C1574">
        <v>7</v>
      </c>
      <c r="D1574">
        <v>7</v>
      </c>
      <c r="F1574">
        <v>1573</v>
      </c>
      <c r="G1574" cm="1">
        <f t="array" ref="G1574">_xlfn.IFNA(INDEX($D$2:$D$4001,_xlfn.XMATCH(G$1&amp;"-"&amp;$F1574,YEAR($B$2:$B$4001)&amp;"-"&amp;$A$2:$A$4001,0,-1)),9)</f>
        <v>9</v>
      </c>
      <c r="H1574" cm="1">
        <f t="array" ref="H1574">IF(OR(AND(G1574=9,H$1&gt;YEAR($N1574))),9,_xlfn.IFNA(INDEX($D$2:$D$4001,_xlfn.XMATCH(H$1&amp;"-"&amp;$F1574,YEAR($B$2:$B$4001)&amp;"-"&amp;$A$2:$A$4001,0,-1)),G1574))</f>
        <v>9</v>
      </c>
      <c r="I1574" cm="1">
        <f t="array" ref="I1574">IF(OR(AND(H1574=9,I$1&gt;YEAR($N1574))),9,_xlfn.IFNA(INDEX($D$2:$D$4001,_xlfn.XMATCH(I$1&amp;"-"&amp;$F1574,YEAR($B$2:$B$4001)&amp;"-"&amp;$A$2:$A$4001,0,-1)),H1574))</f>
        <v>9</v>
      </c>
      <c r="J1574" cm="1">
        <f t="array" ref="J1574">IF(OR(AND(I1574=9,J$1&gt;YEAR($N1574))),9,_xlfn.IFNA(INDEX($D$2:$D$4001,_xlfn.XMATCH(J$1&amp;"-"&amp;$F1574,YEAR($B$2:$B$4001)&amp;"-"&amp;$A$2:$A$4001,0,-1)),I1574))</f>
        <v>4</v>
      </c>
      <c r="K1574" cm="1">
        <f t="array" ref="K1574">IF(OR(AND(J1574=9,K$1&gt;YEAR($N1574))),9,_xlfn.IFNA(INDEX($D$2:$D$4001,_xlfn.XMATCH(K$1&amp;"-"&amp;$F1574,YEAR($B$2:$B$4001)&amp;"-"&amp;$A$2:$A$4001,0,-1)),J1574))</f>
        <v>4</v>
      </c>
      <c r="L1574" cm="1">
        <f t="array" ref="L1574">IF(OR(AND(K1574=9,L$1&gt;YEAR($N1574))),9,_xlfn.IFNA(INDEX($D$2:$D$4001,_xlfn.XMATCH(L$1&amp;"-"&amp;$F1574,YEAR($B$2:$B$4001)&amp;"-"&amp;$A$2:$A$4001,0,-1)),K1574))</f>
        <v>4</v>
      </c>
      <c r="M1574" cm="1">
        <f t="array" ref="M1574">IF(OR(AND(L1574=9,M$1&gt;YEAR($N1574))),9,_xlfn.IFNA(INDEX($D$2:$D$4001,_xlfn.XMATCH(M$1&amp;"-"&amp;$F1574,YEAR($B$2:$B$4001)&amp;"-"&amp;$A$2:$A$4001,0,-1)),L1574))</f>
        <v>4</v>
      </c>
      <c r="N1574" s="1">
        <f t="shared" si="24"/>
        <v>37467</v>
      </c>
    </row>
    <row r="1575" spans="1:14" x14ac:dyDescent="0.35">
      <c r="A1575">
        <v>741</v>
      </c>
      <c r="B1575" s="2">
        <v>37985</v>
      </c>
      <c r="C1575">
        <v>0</v>
      </c>
      <c r="D1575">
        <v>0</v>
      </c>
      <c r="F1575">
        <v>1574</v>
      </c>
      <c r="G1575" cm="1">
        <f t="array" ref="G1575">_xlfn.IFNA(INDEX($D$2:$D$4001,_xlfn.XMATCH(G$1&amp;"-"&amp;$F1575,YEAR($B$2:$B$4001)&amp;"-"&amp;$A$2:$A$4001,0,-1)),9)</f>
        <v>9</v>
      </c>
      <c r="H1575" cm="1">
        <f t="array" ref="H1575">IF(OR(AND(G1575=9,H$1&gt;YEAR($N1575))),9,_xlfn.IFNA(INDEX($D$2:$D$4001,_xlfn.XMATCH(H$1&amp;"-"&amp;$F1575,YEAR($B$2:$B$4001)&amp;"-"&amp;$A$2:$A$4001,0,-1)),G1575))</f>
        <v>9</v>
      </c>
      <c r="I1575" cm="1">
        <f t="array" ref="I1575">IF(OR(AND(H1575=9,I$1&gt;YEAR($N1575))),9,_xlfn.IFNA(INDEX($D$2:$D$4001,_xlfn.XMATCH(I$1&amp;"-"&amp;$F1575,YEAR($B$2:$B$4001)&amp;"-"&amp;$A$2:$A$4001,0,-1)),H1575))</f>
        <v>3</v>
      </c>
      <c r="J1575" cm="1">
        <f t="array" ref="J1575">IF(OR(AND(I1575=9,J$1&gt;YEAR($N1575))),9,_xlfn.IFNA(INDEX($D$2:$D$4001,_xlfn.XMATCH(J$1&amp;"-"&amp;$F1575,YEAR($B$2:$B$4001)&amp;"-"&amp;$A$2:$A$4001,0,-1)),I1575))</f>
        <v>4</v>
      </c>
      <c r="K1575" cm="1">
        <f t="array" ref="K1575">IF(OR(AND(J1575=9,K$1&gt;YEAR($N1575))),9,_xlfn.IFNA(INDEX($D$2:$D$4001,_xlfn.XMATCH(K$1&amp;"-"&amp;$F1575,YEAR($B$2:$B$4001)&amp;"-"&amp;$A$2:$A$4001,0,-1)),J1575))</f>
        <v>4</v>
      </c>
      <c r="L1575" cm="1">
        <f t="array" ref="L1575">IF(OR(AND(K1575=9,L$1&gt;YEAR($N1575))),9,_xlfn.IFNA(INDEX($D$2:$D$4001,_xlfn.XMATCH(L$1&amp;"-"&amp;$F1575,YEAR($B$2:$B$4001)&amp;"-"&amp;$A$2:$A$4001,0,-1)),K1575))</f>
        <v>4</v>
      </c>
      <c r="M1575" cm="1">
        <f t="array" ref="M1575">IF(OR(AND(L1575=9,M$1&gt;YEAR($N1575))),9,_xlfn.IFNA(INDEX($D$2:$D$4001,_xlfn.XMATCH(M$1&amp;"-"&amp;$F1575,YEAR($B$2:$B$4001)&amp;"-"&amp;$A$2:$A$4001,0,-1)),L1575))</f>
        <v>4</v>
      </c>
      <c r="N1575" s="1">
        <f t="shared" si="24"/>
        <v>37255</v>
      </c>
    </row>
    <row r="1576" spans="1:14" x14ac:dyDescent="0.35">
      <c r="A1576">
        <v>742</v>
      </c>
      <c r="B1576" s="2">
        <v>37762</v>
      </c>
      <c r="C1576">
        <v>6</v>
      </c>
      <c r="D1576">
        <v>6</v>
      </c>
      <c r="F1576">
        <v>1575</v>
      </c>
      <c r="G1576" cm="1">
        <f t="array" ref="G1576">_xlfn.IFNA(INDEX($D$2:$D$4001,_xlfn.XMATCH(G$1&amp;"-"&amp;$F1576,YEAR($B$2:$B$4001)&amp;"-"&amp;$A$2:$A$4001,0,-1)),9)</f>
        <v>7</v>
      </c>
      <c r="H1576" cm="1">
        <f t="array" ref="H1576">IF(OR(AND(G1576=9,H$1&gt;YEAR($N1576))),9,_xlfn.IFNA(INDEX($D$2:$D$4001,_xlfn.XMATCH(H$1&amp;"-"&amp;$F1576,YEAR($B$2:$B$4001)&amp;"-"&amp;$A$2:$A$4001,0,-1)),G1576))</f>
        <v>7</v>
      </c>
      <c r="I1576" cm="1">
        <f t="array" ref="I1576">IF(OR(AND(H1576=9,I$1&gt;YEAR($N1576))),9,_xlfn.IFNA(INDEX($D$2:$D$4001,_xlfn.XMATCH(I$1&amp;"-"&amp;$F1576,YEAR($B$2:$B$4001)&amp;"-"&amp;$A$2:$A$4001,0,-1)),H1576))</f>
        <v>6</v>
      </c>
      <c r="J1576" cm="1">
        <f t="array" ref="J1576">IF(OR(AND(I1576=9,J$1&gt;YEAR($N1576))),9,_xlfn.IFNA(INDEX($D$2:$D$4001,_xlfn.XMATCH(J$1&amp;"-"&amp;$F1576,YEAR($B$2:$B$4001)&amp;"-"&amp;$A$2:$A$4001,0,-1)),I1576))</f>
        <v>6</v>
      </c>
      <c r="K1576" cm="1">
        <f t="array" ref="K1576">IF(OR(AND(J1576=9,K$1&gt;YEAR($N1576))),9,_xlfn.IFNA(INDEX($D$2:$D$4001,_xlfn.XMATCH(K$1&amp;"-"&amp;$F1576,YEAR($B$2:$B$4001)&amp;"-"&amp;$A$2:$A$4001,0,-1)),J1576))</f>
        <v>5</v>
      </c>
      <c r="L1576" cm="1">
        <f t="array" ref="L1576">IF(OR(AND(K1576=9,L$1&gt;YEAR($N1576))),9,_xlfn.IFNA(INDEX($D$2:$D$4001,_xlfn.XMATCH(L$1&amp;"-"&amp;$F1576,YEAR($B$2:$B$4001)&amp;"-"&amp;$A$2:$A$4001,0,-1)),K1576))</f>
        <v>5</v>
      </c>
      <c r="M1576" cm="1">
        <f t="array" ref="M1576">IF(OR(AND(L1576=9,M$1&gt;YEAR($N1576))),9,_xlfn.IFNA(INDEX($D$2:$D$4001,_xlfn.XMATCH(M$1&amp;"-"&amp;$F1576,YEAR($B$2:$B$4001)&amp;"-"&amp;$A$2:$A$4001,0,-1)),L1576))</f>
        <v>5</v>
      </c>
      <c r="N1576" s="1">
        <f t="shared" si="24"/>
        <v>36402</v>
      </c>
    </row>
    <row r="1577" spans="1:14" x14ac:dyDescent="0.35">
      <c r="A1577">
        <v>742</v>
      </c>
      <c r="B1577" s="2">
        <v>37985</v>
      </c>
      <c r="C1577">
        <v>6</v>
      </c>
      <c r="D1577">
        <v>6</v>
      </c>
      <c r="F1577">
        <v>1576</v>
      </c>
      <c r="G1577" cm="1">
        <f t="array" ref="G1577">_xlfn.IFNA(INDEX($D$2:$D$4001,_xlfn.XMATCH(G$1&amp;"-"&amp;$F1577,YEAR($B$2:$B$4001)&amp;"-"&amp;$A$2:$A$4001,0,-1)),9)</f>
        <v>9</v>
      </c>
      <c r="H1577" cm="1">
        <f t="array" ref="H1577">IF(OR(AND(G1577=9,H$1&gt;YEAR($N1577))),9,_xlfn.IFNA(INDEX($D$2:$D$4001,_xlfn.XMATCH(H$1&amp;"-"&amp;$F1577,YEAR($B$2:$B$4001)&amp;"-"&amp;$A$2:$A$4001,0,-1)),G1577))</f>
        <v>9</v>
      </c>
      <c r="I1577" cm="1">
        <f t="array" ref="I1577">IF(OR(AND(H1577=9,I$1&gt;YEAR($N1577))),9,_xlfn.IFNA(INDEX($D$2:$D$4001,_xlfn.XMATCH(I$1&amp;"-"&amp;$F1577,YEAR($B$2:$B$4001)&amp;"-"&amp;$A$2:$A$4001,0,-1)),H1577))</f>
        <v>4</v>
      </c>
      <c r="J1577" cm="1">
        <f t="array" ref="J1577">IF(OR(AND(I1577=9,J$1&gt;YEAR($N1577))),9,_xlfn.IFNA(INDEX($D$2:$D$4001,_xlfn.XMATCH(J$1&amp;"-"&amp;$F1577,YEAR($B$2:$B$4001)&amp;"-"&amp;$A$2:$A$4001,0,-1)),I1577))</f>
        <v>4</v>
      </c>
      <c r="K1577" cm="1">
        <f t="array" ref="K1577">IF(OR(AND(J1577=9,K$1&gt;YEAR($N1577))),9,_xlfn.IFNA(INDEX($D$2:$D$4001,_xlfn.XMATCH(K$1&amp;"-"&amp;$F1577,YEAR($B$2:$B$4001)&amp;"-"&amp;$A$2:$A$4001,0,-1)),J1577))</f>
        <v>4</v>
      </c>
      <c r="L1577" cm="1">
        <f t="array" ref="L1577">IF(OR(AND(K1577=9,L$1&gt;YEAR($N1577))),9,_xlfn.IFNA(INDEX($D$2:$D$4001,_xlfn.XMATCH(L$1&amp;"-"&amp;$F1577,YEAR($B$2:$B$4001)&amp;"-"&amp;$A$2:$A$4001,0,-1)),K1577))</f>
        <v>5</v>
      </c>
      <c r="M1577" cm="1">
        <f t="array" ref="M1577">IF(OR(AND(L1577=9,M$1&gt;YEAR($N1577))),9,_xlfn.IFNA(INDEX($D$2:$D$4001,_xlfn.XMATCH(M$1&amp;"-"&amp;$F1577,YEAR($B$2:$B$4001)&amp;"-"&amp;$A$2:$A$4001,0,-1)),L1577))</f>
        <v>5</v>
      </c>
      <c r="N1577" s="1">
        <f t="shared" si="24"/>
        <v>37032</v>
      </c>
    </row>
    <row r="1578" spans="1:14" x14ac:dyDescent="0.35">
      <c r="A1578">
        <v>743</v>
      </c>
      <c r="B1578" s="2">
        <v>37190</v>
      </c>
      <c r="C1578">
        <v>3</v>
      </c>
      <c r="D1578">
        <v>3</v>
      </c>
      <c r="F1578">
        <v>1577</v>
      </c>
      <c r="G1578" cm="1">
        <f t="array" ref="G1578">_xlfn.IFNA(INDEX($D$2:$D$4001,_xlfn.XMATCH(G$1&amp;"-"&amp;$F1578,YEAR($B$2:$B$4001)&amp;"-"&amp;$A$2:$A$4001,0,-1)),9)</f>
        <v>0</v>
      </c>
      <c r="H1578" cm="1">
        <f t="array" ref="H1578">IF(OR(AND(G1578=9,H$1&gt;YEAR($N1578))),9,_xlfn.IFNA(INDEX($D$2:$D$4001,_xlfn.XMATCH(H$1&amp;"-"&amp;$F1578,YEAR($B$2:$B$4001)&amp;"-"&amp;$A$2:$A$4001,0,-1)),G1578))</f>
        <v>0</v>
      </c>
      <c r="I1578" cm="1">
        <f t="array" ref="I1578">IF(OR(AND(H1578=9,I$1&gt;YEAR($N1578))),9,_xlfn.IFNA(INDEX($D$2:$D$4001,_xlfn.XMATCH(I$1&amp;"-"&amp;$F1578,YEAR($B$2:$B$4001)&amp;"-"&amp;$A$2:$A$4001,0,-1)),H1578))</f>
        <v>0</v>
      </c>
      <c r="J1578" cm="1">
        <f t="array" ref="J1578">IF(OR(AND(I1578=9,J$1&gt;YEAR($N1578))),9,_xlfn.IFNA(INDEX($D$2:$D$4001,_xlfn.XMATCH(J$1&amp;"-"&amp;$F1578,YEAR($B$2:$B$4001)&amp;"-"&amp;$A$2:$A$4001,0,-1)),I1578))</f>
        <v>0</v>
      </c>
      <c r="K1578" cm="1">
        <f t="array" ref="K1578">IF(OR(AND(J1578=9,K$1&gt;YEAR($N1578))),9,_xlfn.IFNA(INDEX($D$2:$D$4001,_xlfn.XMATCH(K$1&amp;"-"&amp;$F1578,YEAR($B$2:$B$4001)&amp;"-"&amp;$A$2:$A$4001,0,-1)),J1578))</f>
        <v>0</v>
      </c>
      <c r="L1578" cm="1">
        <f t="array" ref="L1578">IF(OR(AND(K1578=9,L$1&gt;YEAR($N1578))),9,_xlfn.IFNA(INDEX($D$2:$D$4001,_xlfn.XMATCH(L$1&amp;"-"&amp;$F1578,YEAR($B$2:$B$4001)&amp;"-"&amp;$A$2:$A$4001,0,-1)),K1578))</f>
        <v>0</v>
      </c>
      <c r="M1578" cm="1">
        <f t="array" ref="M1578">IF(OR(AND(L1578=9,M$1&gt;YEAR($N1578))),9,_xlfn.IFNA(INDEX($D$2:$D$4001,_xlfn.XMATCH(M$1&amp;"-"&amp;$F1578,YEAR($B$2:$B$4001)&amp;"-"&amp;$A$2:$A$4001,0,-1)),L1578))</f>
        <v>0</v>
      </c>
      <c r="N1578" s="1">
        <f t="shared" si="24"/>
        <v>36485</v>
      </c>
    </row>
    <row r="1579" spans="1:14" x14ac:dyDescent="0.35">
      <c r="A1579">
        <v>743</v>
      </c>
      <c r="B1579" s="2">
        <v>37467</v>
      </c>
      <c r="C1579">
        <v>4</v>
      </c>
      <c r="D1579">
        <v>4</v>
      </c>
      <c r="F1579">
        <v>1578</v>
      </c>
      <c r="G1579" cm="1">
        <f t="array" ref="G1579">_xlfn.IFNA(INDEX($D$2:$D$4001,_xlfn.XMATCH(G$1&amp;"-"&amp;$F1579,YEAR($B$2:$B$4001)&amp;"-"&amp;$A$2:$A$4001,0,-1)),9)</f>
        <v>9</v>
      </c>
      <c r="H1579" cm="1">
        <f t="array" ref="H1579">IF(OR(AND(G1579=9,H$1&gt;YEAR($N1579))),9,_xlfn.IFNA(INDEX($D$2:$D$4001,_xlfn.XMATCH(H$1&amp;"-"&amp;$F1579,YEAR($B$2:$B$4001)&amp;"-"&amp;$A$2:$A$4001,0,-1)),G1579))</f>
        <v>2</v>
      </c>
      <c r="I1579" cm="1">
        <f t="array" ref="I1579">IF(OR(AND(H1579=9,I$1&gt;YEAR($N1579))),9,_xlfn.IFNA(INDEX($D$2:$D$4001,_xlfn.XMATCH(I$1&amp;"-"&amp;$F1579,YEAR($B$2:$B$4001)&amp;"-"&amp;$A$2:$A$4001,0,-1)),H1579))</f>
        <v>2</v>
      </c>
      <c r="J1579" cm="1">
        <f t="array" ref="J1579">IF(OR(AND(I1579=9,J$1&gt;YEAR($N1579))),9,_xlfn.IFNA(INDEX($D$2:$D$4001,_xlfn.XMATCH(J$1&amp;"-"&amp;$F1579,YEAR($B$2:$B$4001)&amp;"-"&amp;$A$2:$A$4001,0,-1)),I1579))</f>
        <v>2</v>
      </c>
      <c r="K1579" cm="1">
        <f t="array" ref="K1579">IF(OR(AND(J1579=9,K$1&gt;YEAR($N1579))),9,_xlfn.IFNA(INDEX($D$2:$D$4001,_xlfn.XMATCH(K$1&amp;"-"&amp;$F1579,YEAR($B$2:$B$4001)&amp;"-"&amp;$A$2:$A$4001,0,-1)),J1579))</f>
        <v>2</v>
      </c>
      <c r="L1579" cm="1">
        <f t="array" ref="L1579">IF(OR(AND(K1579=9,L$1&gt;YEAR($N1579))),9,_xlfn.IFNA(INDEX($D$2:$D$4001,_xlfn.XMATCH(L$1&amp;"-"&amp;$F1579,YEAR($B$2:$B$4001)&amp;"-"&amp;$A$2:$A$4001,0,-1)),K1579))</f>
        <v>2</v>
      </c>
      <c r="M1579" cm="1">
        <f t="array" ref="M1579">IF(OR(AND(L1579=9,M$1&gt;YEAR($N1579))),9,_xlfn.IFNA(INDEX($D$2:$D$4001,_xlfn.XMATCH(M$1&amp;"-"&amp;$F1579,YEAR($B$2:$B$4001)&amp;"-"&amp;$A$2:$A$4001,0,-1)),L1579))</f>
        <v>2</v>
      </c>
      <c r="N1579" s="1">
        <f t="shared" si="24"/>
        <v>36667</v>
      </c>
    </row>
    <row r="1580" spans="1:14" x14ac:dyDescent="0.35">
      <c r="A1580">
        <v>743</v>
      </c>
      <c r="B1580" s="2">
        <v>37985</v>
      </c>
      <c r="C1580">
        <v>4</v>
      </c>
      <c r="D1580">
        <v>4</v>
      </c>
      <c r="F1580">
        <v>1579</v>
      </c>
      <c r="G1580" cm="1">
        <f t="array" ref="G1580">_xlfn.IFNA(INDEX($D$2:$D$4001,_xlfn.XMATCH(G$1&amp;"-"&amp;$F1580,YEAR($B$2:$B$4001)&amp;"-"&amp;$A$2:$A$4001,0,-1)),9)</f>
        <v>9</v>
      </c>
      <c r="H1580" cm="1">
        <f t="array" ref="H1580">IF(OR(AND(G1580=9,H$1&gt;YEAR($N1580))),9,_xlfn.IFNA(INDEX($D$2:$D$4001,_xlfn.XMATCH(H$1&amp;"-"&amp;$F1580,YEAR($B$2:$B$4001)&amp;"-"&amp;$A$2:$A$4001,0,-1)),G1580))</f>
        <v>2</v>
      </c>
      <c r="I1580" cm="1">
        <f t="array" ref="I1580">IF(OR(AND(H1580=9,I$1&gt;YEAR($N1580))),9,_xlfn.IFNA(INDEX($D$2:$D$4001,_xlfn.XMATCH(I$1&amp;"-"&amp;$F1580,YEAR($B$2:$B$4001)&amp;"-"&amp;$A$2:$A$4001,0,-1)),H1580))</f>
        <v>2</v>
      </c>
      <c r="J1580" cm="1">
        <f t="array" ref="J1580">IF(OR(AND(I1580=9,J$1&gt;YEAR($N1580))),9,_xlfn.IFNA(INDEX($D$2:$D$4001,_xlfn.XMATCH(J$1&amp;"-"&amp;$F1580,YEAR($B$2:$B$4001)&amp;"-"&amp;$A$2:$A$4001,0,-1)),I1580))</f>
        <v>2</v>
      </c>
      <c r="K1580" cm="1">
        <f t="array" ref="K1580">IF(OR(AND(J1580=9,K$1&gt;YEAR($N1580))),9,_xlfn.IFNA(INDEX($D$2:$D$4001,_xlfn.XMATCH(K$1&amp;"-"&amp;$F1580,YEAR($B$2:$B$4001)&amp;"-"&amp;$A$2:$A$4001,0,-1)),J1580))</f>
        <v>2</v>
      </c>
      <c r="L1580" cm="1">
        <f t="array" ref="L1580">IF(OR(AND(K1580=9,L$1&gt;YEAR($N1580))),9,_xlfn.IFNA(INDEX($D$2:$D$4001,_xlfn.XMATCH(L$1&amp;"-"&amp;$F1580,YEAR($B$2:$B$4001)&amp;"-"&amp;$A$2:$A$4001,0,-1)),K1580))</f>
        <v>2</v>
      </c>
      <c r="M1580" cm="1">
        <f t="array" ref="M1580">IF(OR(AND(L1580=9,M$1&gt;YEAR($N1580))),9,_xlfn.IFNA(INDEX($D$2:$D$4001,_xlfn.XMATCH(M$1&amp;"-"&amp;$F1580,YEAR($B$2:$B$4001)&amp;"-"&amp;$A$2:$A$4001,0,-1)),L1580))</f>
        <v>2</v>
      </c>
      <c r="N1580" s="1">
        <f t="shared" si="24"/>
        <v>36669</v>
      </c>
    </row>
    <row r="1581" spans="1:14" x14ac:dyDescent="0.35">
      <c r="A1581">
        <v>743</v>
      </c>
      <c r="B1581" s="2">
        <v>38495</v>
      </c>
      <c r="C1581">
        <v>5</v>
      </c>
      <c r="D1581">
        <v>5</v>
      </c>
      <c r="F1581">
        <v>1580</v>
      </c>
      <c r="G1581" cm="1">
        <f t="array" ref="G1581">_xlfn.IFNA(INDEX($D$2:$D$4001,_xlfn.XMATCH(G$1&amp;"-"&amp;$F1581,YEAR($B$2:$B$4001)&amp;"-"&amp;$A$2:$A$4001,0,-1)),9)</f>
        <v>0</v>
      </c>
      <c r="H1581" cm="1">
        <f t="array" ref="H1581">IF(OR(AND(G1581=9,H$1&gt;YEAR($N1581))),9,_xlfn.IFNA(INDEX($D$2:$D$4001,_xlfn.XMATCH(H$1&amp;"-"&amp;$F1581,YEAR($B$2:$B$4001)&amp;"-"&amp;$A$2:$A$4001,0,-1)),G1581))</f>
        <v>0</v>
      </c>
      <c r="I1581" cm="1">
        <f t="array" ref="I1581">IF(OR(AND(H1581=9,I$1&gt;YEAR($N1581))),9,_xlfn.IFNA(INDEX($D$2:$D$4001,_xlfn.XMATCH(I$1&amp;"-"&amp;$F1581,YEAR($B$2:$B$4001)&amp;"-"&amp;$A$2:$A$4001,0,-1)),H1581))</f>
        <v>0</v>
      </c>
      <c r="J1581" cm="1">
        <f t="array" ref="J1581">IF(OR(AND(I1581=9,J$1&gt;YEAR($N1581))),9,_xlfn.IFNA(INDEX($D$2:$D$4001,_xlfn.XMATCH(J$1&amp;"-"&amp;$F1581,YEAR($B$2:$B$4001)&amp;"-"&amp;$A$2:$A$4001,0,-1)),I1581))</f>
        <v>0</v>
      </c>
      <c r="K1581" cm="1">
        <f t="array" ref="K1581">IF(OR(AND(J1581=9,K$1&gt;YEAR($N1581))),9,_xlfn.IFNA(INDEX($D$2:$D$4001,_xlfn.XMATCH(K$1&amp;"-"&amp;$F1581,YEAR($B$2:$B$4001)&amp;"-"&amp;$A$2:$A$4001,0,-1)),J1581))</f>
        <v>0</v>
      </c>
      <c r="L1581" cm="1">
        <f t="array" ref="L1581">IF(OR(AND(K1581=9,L$1&gt;YEAR($N1581))),9,_xlfn.IFNA(INDEX($D$2:$D$4001,_xlfn.XMATCH(L$1&amp;"-"&amp;$F1581,YEAR($B$2:$B$4001)&amp;"-"&amp;$A$2:$A$4001,0,-1)),K1581))</f>
        <v>0</v>
      </c>
      <c r="M1581" cm="1">
        <f t="array" ref="M1581">IF(OR(AND(L1581=9,M$1&gt;YEAR($N1581))),9,_xlfn.IFNA(INDEX($D$2:$D$4001,_xlfn.XMATCH(M$1&amp;"-"&amp;$F1581,YEAR($B$2:$B$4001)&amp;"-"&amp;$A$2:$A$4001,0,-1)),L1581))</f>
        <v>0</v>
      </c>
      <c r="N1581" s="1">
        <f t="shared" si="24"/>
        <v>36433</v>
      </c>
    </row>
    <row r="1582" spans="1:14" x14ac:dyDescent="0.35">
      <c r="A1582">
        <v>744</v>
      </c>
      <c r="B1582" s="2">
        <v>36524</v>
      </c>
      <c r="C1582">
        <v>6</v>
      </c>
      <c r="D1582">
        <v>6</v>
      </c>
      <c r="F1582">
        <v>1581</v>
      </c>
      <c r="G1582" cm="1">
        <f t="array" ref="G1582">_xlfn.IFNA(INDEX($D$2:$D$4001,_xlfn.XMATCH(G$1&amp;"-"&amp;$F1582,YEAR($B$2:$B$4001)&amp;"-"&amp;$A$2:$A$4001,0,-1)),9)</f>
        <v>9</v>
      </c>
      <c r="H1582" cm="1">
        <f t="array" ref="H1582">IF(OR(AND(G1582=9,H$1&gt;YEAR($N1582))),9,_xlfn.IFNA(INDEX($D$2:$D$4001,_xlfn.XMATCH(H$1&amp;"-"&amp;$F1582,YEAR($B$2:$B$4001)&amp;"-"&amp;$A$2:$A$4001,0,-1)),G1582))</f>
        <v>9</v>
      </c>
      <c r="I1582" cm="1">
        <f t="array" ref="I1582">IF(OR(AND(H1582=9,I$1&gt;YEAR($N1582))),9,_xlfn.IFNA(INDEX($D$2:$D$4001,_xlfn.XMATCH(I$1&amp;"-"&amp;$F1582,YEAR($B$2:$B$4001)&amp;"-"&amp;$A$2:$A$4001,0,-1)),H1582))</f>
        <v>3</v>
      </c>
      <c r="J1582" cm="1">
        <f t="array" ref="J1582">IF(OR(AND(I1582=9,J$1&gt;YEAR($N1582))),9,_xlfn.IFNA(INDEX($D$2:$D$4001,_xlfn.XMATCH(J$1&amp;"-"&amp;$F1582,YEAR($B$2:$B$4001)&amp;"-"&amp;$A$2:$A$4001,0,-1)),I1582))</f>
        <v>5</v>
      </c>
      <c r="K1582" cm="1">
        <f t="array" ref="K1582">IF(OR(AND(J1582=9,K$1&gt;YEAR($N1582))),9,_xlfn.IFNA(INDEX($D$2:$D$4001,_xlfn.XMATCH(K$1&amp;"-"&amp;$F1582,YEAR($B$2:$B$4001)&amp;"-"&amp;$A$2:$A$4001,0,-1)),J1582))</f>
        <v>0</v>
      </c>
      <c r="L1582" cm="1">
        <f t="array" ref="L1582">IF(OR(AND(K1582=9,L$1&gt;YEAR($N1582))),9,_xlfn.IFNA(INDEX($D$2:$D$4001,_xlfn.XMATCH(L$1&amp;"-"&amp;$F1582,YEAR($B$2:$B$4001)&amp;"-"&amp;$A$2:$A$4001,0,-1)),K1582))</f>
        <v>0</v>
      </c>
      <c r="M1582" cm="1">
        <f t="array" ref="M1582">IF(OR(AND(L1582=9,M$1&gt;YEAR($N1582))),9,_xlfn.IFNA(INDEX($D$2:$D$4001,_xlfn.XMATCH(M$1&amp;"-"&amp;$F1582,YEAR($B$2:$B$4001)&amp;"-"&amp;$A$2:$A$4001,0,-1)),L1582))</f>
        <v>0</v>
      </c>
      <c r="N1582" s="1">
        <f t="shared" si="24"/>
        <v>37041</v>
      </c>
    </row>
    <row r="1583" spans="1:14" x14ac:dyDescent="0.35">
      <c r="A1583">
        <v>744</v>
      </c>
      <c r="B1583" s="2">
        <v>38563</v>
      </c>
      <c r="C1583">
        <v>0</v>
      </c>
      <c r="D1583">
        <v>0</v>
      </c>
      <c r="F1583">
        <v>1582</v>
      </c>
      <c r="G1583" cm="1">
        <f t="array" ref="G1583">_xlfn.IFNA(INDEX($D$2:$D$4001,_xlfn.XMATCH(G$1&amp;"-"&amp;$F1583,YEAR($B$2:$B$4001)&amp;"-"&amp;$A$2:$A$4001,0,-1)),9)</f>
        <v>9</v>
      </c>
      <c r="H1583" cm="1">
        <f t="array" ref="H1583">IF(OR(AND(G1583=9,H$1&gt;YEAR($N1583))),9,_xlfn.IFNA(INDEX($D$2:$D$4001,_xlfn.XMATCH(H$1&amp;"-"&amp;$F1583,YEAR($B$2:$B$4001)&amp;"-"&amp;$A$2:$A$4001,0,-1)),G1583))</f>
        <v>9</v>
      </c>
      <c r="I1583" cm="1">
        <f t="array" ref="I1583">IF(OR(AND(H1583=9,I$1&gt;YEAR($N1583))),9,_xlfn.IFNA(INDEX($D$2:$D$4001,_xlfn.XMATCH(I$1&amp;"-"&amp;$F1583,YEAR($B$2:$B$4001)&amp;"-"&amp;$A$2:$A$4001,0,-1)),H1583))</f>
        <v>9</v>
      </c>
      <c r="J1583" cm="1">
        <f t="array" ref="J1583">IF(OR(AND(I1583=9,J$1&gt;YEAR($N1583))),9,_xlfn.IFNA(INDEX($D$2:$D$4001,_xlfn.XMATCH(J$1&amp;"-"&amp;$F1583,YEAR($B$2:$B$4001)&amp;"-"&amp;$A$2:$A$4001,0,-1)),I1583))</f>
        <v>9</v>
      </c>
      <c r="K1583" cm="1">
        <f t="array" ref="K1583">IF(OR(AND(J1583=9,K$1&gt;YEAR($N1583))),9,_xlfn.IFNA(INDEX($D$2:$D$4001,_xlfn.XMATCH(K$1&amp;"-"&amp;$F1583,YEAR($B$2:$B$4001)&amp;"-"&amp;$A$2:$A$4001,0,-1)),J1583))</f>
        <v>9</v>
      </c>
      <c r="L1583" cm="1">
        <f t="array" ref="L1583">IF(OR(AND(K1583=9,L$1&gt;YEAR($N1583))),9,_xlfn.IFNA(INDEX($D$2:$D$4001,_xlfn.XMATCH(L$1&amp;"-"&amp;$F1583,YEAR($B$2:$B$4001)&amp;"-"&amp;$A$2:$A$4001,0,-1)),K1583))</f>
        <v>4</v>
      </c>
      <c r="M1583" cm="1">
        <f t="array" ref="M1583">IF(OR(AND(L1583=9,M$1&gt;YEAR($N1583))),9,_xlfn.IFNA(INDEX($D$2:$D$4001,_xlfn.XMATCH(M$1&amp;"-"&amp;$F1583,YEAR($B$2:$B$4001)&amp;"-"&amp;$A$2:$A$4001,0,-1)),L1583))</f>
        <v>4</v>
      </c>
      <c r="N1583" s="1">
        <f t="shared" si="24"/>
        <v>38312</v>
      </c>
    </row>
    <row r="1584" spans="1:14" x14ac:dyDescent="0.35">
      <c r="A1584">
        <v>745</v>
      </c>
      <c r="B1584" s="2">
        <v>36524</v>
      </c>
      <c r="C1584">
        <v>7</v>
      </c>
      <c r="D1584">
        <v>7</v>
      </c>
      <c r="F1584">
        <v>1583</v>
      </c>
      <c r="G1584" cm="1">
        <f t="array" ref="G1584">_xlfn.IFNA(INDEX($D$2:$D$4001,_xlfn.XMATCH(G$1&amp;"-"&amp;$F1584,YEAR($B$2:$B$4001)&amp;"-"&amp;$A$2:$A$4001,0,-1)),9)</f>
        <v>5</v>
      </c>
      <c r="H1584" cm="1">
        <f t="array" ref="H1584">IF(OR(AND(G1584=9,H$1&gt;YEAR($N1584))),9,_xlfn.IFNA(INDEX($D$2:$D$4001,_xlfn.XMATCH(H$1&amp;"-"&amp;$F1584,YEAR($B$2:$B$4001)&amp;"-"&amp;$A$2:$A$4001,0,-1)),G1584))</f>
        <v>3</v>
      </c>
      <c r="I1584" cm="1">
        <f t="array" ref="I1584">IF(OR(AND(H1584=9,I$1&gt;YEAR($N1584))),9,_xlfn.IFNA(INDEX($D$2:$D$4001,_xlfn.XMATCH(I$1&amp;"-"&amp;$F1584,YEAR($B$2:$B$4001)&amp;"-"&amp;$A$2:$A$4001,0,-1)),H1584))</f>
        <v>3</v>
      </c>
      <c r="J1584" cm="1">
        <f t="array" ref="J1584">IF(OR(AND(I1584=9,J$1&gt;YEAR($N1584))),9,_xlfn.IFNA(INDEX($D$2:$D$4001,_xlfn.XMATCH(J$1&amp;"-"&amp;$F1584,YEAR($B$2:$B$4001)&amp;"-"&amp;$A$2:$A$4001,0,-1)),I1584))</f>
        <v>3</v>
      </c>
      <c r="K1584" cm="1">
        <f t="array" ref="K1584">IF(OR(AND(J1584=9,K$1&gt;YEAR($N1584))),9,_xlfn.IFNA(INDEX($D$2:$D$4001,_xlfn.XMATCH(K$1&amp;"-"&amp;$F1584,YEAR($B$2:$B$4001)&amp;"-"&amp;$A$2:$A$4001,0,-1)),J1584))</f>
        <v>3</v>
      </c>
      <c r="L1584" cm="1">
        <f t="array" ref="L1584">IF(OR(AND(K1584=9,L$1&gt;YEAR($N1584))),9,_xlfn.IFNA(INDEX($D$2:$D$4001,_xlfn.XMATCH(L$1&amp;"-"&amp;$F1584,YEAR($B$2:$B$4001)&amp;"-"&amp;$A$2:$A$4001,0,-1)),K1584))</f>
        <v>3</v>
      </c>
      <c r="M1584" cm="1">
        <f t="array" ref="M1584">IF(OR(AND(L1584=9,M$1&gt;YEAR($N1584))),9,_xlfn.IFNA(INDEX($D$2:$D$4001,_xlfn.XMATCH(M$1&amp;"-"&amp;$F1584,YEAR($B$2:$B$4001)&amp;"-"&amp;$A$2:$A$4001,0,-1)),L1584))</f>
        <v>3</v>
      </c>
      <c r="N1584" s="1">
        <f t="shared" si="24"/>
        <v>36494</v>
      </c>
    </row>
    <row r="1585" spans="1:14" x14ac:dyDescent="0.35">
      <c r="A1585">
        <v>745</v>
      </c>
      <c r="B1585" s="2">
        <v>36698</v>
      </c>
      <c r="C1585">
        <v>7</v>
      </c>
      <c r="D1585">
        <v>7</v>
      </c>
      <c r="F1585">
        <v>1584</v>
      </c>
      <c r="G1585" cm="1">
        <f t="array" ref="G1585">_xlfn.IFNA(INDEX($D$2:$D$4001,_xlfn.XMATCH(G$1&amp;"-"&amp;$F1585,YEAR($B$2:$B$4001)&amp;"-"&amp;$A$2:$A$4001,0,-1)),9)</f>
        <v>9</v>
      </c>
      <c r="H1585" cm="1">
        <f t="array" ref="H1585">IF(OR(AND(G1585=9,H$1&gt;YEAR($N1585))),9,_xlfn.IFNA(INDEX($D$2:$D$4001,_xlfn.XMATCH(H$1&amp;"-"&amp;$F1585,YEAR($B$2:$B$4001)&amp;"-"&amp;$A$2:$A$4001,0,-1)),G1585))</f>
        <v>9</v>
      </c>
      <c r="I1585" cm="1">
        <f t="array" ref="I1585">IF(OR(AND(H1585=9,I$1&gt;YEAR($N1585))),9,_xlfn.IFNA(INDEX($D$2:$D$4001,_xlfn.XMATCH(I$1&amp;"-"&amp;$F1585,YEAR($B$2:$B$4001)&amp;"-"&amp;$A$2:$A$4001,0,-1)),H1585))</f>
        <v>2</v>
      </c>
      <c r="J1585" cm="1">
        <f t="array" ref="J1585">IF(OR(AND(I1585=9,J$1&gt;YEAR($N1585))),9,_xlfn.IFNA(INDEX($D$2:$D$4001,_xlfn.XMATCH(J$1&amp;"-"&amp;$F1585,YEAR($B$2:$B$4001)&amp;"-"&amp;$A$2:$A$4001,0,-1)),I1585))</f>
        <v>2</v>
      </c>
      <c r="K1585" cm="1">
        <f t="array" ref="K1585">IF(OR(AND(J1585=9,K$1&gt;YEAR($N1585))),9,_xlfn.IFNA(INDEX($D$2:$D$4001,_xlfn.XMATCH(K$1&amp;"-"&amp;$F1585,YEAR($B$2:$B$4001)&amp;"-"&amp;$A$2:$A$4001,0,-1)),J1585))</f>
        <v>2</v>
      </c>
      <c r="L1585" cm="1">
        <f t="array" ref="L1585">IF(OR(AND(K1585=9,L$1&gt;YEAR($N1585))),9,_xlfn.IFNA(INDEX($D$2:$D$4001,_xlfn.XMATCH(L$1&amp;"-"&amp;$F1585,YEAR($B$2:$B$4001)&amp;"-"&amp;$A$2:$A$4001,0,-1)),K1585))</f>
        <v>0</v>
      </c>
      <c r="M1585" cm="1">
        <f t="array" ref="M1585">IF(OR(AND(L1585=9,M$1&gt;YEAR($N1585))),9,_xlfn.IFNA(INDEX($D$2:$D$4001,_xlfn.XMATCH(M$1&amp;"-"&amp;$F1585,YEAR($B$2:$B$4001)&amp;"-"&amp;$A$2:$A$4001,0,-1)),L1585))</f>
        <v>0</v>
      </c>
      <c r="N1585" s="1">
        <f t="shared" si="24"/>
        <v>37041</v>
      </c>
    </row>
    <row r="1586" spans="1:14" x14ac:dyDescent="0.35">
      <c r="A1586">
        <v>745</v>
      </c>
      <c r="B1586" s="2">
        <v>37072</v>
      </c>
      <c r="C1586">
        <v>0</v>
      </c>
      <c r="D1586">
        <v>0</v>
      </c>
      <c r="F1586">
        <v>1585</v>
      </c>
      <c r="G1586" cm="1">
        <f t="array" ref="G1586">_xlfn.IFNA(INDEX($D$2:$D$4001,_xlfn.XMATCH(G$1&amp;"-"&amp;$F1586,YEAR($B$2:$B$4001)&amp;"-"&amp;$A$2:$A$4001,0,-1)),9)</f>
        <v>9</v>
      </c>
      <c r="H1586" cm="1">
        <f t="array" ref="H1586">IF(OR(AND(G1586=9,H$1&gt;YEAR($N1586))),9,_xlfn.IFNA(INDEX($D$2:$D$4001,_xlfn.XMATCH(H$1&amp;"-"&amp;$F1586,YEAR($B$2:$B$4001)&amp;"-"&amp;$A$2:$A$4001,0,-1)),G1586))</f>
        <v>9</v>
      </c>
      <c r="I1586" cm="1">
        <f t="array" ref="I1586">IF(OR(AND(H1586=9,I$1&gt;YEAR($N1586))),9,_xlfn.IFNA(INDEX($D$2:$D$4001,_xlfn.XMATCH(I$1&amp;"-"&amp;$F1586,YEAR($B$2:$B$4001)&amp;"-"&amp;$A$2:$A$4001,0,-1)),H1586))</f>
        <v>5</v>
      </c>
      <c r="J1586" cm="1">
        <f t="array" ref="J1586">IF(OR(AND(I1586=9,J$1&gt;YEAR($N1586))),9,_xlfn.IFNA(INDEX($D$2:$D$4001,_xlfn.XMATCH(J$1&amp;"-"&amp;$F1586,YEAR($B$2:$B$4001)&amp;"-"&amp;$A$2:$A$4001,0,-1)),I1586))</f>
        <v>5</v>
      </c>
      <c r="K1586" cm="1">
        <f t="array" ref="K1586">IF(OR(AND(J1586=9,K$1&gt;YEAR($N1586))),9,_xlfn.IFNA(INDEX($D$2:$D$4001,_xlfn.XMATCH(K$1&amp;"-"&amp;$F1586,YEAR($B$2:$B$4001)&amp;"-"&amp;$A$2:$A$4001,0,-1)),J1586))</f>
        <v>5</v>
      </c>
      <c r="L1586" cm="1">
        <f t="array" ref="L1586">IF(OR(AND(K1586=9,L$1&gt;YEAR($N1586))),9,_xlfn.IFNA(INDEX($D$2:$D$4001,_xlfn.XMATCH(L$1&amp;"-"&amp;$F1586,YEAR($B$2:$B$4001)&amp;"-"&amp;$A$2:$A$4001,0,-1)),K1586))</f>
        <v>5</v>
      </c>
      <c r="M1586" cm="1">
        <f t="array" ref="M1586">IF(OR(AND(L1586=9,M$1&gt;YEAR($N1586))),9,_xlfn.IFNA(INDEX($D$2:$D$4001,_xlfn.XMATCH(M$1&amp;"-"&amp;$F1586,YEAR($B$2:$B$4001)&amp;"-"&amp;$A$2:$A$4001,0,-1)),L1586))</f>
        <v>5</v>
      </c>
      <c r="N1586" s="1">
        <f t="shared" si="24"/>
        <v>37102</v>
      </c>
    </row>
    <row r="1587" spans="1:14" x14ac:dyDescent="0.35">
      <c r="A1587">
        <v>746</v>
      </c>
      <c r="B1587" s="2">
        <v>36433</v>
      </c>
      <c r="C1587">
        <v>0</v>
      </c>
      <c r="D1587">
        <v>0</v>
      </c>
      <c r="F1587">
        <v>1586</v>
      </c>
      <c r="G1587" cm="1">
        <f t="array" ref="G1587">_xlfn.IFNA(INDEX($D$2:$D$4001,_xlfn.XMATCH(G$1&amp;"-"&amp;$F1587,YEAR($B$2:$B$4001)&amp;"-"&amp;$A$2:$A$4001,0,-1)),9)</f>
        <v>9</v>
      </c>
      <c r="H1587" cm="1">
        <f t="array" ref="H1587">IF(OR(AND(G1587=9,H$1&gt;YEAR($N1587))),9,_xlfn.IFNA(INDEX($D$2:$D$4001,_xlfn.XMATCH(H$1&amp;"-"&amp;$F1587,YEAR($B$2:$B$4001)&amp;"-"&amp;$A$2:$A$4001,0,-1)),G1587))</f>
        <v>9</v>
      </c>
      <c r="I1587" cm="1">
        <f t="array" ref="I1587">IF(OR(AND(H1587=9,I$1&gt;YEAR($N1587))),9,_xlfn.IFNA(INDEX($D$2:$D$4001,_xlfn.XMATCH(I$1&amp;"-"&amp;$F1587,YEAR($B$2:$B$4001)&amp;"-"&amp;$A$2:$A$4001,0,-1)),H1587))</f>
        <v>7</v>
      </c>
      <c r="J1587" cm="1">
        <f t="array" ref="J1587">IF(OR(AND(I1587=9,J$1&gt;YEAR($N1587))),9,_xlfn.IFNA(INDEX($D$2:$D$4001,_xlfn.XMATCH(J$1&amp;"-"&amp;$F1587,YEAR($B$2:$B$4001)&amp;"-"&amp;$A$2:$A$4001,0,-1)),I1587))</f>
        <v>5</v>
      </c>
      <c r="K1587" cm="1">
        <f t="array" ref="K1587">IF(OR(AND(J1587=9,K$1&gt;YEAR($N1587))),9,_xlfn.IFNA(INDEX($D$2:$D$4001,_xlfn.XMATCH(K$1&amp;"-"&amp;$F1587,YEAR($B$2:$B$4001)&amp;"-"&amp;$A$2:$A$4001,0,-1)),J1587))</f>
        <v>0</v>
      </c>
      <c r="L1587" cm="1">
        <f t="array" ref="L1587">IF(OR(AND(K1587=9,L$1&gt;YEAR($N1587))),9,_xlfn.IFNA(INDEX($D$2:$D$4001,_xlfn.XMATCH(L$1&amp;"-"&amp;$F1587,YEAR($B$2:$B$4001)&amp;"-"&amp;$A$2:$A$4001,0,-1)),K1587))</f>
        <v>0</v>
      </c>
      <c r="M1587" cm="1">
        <f t="array" ref="M1587">IF(OR(AND(L1587=9,M$1&gt;YEAR($N1587))),9,_xlfn.IFNA(INDEX($D$2:$D$4001,_xlfn.XMATCH(M$1&amp;"-"&amp;$F1587,YEAR($B$2:$B$4001)&amp;"-"&amp;$A$2:$A$4001,0,-1)),L1587))</f>
        <v>0</v>
      </c>
      <c r="N1587" s="1">
        <f t="shared" si="24"/>
        <v>37032</v>
      </c>
    </row>
    <row r="1588" spans="1:14" x14ac:dyDescent="0.35">
      <c r="A1588">
        <v>747</v>
      </c>
      <c r="B1588" s="2">
        <v>36524</v>
      </c>
      <c r="C1588">
        <v>3</v>
      </c>
      <c r="D1588">
        <v>3</v>
      </c>
      <c r="F1588">
        <v>1587</v>
      </c>
      <c r="G1588" cm="1">
        <f t="array" ref="G1588">_xlfn.IFNA(INDEX($D$2:$D$4001,_xlfn.XMATCH(G$1&amp;"-"&amp;$F1588,YEAR($B$2:$B$4001)&amp;"-"&amp;$A$2:$A$4001,0,-1)),9)</f>
        <v>9</v>
      </c>
      <c r="H1588" cm="1">
        <f t="array" ref="H1588">IF(OR(AND(G1588=9,H$1&gt;YEAR($N1588))),9,_xlfn.IFNA(INDEX($D$2:$D$4001,_xlfn.XMATCH(H$1&amp;"-"&amp;$F1588,YEAR($B$2:$B$4001)&amp;"-"&amp;$A$2:$A$4001,0,-1)),G1588))</f>
        <v>9</v>
      </c>
      <c r="I1588" cm="1">
        <f t="array" ref="I1588">IF(OR(AND(H1588=9,I$1&gt;YEAR($N1588))),9,_xlfn.IFNA(INDEX($D$2:$D$4001,_xlfn.XMATCH(I$1&amp;"-"&amp;$F1588,YEAR($B$2:$B$4001)&amp;"-"&amp;$A$2:$A$4001,0,-1)),H1588))</f>
        <v>0</v>
      </c>
      <c r="J1588" cm="1">
        <f t="array" ref="J1588">IF(OR(AND(I1588=9,J$1&gt;YEAR($N1588))),9,_xlfn.IFNA(INDEX($D$2:$D$4001,_xlfn.XMATCH(J$1&amp;"-"&amp;$F1588,YEAR($B$2:$B$4001)&amp;"-"&amp;$A$2:$A$4001,0,-1)),I1588))</f>
        <v>0</v>
      </c>
      <c r="K1588" cm="1">
        <f t="array" ref="K1588">IF(OR(AND(J1588=9,K$1&gt;YEAR($N1588))),9,_xlfn.IFNA(INDEX($D$2:$D$4001,_xlfn.XMATCH(K$1&amp;"-"&amp;$F1588,YEAR($B$2:$B$4001)&amp;"-"&amp;$A$2:$A$4001,0,-1)),J1588))</f>
        <v>0</v>
      </c>
      <c r="L1588" cm="1">
        <f t="array" ref="L1588">IF(OR(AND(K1588=9,L$1&gt;YEAR($N1588))),9,_xlfn.IFNA(INDEX($D$2:$D$4001,_xlfn.XMATCH(L$1&amp;"-"&amp;$F1588,YEAR($B$2:$B$4001)&amp;"-"&amp;$A$2:$A$4001,0,-1)),K1588))</f>
        <v>0</v>
      </c>
      <c r="M1588" cm="1">
        <f t="array" ref="M1588">IF(OR(AND(L1588=9,M$1&gt;YEAR($N1588))),9,_xlfn.IFNA(INDEX($D$2:$D$4001,_xlfn.XMATCH(M$1&amp;"-"&amp;$F1588,YEAR($B$2:$B$4001)&amp;"-"&amp;$A$2:$A$4001,0,-1)),L1588))</f>
        <v>0</v>
      </c>
      <c r="N1588" s="1">
        <f t="shared" si="24"/>
        <v>37185</v>
      </c>
    </row>
    <row r="1589" spans="1:14" x14ac:dyDescent="0.35">
      <c r="A1589">
        <v>748</v>
      </c>
      <c r="B1589" s="2">
        <v>36706</v>
      </c>
      <c r="C1589">
        <v>0</v>
      </c>
      <c r="D1589">
        <v>0</v>
      </c>
      <c r="F1589">
        <v>1588</v>
      </c>
      <c r="G1589" cm="1">
        <f t="array" ref="G1589">_xlfn.IFNA(INDEX($D$2:$D$4001,_xlfn.XMATCH(G$1&amp;"-"&amp;$F1589,YEAR($B$2:$B$4001)&amp;"-"&amp;$A$2:$A$4001,0,-1)),9)</f>
        <v>0</v>
      </c>
      <c r="H1589" cm="1">
        <f t="array" ref="H1589">IF(OR(AND(G1589=9,H$1&gt;YEAR($N1589))),9,_xlfn.IFNA(INDEX($D$2:$D$4001,_xlfn.XMATCH(H$1&amp;"-"&amp;$F1589,YEAR($B$2:$B$4001)&amp;"-"&amp;$A$2:$A$4001,0,-1)),G1589))</f>
        <v>0</v>
      </c>
      <c r="I1589" cm="1">
        <f t="array" ref="I1589">IF(OR(AND(H1589=9,I$1&gt;YEAR($N1589))),9,_xlfn.IFNA(INDEX($D$2:$D$4001,_xlfn.XMATCH(I$1&amp;"-"&amp;$F1589,YEAR($B$2:$B$4001)&amp;"-"&amp;$A$2:$A$4001,0,-1)),H1589))</f>
        <v>0</v>
      </c>
      <c r="J1589" cm="1">
        <f t="array" ref="J1589">IF(OR(AND(I1589=9,J$1&gt;YEAR($N1589))),9,_xlfn.IFNA(INDEX($D$2:$D$4001,_xlfn.XMATCH(J$1&amp;"-"&amp;$F1589,YEAR($B$2:$B$4001)&amp;"-"&amp;$A$2:$A$4001,0,-1)),I1589))</f>
        <v>0</v>
      </c>
      <c r="K1589" cm="1">
        <f t="array" ref="K1589">IF(OR(AND(J1589=9,K$1&gt;YEAR($N1589))),9,_xlfn.IFNA(INDEX($D$2:$D$4001,_xlfn.XMATCH(K$1&amp;"-"&amp;$F1589,YEAR($B$2:$B$4001)&amp;"-"&amp;$A$2:$A$4001,0,-1)),J1589))</f>
        <v>0</v>
      </c>
      <c r="L1589" cm="1">
        <f t="array" ref="L1589">IF(OR(AND(K1589=9,L$1&gt;YEAR($N1589))),9,_xlfn.IFNA(INDEX($D$2:$D$4001,_xlfn.XMATCH(L$1&amp;"-"&amp;$F1589,YEAR($B$2:$B$4001)&amp;"-"&amp;$A$2:$A$4001,0,-1)),K1589))</f>
        <v>0</v>
      </c>
      <c r="M1589" cm="1">
        <f t="array" ref="M1589">IF(OR(AND(L1589=9,M$1&gt;YEAR($N1589))),9,_xlfn.IFNA(INDEX($D$2:$D$4001,_xlfn.XMATCH(M$1&amp;"-"&amp;$F1589,YEAR($B$2:$B$4001)&amp;"-"&amp;$A$2:$A$4001,0,-1)),L1589))</f>
        <v>0</v>
      </c>
      <c r="N1589" s="1">
        <f t="shared" si="24"/>
        <v>36304</v>
      </c>
    </row>
    <row r="1590" spans="1:14" x14ac:dyDescent="0.35">
      <c r="A1590">
        <v>749</v>
      </c>
      <c r="B1590" s="2">
        <v>36393</v>
      </c>
      <c r="C1590">
        <v>0</v>
      </c>
      <c r="D1590">
        <v>0</v>
      </c>
      <c r="F1590">
        <v>1589</v>
      </c>
      <c r="G1590" cm="1">
        <f t="array" ref="G1590">_xlfn.IFNA(INDEX($D$2:$D$4001,_xlfn.XMATCH(G$1&amp;"-"&amp;$F1590,YEAR($B$2:$B$4001)&amp;"-"&amp;$A$2:$A$4001,0,-1)),9)</f>
        <v>2</v>
      </c>
      <c r="H1590" cm="1">
        <f t="array" ref="H1590">IF(OR(AND(G1590=9,H$1&gt;YEAR($N1590))),9,_xlfn.IFNA(INDEX($D$2:$D$4001,_xlfn.XMATCH(H$1&amp;"-"&amp;$F1590,YEAR($B$2:$B$4001)&amp;"-"&amp;$A$2:$A$4001,0,-1)),G1590))</f>
        <v>3</v>
      </c>
      <c r="I1590" cm="1">
        <f t="array" ref="I1590">IF(OR(AND(H1590=9,I$1&gt;YEAR($N1590))),9,_xlfn.IFNA(INDEX($D$2:$D$4001,_xlfn.XMATCH(I$1&amp;"-"&amp;$F1590,YEAR($B$2:$B$4001)&amp;"-"&amp;$A$2:$A$4001,0,-1)),H1590))</f>
        <v>3</v>
      </c>
      <c r="J1590" cm="1">
        <f t="array" ref="J1590">IF(OR(AND(I1590=9,J$1&gt;YEAR($N1590))),9,_xlfn.IFNA(INDEX($D$2:$D$4001,_xlfn.XMATCH(J$1&amp;"-"&amp;$F1590,YEAR($B$2:$B$4001)&amp;"-"&amp;$A$2:$A$4001,0,-1)),I1590))</f>
        <v>3</v>
      </c>
      <c r="K1590" cm="1">
        <f t="array" ref="K1590">IF(OR(AND(J1590=9,K$1&gt;YEAR($N1590))),9,_xlfn.IFNA(INDEX($D$2:$D$4001,_xlfn.XMATCH(K$1&amp;"-"&amp;$F1590,YEAR($B$2:$B$4001)&amp;"-"&amp;$A$2:$A$4001,0,-1)),J1590))</f>
        <v>3</v>
      </c>
      <c r="L1590" cm="1">
        <f t="array" ref="L1590">IF(OR(AND(K1590=9,L$1&gt;YEAR($N1590))),9,_xlfn.IFNA(INDEX($D$2:$D$4001,_xlfn.XMATCH(L$1&amp;"-"&amp;$F1590,YEAR($B$2:$B$4001)&amp;"-"&amp;$A$2:$A$4001,0,-1)),K1590))</f>
        <v>4</v>
      </c>
      <c r="M1590" cm="1">
        <f t="array" ref="M1590">IF(OR(AND(L1590=9,M$1&gt;YEAR($N1590))),9,_xlfn.IFNA(INDEX($D$2:$D$4001,_xlfn.XMATCH(M$1&amp;"-"&amp;$F1590,YEAR($B$2:$B$4001)&amp;"-"&amp;$A$2:$A$4001,0,-1)),L1590))</f>
        <v>4</v>
      </c>
      <c r="N1590" s="1">
        <f t="shared" si="24"/>
        <v>36402</v>
      </c>
    </row>
    <row r="1591" spans="1:14" x14ac:dyDescent="0.35">
      <c r="A1591">
        <v>750</v>
      </c>
      <c r="B1591" s="2">
        <v>36433</v>
      </c>
      <c r="C1591">
        <v>5</v>
      </c>
      <c r="D1591">
        <v>5</v>
      </c>
      <c r="F1591">
        <v>1590</v>
      </c>
      <c r="G1591" cm="1">
        <f t="array" ref="G1591">_xlfn.IFNA(INDEX($D$2:$D$4001,_xlfn.XMATCH(G$1&amp;"-"&amp;$F1591,YEAR($B$2:$B$4001)&amp;"-"&amp;$A$2:$A$4001,0,-1)),9)</f>
        <v>9</v>
      </c>
      <c r="H1591" cm="1">
        <f t="array" ref="H1591">IF(OR(AND(G1591=9,H$1&gt;YEAR($N1591))),9,_xlfn.IFNA(INDEX($D$2:$D$4001,_xlfn.XMATCH(H$1&amp;"-"&amp;$F1591,YEAR($B$2:$B$4001)&amp;"-"&amp;$A$2:$A$4001,0,-1)),G1591))</f>
        <v>9</v>
      </c>
      <c r="I1591" cm="1">
        <f t="array" ref="I1591">IF(OR(AND(H1591=9,I$1&gt;YEAR($N1591))),9,_xlfn.IFNA(INDEX($D$2:$D$4001,_xlfn.XMATCH(I$1&amp;"-"&amp;$F1591,YEAR($B$2:$B$4001)&amp;"-"&amp;$A$2:$A$4001,0,-1)),H1591))</f>
        <v>3</v>
      </c>
      <c r="J1591" cm="1">
        <f t="array" ref="J1591">IF(OR(AND(I1591=9,J$1&gt;YEAR($N1591))),9,_xlfn.IFNA(INDEX($D$2:$D$4001,_xlfn.XMATCH(J$1&amp;"-"&amp;$F1591,YEAR($B$2:$B$4001)&amp;"-"&amp;$A$2:$A$4001,0,-1)),I1591))</f>
        <v>3</v>
      </c>
      <c r="K1591" cm="1">
        <f t="array" ref="K1591">IF(OR(AND(J1591=9,K$1&gt;YEAR($N1591))),9,_xlfn.IFNA(INDEX($D$2:$D$4001,_xlfn.XMATCH(K$1&amp;"-"&amp;$F1591,YEAR($B$2:$B$4001)&amp;"-"&amp;$A$2:$A$4001,0,-1)),J1591))</f>
        <v>3</v>
      </c>
      <c r="L1591" cm="1">
        <f t="array" ref="L1591">IF(OR(AND(K1591=9,L$1&gt;YEAR($N1591))),9,_xlfn.IFNA(INDEX($D$2:$D$4001,_xlfn.XMATCH(L$1&amp;"-"&amp;$F1591,YEAR($B$2:$B$4001)&amp;"-"&amp;$A$2:$A$4001,0,-1)),K1591))</f>
        <v>3</v>
      </c>
      <c r="M1591" cm="1">
        <f t="array" ref="M1591">IF(OR(AND(L1591=9,M$1&gt;YEAR($N1591))),9,_xlfn.IFNA(INDEX($D$2:$D$4001,_xlfn.XMATCH(M$1&amp;"-"&amp;$F1591,YEAR($B$2:$B$4001)&amp;"-"&amp;$A$2:$A$4001,0,-1)),L1591))</f>
        <v>3</v>
      </c>
      <c r="N1591" s="1">
        <f t="shared" si="24"/>
        <v>37255</v>
      </c>
    </row>
    <row r="1592" spans="1:14" x14ac:dyDescent="0.35">
      <c r="A1592">
        <v>750</v>
      </c>
      <c r="B1592" s="2">
        <v>36524</v>
      </c>
      <c r="C1592">
        <v>5</v>
      </c>
      <c r="D1592">
        <v>5</v>
      </c>
      <c r="F1592">
        <v>1591</v>
      </c>
      <c r="G1592" cm="1">
        <f t="array" ref="G1592">_xlfn.IFNA(INDEX($D$2:$D$4001,_xlfn.XMATCH(G$1&amp;"-"&amp;$F1592,YEAR($B$2:$B$4001)&amp;"-"&amp;$A$2:$A$4001,0,-1)),9)</f>
        <v>6</v>
      </c>
      <c r="H1592" cm="1">
        <f t="array" ref="H1592">IF(OR(AND(G1592=9,H$1&gt;YEAR($N1592))),9,_xlfn.IFNA(INDEX($D$2:$D$4001,_xlfn.XMATCH(H$1&amp;"-"&amp;$F1592,YEAR($B$2:$B$4001)&amp;"-"&amp;$A$2:$A$4001,0,-1)),G1592))</f>
        <v>6</v>
      </c>
      <c r="I1592" cm="1">
        <f t="array" ref="I1592">IF(OR(AND(H1592=9,I$1&gt;YEAR($N1592))),9,_xlfn.IFNA(INDEX($D$2:$D$4001,_xlfn.XMATCH(I$1&amp;"-"&amp;$F1592,YEAR($B$2:$B$4001)&amp;"-"&amp;$A$2:$A$4001,0,-1)),H1592))</f>
        <v>7</v>
      </c>
      <c r="J1592" cm="1">
        <f t="array" ref="J1592">IF(OR(AND(I1592=9,J$1&gt;YEAR($N1592))),9,_xlfn.IFNA(INDEX($D$2:$D$4001,_xlfn.XMATCH(J$1&amp;"-"&amp;$F1592,YEAR($B$2:$B$4001)&amp;"-"&amp;$A$2:$A$4001,0,-1)),I1592))</f>
        <v>7</v>
      </c>
      <c r="K1592" cm="1">
        <f t="array" ref="K1592">IF(OR(AND(J1592=9,K$1&gt;YEAR($N1592))),9,_xlfn.IFNA(INDEX($D$2:$D$4001,_xlfn.XMATCH(K$1&amp;"-"&amp;$F1592,YEAR($B$2:$B$4001)&amp;"-"&amp;$A$2:$A$4001,0,-1)),J1592))</f>
        <v>6</v>
      </c>
      <c r="L1592" cm="1">
        <f t="array" ref="L1592">IF(OR(AND(K1592=9,L$1&gt;YEAR($N1592))),9,_xlfn.IFNA(INDEX($D$2:$D$4001,_xlfn.XMATCH(L$1&amp;"-"&amp;$F1592,YEAR($B$2:$B$4001)&amp;"-"&amp;$A$2:$A$4001,0,-1)),K1592))</f>
        <v>6</v>
      </c>
      <c r="M1592" cm="1">
        <f t="array" ref="M1592">IF(OR(AND(L1592=9,M$1&gt;YEAR($N1592))),9,_xlfn.IFNA(INDEX($D$2:$D$4001,_xlfn.XMATCH(M$1&amp;"-"&amp;$F1592,YEAR($B$2:$B$4001)&amp;"-"&amp;$A$2:$A$4001,0,-1)),L1592))</f>
        <v>6</v>
      </c>
      <c r="N1592" s="1">
        <f t="shared" si="24"/>
        <v>36494</v>
      </c>
    </row>
    <row r="1593" spans="1:14" x14ac:dyDescent="0.35">
      <c r="A1593">
        <v>750</v>
      </c>
      <c r="B1593" s="2">
        <v>36860</v>
      </c>
      <c r="C1593">
        <v>5</v>
      </c>
      <c r="D1593">
        <v>5</v>
      </c>
      <c r="F1593">
        <v>1592</v>
      </c>
      <c r="G1593" cm="1">
        <f t="array" ref="G1593">_xlfn.IFNA(INDEX($D$2:$D$4001,_xlfn.XMATCH(G$1&amp;"-"&amp;$F1593,YEAR($B$2:$B$4001)&amp;"-"&amp;$A$2:$A$4001,0,-1)),9)</f>
        <v>4</v>
      </c>
      <c r="H1593" cm="1">
        <f t="array" ref="H1593">IF(OR(AND(G1593=9,H$1&gt;YEAR($N1593))),9,_xlfn.IFNA(INDEX($D$2:$D$4001,_xlfn.XMATCH(H$1&amp;"-"&amp;$F1593,YEAR($B$2:$B$4001)&amp;"-"&amp;$A$2:$A$4001,0,-1)),G1593))</f>
        <v>4</v>
      </c>
      <c r="I1593" cm="1">
        <f t="array" ref="I1593">IF(OR(AND(H1593=9,I$1&gt;YEAR($N1593))),9,_xlfn.IFNA(INDEX($D$2:$D$4001,_xlfn.XMATCH(I$1&amp;"-"&amp;$F1593,YEAR($B$2:$B$4001)&amp;"-"&amp;$A$2:$A$4001,0,-1)),H1593))</f>
        <v>4</v>
      </c>
      <c r="J1593" cm="1">
        <f t="array" ref="J1593">IF(OR(AND(I1593=9,J$1&gt;YEAR($N1593))),9,_xlfn.IFNA(INDEX($D$2:$D$4001,_xlfn.XMATCH(J$1&amp;"-"&amp;$F1593,YEAR($B$2:$B$4001)&amp;"-"&amp;$A$2:$A$4001,0,-1)),I1593))</f>
        <v>4</v>
      </c>
      <c r="K1593" cm="1">
        <f t="array" ref="K1593">IF(OR(AND(J1593=9,K$1&gt;YEAR($N1593))),9,_xlfn.IFNA(INDEX($D$2:$D$4001,_xlfn.XMATCH(K$1&amp;"-"&amp;$F1593,YEAR($B$2:$B$4001)&amp;"-"&amp;$A$2:$A$4001,0,-1)),J1593))</f>
        <v>0</v>
      </c>
      <c r="L1593" cm="1">
        <f t="array" ref="L1593">IF(OR(AND(K1593=9,L$1&gt;YEAR($N1593))),9,_xlfn.IFNA(INDEX($D$2:$D$4001,_xlfn.XMATCH(L$1&amp;"-"&amp;$F1593,YEAR($B$2:$B$4001)&amp;"-"&amp;$A$2:$A$4001,0,-1)),K1593))</f>
        <v>0</v>
      </c>
      <c r="M1593" cm="1">
        <f t="array" ref="M1593">IF(OR(AND(L1593=9,M$1&gt;YEAR($N1593))),9,_xlfn.IFNA(INDEX($D$2:$D$4001,_xlfn.XMATCH(M$1&amp;"-"&amp;$F1593,YEAR($B$2:$B$4001)&amp;"-"&amp;$A$2:$A$4001,0,-1)),L1593))</f>
        <v>0</v>
      </c>
      <c r="N1593" s="1">
        <f t="shared" si="24"/>
        <v>36524</v>
      </c>
    </row>
    <row r="1594" spans="1:14" x14ac:dyDescent="0.35">
      <c r="A1594">
        <v>750</v>
      </c>
      <c r="B1594" s="2">
        <v>38128</v>
      </c>
      <c r="C1594">
        <v>4</v>
      </c>
      <c r="D1594">
        <v>4</v>
      </c>
      <c r="F1594">
        <v>1593</v>
      </c>
      <c r="G1594" cm="1">
        <f t="array" ref="G1594">_xlfn.IFNA(INDEX($D$2:$D$4001,_xlfn.XMATCH(G$1&amp;"-"&amp;$F1594,YEAR($B$2:$B$4001)&amp;"-"&amp;$A$2:$A$4001,0,-1)),9)</f>
        <v>3</v>
      </c>
      <c r="H1594" cm="1">
        <f t="array" ref="H1594">IF(OR(AND(G1594=9,H$1&gt;YEAR($N1594))),9,_xlfn.IFNA(INDEX($D$2:$D$4001,_xlfn.XMATCH(H$1&amp;"-"&amp;$F1594,YEAR($B$2:$B$4001)&amp;"-"&amp;$A$2:$A$4001,0,-1)),G1594))</f>
        <v>3</v>
      </c>
      <c r="I1594" cm="1">
        <f t="array" ref="I1594">IF(OR(AND(H1594=9,I$1&gt;YEAR($N1594))),9,_xlfn.IFNA(INDEX($D$2:$D$4001,_xlfn.XMATCH(I$1&amp;"-"&amp;$F1594,YEAR($B$2:$B$4001)&amp;"-"&amp;$A$2:$A$4001,0,-1)),H1594))</f>
        <v>3</v>
      </c>
      <c r="J1594" cm="1">
        <f t="array" ref="J1594">IF(OR(AND(I1594=9,J$1&gt;YEAR($N1594))),9,_xlfn.IFNA(INDEX($D$2:$D$4001,_xlfn.XMATCH(J$1&amp;"-"&amp;$F1594,YEAR($B$2:$B$4001)&amp;"-"&amp;$A$2:$A$4001,0,-1)),I1594))</f>
        <v>3</v>
      </c>
      <c r="K1594" cm="1">
        <f t="array" ref="K1594">IF(OR(AND(J1594=9,K$1&gt;YEAR($N1594))),9,_xlfn.IFNA(INDEX($D$2:$D$4001,_xlfn.XMATCH(K$1&amp;"-"&amp;$F1594,YEAR($B$2:$B$4001)&amp;"-"&amp;$A$2:$A$4001,0,-1)),J1594))</f>
        <v>3</v>
      </c>
      <c r="L1594" cm="1">
        <f t="array" ref="L1594">IF(OR(AND(K1594=9,L$1&gt;YEAR($N1594))),9,_xlfn.IFNA(INDEX($D$2:$D$4001,_xlfn.XMATCH(L$1&amp;"-"&amp;$F1594,YEAR($B$2:$B$4001)&amp;"-"&amp;$A$2:$A$4001,0,-1)),K1594))</f>
        <v>3</v>
      </c>
      <c r="M1594" cm="1">
        <f t="array" ref="M1594">IF(OR(AND(L1594=9,M$1&gt;YEAR($N1594))),9,_xlfn.IFNA(INDEX($D$2:$D$4001,_xlfn.XMATCH(M$1&amp;"-"&amp;$F1594,YEAR($B$2:$B$4001)&amp;"-"&amp;$A$2:$A$4001,0,-1)),L1594))</f>
        <v>3</v>
      </c>
      <c r="N1594" s="1">
        <f t="shared" si="24"/>
        <v>36524</v>
      </c>
    </row>
    <row r="1595" spans="1:14" x14ac:dyDescent="0.35">
      <c r="A1595">
        <v>751</v>
      </c>
      <c r="B1595" s="2">
        <v>36310</v>
      </c>
      <c r="C1595">
        <v>4</v>
      </c>
      <c r="D1595">
        <v>4</v>
      </c>
      <c r="F1595">
        <v>1594</v>
      </c>
      <c r="G1595" cm="1">
        <f t="array" ref="G1595">_xlfn.IFNA(INDEX($D$2:$D$4001,_xlfn.XMATCH(G$1&amp;"-"&amp;$F1595,YEAR($B$2:$B$4001)&amp;"-"&amp;$A$2:$A$4001,0,-1)),9)</f>
        <v>9</v>
      </c>
      <c r="H1595" cm="1">
        <f t="array" ref="H1595">IF(OR(AND(G1595=9,H$1&gt;YEAR($N1595))),9,_xlfn.IFNA(INDEX($D$2:$D$4001,_xlfn.XMATCH(H$1&amp;"-"&amp;$F1595,YEAR($B$2:$B$4001)&amp;"-"&amp;$A$2:$A$4001,0,-1)),G1595))</f>
        <v>9</v>
      </c>
      <c r="I1595" cm="1">
        <f t="array" ref="I1595">IF(OR(AND(H1595=9,I$1&gt;YEAR($N1595))),9,_xlfn.IFNA(INDEX($D$2:$D$4001,_xlfn.XMATCH(I$1&amp;"-"&amp;$F1595,YEAR($B$2:$B$4001)&amp;"-"&amp;$A$2:$A$4001,0,-1)),H1595))</f>
        <v>9</v>
      </c>
      <c r="J1595" cm="1">
        <f t="array" ref="J1595">IF(OR(AND(I1595=9,J$1&gt;YEAR($N1595))),9,_xlfn.IFNA(INDEX($D$2:$D$4001,_xlfn.XMATCH(J$1&amp;"-"&amp;$F1595,YEAR($B$2:$B$4001)&amp;"-"&amp;$A$2:$A$4001,0,-1)),I1595))</f>
        <v>9</v>
      </c>
      <c r="K1595" cm="1">
        <f t="array" ref="K1595">IF(OR(AND(J1595=9,K$1&gt;YEAR($N1595))),9,_xlfn.IFNA(INDEX($D$2:$D$4001,_xlfn.XMATCH(K$1&amp;"-"&amp;$F1595,YEAR($B$2:$B$4001)&amp;"-"&amp;$A$2:$A$4001,0,-1)),J1595))</f>
        <v>9</v>
      </c>
      <c r="L1595" cm="1">
        <f t="array" ref="L1595">IF(OR(AND(K1595=9,L$1&gt;YEAR($N1595))),9,_xlfn.IFNA(INDEX($D$2:$D$4001,_xlfn.XMATCH(L$1&amp;"-"&amp;$F1595,YEAR($B$2:$B$4001)&amp;"-"&amp;$A$2:$A$4001,0,-1)),K1595))</f>
        <v>0</v>
      </c>
      <c r="M1595" cm="1">
        <f t="array" ref="M1595">IF(OR(AND(L1595=9,M$1&gt;YEAR($N1595))),9,_xlfn.IFNA(INDEX($D$2:$D$4001,_xlfn.XMATCH(M$1&amp;"-"&amp;$F1595,YEAR($B$2:$B$4001)&amp;"-"&amp;$A$2:$A$4001,0,-1)),L1595))</f>
        <v>0</v>
      </c>
      <c r="N1595" s="1">
        <f t="shared" si="24"/>
        <v>38351</v>
      </c>
    </row>
    <row r="1596" spans="1:14" x14ac:dyDescent="0.35">
      <c r="A1596">
        <v>751</v>
      </c>
      <c r="B1596" s="2">
        <v>37520</v>
      </c>
      <c r="C1596">
        <v>4</v>
      </c>
      <c r="D1596">
        <v>4</v>
      </c>
      <c r="F1596">
        <v>1595</v>
      </c>
      <c r="G1596" cm="1">
        <f t="array" ref="G1596">_xlfn.IFNA(INDEX($D$2:$D$4001,_xlfn.XMATCH(G$1&amp;"-"&amp;$F1596,YEAR($B$2:$B$4001)&amp;"-"&amp;$A$2:$A$4001,0,-1)),9)</f>
        <v>9</v>
      </c>
      <c r="H1596" cm="1">
        <f t="array" ref="H1596">IF(OR(AND(G1596=9,H$1&gt;YEAR($N1596))),9,_xlfn.IFNA(INDEX($D$2:$D$4001,_xlfn.XMATCH(H$1&amp;"-"&amp;$F1596,YEAR($B$2:$B$4001)&amp;"-"&amp;$A$2:$A$4001,0,-1)),G1596))</f>
        <v>9</v>
      </c>
      <c r="I1596" cm="1">
        <f t="array" ref="I1596">IF(OR(AND(H1596=9,I$1&gt;YEAR($N1596))),9,_xlfn.IFNA(INDEX($D$2:$D$4001,_xlfn.XMATCH(I$1&amp;"-"&amp;$F1596,YEAR($B$2:$B$4001)&amp;"-"&amp;$A$2:$A$4001,0,-1)),H1596))</f>
        <v>9</v>
      </c>
      <c r="J1596" cm="1">
        <f t="array" ref="J1596">IF(OR(AND(I1596=9,J$1&gt;YEAR($N1596))),9,_xlfn.IFNA(INDEX($D$2:$D$4001,_xlfn.XMATCH(J$1&amp;"-"&amp;$F1596,YEAR($B$2:$B$4001)&amp;"-"&amp;$A$2:$A$4001,0,-1)),I1596))</f>
        <v>3</v>
      </c>
      <c r="K1596" cm="1">
        <f t="array" ref="K1596">IF(OR(AND(J1596=9,K$1&gt;YEAR($N1596))),9,_xlfn.IFNA(INDEX($D$2:$D$4001,_xlfn.XMATCH(K$1&amp;"-"&amp;$F1596,YEAR($B$2:$B$4001)&amp;"-"&amp;$A$2:$A$4001,0,-1)),J1596))</f>
        <v>2</v>
      </c>
      <c r="L1596" cm="1">
        <f t="array" ref="L1596">IF(OR(AND(K1596=9,L$1&gt;YEAR($N1596))),9,_xlfn.IFNA(INDEX($D$2:$D$4001,_xlfn.XMATCH(L$1&amp;"-"&amp;$F1596,YEAR($B$2:$B$4001)&amp;"-"&amp;$A$2:$A$4001,0,-1)),K1596))</f>
        <v>2</v>
      </c>
      <c r="M1596" cm="1">
        <f t="array" ref="M1596">IF(OR(AND(L1596=9,M$1&gt;YEAR($N1596))),9,_xlfn.IFNA(INDEX($D$2:$D$4001,_xlfn.XMATCH(M$1&amp;"-"&amp;$F1596,YEAR($B$2:$B$4001)&amp;"-"&amp;$A$2:$A$4001,0,-1)),L1596))</f>
        <v>2</v>
      </c>
      <c r="N1596" s="1">
        <f t="shared" si="24"/>
        <v>37620</v>
      </c>
    </row>
    <row r="1597" spans="1:14" x14ac:dyDescent="0.35">
      <c r="A1597">
        <v>751</v>
      </c>
      <c r="B1597" s="2">
        <v>37520</v>
      </c>
      <c r="C1597">
        <v>5</v>
      </c>
      <c r="D1597">
        <v>5</v>
      </c>
      <c r="F1597">
        <v>1596</v>
      </c>
      <c r="G1597" cm="1">
        <f t="array" ref="G1597">_xlfn.IFNA(INDEX($D$2:$D$4001,_xlfn.XMATCH(G$1&amp;"-"&amp;$F1597,YEAR($B$2:$B$4001)&amp;"-"&amp;$A$2:$A$4001,0,-1)),9)</f>
        <v>3</v>
      </c>
      <c r="H1597" cm="1">
        <f t="array" ref="H1597">IF(OR(AND(G1597=9,H$1&gt;YEAR($N1597))),9,_xlfn.IFNA(INDEX($D$2:$D$4001,_xlfn.XMATCH(H$1&amp;"-"&amp;$F1597,YEAR($B$2:$B$4001)&amp;"-"&amp;$A$2:$A$4001,0,-1)),G1597))</f>
        <v>3</v>
      </c>
      <c r="I1597" cm="1">
        <f t="array" ref="I1597">IF(OR(AND(H1597=9,I$1&gt;YEAR($N1597))),9,_xlfn.IFNA(INDEX($D$2:$D$4001,_xlfn.XMATCH(I$1&amp;"-"&amp;$F1597,YEAR($B$2:$B$4001)&amp;"-"&amp;$A$2:$A$4001,0,-1)),H1597))</f>
        <v>3</v>
      </c>
      <c r="J1597" cm="1">
        <f t="array" ref="J1597">IF(OR(AND(I1597=9,J$1&gt;YEAR($N1597))),9,_xlfn.IFNA(INDEX($D$2:$D$4001,_xlfn.XMATCH(J$1&amp;"-"&amp;$F1597,YEAR($B$2:$B$4001)&amp;"-"&amp;$A$2:$A$4001,0,-1)),I1597))</f>
        <v>3</v>
      </c>
      <c r="K1597" cm="1">
        <f t="array" ref="K1597">IF(OR(AND(J1597=9,K$1&gt;YEAR($N1597))),9,_xlfn.IFNA(INDEX($D$2:$D$4001,_xlfn.XMATCH(K$1&amp;"-"&amp;$F1597,YEAR($B$2:$B$4001)&amp;"-"&amp;$A$2:$A$4001,0,-1)),J1597))</f>
        <v>3</v>
      </c>
      <c r="L1597" cm="1">
        <f t="array" ref="L1597">IF(OR(AND(K1597=9,L$1&gt;YEAR($N1597))),9,_xlfn.IFNA(INDEX($D$2:$D$4001,_xlfn.XMATCH(L$1&amp;"-"&amp;$F1597,YEAR($B$2:$B$4001)&amp;"-"&amp;$A$2:$A$4001,0,-1)),K1597))</f>
        <v>3</v>
      </c>
      <c r="M1597" cm="1">
        <f t="array" ref="M1597">IF(OR(AND(L1597=9,M$1&gt;YEAR($N1597))),9,_xlfn.IFNA(INDEX($D$2:$D$4001,_xlfn.XMATCH(M$1&amp;"-"&amp;$F1597,YEAR($B$2:$B$4001)&amp;"-"&amp;$A$2:$A$4001,0,-1)),L1597))</f>
        <v>3</v>
      </c>
      <c r="N1597" s="1">
        <f t="shared" si="24"/>
        <v>36309</v>
      </c>
    </row>
    <row r="1598" spans="1:14" x14ac:dyDescent="0.35">
      <c r="A1598">
        <v>751</v>
      </c>
      <c r="B1598" s="2">
        <v>37894</v>
      </c>
      <c r="C1598">
        <v>6</v>
      </c>
      <c r="D1598">
        <v>6</v>
      </c>
      <c r="F1598">
        <v>1597</v>
      </c>
      <c r="G1598" cm="1">
        <f t="array" ref="G1598">_xlfn.IFNA(INDEX($D$2:$D$4001,_xlfn.XMATCH(G$1&amp;"-"&amp;$F1598,YEAR($B$2:$B$4001)&amp;"-"&amp;$A$2:$A$4001,0,-1)),9)</f>
        <v>3</v>
      </c>
      <c r="H1598" cm="1">
        <f t="array" ref="H1598">IF(OR(AND(G1598=9,H$1&gt;YEAR($N1598))),9,_xlfn.IFNA(INDEX($D$2:$D$4001,_xlfn.XMATCH(H$1&amp;"-"&amp;$F1598,YEAR($B$2:$B$4001)&amp;"-"&amp;$A$2:$A$4001,0,-1)),G1598))</f>
        <v>3</v>
      </c>
      <c r="I1598" cm="1">
        <f t="array" ref="I1598">IF(OR(AND(H1598=9,I$1&gt;YEAR($N1598))),9,_xlfn.IFNA(INDEX($D$2:$D$4001,_xlfn.XMATCH(I$1&amp;"-"&amp;$F1598,YEAR($B$2:$B$4001)&amp;"-"&amp;$A$2:$A$4001,0,-1)),H1598))</f>
        <v>2</v>
      </c>
      <c r="J1598" cm="1">
        <f t="array" ref="J1598">IF(OR(AND(I1598=9,J$1&gt;YEAR($N1598))),9,_xlfn.IFNA(INDEX($D$2:$D$4001,_xlfn.XMATCH(J$1&amp;"-"&amp;$F1598,YEAR($B$2:$B$4001)&amp;"-"&amp;$A$2:$A$4001,0,-1)),I1598))</f>
        <v>2</v>
      </c>
      <c r="K1598" cm="1">
        <f t="array" ref="K1598">IF(OR(AND(J1598=9,K$1&gt;YEAR($N1598))),9,_xlfn.IFNA(INDEX($D$2:$D$4001,_xlfn.XMATCH(K$1&amp;"-"&amp;$F1598,YEAR($B$2:$B$4001)&amp;"-"&amp;$A$2:$A$4001,0,-1)),J1598))</f>
        <v>2</v>
      </c>
      <c r="L1598" cm="1">
        <f t="array" ref="L1598">IF(OR(AND(K1598=9,L$1&gt;YEAR($N1598))),9,_xlfn.IFNA(INDEX($D$2:$D$4001,_xlfn.XMATCH(L$1&amp;"-"&amp;$F1598,YEAR($B$2:$B$4001)&amp;"-"&amp;$A$2:$A$4001,0,-1)),K1598))</f>
        <v>0</v>
      </c>
      <c r="M1598" cm="1">
        <f t="array" ref="M1598">IF(OR(AND(L1598=9,M$1&gt;YEAR($N1598))),9,_xlfn.IFNA(INDEX($D$2:$D$4001,_xlfn.XMATCH(M$1&amp;"-"&amp;$F1598,YEAR($B$2:$B$4001)&amp;"-"&amp;$A$2:$A$4001,0,-1)),L1598))</f>
        <v>0</v>
      </c>
      <c r="N1598" s="1">
        <f t="shared" si="24"/>
        <v>36301</v>
      </c>
    </row>
    <row r="1599" spans="1:14" x14ac:dyDescent="0.35">
      <c r="A1599">
        <v>752</v>
      </c>
      <c r="B1599" s="2">
        <v>37489</v>
      </c>
      <c r="C1599">
        <v>2</v>
      </c>
      <c r="D1599">
        <v>2</v>
      </c>
      <c r="F1599">
        <v>1598</v>
      </c>
      <c r="G1599" cm="1">
        <f t="array" ref="G1599">_xlfn.IFNA(INDEX($D$2:$D$4001,_xlfn.XMATCH(G$1&amp;"-"&amp;$F1599,YEAR($B$2:$B$4001)&amp;"-"&amp;$A$2:$A$4001,0,-1)),9)</f>
        <v>3</v>
      </c>
      <c r="H1599" cm="1">
        <f t="array" ref="H1599">IF(OR(AND(G1599=9,H$1&gt;YEAR($N1599))),9,_xlfn.IFNA(INDEX($D$2:$D$4001,_xlfn.XMATCH(H$1&amp;"-"&amp;$F1599,YEAR($B$2:$B$4001)&amp;"-"&amp;$A$2:$A$4001,0,-1)),G1599))</f>
        <v>3</v>
      </c>
      <c r="I1599" cm="1">
        <f t="array" ref="I1599">IF(OR(AND(H1599=9,I$1&gt;YEAR($N1599))),9,_xlfn.IFNA(INDEX($D$2:$D$4001,_xlfn.XMATCH(I$1&amp;"-"&amp;$F1599,YEAR($B$2:$B$4001)&amp;"-"&amp;$A$2:$A$4001,0,-1)),H1599))</f>
        <v>3</v>
      </c>
      <c r="J1599" cm="1">
        <f t="array" ref="J1599">IF(OR(AND(I1599=9,J$1&gt;YEAR($N1599))),9,_xlfn.IFNA(INDEX($D$2:$D$4001,_xlfn.XMATCH(J$1&amp;"-"&amp;$F1599,YEAR($B$2:$B$4001)&amp;"-"&amp;$A$2:$A$4001,0,-1)),I1599))</f>
        <v>3</v>
      </c>
      <c r="K1599" cm="1">
        <f t="array" ref="K1599">IF(OR(AND(J1599=9,K$1&gt;YEAR($N1599))),9,_xlfn.IFNA(INDEX($D$2:$D$4001,_xlfn.XMATCH(K$1&amp;"-"&amp;$F1599,YEAR($B$2:$B$4001)&amp;"-"&amp;$A$2:$A$4001,0,-1)),J1599))</f>
        <v>3</v>
      </c>
      <c r="L1599" cm="1">
        <f t="array" ref="L1599">IF(OR(AND(K1599=9,L$1&gt;YEAR($N1599))),9,_xlfn.IFNA(INDEX($D$2:$D$4001,_xlfn.XMATCH(L$1&amp;"-"&amp;$F1599,YEAR($B$2:$B$4001)&amp;"-"&amp;$A$2:$A$4001,0,-1)),K1599))</f>
        <v>3</v>
      </c>
      <c r="M1599" cm="1">
        <f t="array" ref="M1599">IF(OR(AND(L1599=9,M$1&gt;YEAR($N1599))),9,_xlfn.IFNA(INDEX($D$2:$D$4001,_xlfn.XMATCH(M$1&amp;"-"&amp;$F1599,YEAR($B$2:$B$4001)&amp;"-"&amp;$A$2:$A$4001,0,-1)),L1599))</f>
        <v>3</v>
      </c>
      <c r="N1599" s="1">
        <f t="shared" si="24"/>
        <v>36306</v>
      </c>
    </row>
    <row r="1600" spans="1:14" x14ac:dyDescent="0.35">
      <c r="A1600">
        <v>753</v>
      </c>
      <c r="B1600" s="2">
        <v>36667</v>
      </c>
      <c r="C1600">
        <v>4</v>
      </c>
      <c r="D1600">
        <v>4</v>
      </c>
      <c r="F1600">
        <v>1599</v>
      </c>
      <c r="G1600" cm="1">
        <f t="array" ref="G1600">_xlfn.IFNA(INDEX($D$2:$D$4001,_xlfn.XMATCH(G$1&amp;"-"&amp;$F1600,YEAR($B$2:$B$4001)&amp;"-"&amp;$A$2:$A$4001,0,-1)),9)</f>
        <v>9</v>
      </c>
      <c r="H1600" cm="1">
        <f t="array" ref="H1600">IF(OR(AND(G1600=9,H$1&gt;YEAR($N1600))),9,_xlfn.IFNA(INDEX($D$2:$D$4001,_xlfn.XMATCH(H$1&amp;"-"&amp;$F1600,YEAR($B$2:$B$4001)&amp;"-"&amp;$A$2:$A$4001,0,-1)),G1600))</f>
        <v>3</v>
      </c>
      <c r="I1600" cm="1">
        <f t="array" ref="I1600">IF(OR(AND(H1600=9,I$1&gt;YEAR($N1600))),9,_xlfn.IFNA(INDEX($D$2:$D$4001,_xlfn.XMATCH(I$1&amp;"-"&amp;$F1600,YEAR($B$2:$B$4001)&amp;"-"&amp;$A$2:$A$4001,0,-1)),H1600))</f>
        <v>3</v>
      </c>
      <c r="J1600" cm="1">
        <f t="array" ref="J1600">IF(OR(AND(I1600=9,J$1&gt;YEAR($N1600))),9,_xlfn.IFNA(INDEX($D$2:$D$4001,_xlfn.XMATCH(J$1&amp;"-"&amp;$F1600,YEAR($B$2:$B$4001)&amp;"-"&amp;$A$2:$A$4001,0,-1)),I1600))</f>
        <v>3</v>
      </c>
      <c r="K1600" cm="1">
        <f t="array" ref="K1600">IF(OR(AND(J1600=9,K$1&gt;YEAR($N1600))),9,_xlfn.IFNA(INDEX($D$2:$D$4001,_xlfn.XMATCH(K$1&amp;"-"&amp;$F1600,YEAR($B$2:$B$4001)&amp;"-"&amp;$A$2:$A$4001,0,-1)),J1600))</f>
        <v>3</v>
      </c>
      <c r="L1600" cm="1">
        <f t="array" ref="L1600">IF(OR(AND(K1600=9,L$1&gt;YEAR($N1600))),9,_xlfn.IFNA(INDEX($D$2:$D$4001,_xlfn.XMATCH(L$1&amp;"-"&amp;$F1600,YEAR($B$2:$B$4001)&amp;"-"&amp;$A$2:$A$4001,0,-1)),K1600))</f>
        <v>3</v>
      </c>
      <c r="M1600" cm="1">
        <f t="array" ref="M1600">IF(OR(AND(L1600=9,M$1&gt;YEAR($N1600))),9,_xlfn.IFNA(INDEX($D$2:$D$4001,_xlfn.XMATCH(M$1&amp;"-"&amp;$F1600,YEAR($B$2:$B$4001)&amp;"-"&amp;$A$2:$A$4001,0,-1)),L1600))</f>
        <v>3</v>
      </c>
      <c r="N1600" s="1">
        <f t="shared" si="24"/>
        <v>36890</v>
      </c>
    </row>
    <row r="1601" spans="1:14" x14ac:dyDescent="0.35">
      <c r="A1601">
        <v>754</v>
      </c>
      <c r="B1601" s="2">
        <v>36676</v>
      </c>
      <c r="C1601">
        <v>6</v>
      </c>
      <c r="D1601">
        <v>6</v>
      </c>
      <c r="F1601">
        <v>1600</v>
      </c>
      <c r="G1601" cm="1">
        <f t="array" ref="G1601">_xlfn.IFNA(INDEX($D$2:$D$4001,_xlfn.XMATCH(G$1&amp;"-"&amp;$F1601,YEAR($B$2:$B$4001)&amp;"-"&amp;$A$2:$A$4001,0,-1)),9)</f>
        <v>5</v>
      </c>
      <c r="H1601" cm="1">
        <f t="array" ref="H1601">IF(OR(AND(G1601=9,H$1&gt;YEAR($N1601))),9,_xlfn.IFNA(INDEX($D$2:$D$4001,_xlfn.XMATCH(H$1&amp;"-"&amp;$F1601,YEAR($B$2:$B$4001)&amp;"-"&amp;$A$2:$A$4001,0,-1)),G1601))</f>
        <v>5</v>
      </c>
      <c r="I1601" cm="1">
        <f t="array" ref="I1601">IF(OR(AND(H1601=9,I$1&gt;YEAR($N1601))),9,_xlfn.IFNA(INDEX($D$2:$D$4001,_xlfn.XMATCH(I$1&amp;"-"&amp;$F1601,YEAR($B$2:$B$4001)&amp;"-"&amp;$A$2:$A$4001,0,-1)),H1601))</f>
        <v>5</v>
      </c>
      <c r="J1601" cm="1">
        <f t="array" ref="J1601">IF(OR(AND(I1601=9,J$1&gt;YEAR($N1601))),9,_xlfn.IFNA(INDEX($D$2:$D$4001,_xlfn.XMATCH(J$1&amp;"-"&amp;$F1601,YEAR($B$2:$B$4001)&amp;"-"&amp;$A$2:$A$4001,0,-1)),I1601))</f>
        <v>5</v>
      </c>
      <c r="K1601" cm="1">
        <f t="array" ref="K1601">IF(OR(AND(J1601=9,K$1&gt;YEAR($N1601))),9,_xlfn.IFNA(INDEX($D$2:$D$4001,_xlfn.XMATCH(K$1&amp;"-"&amp;$F1601,YEAR($B$2:$B$4001)&amp;"-"&amp;$A$2:$A$4001,0,-1)),J1601))</f>
        <v>4</v>
      </c>
      <c r="L1601" cm="1">
        <f t="array" ref="L1601">IF(OR(AND(K1601=9,L$1&gt;YEAR($N1601))),9,_xlfn.IFNA(INDEX($D$2:$D$4001,_xlfn.XMATCH(L$1&amp;"-"&amp;$F1601,YEAR($B$2:$B$4001)&amp;"-"&amp;$A$2:$A$4001,0,-1)),K1601))</f>
        <v>4</v>
      </c>
      <c r="M1601" cm="1">
        <f t="array" ref="M1601">IF(OR(AND(L1601=9,M$1&gt;YEAR($N1601))),9,_xlfn.IFNA(INDEX($D$2:$D$4001,_xlfn.XMATCH(M$1&amp;"-"&amp;$F1601,YEAR($B$2:$B$4001)&amp;"-"&amp;$A$2:$A$4001,0,-1)),L1601))</f>
        <v>4</v>
      </c>
      <c r="N1601" s="1">
        <f t="shared" si="24"/>
        <v>36341</v>
      </c>
    </row>
    <row r="1602" spans="1:14" x14ac:dyDescent="0.35">
      <c r="A1602">
        <v>755</v>
      </c>
      <c r="B1602" s="2">
        <v>37620</v>
      </c>
      <c r="C1602">
        <v>7</v>
      </c>
      <c r="D1602">
        <v>7</v>
      </c>
      <c r="F1602">
        <v>1601</v>
      </c>
      <c r="G1602" cm="1">
        <f t="array" ref="G1602">_xlfn.IFNA(INDEX($D$2:$D$4001,_xlfn.XMATCH(G$1&amp;"-"&amp;$F1602,YEAR($B$2:$B$4001)&amp;"-"&amp;$A$2:$A$4001,0,-1)),9)</f>
        <v>5</v>
      </c>
      <c r="H1602" cm="1">
        <f t="array" ref="H1602">IF(OR(AND(G1602=9,H$1&gt;YEAR($N1602))),9,_xlfn.IFNA(INDEX($D$2:$D$4001,_xlfn.XMATCH(H$1&amp;"-"&amp;$F1602,YEAR($B$2:$B$4001)&amp;"-"&amp;$A$2:$A$4001,0,-1)),G1602))</f>
        <v>5</v>
      </c>
      <c r="I1602" cm="1">
        <f t="array" ref="I1602">IF(OR(AND(H1602=9,I$1&gt;YEAR($N1602))),9,_xlfn.IFNA(INDEX($D$2:$D$4001,_xlfn.XMATCH(I$1&amp;"-"&amp;$F1602,YEAR($B$2:$B$4001)&amp;"-"&amp;$A$2:$A$4001,0,-1)),H1602))</f>
        <v>5</v>
      </c>
      <c r="J1602" cm="1">
        <f t="array" ref="J1602">IF(OR(AND(I1602=9,J$1&gt;YEAR($N1602))),9,_xlfn.IFNA(INDEX($D$2:$D$4001,_xlfn.XMATCH(J$1&amp;"-"&amp;$F1602,YEAR($B$2:$B$4001)&amp;"-"&amp;$A$2:$A$4001,0,-1)),I1602))</f>
        <v>5</v>
      </c>
      <c r="K1602" cm="1">
        <f t="array" ref="K1602">IF(OR(AND(J1602=9,K$1&gt;YEAR($N1602))),9,_xlfn.IFNA(INDEX($D$2:$D$4001,_xlfn.XMATCH(K$1&amp;"-"&amp;$F1602,YEAR($B$2:$B$4001)&amp;"-"&amp;$A$2:$A$4001,0,-1)),J1602))</f>
        <v>5</v>
      </c>
      <c r="L1602" cm="1">
        <f t="array" ref="L1602">IF(OR(AND(K1602=9,L$1&gt;YEAR($N1602))),9,_xlfn.IFNA(INDEX($D$2:$D$4001,_xlfn.XMATCH(L$1&amp;"-"&amp;$F1602,YEAR($B$2:$B$4001)&amp;"-"&amp;$A$2:$A$4001,0,-1)),K1602))</f>
        <v>5</v>
      </c>
      <c r="M1602" cm="1">
        <f t="array" ref="M1602">IF(OR(AND(L1602=9,M$1&gt;YEAR($N1602))),9,_xlfn.IFNA(INDEX($D$2:$D$4001,_xlfn.XMATCH(M$1&amp;"-"&amp;$F1602,YEAR($B$2:$B$4001)&amp;"-"&amp;$A$2:$A$4001,0,-1)),L1602))</f>
        <v>5</v>
      </c>
      <c r="N1602" s="1">
        <f t="shared" si="24"/>
        <v>36362</v>
      </c>
    </row>
    <row r="1603" spans="1:14" x14ac:dyDescent="0.35">
      <c r="A1603">
        <v>756</v>
      </c>
      <c r="B1603" s="2">
        <v>37133</v>
      </c>
      <c r="C1603">
        <v>5</v>
      </c>
      <c r="D1603">
        <v>5</v>
      </c>
      <c r="F1603">
        <v>1602</v>
      </c>
      <c r="G1603" cm="1">
        <f t="array" ref="G1603">_xlfn.IFNA(INDEX($D$2:$D$4001,_xlfn.XMATCH(G$1&amp;"-"&amp;$F1603,YEAR($B$2:$B$4001)&amp;"-"&amp;$A$2:$A$4001,0,-1)),9)</f>
        <v>9</v>
      </c>
      <c r="H1603" cm="1">
        <f t="array" ref="H1603">IF(OR(AND(G1603=9,H$1&gt;YEAR($N1603))),9,_xlfn.IFNA(INDEX($D$2:$D$4001,_xlfn.XMATCH(H$1&amp;"-"&amp;$F1603,YEAR($B$2:$B$4001)&amp;"-"&amp;$A$2:$A$4001,0,-1)),G1603))</f>
        <v>9</v>
      </c>
      <c r="I1603" cm="1">
        <f t="array" ref="I1603">IF(OR(AND(H1603=9,I$1&gt;YEAR($N1603))),9,_xlfn.IFNA(INDEX($D$2:$D$4001,_xlfn.XMATCH(I$1&amp;"-"&amp;$F1603,YEAR($B$2:$B$4001)&amp;"-"&amp;$A$2:$A$4001,0,-1)),H1603))</f>
        <v>9</v>
      </c>
      <c r="J1603" cm="1">
        <f t="array" ref="J1603">IF(OR(AND(I1603=9,J$1&gt;YEAR($N1603))),9,_xlfn.IFNA(INDEX($D$2:$D$4001,_xlfn.XMATCH(J$1&amp;"-"&amp;$F1603,YEAR($B$2:$B$4001)&amp;"-"&amp;$A$2:$A$4001,0,-1)),I1603))</f>
        <v>9</v>
      </c>
      <c r="K1603" cm="1">
        <f t="array" ref="K1603">IF(OR(AND(J1603=9,K$1&gt;YEAR($N1603))),9,_xlfn.IFNA(INDEX($D$2:$D$4001,_xlfn.XMATCH(K$1&amp;"-"&amp;$F1603,YEAR($B$2:$B$4001)&amp;"-"&amp;$A$2:$A$4001,0,-1)),J1603))</f>
        <v>9</v>
      </c>
      <c r="L1603" cm="1">
        <f t="array" ref="L1603">IF(OR(AND(K1603=9,L$1&gt;YEAR($N1603))),9,_xlfn.IFNA(INDEX($D$2:$D$4001,_xlfn.XMATCH(L$1&amp;"-"&amp;$F1603,YEAR($B$2:$B$4001)&amp;"-"&amp;$A$2:$A$4001,0,-1)),K1603))</f>
        <v>6</v>
      </c>
      <c r="M1603" cm="1">
        <f t="array" ref="M1603">IF(OR(AND(L1603=9,M$1&gt;YEAR($N1603))),9,_xlfn.IFNA(INDEX($D$2:$D$4001,_xlfn.XMATCH(M$1&amp;"-"&amp;$F1603,YEAR($B$2:$B$4001)&amp;"-"&amp;$A$2:$A$4001,0,-1)),L1603))</f>
        <v>6</v>
      </c>
      <c r="N1603" s="1">
        <f t="shared" ref="N1603:N1666" si="25">_xlfn.MINIFS($B$2:$B$4001,$A$2:$A$4001,F1603)</f>
        <v>38198</v>
      </c>
    </row>
    <row r="1604" spans="1:14" x14ac:dyDescent="0.35">
      <c r="A1604">
        <v>756</v>
      </c>
      <c r="B1604" s="2">
        <v>37397</v>
      </c>
      <c r="C1604">
        <v>4</v>
      </c>
      <c r="D1604">
        <v>4</v>
      </c>
      <c r="F1604">
        <v>1603</v>
      </c>
      <c r="G1604" cm="1">
        <f t="array" ref="G1604">_xlfn.IFNA(INDEX($D$2:$D$4001,_xlfn.XMATCH(G$1&amp;"-"&amp;$F1604,YEAR($B$2:$B$4001)&amp;"-"&amp;$A$2:$A$4001,0,-1)),9)</f>
        <v>9</v>
      </c>
      <c r="H1604" cm="1">
        <f t="array" ref="H1604">IF(OR(AND(G1604=9,H$1&gt;YEAR($N1604))),9,_xlfn.IFNA(INDEX($D$2:$D$4001,_xlfn.XMATCH(H$1&amp;"-"&amp;$F1604,YEAR($B$2:$B$4001)&amp;"-"&amp;$A$2:$A$4001,0,-1)),G1604))</f>
        <v>9</v>
      </c>
      <c r="I1604" cm="1">
        <f t="array" ref="I1604">IF(OR(AND(H1604=9,I$1&gt;YEAR($N1604))),9,_xlfn.IFNA(INDEX($D$2:$D$4001,_xlfn.XMATCH(I$1&amp;"-"&amp;$F1604,YEAR($B$2:$B$4001)&amp;"-"&amp;$A$2:$A$4001,0,-1)),H1604))</f>
        <v>9</v>
      </c>
      <c r="J1604" cm="1">
        <f t="array" ref="J1604">IF(OR(AND(I1604=9,J$1&gt;YEAR($N1604))),9,_xlfn.IFNA(INDEX($D$2:$D$4001,_xlfn.XMATCH(J$1&amp;"-"&amp;$F1604,YEAR($B$2:$B$4001)&amp;"-"&amp;$A$2:$A$4001,0,-1)),I1604))</f>
        <v>9</v>
      </c>
      <c r="K1604" cm="1">
        <f t="array" ref="K1604">IF(OR(AND(J1604=9,K$1&gt;YEAR($N1604))),9,_xlfn.IFNA(INDEX($D$2:$D$4001,_xlfn.XMATCH(K$1&amp;"-"&amp;$F1604,YEAR($B$2:$B$4001)&amp;"-"&amp;$A$2:$A$4001,0,-1)),J1604))</f>
        <v>9</v>
      </c>
      <c r="L1604" cm="1">
        <f t="array" ref="L1604">IF(OR(AND(K1604=9,L$1&gt;YEAR($N1604))),9,_xlfn.IFNA(INDEX($D$2:$D$4001,_xlfn.XMATCH(L$1&amp;"-"&amp;$F1604,YEAR($B$2:$B$4001)&amp;"-"&amp;$A$2:$A$4001,0,-1)),K1604))</f>
        <v>0</v>
      </c>
      <c r="M1604" cm="1">
        <f t="array" ref="M1604">IF(OR(AND(L1604=9,M$1&gt;YEAR($N1604))),9,_xlfn.IFNA(INDEX($D$2:$D$4001,_xlfn.XMATCH(M$1&amp;"-"&amp;$F1604,YEAR($B$2:$B$4001)&amp;"-"&amp;$A$2:$A$4001,0,-1)),L1604))</f>
        <v>0</v>
      </c>
      <c r="N1604" s="1">
        <f t="shared" si="25"/>
        <v>38137</v>
      </c>
    </row>
    <row r="1605" spans="1:14" x14ac:dyDescent="0.35">
      <c r="A1605">
        <v>756</v>
      </c>
      <c r="B1605" s="2">
        <v>38281</v>
      </c>
      <c r="C1605">
        <v>4</v>
      </c>
      <c r="D1605">
        <v>4</v>
      </c>
      <c r="F1605">
        <v>1604</v>
      </c>
      <c r="G1605" cm="1">
        <f t="array" ref="G1605">_xlfn.IFNA(INDEX($D$2:$D$4001,_xlfn.XMATCH(G$1&amp;"-"&amp;$F1605,YEAR($B$2:$B$4001)&amp;"-"&amp;$A$2:$A$4001,0,-1)),9)</f>
        <v>9</v>
      </c>
      <c r="H1605" cm="1">
        <f t="array" ref="H1605">IF(OR(AND(G1605=9,H$1&gt;YEAR($N1605))),9,_xlfn.IFNA(INDEX($D$2:$D$4001,_xlfn.XMATCH(H$1&amp;"-"&amp;$F1605,YEAR($B$2:$B$4001)&amp;"-"&amp;$A$2:$A$4001,0,-1)),G1605))</f>
        <v>9</v>
      </c>
      <c r="I1605" cm="1">
        <f t="array" ref="I1605">IF(OR(AND(H1605=9,I$1&gt;YEAR($N1605))),9,_xlfn.IFNA(INDEX($D$2:$D$4001,_xlfn.XMATCH(I$1&amp;"-"&amp;$F1605,YEAR($B$2:$B$4001)&amp;"-"&amp;$A$2:$A$4001,0,-1)),H1605))</f>
        <v>9</v>
      </c>
      <c r="J1605" cm="1">
        <f t="array" ref="J1605">IF(OR(AND(I1605=9,J$1&gt;YEAR($N1605))),9,_xlfn.IFNA(INDEX($D$2:$D$4001,_xlfn.XMATCH(J$1&amp;"-"&amp;$F1605,YEAR($B$2:$B$4001)&amp;"-"&amp;$A$2:$A$4001,0,-1)),I1605))</f>
        <v>9</v>
      </c>
      <c r="K1605" cm="1">
        <f t="array" ref="K1605">IF(OR(AND(J1605=9,K$1&gt;YEAR($N1605))),9,_xlfn.IFNA(INDEX($D$2:$D$4001,_xlfn.XMATCH(K$1&amp;"-"&amp;$F1605,YEAR($B$2:$B$4001)&amp;"-"&amp;$A$2:$A$4001,0,-1)),J1605))</f>
        <v>3</v>
      </c>
      <c r="L1605" cm="1">
        <f t="array" ref="L1605">IF(OR(AND(K1605=9,L$1&gt;YEAR($N1605))),9,_xlfn.IFNA(INDEX($D$2:$D$4001,_xlfn.XMATCH(L$1&amp;"-"&amp;$F1605,YEAR($B$2:$B$4001)&amp;"-"&amp;$A$2:$A$4001,0,-1)),K1605))</f>
        <v>4</v>
      </c>
      <c r="M1605" cm="1">
        <f t="array" ref="M1605">IF(OR(AND(L1605=9,M$1&gt;YEAR($N1605))),9,_xlfn.IFNA(INDEX($D$2:$D$4001,_xlfn.XMATCH(M$1&amp;"-"&amp;$F1605,YEAR($B$2:$B$4001)&amp;"-"&amp;$A$2:$A$4001,0,-1)),L1605))</f>
        <v>4</v>
      </c>
      <c r="N1605" s="1">
        <f t="shared" si="25"/>
        <v>37802</v>
      </c>
    </row>
    <row r="1606" spans="1:14" x14ac:dyDescent="0.35">
      <c r="A1606">
        <v>757</v>
      </c>
      <c r="B1606" s="2">
        <v>38128</v>
      </c>
      <c r="C1606">
        <v>0</v>
      </c>
      <c r="D1606">
        <v>0</v>
      </c>
      <c r="F1606">
        <v>1605</v>
      </c>
      <c r="G1606" cm="1">
        <f t="array" ref="G1606">_xlfn.IFNA(INDEX($D$2:$D$4001,_xlfn.XMATCH(G$1&amp;"-"&amp;$F1606,YEAR($B$2:$B$4001)&amp;"-"&amp;$A$2:$A$4001,0,-1)),9)</f>
        <v>9</v>
      </c>
      <c r="H1606" cm="1">
        <f t="array" ref="H1606">IF(OR(AND(G1606=9,H$1&gt;YEAR($N1606))),9,_xlfn.IFNA(INDEX($D$2:$D$4001,_xlfn.XMATCH(H$1&amp;"-"&amp;$F1606,YEAR($B$2:$B$4001)&amp;"-"&amp;$A$2:$A$4001,0,-1)),G1606))</f>
        <v>9</v>
      </c>
      <c r="I1606" cm="1">
        <f t="array" ref="I1606">IF(OR(AND(H1606=9,I$1&gt;YEAR($N1606))),9,_xlfn.IFNA(INDEX($D$2:$D$4001,_xlfn.XMATCH(I$1&amp;"-"&amp;$F1606,YEAR($B$2:$B$4001)&amp;"-"&amp;$A$2:$A$4001,0,-1)),H1606))</f>
        <v>2</v>
      </c>
      <c r="J1606" cm="1">
        <f t="array" ref="J1606">IF(OR(AND(I1606=9,J$1&gt;YEAR($N1606))),9,_xlfn.IFNA(INDEX($D$2:$D$4001,_xlfn.XMATCH(J$1&amp;"-"&amp;$F1606,YEAR($B$2:$B$4001)&amp;"-"&amp;$A$2:$A$4001,0,-1)),I1606))</f>
        <v>3</v>
      </c>
      <c r="K1606" cm="1">
        <f t="array" ref="K1606">IF(OR(AND(J1606=9,K$1&gt;YEAR($N1606))),9,_xlfn.IFNA(INDEX($D$2:$D$4001,_xlfn.XMATCH(K$1&amp;"-"&amp;$F1606,YEAR($B$2:$B$4001)&amp;"-"&amp;$A$2:$A$4001,0,-1)),J1606))</f>
        <v>3</v>
      </c>
      <c r="L1606" cm="1">
        <f t="array" ref="L1606">IF(OR(AND(K1606=9,L$1&gt;YEAR($N1606))),9,_xlfn.IFNA(INDEX($D$2:$D$4001,_xlfn.XMATCH(L$1&amp;"-"&amp;$F1606,YEAR($B$2:$B$4001)&amp;"-"&amp;$A$2:$A$4001,0,-1)),K1606))</f>
        <v>3</v>
      </c>
      <c r="M1606" cm="1">
        <f t="array" ref="M1606">IF(OR(AND(L1606=9,M$1&gt;YEAR($N1606))),9,_xlfn.IFNA(INDEX($D$2:$D$4001,_xlfn.XMATCH(M$1&amp;"-"&amp;$F1606,YEAR($B$2:$B$4001)&amp;"-"&amp;$A$2:$A$4001,0,-1)),L1606))</f>
        <v>3</v>
      </c>
      <c r="N1606" s="1">
        <f t="shared" si="25"/>
        <v>37255</v>
      </c>
    </row>
    <row r="1607" spans="1:14" x14ac:dyDescent="0.35">
      <c r="A1607">
        <v>758</v>
      </c>
      <c r="B1607" s="2">
        <v>36890</v>
      </c>
      <c r="C1607">
        <v>0</v>
      </c>
      <c r="D1607">
        <v>0</v>
      </c>
      <c r="F1607">
        <v>1606</v>
      </c>
      <c r="G1607" cm="1">
        <f t="array" ref="G1607">_xlfn.IFNA(INDEX($D$2:$D$4001,_xlfn.XMATCH(G$1&amp;"-"&amp;$F1607,YEAR($B$2:$B$4001)&amp;"-"&amp;$A$2:$A$4001,0,-1)),9)</f>
        <v>9</v>
      </c>
      <c r="H1607" cm="1">
        <f t="array" ref="H1607">IF(OR(AND(G1607=9,H$1&gt;YEAR($N1607))),9,_xlfn.IFNA(INDEX($D$2:$D$4001,_xlfn.XMATCH(H$1&amp;"-"&amp;$F1607,YEAR($B$2:$B$4001)&amp;"-"&amp;$A$2:$A$4001,0,-1)),G1607))</f>
        <v>9</v>
      </c>
      <c r="I1607" cm="1">
        <f t="array" ref="I1607">IF(OR(AND(H1607=9,I$1&gt;YEAR($N1607))),9,_xlfn.IFNA(INDEX($D$2:$D$4001,_xlfn.XMATCH(I$1&amp;"-"&amp;$F1607,YEAR($B$2:$B$4001)&amp;"-"&amp;$A$2:$A$4001,0,-1)),H1607))</f>
        <v>3</v>
      </c>
      <c r="J1607" cm="1">
        <f t="array" ref="J1607">IF(OR(AND(I1607=9,J$1&gt;YEAR($N1607))),9,_xlfn.IFNA(INDEX($D$2:$D$4001,_xlfn.XMATCH(J$1&amp;"-"&amp;$F1607,YEAR($B$2:$B$4001)&amp;"-"&amp;$A$2:$A$4001,0,-1)),I1607))</f>
        <v>3</v>
      </c>
      <c r="K1607" cm="1">
        <f t="array" ref="K1607">IF(OR(AND(J1607=9,K$1&gt;YEAR($N1607))),9,_xlfn.IFNA(INDEX($D$2:$D$4001,_xlfn.XMATCH(K$1&amp;"-"&amp;$F1607,YEAR($B$2:$B$4001)&amp;"-"&amp;$A$2:$A$4001,0,-1)),J1607))</f>
        <v>3</v>
      </c>
      <c r="L1607" cm="1">
        <f t="array" ref="L1607">IF(OR(AND(K1607=9,L$1&gt;YEAR($N1607))),9,_xlfn.IFNA(INDEX($D$2:$D$4001,_xlfn.XMATCH(L$1&amp;"-"&amp;$F1607,YEAR($B$2:$B$4001)&amp;"-"&amp;$A$2:$A$4001,0,-1)),K1607))</f>
        <v>3</v>
      </c>
      <c r="M1607" cm="1">
        <f t="array" ref="M1607">IF(OR(AND(L1607=9,M$1&gt;YEAR($N1607))),9,_xlfn.IFNA(INDEX($D$2:$D$4001,_xlfn.XMATCH(M$1&amp;"-"&amp;$F1607,YEAR($B$2:$B$4001)&amp;"-"&amp;$A$2:$A$4001,0,-1)),L1607))</f>
        <v>3</v>
      </c>
      <c r="N1607" s="1">
        <f t="shared" si="25"/>
        <v>37093</v>
      </c>
    </row>
    <row r="1608" spans="1:14" x14ac:dyDescent="0.35">
      <c r="A1608">
        <v>759</v>
      </c>
      <c r="B1608" s="2">
        <v>36524</v>
      </c>
      <c r="C1608">
        <v>5</v>
      </c>
      <c r="D1608">
        <v>5</v>
      </c>
      <c r="F1608">
        <v>1607</v>
      </c>
      <c r="G1608" cm="1">
        <f t="array" ref="G1608">_xlfn.IFNA(INDEX($D$2:$D$4001,_xlfn.XMATCH(G$1&amp;"-"&amp;$F1608,YEAR($B$2:$B$4001)&amp;"-"&amp;$A$2:$A$4001,0,-1)),9)</f>
        <v>9</v>
      </c>
      <c r="H1608" cm="1">
        <f t="array" ref="H1608">IF(OR(AND(G1608=9,H$1&gt;YEAR($N1608))),9,_xlfn.IFNA(INDEX($D$2:$D$4001,_xlfn.XMATCH(H$1&amp;"-"&amp;$F1608,YEAR($B$2:$B$4001)&amp;"-"&amp;$A$2:$A$4001,0,-1)),G1608))</f>
        <v>9</v>
      </c>
      <c r="I1608" cm="1">
        <f t="array" ref="I1608">IF(OR(AND(H1608=9,I$1&gt;YEAR($N1608))),9,_xlfn.IFNA(INDEX($D$2:$D$4001,_xlfn.XMATCH(I$1&amp;"-"&amp;$F1608,YEAR($B$2:$B$4001)&amp;"-"&amp;$A$2:$A$4001,0,-1)),H1608))</f>
        <v>9</v>
      </c>
      <c r="J1608" cm="1">
        <f t="array" ref="J1608">IF(OR(AND(I1608=9,J$1&gt;YEAR($N1608))),9,_xlfn.IFNA(INDEX($D$2:$D$4001,_xlfn.XMATCH(J$1&amp;"-"&amp;$F1608,YEAR($B$2:$B$4001)&amp;"-"&amp;$A$2:$A$4001,0,-1)),I1608))</f>
        <v>9</v>
      </c>
      <c r="K1608" cm="1">
        <f t="array" ref="K1608">IF(OR(AND(J1608=9,K$1&gt;YEAR($N1608))),9,_xlfn.IFNA(INDEX($D$2:$D$4001,_xlfn.XMATCH(K$1&amp;"-"&amp;$F1608,YEAR($B$2:$B$4001)&amp;"-"&amp;$A$2:$A$4001,0,-1)),J1608))</f>
        <v>9</v>
      </c>
      <c r="L1608" cm="1">
        <f t="array" ref="L1608">IF(OR(AND(K1608=9,L$1&gt;YEAR($N1608))),9,_xlfn.IFNA(INDEX($D$2:$D$4001,_xlfn.XMATCH(L$1&amp;"-"&amp;$F1608,YEAR($B$2:$B$4001)&amp;"-"&amp;$A$2:$A$4001,0,-1)),K1608))</f>
        <v>9</v>
      </c>
      <c r="M1608" cm="1">
        <f t="array" ref="M1608">IF(OR(AND(L1608=9,M$1&gt;YEAR($N1608))),9,_xlfn.IFNA(INDEX($D$2:$D$4001,_xlfn.XMATCH(M$1&amp;"-"&amp;$F1608,YEAR($B$2:$B$4001)&amp;"-"&amp;$A$2:$A$4001,0,-1)),L1608))</f>
        <v>4</v>
      </c>
      <c r="N1608" s="1">
        <f t="shared" si="25"/>
        <v>38502</v>
      </c>
    </row>
    <row r="1609" spans="1:14" x14ac:dyDescent="0.35">
      <c r="A1609">
        <v>760</v>
      </c>
      <c r="B1609" s="2">
        <v>38137</v>
      </c>
      <c r="C1609">
        <v>3</v>
      </c>
      <c r="D1609">
        <v>3</v>
      </c>
      <c r="F1609">
        <v>1608</v>
      </c>
      <c r="G1609" cm="1">
        <f t="array" ref="G1609">_xlfn.IFNA(INDEX($D$2:$D$4001,_xlfn.XMATCH(G$1&amp;"-"&amp;$F1609,YEAR($B$2:$B$4001)&amp;"-"&amp;$A$2:$A$4001,0,-1)),9)</f>
        <v>9</v>
      </c>
      <c r="H1609" cm="1">
        <f t="array" ref="H1609">IF(OR(AND(G1609=9,H$1&gt;YEAR($N1609))),9,_xlfn.IFNA(INDEX($D$2:$D$4001,_xlfn.XMATCH(H$1&amp;"-"&amp;$F1609,YEAR($B$2:$B$4001)&amp;"-"&amp;$A$2:$A$4001,0,-1)),G1609))</f>
        <v>9</v>
      </c>
      <c r="I1609" cm="1">
        <f t="array" ref="I1609">IF(OR(AND(H1609=9,I$1&gt;YEAR($N1609))),9,_xlfn.IFNA(INDEX($D$2:$D$4001,_xlfn.XMATCH(I$1&amp;"-"&amp;$F1609,YEAR($B$2:$B$4001)&amp;"-"&amp;$A$2:$A$4001,0,-1)),H1609))</f>
        <v>9</v>
      </c>
      <c r="J1609" cm="1">
        <f t="array" ref="J1609">IF(OR(AND(I1609=9,J$1&gt;YEAR($N1609))),9,_xlfn.IFNA(INDEX($D$2:$D$4001,_xlfn.XMATCH(J$1&amp;"-"&amp;$F1609,YEAR($B$2:$B$4001)&amp;"-"&amp;$A$2:$A$4001,0,-1)),I1609))</f>
        <v>9</v>
      </c>
      <c r="K1609" cm="1">
        <f t="array" ref="K1609">IF(OR(AND(J1609=9,K$1&gt;YEAR($N1609))),9,_xlfn.IFNA(INDEX($D$2:$D$4001,_xlfn.XMATCH(K$1&amp;"-"&amp;$F1609,YEAR($B$2:$B$4001)&amp;"-"&amp;$A$2:$A$4001,0,-1)),J1609))</f>
        <v>2</v>
      </c>
      <c r="L1609" cm="1">
        <f t="array" ref="L1609">IF(OR(AND(K1609=9,L$1&gt;YEAR($N1609))),9,_xlfn.IFNA(INDEX($D$2:$D$4001,_xlfn.XMATCH(L$1&amp;"-"&amp;$F1609,YEAR($B$2:$B$4001)&amp;"-"&amp;$A$2:$A$4001,0,-1)),K1609))</f>
        <v>2</v>
      </c>
      <c r="M1609" cm="1">
        <f t="array" ref="M1609">IF(OR(AND(L1609=9,M$1&gt;YEAR($N1609))),9,_xlfn.IFNA(INDEX($D$2:$D$4001,_xlfn.XMATCH(M$1&amp;"-"&amp;$F1609,YEAR($B$2:$B$4001)&amp;"-"&amp;$A$2:$A$4001,0,-1)),L1609))</f>
        <v>2</v>
      </c>
      <c r="N1609" s="1">
        <f t="shared" si="25"/>
        <v>37762</v>
      </c>
    </row>
    <row r="1610" spans="1:14" x14ac:dyDescent="0.35">
      <c r="A1610">
        <v>761</v>
      </c>
      <c r="B1610" s="2">
        <v>37397</v>
      </c>
      <c r="C1610">
        <v>3</v>
      </c>
      <c r="D1610">
        <v>3</v>
      </c>
      <c r="F1610">
        <v>1609</v>
      </c>
      <c r="G1610" cm="1">
        <f t="array" ref="G1610">_xlfn.IFNA(INDEX($D$2:$D$4001,_xlfn.XMATCH(G$1&amp;"-"&amp;$F1610,YEAR($B$2:$B$4001)&amp;"-"&amp;$A$2:$A$4001,0,-1)),9)</f>
        <v>8</v>
      </c>
      <c r="H1610" cm="1">
        <f t="array" ref="H1610">IF(OR(AND(G1610=9,H$1&gt;YEAR($N1610))),9,_xlfn.IFNA(INDEX($D$2:$D$4001,_xlfn.XMATCH(H$1&amp;"-"&amp;$F1610,YEAR($B$2:$B$4001)&amp;"-"&amp;$A$2:$A$4001,0,-1)),G1610))</f>
        <v>8</v>
      </c>
      <c r="I1610" cm="1">
        <f t="array" ref="I1610">IF(OR(AND(H1610=9,I$1&gt;YEAR($N1610))),9,_xlfn.IFNA(INDEX($D$2:$D$4001,_xlfn.XMATCH(I$1&amp;"-"&amp;$F1610,YEAR($B$2:$B$4001)&amp;"-"&amp;$A$2:$A$4001,0,-1)),H1610))</f>
        <v>8</v>
      </c>
      <c r="J1610" cm="1">
        <f t="array" ref="J1610">IF(OR(AND(I1610=9,J$1&gt;YEAR($N1610))),9,_xlfn.IFNA(INDEX($D$2:$D$4001,_xlfn.XMATCH(J$1&amp;"-"&amp;$F1610,YEAR($B$2:$B$4001)&amp;"-"&amp;$A$2:$A$4001,0,-1)),I1610))</f>
        <v>8</v>
      </c>
      <c r="K1610" cm="1">
        <f t="array" ref="K1610">IF(OR(AND(J1610=9,K$1&gt;YEAR($N1610))),9,_xlfn.IFNA(INDEX($D$2:$D$4001,_xlfn.XMATCH(K$1&amp;"-"&amp;$F1610,YEAR($B$2:$B$4001)&amp;"-"&amp;$A$2:$A$4001,0,-1)),J1610))</f>
        <v>8</v>
      </c>
      <c r="L1610" cm="1">
        <f t="array" ref="L1610">IF(OR(AND(K1610=9,L$1&gt;YEAR($N1610))),9,_xlfn.IFNA(INDEX($D$2:$D$4001,_xlfn.XMATCH(L$1&amp;"-"&amp;$F1610,YEAR($B$2:$B$4001)&amp;"-"&amp;$A$2:$A$4001,0,-1)),K1610))</f>
        <v>8</v>
      </c>
      <c r="M1610" cm="1">
        <f t="array" ref="M1610">IF(OR(AND(L1610=9,M$1&gt;YEAR($N1610))),9,_xlfn.IFNA(INDEX($D$2:$D$4001,_xlfn.XMATCH(M$1&amp;"-"&amp;$F1610,YEAR($B$2:$B$4001)&amp;"-"&amp;$A$2:$A$4001,0,-1)),L1610))</f>
        <v>8</v>
      </c>
      <c r="N1610" s="1">
        <f t="shared" si="25"/>
        <v>36362</v>
      </c>
    </row>
    <row r="1611" spans="1:14" x14ac:dyDescent="0.35">
      <c r="A1611">
        <v>762</v>
      </c>
      <c r="B1611" s="2">
        <v>37255</v>
      </c>
      <c r="C1611">
        <v>0</v>
      </c>
      <c r="D1611">
        <v>0</v>
      </c>
      <c r="F1611">
        <v>1610</v>
      </c>
      <c r="G1611" cm="1">
        <f t="array" ref="G1611">_xlfn.IFNA(INDEX($D$2:$D$4001,_xlfn.XMATCH(G$1&amp;"-"&amp;$F1611,YEAR($B$2:$B$4001)&amp;"-"&amp;$A$2:$A$4001,0,-1)),9)</f>
        <v>9</v>
      </c>
      <c r="H1611" cm="1">
        <f t="array" ref="H1611">IF(OR(AND(G1611=9,H$1&gt;YEAR($N1611))),9,_xlfn.IFNA(INDEX($D$2:$D$4001,_xlfn.XMATCH(H$1&amp;"-"&amp;$F1611,YEAR($B$2:$B$4001)&amp;"-"&amp;$A$2:$A$4001,0,-1)),G1611))</f>
        <v>9</v>
      </c>
      <c r="I1611" cm="1">
        <f t="array" ref="I1611">IF(OR(AND(H1611=9,I$1&gt;YEAR($N1611))),9,_xlfn.IFNA(INDEX($D$2:$D$4001,_xlfn.XMATCH(I$1&amp;"-"&amp;$F1611,YEAR($B$2:$B$4001)&amp;"-"&amp;$A$2:$A$4001,0,-1)),H1611))</f>
        <v>9</v>
      </c>
      <c r="J1611" cm="1">
        <f t="array" ref="J1611">IF(OR(AND(I1611=9,J$1&gt;YEAR($N1611))),9,_xlfn.IFNA(INDEX($D$2:$D$4001,_xlfn.XMATCH(J$1&amp;"-"&amp;$F1611,YEAR($B$2:$B$4001)&amp;"-"&amp;$A$2:$A$4001,0,-1)),I1611))</f>
        <v>6</v>
      </c>
      <c r="K1611" cm="1">
        <f t="array" ref="K1611">IF(OR(AND(J1611=9,K$1&gt;YEAR($N1611))),9,_xlfn.IFNA(INDEX($D$2:$D$4001,_xlfn.XMATCH(K$1&amp;"-"&amp;$F1611,YEAR($B$2:$B$4001)&amp;"-"&amp;$A$2:$A$4001,0,-1)),J1611))</f>
        <v>6</v>
      </c>
      <c r="L1611" cm="1">
        <f t="array" ref="L1611">IF(OR(AND(K1611=9,L$1&gt;YEAR($N1611))),9,_xlfn.IFNA(INDEX($D$2:$D$4001,_xlfn.XMATCH(L$1&amp;"-"&amp;$F1611,YEAR($B$2:$B$4001)&amp;"-"&amp;$A$2:$A$4001,0,-1)),K1611))</f>
        <v>6</v>
      </c>
      <c r="M1611" cm="1">
        <f t="array" ref="M1611">IF(OR(AND(L1611=9,M$1&gt;YEAR($N1611))),9,_xlfn.IFNA(INDEX($D$2:$D$4001,_xlfn.XMATCH(M$1&amp;"-"&amp;$F1611,YEAR($B$2:$B$4001)&amp;"-"&amp;$A$2:$A$4001,0,-1)),L1611))</f>
        <v>6</v>
      </c>
      <c r="N1611" s="1">
        <f t="shared" si="25"/>
        <v>37581</v>
      </c>
    </row>
    <row r="1612" spans="1:14" x14ac:dyDescent="0.35">
      <c r="A1612">
        <v>763</v>
      </c>
      <c r="B1612" s="2">
        <v>37032</v>
      </c>
      <c r="C1612">
        <v>4</v>
      </c>
      <c r="D1612">
        <v>4</v>
      </c>
      <c r="F1612">
        <v>1611</v>
      </c>
      <c r="G1612" cm="1">
        <f t="array" ref="G1612">_xlfn.IFNA(INDEX($D$2:$D$4001,_xlfn.XMATCH(G$1&amp;"-"&amp;$F1612,YEAR($B$2:$B$4001)&amp;"-"&amp;$A$2:$A$4001,0,-1)),9)</f>
        <v>9</v>
      </c>
      <c r="H1612" cm="1">
        <f t="array" ref="H1612">IF(OR(AND(G1612=9,H$1&gt;YEAR($N1612))),9,_xlfn.IFNA(INDEX($D$2:$D$4001,_xlfn.XMATCH(H$1&amp;"-"&amp;$F1612,YEAR($B$2:$B$4001)&amp;"-"&amp;$A$2:$A$4001,0,-1)),G1612))</f>
        <v>9</v>
      </c>
      <c r="I1612" cm="1">
        <f t="array" ref="I1612">IF(OR(AND(H1612=9,I$1&gt;YEAR($N1612))),9,_xlfn.IFNA(INDEX($D$2:$D$4001,_xlfn.XMATCH(I$1&amp;"-"&amp;$F1612,YEAR($B$2:$B$4001)&amp;"-"&amp;$A$2:$A$4001,0,-1)),H1612))</f>
        <v>9</v>
      </c>
      <c r="J1612" cm="1">
        <f t="array" ref="J1612">IF(OR(AND(I1612=9,J$1&gt;YEAR($N1612))),9,_xlfn.IFNA(INDEX($D$2:$D$4001,_xlfn.XMATCH(J$1&amp;"-"&amp;$F1612,YEAR($B$2:$B$4001)&amp;"-"&amp;$A$2:$A$4001,0,-1)),I1612))</f>
        <v>9</v>
      </c>
      <c r="K1612" cm="1">
        <f t="array" ref="K1612">IF(OR(AND(J1612=9,K$1&gt;YEAR($N1612))),9,_xlfn.IFNA(INDEX($D$2:$D$4001,_xlfn.XMATCH(K$1&amp;"-"&amp;$F1612,YEAR($B$2:$B$4001)&amp;"-"&amp;$A$2:$A$4001,0,-1)),J1612))</f>
        <v>9</v>
      </c>
      <c r="L1612" cm="1">
        <f t="array" ref="L1612">IF(OR(AND(K1612=9,L$1&gt;YEAR($N1612))),9,_xlfn.IFNA(INDEX($D$2:$D$4001,_xlfn.XMATCH(L$1&amp;"-"&amp;$F1612,YEAR($B$2:$B$4001)&amp;"-"&amp;$A$2:$A$4001,0,-1)),K1612))</f>
        <v>0</v>
      </c>
      <c r="M1612" cm="1">
        <f t="array" ref="M1612">IF(OR(AND(L1612=9,M$1&gt;YEAR($N1612))),9,_xlfn.IFNA(INDEX($D$2:$D$4001,_xlfn.XMATCH(M$1&amp;"-"&amp;$F1612,YEAR($B$2:$B$4001)&amp;"-"&amp;$A$2:$A$4001,0,-1)),L1612))</f>
        <v>0</v>
      </c>
      <c r="N1612" s="1">
        <f t="shared" si="25"/>
        <v>38137</v>
      </c>
    </row>
    <row r="1613" spans="1:14" x14ac:dyDescent="0.35">
      <c r="A1613">
        <v>764</v>
      </c>
      <c r="B1613" s="2">
        <v>36524</v>
      </c>
      <c r="C1613">
        <v>8</v>
      </c>
      <c r="D1613">
        <v>8</v>
      </c>
      <c r="F1613">
        <v>1612</v>
      </c>
      <c r="G1613" cm="1">
        <f t="array" ref="G1613">_xlfn.IFNA(INDEX($D$2:$D$4001,_xlfn.XMATCH(G$1&amp;"-"&amp;$F1613,YEAR($B$2:$B$4001)&amp;"-"&amp;$A$2:$A$4001,0,-1)),9)</f>
        <v>9</v>
      </c>
      <c r="H1613" cm="1">
        <f t="array" ref="H1613">IF(OR(AND(G1613=9,H$1&gt;YEAR($N1613))),9,_xlfn.IFNA(INDEX($D$2:$D$4001,_xlfn.XMATCH(H$1&amp;"-"&amp;$F1613,YEAR($B$2:$B$4001)&amp;"-"&amp;$A$2:$A$4001,0,-1)),G1613))</f>
        <v>5</v>
      </c>
      <c r="I1613" cm="1">
        <f t="array" ref="I1613">IF(OR(AND(H1613=9,I$1&gt;YEAR($N1613))),9,_xlfn.IFNA(INDEX($D$2:$D$4001,_xlfn.XMATCH(I$1&amp;"-"&amp;$F1613,YEAR($B$2:$B$4001)&amp;"-"&amp;$A$2:$A$4001,0,-1)),H1613))</f>
        <v>5</v>
      </c>
      <c r="J1613" cm="1">
        <f t="array" ref="J1613">IF(OR(AND(I1613=9,J$1&gt;YEAR($N1613))),9,_xlfn.IFNA(INDEX($D$2:$D$4001,_xlfn.XMATCH(J$1&amp;"-"&amp;$F1613,YEAR($B$2:$B$4001)&amp;"-"&amp;$A$2:$A$4001,0,-1)),I1613))</f>
        <v>5</v>
      </c>
      <c r="K1613" cm="1">
        <f t="array" ref="K1613">IF(OR(AND(J1613=9,K$1&gt;YEAR($N1613))),9,_xlfn.IFNA(INDEX($D$2:$D$4001,_xlfn.XMATCH(K$1&amp;"-"&amp;$F1613,YEAR($B$2:$B$4001)&amp;"-"&amp;$A$2:$A$4001,0,-1)),J1613))</f>
        <v>0</v>
      </c>
      <c r="L1613" cm="1">
        <f t="array" ref="L1613">IF(OR(AND(K1613=9,L$1&gt;YEAR($N1613))),9,_xlfn.IFNA(INDEX($D$2:$D$4001,_xlfn.XMATCH(L$1&amp;"-"&amp;$F1613,YEAR($B$2:$B$4001)&amp;"-"&amp;$A$2:$A$4001,0,-1)),K1613))</f>
        <v>0</v>
      </c>
      <c r="M1613" cm="1">
        <f t="array" ref="M1613">IF(OR(AND(L1613=9,M$1&gt;YEAR($N1613))),9,_xlfn.IFNA(INDEX($D$2:$D$4001,_xlfn.XMATCH(M$1&amp;"-"&amp;$F1613,YEAR($B$2:$B$4001)&amp;"-"&amp;$A$2:$A$4001,0,-1)),L1613))</f>
        <v>0</v>
      </c>
      <c r="N1613" s="1">
        <f t="shared" si="25"/>
        <v>36890</v>
      </c>
    </row>
    <row r="1614" spans="1:14" x14ac:dyDescent="0.35">
      <c r="A1614">
        <v>764</v>
      </c>
      <c r="B1614" s="2">
        <v>37041</v>
      </c>
      <c r="C1614">
        <v>0</v>
      </c>
      <c r="D1614">
        <v>8</v>
      </c>
      <c r="F1614">
        <v>1613</v>
      </c>
      <c r="G1614" cm="1">
        <f t="array" ref="G1614">_xlfn.IFNA(INDEX($D$2:$D$4001,_xlfn.XMATCH(G$1&amp;"-"&amp;$F1614,YEAR($B$2:$B$4001)&amp;"-"&amp;$A$2:$A$4001,0,-1)),9)</f>
        <v>9</v>
      </c>
      <c r="H1614" cm="1">
        <f t="array" ref="H1614">IF(OR(AND(G1614=9,H$1&gt;YEAR($N1614))),9,_xlfn.IFNA(INDEX($D$2:$D$4001,_xlfn.XMATCH(H$1&amp;"-"&amp;$F1614,YEAR($B$2:$B$4001)&amp;"-"&amp;$A$2:$A$4001,0,-1)),G1614))</f>
        <v>9</v>
      </c>
      <c r="I1614" cm="1">
        <f t="array" ref="I1614">IF(OR(AND(H1614=9,I$1&gt;YEAR($N1614))),9,_xlfn.IFNA(INDEX($D$2:$D$4001,_xlfn.XMATCH(I$1&amp;"-"&amp;$F1614,YEAR($B$2:$B$4001)&amp;"-"&amp;$A$2:$A$4001,0,-1)),H1614))</f>
        <v>9</v>
      </c>
      <c r="J1614" cm="1">
        <f t="array" ref="J1614">IF(OR(AND(I1614=9,J$1&gt;YEAR($N1614))),9,_xlfn.IFNA(INDEX($D$2:$D$4001,_xlfn.XMATCH(J$1&amp;"-"&amp;$F1614,YEAR($B$2:$B$4001)&amp;"-"&amp;$A$2:$A$4001,0,-1)),I1614))</f>
        <v>9</v>
      </c>
      <c r="K1614" cm="1">
        <f t="array" ref="K1614">IF(OR(AND(J1614=9,K$1&gt;YEAR($N1614))),9,_xlfn.IFNA(INDEX($D$2:$D$4001,_xlfn.XMATCH(K$1&amp;"-"&amp;$F1614,YEAR($B$2:$B$4001)&amp;"-"&amp;$A$2:$A$4001,0,-1)),J1614))</f>
        <v>0</v>
      </c>
      <c r="L1614" cm="1">
        <f t="array" ref="L1614">IF(OR(AND(K1614=9,L$1&gt;YEAR($N1614))),9,_xlfn.IFNA(INDEX($D$2:$D$4001,_xlfn.XMATCH(L$1&amp;"-"&amp;$F1614,YEAR($B$2:$B$4001)&amp;"-"&amp;$A$2:$A$4001,0,-1)),K1614))</f>
        <v>0</v>
      </c>
      <c r="M1614" cm="1">
        <f t="array" ref="M1614">IF(OR(AND(L1614=9,M$1&gt;YEAR($N1614))),9,_xlfn.IFNA(INDEX($D$2:$D$4001,_xlfn.XMATCH(M$1&amp;"-"&amp;$F1614,YEAR($B$2:$B$4001)&amp;"-"&amp;$A$2:$A$4001,0,-1)),L1614))</f>
        <v>0</v>
      </c>
      <c r="N1614" s="1">
        <f t="shared" si="25"/>
        <v>37762</v>
      </c>
    </row>
    <row r="1615" spans="1:14" x14ac:dyDescent="0.35">
      <c r="A1615">
        <v>765</v>
      </c>
      <c r="B1615" s="2">
        <v>37406</v>
      </c>
      <c r="C1615">
        <v>3</v>
      </c>
      <c r="D1615">
        <v>3</v>
      </c>
      <c r="F1615">
        <v>1614</v>
      </c>
      <c r="G1615" cm="1">
        <f t="array" ref="G1615">_xlfn.IFNA(INDEX($D$2:$D$4001,_xlfn.XMATCH(G$1&amp;"-"&amp;$F1615,YEAR($B$2:$B$4001)&amp;"-"&amp;$A$2:$A$4001,0,-1)),9)</f>
        <v>9</v>
      </c>
      <c r="H1615" cm="1">
        <f t="array" ref="H1615">IF(OR(AND(G1615=9,H$1&gt;YEAR($N1615))),9,_xlfn.IFNA(INDEX($D$2:$D$4001,_xlfn.XMATCH(H$1&amp;"-"&amp;$F1615,YEAR($B$2:$B$4001)&amp;"-"&amp;$A$2:$A$4001,0,-1)),G1615))</f>
        <v>9</v>
      </c>
      <c r="I1615" cm="1">
        <f t="array" ref="I1615">IF(OR(AND(H1615=9,I$1&gt;YEAR($N1615))),9,_xlfn.IFNA(INDEX($D$2:$D$4001,_xlfn.XMATCH(I$1&amp;"-"&amp;$F1615,YEAR($B$2:$B$4001)&amp;"-"&amp;$A$2:$A$4001,0,-1)),H1615))</f>
        <v>4</v>
      </c>
      <c r="J1615" cm="1">
        <f t="array" ref="J1615">IF(OR(AND(I1615=9,J$1&gt;YEAR($N1615))),9,_xlfn.IFNA(INDEX($D$2:$D$4001,_xlfn.XMATCH(J$1&amp;"-"&amp;$F1615,YEAR($B$2:$B$4001)&amp;"-"&amp;$A$2:$A$4001,0,-1)),I1615))</f>
        <v>0</v>
      </c>
      <c r="K1615" cm="1">
        <f t="array" ref="K1615">IF(OR(AND(J1615=9,K$1&gt;YEAR($N1615))),9,_xlfn.IFNA(INDEX($D$2:$D$4001,_xlfn.XMATCH(K$1&amp;"-"&amp;$F1615,YEAR($B$2:$B$4001)&amp;"-"&amp;$A$2:$A$4001,0,-1)),J1615))</f>
        <v>0</v>
      </c>
      <c r="L1615" cm="1">
        <f t="array" ref="L1615">IF(OR(AND(K1615=9,L$1&gt;YEAR($N1615))),9,_xlfn.IFNA(INDEX($D$2:$D$4001,_xlfn.XMATCH(L$1&amp;"-"&amp;$F1615,YEAR($B$2:$B$4001)&amp;"-"&amp;$A$2:$A$4001,0,-1)),K1615))</f>
        <v>0</v>
      </c>
      <c r="M1615" cm="1">
        <f t="array" ref="M1615">IF(OR(AND(L1615=9,M$1&gt;YEAR($N1615))),9,_xlfn.IFNA(INDEX($D$2:$D$4001,_xlfn.XMATCH(M$1&amp;"-"&amp;$F1615,YEAR($B$2:$B$4001)&amp;"-"&amp;$A$2:$A$4001,0,-1)),L1615))</f>
        <v>0</v>
      </c>
      <c r="N1615" s="1">
        <f t="shared" si="25"/>
        <v>37041</v>
      </c>
    </row>
    <row r="1616" spans="1:14" x14ac:dyDescent="0.35">
      <c r="A1616">
        <v>765</v>
      </c>
      <c r="B1616" s="2">
        <v>37985</v>
      </c>
      <c r="C1616">
        <v>3</v>
      </c>
      <c r="D1616">
        <v>3</v>
      </c>
      <c r="F1616">
        <v>1615</v>
      </c>
      <c r="G1616" cm="1">
        <f t="array" ref="G1616">_xlfn.IFNA(INDEX($D$2:$D$4001,_xlfn.XMATCH(G$1&amp;"-"&amp;$F1616,YEAR($B$2:$B$4001)&amp;"-"&amp;$A$2:$A$4001,0,-1)),9)</f>
        <v>9</v>
      </c>
      <c r="H1616" cm="1">
        <f t="array" ref="H1616">IF(OR(AND(G1616=9,H$1&gt;YEAR($N1616))),9,_xlfn.IFNA(INDEX($D$2:$D$4001,_xlfn.XMATCH(H$1&amp;"-"&amp;$F1616,YEAR($B$2:$B$4001)&amp;"-"&amp;$A$2:$A$4001,0,-1)),G1616))</f>
        <v>9</v>
      </c>
      <c r="I1616" cm="1">
        <f t="array" ref="I1616">IF(OR(AND(H1616=9,I$1&gt;YEAR($N1616))),9,_xlfn.IFNA(INDEX($D$2:$D$4001,_xlfn.XMATCH(I$1&amp;"-"&amp;$F1616,YEAR($B$2:$B$4001)&amp;"-"&amp;$A$2:$A$4001,0,-1)),H1616))</f>
        <v>4</v>
      </c>
      <c r="J1616" cm="1">
        <f t="array" ref="J1616">IF(OR(AND(I1616=9,J$1&gt;YEAR($N1616))),9,_xlfn.IFNA(INDEX($D$2:$D$4001,_xlfn.XMATCH(J$1&amp;"-"&amp;$F1616,YEAR($B$2:$B$4001)&amp;"-"&amp;$A$2:$A$4001,0,-1)),I1616))</f>
        <v>5</v>
      </c>
      <c r="K1616" cm="1">
        <f t="array" ref="K1616">IF(OR(AND(J1616=9,K$1&gt;YEAR($N1616))),9,_xlfn.IFNA(INDEX($D$2:$D$4001,_xlfn.XMATCH(K$1&amp;"-"&amp;$F1616,YEAR($B$2:$B$4001)&amp;"-"&amp;$A$2:$A$4001,0,-1)),J1616))</f>
        <v>5</v>
      </c>
      <c r="L1616" cm="1">
        <f t="array" ref="L1616">IF(OR(AND(K1616=9,L$1&gt;YEAR($N1616))),9,_xlfn.IFNA(INDEX($D$2:$D$4001,_xlfn.XMATCH(L$1&amp;"-"&amp;$F1616,YEAR($B$2:$B$4001)&amp;"-"&amp;$A$2:$A$4001,0,-1)),K1616))</f>
        <v>5</v>
      </c>
      <c r="M1616" cm="1">
        <f t="array" ref="M1616">IF(OR(AND(L1616=9,M$1&gt;YEAR($N1616))),9,_xlfn.IFNA(INDEX($D$2:$D$4001,_xlfn.XMATCH(M$1&amp;"-"&amp;$F1616,YEAR($B$2:$B$4001)&amp;"-"&amp;$A$2:$A$4001,0,-1)),L1616))</f>
        <v>5</v>
      </c>
      <c r="N1616" s="1">
        <f t="shared" si="25"/>
        <v>37133</v>
      </c>
    </row>
    <row r="1617" spans="1:14" x14ac:dyDescent="0.35">
      <c r="A1617">
        <v>766</v>
      </c>
      <c r="B1617" s="2">
        <v>37216</v>
      </c>
      <c r="C1617">
        <v>7</v>
      </c>
      <c r="D1617">
        <v>7</v>
      </c>
      <c r="F1617">
        <v>1616</v>
      </c>
      <c r="G1617" cm="1">
        <f t="array" ref="G1617">_xlfn.IFNA(INDEX($D$2:$D$4001,_xlfn.XMATCH(G$1&amp;"-"&amp;$F1617,YEAR($B$2:$B$4001)&amp;"-"&amp;$A$2:$A$4001,0,-1)),9)</f>
        <v>9</v>
      </c>
      <c r="H1617" cm="1">
        <f t="array" ref="H1617">IF(OR(AND(G1617=9,H$1&gt;YEAR($N1617))),9,_xlfn.IFNA(INDEX($D$2:$D$4001,_xlfn.XMATCH(H$1&amp;"-"&amp;$F1617,YEAR($B$2:$B$4001)&amp;"-"&amp;$A$2:$A$4001,0,-1)),G1617))</f>
        <v>9</v>
      </c>
      <c r="I1617" cm="1">
        <f t="array" ref="I1617">IF(OR(AND(H1617=9,I$1&gt;YEAR($N1617))),9,_xlfn.IFNA(INDEX($D$2:$D$4001,_xlfn.XMATCH(I$1&amp;"-"&amp;$F1617,YEAR($B$2:$B$4001)&amp;"-"&amp;$A$2:$A$4001,0,-1)),H1617))</f>
        <v>9</v>
      </c>
      <c r="J1617" cm="1">
        <f t="array" ref="J1617">IF(OR(AND(I1617=9,J$1&gt;YEAR($N1617))),9,_xlfn.IFNA(INDEX($D$2:$D$4001,_xlfn.XMATCH(J$1&amp;"-"&amp;$F1617,YEAR($B$2:$B$4001)&amp;"-"&amp;$A$2:$A$4001,0,-1)),I1617))</f>
        <v>3</v>
      </c>
      <c r="K1617" cm="1">
        <f t="array" ref="K1617">IF(OR(AND(J1617=9,K$1&gt;YEAR($N1617))),9,_xlfn.IFNA(INDEX($D$2:$D$4001,_xlfn.XMATCH(K$1&amp;"-"&amp;$F1617,YEAR($B$2:$B$4001)&amp;"-"&amp;$A$2:$A$4001,0,-1)),J1617))</f>
        <v>3</v>
      </c>
      <c r="L1617" cm="1">
        <f t="array" ref="L1617">IF(OR(AND(K1617=9,L$1&gt;YEAR($N1617))),9,_xlfn.IFNA(INDEX($D$2:$D$4001,_xlfn.XMATCH(L$1&amp;"-"&amp;$F1617,YEAR($B$2:$B$4001)&amp;"-"&amp;$A$2:$A$4001,0,-1)),K1617))</f>
        <v>3</v>
      </c>
      <c r="M1617" cm="1">
        <f t="array" ref="M1617">IF(OR(AND(L1617=9,M$1&gt;YEAR($N1617))),9,_xlfn.IFNA(INDEX($D$2:$D$4001,_xlfn.XMATCH(M$1&amp;"-"&amp;$F1617,YEAR($B$2:$B$4001)&amp;"-"&amp;$A$2:$A$4001,0,-1)),L1617))</f>
        <v>0</v>
      </c>
      <c r="N1617" s="1">
        <f t="shared" si="25"/>
        <v>37550</v>
      </c>
    </row>
    <row r="1618" spans="1:14" x14ac:dyDescent="0.35">
      <c r="A1618">
        <v>766</v>
      </c>
      <c r="B1618" s="2">
        <v>37406</v>
      </c>
      <c r="C1618">
        <v>0</v>
      </c>
      <c r="D1618">
        <v>0</v>
      </c>
      <c r="F1618">
        <v>1617</v>
      </c>
      <c r="G1618" cm="1">
        <f t="array" ref="G1618">_xlfn.IFNA(INDEX($D$2:$D$4001,_xlfn.XMATCH(G$1&amp;"-"&amp;$F1618,YEAR($B$2:$B$4001)&amp;"-"&amp;$A$2:$A$4001,0,-1)),9)</f>
        <v>9</v>
      </c>
      <c r="H1618" cm="1">
        <f t="array" ref="H1618">IF(OR(AND(G1618=9,H$1&gt;YEAR($N1618))),9,_xlfn.IFNA(INDEX($D$2:$D$4001,_xlfn.XMATCH(H$1&amp;"-"&amp;$F1618,YEAR($B$2:$B$4001)&amp;"-"&amp;$A$2:$A$4001,0,-1)),G1618))</f>
        <v>9</v>
      </c>
      <c r="I1618" cm="1">
        <f t="array" ref="I1618">IF(OR(AND(H1618=9,I$1&gt;YEAR($N1618))),9,_xlfn.IFNA(INDEX($D$2:$D$4001,_xlfn.XMATCH(I$1&amp;"-"&amp;$F1618,YEAR($B$2:$B$4001)&amp;"-"&amp;$A$2:$A$4001,0,-1)),H1618))</f>
        <v>4</v>
      </c>
      <c r="J1618" cm="1">
        <f t="array" ref="J1618">IF(OR(AND(I1618=9,J$1&gt;YEAR($N1618))),9,_xlfn.IFNA(INDEX($D$2:$D$4001,_xlfn.XMATCH(J$1&amp;"-"&amp;$F1618,YEAR($B$2:$B$4001)&amp;"-"&amp;$A$2:$A$4001,0,-1)),I1618))</f>
        <v>4</v>
      </c>
      <c r="K1618" cm="1">
        <f t="array" ref="K1618">IF(OR(AND(J1618=9,K$1&gt;YEAR($N1618))),9,_xlfn.IFNA(INDEX($D$2:$D$4001,_xlfn.XMATCH(K$1&amp;"-"&amp;$F1618,YEAR($B$2:$B$4001)&amp;"-"&amp;$A$2:$A$4001,0,-1)),J1618))</f>
        <v>4</v>
      </c>
      <c r="L1618" cm="1">
        <f t="array" ref="L1618">IF(OR(AND(K1618=9,L$1&gt;YEAR($N1618))),9,_xlfn.IFNA(INDEX($D$2:$D$4001,_xlfn.XMATCH(L$1&amp;"-"&amp;$F1618,YEAR($B$2:$B$4001)&amp;"-"&amp;$A$2:$A$4001,0,-1)),K1618))</f>
        <v>4</v>
      </c>
      <c r="M1618" cm="1">
        <f t="array" ref="M1618">IF(OR(AND(L1618=9,M$1&gt;YEAR($N1618))),9,_xlfn.IFNA(INDEX($D$2:$D$4001,_xlfn.XMATCH(M$1&amp;"-"&amp;$F1618,YEAR($B$2:$B$4001)&amp;"-"&amp;$A$2:$A$4001,0,-1)),L1618))</f>
        <v>4</v>
      </c>
      <c r="N1618" s="1">
        <f t="shared" si="25"/>
        <v>37164</v>
      </c>
    </row>
    <row r="1619" spans="1:14" x14ac:dyDescent="0.35">
      <c r="A1619">
        <v>767</v>
      </c>
      <c r="B1619" s="2">
        <v>36524</v>
      </c>
      <c r="C1619">
        <v>2</v>
      </c>
      <c r="D1619">
        <v>2</v>
      </c>
      <c r="F1619">
        <v>1618</v>
      </c>
      <c r="G1619" cm="1">
        <f t="array" ref="G1619">_xlfn.IFNA(INDEX($D$2:$D$4001,_xlfn.XMATCH(G$1&amp;"-"&amp;$F1619,YEAR($B$2:$B$4001)&amp;"-"&amp;$A$2:$A$4001,0,-1)),9)</f>
        <v>9</v>
      </c>
      <c r="H1619" cm="1">
        <f t="array" ref="H1619">IF(OR(AND(G1619=9,H$1&gt;YEAR($N1619))),9,_xlfn.IFNA(INDEX($D$2:$D$4001,_xlfn.XMATCH(H$1&amp;"-"&amp;$F1619,YEAR($B$2:$B$4001)&amp;"-"&amp;$A$2:$A$4001,0,-1)),G1619))</f>
        <v>9</v>
      </c>
      <c r="I1619" cm="1">
        <f t="array" ref="I1619">IF(OR(AND(H1619=9,I$1&gt;YEAR($N1619))),9,_xlfn.IFNA(INDEX($D$2:$D$4001,_xlfn.XMATCH(I$1&amp;"-"&amp;$F1619,YEAR($B$2:$B$4001)&amp;"-"&amp;$A$2:$A$4001,0,-1)),H1619))</f>
        <v>9</v>
      </c>
      <c r="J1619" cm="1">
        <f t="array" ref="J1619">IF(OR(AND(I1619=9,J$1&gt;YEAR($N1619))),9,_xlfn.IFNA(INDEX($D$2:$D$4001,_xlfn.XMATCH(J$1&amp;"-"&amp;$F1619,YEAR($B$2:$B$4001)&amp;"-"&amp;$A$2:$A$4001,0,-1)),I1619))</f>
        <v>4</v>
      </c>
      <c r="K1619" cm="1">
        <f t="array" ref="K1619">IF(OR(AND(J1619=9,K$1&gt;YEAR($N1619))),9,_xlfn.IFNA(INDEX($D$2:$D$4001,_xlfn.XMATCH(K$1&amp;"-"&amp;$F1619,YEAR($B$2:$B$4001)&amp;"-"&amp;$A$2:$A$4001,0,-1)),J1619))</f>
        <v>4</v>
      </c>
      <c r="L1619" cm="1">
        <f t="array" ref="L1619">IF(OR(AND(K1619=9,L$1&gt;YEAR($N1619))),9,_xlfn.IFNA(INDEX($D$2:$D$4001,_xlfn.XMATCH(L$1&amp;"-"&amp;$F1619,YEAR($B$2:$B$4001)&amp;"-"&amp;$A$2:$A$4001,0,-1)),K1619))</f>
        <v>4</v>
      </c>
      <c r="M1619" cm="1">
        <f t="array" ref="M1619">IF(OR(AND(L1619=9,M$1&gt;YEAR($N1619))),9,_xlfn.IFNA(INDEX($D$2:$D$4001,_xlfn.XMATCH(M$1&amp;"-"&amp;$F1619,YEAR($B$2:$B$4001)&amp;"-"&amp;$A$2:$A$4001,0,-1)),L1619))</f>
        <v>5</v>
      </c>
      <c r="N1619" s="1">
        <f t="shared" si="25"/>
        <v>37620</v>
      </c>
    </row>
    <row r="1620" spans="1:14" x14ac:dyDescent="0.35">
      <c r="A1620">
        <v>768</v>
      </c>
      <c r="B1620" s="2">
        <v>37400</v>
      </c>
      <c r="C1620">
        <v>0</v>
      </c>
      <c r="D1620">
        <v>0</v>
      </c>
      <c r="F1620">
        <v>1619</v>
      </c>
      <c r="G1620" cm="1">
        <f t="array" ref="G1620">_xlfn.IFNA(INDEX($D$2:$D$4001,_xlfn.XMATCH(G$1&amp;"-"&amp;$F1620,YEAR($B$2:$B$4001)&amp;"-"&amp;$A$2:$A$4001,0,-1)),9)</f>
        <v>3</v>
      </c>
      <c r="H1620" cm="1">
        <f t="array" ref="H1620">IF(OR(AND(G1620=9,H$1&gt;YEAR($N1620))),9,_xlfn.IFNA(INDEX($D$2:$D$4001,_xlfn.XMATCH(H$1&amp;"-"&amp;$F1620,YEAR($B$2:$B$4001)&amp;"-"&amp;$A$2:$A$4001,0,-1)),G1620))</f>
        <v>3</v>
      </c>
      <c r="I1620" cm="1">
        <f t="array" ref="I1620">IF(OR(AND(H1620=9,I$1&gt;YEAR($N1620))),9,_xlfn.IFNA(INDEX($D$2:$D$4001,_xlfn.XMATCH(I$1&amp;"-"&amp;$F1620,YEAR($B$2:$B$4001)&amp;"-"&amp;$A$2:$A$4001,0,-1)),H1620))</f>
        <v>3</v>
      </c>
      <c r="J1620" cm="1">
        <f t="array" ref="J1620">IF(OR(AND(I1620=9,J$1&gt;YEAR($N1620))),9,_xlfn.IFNA(INDEX($D$2:$D$4001,_xlfn.XMATCH(J$1&amp;"-"&amp;$F1620,YEAR($B$2:$B$4001)&amp;"-"&amp;$A$2:$A$4001,0,-1)),I1620))</f>
        <v>4</v>
      </c>
      <c r="K1620" cm="1">
        <f t="array" ref="K1620">IF(OR(AND(J1620=9,K$1&gt;YEAR($N1620))),9,_xlfn.IFNA(INDEX($D$2:$D$4001,_xlfn.XMATCH(K$1&amp;"-"&amp;$F1620,YEAR($B$2:$B$4001)&amp;"-"&amp;$A$2:$A$4001,0,-1)),J1620))</f>
        <v>4</v>
      </c>
      <c r="L1620" cm="1">
        <f t="array" ref="L1620">IF(OR(AND(K1620=9,L$1&gt;YEAR($N1620))),9,_xlfn.IFNA(INDEX($D$2:$D$4001,_xlfn.XMATCH(L$1&amp;"-"&amp;$F1620,YEAR($B$2:$B$4001)&amp;"-"&amp;$A$2:$A$4001,0,-1)),K1620))</f>
        <v>4</v>
      </c>
      <c r="M1620" cm="1">
        <f t="array" ref="M1620">IF(OR(AND(L1620=9,M$1&gt;YEAR($N1620))),9,_xlfn.IFNA(INDEX($D$2:$D$4001,_xlfn.XMATCH(M$1&amp;"-"&amp;$F1620,YEAR($B$2:$B$4001)&amp;"-"&amp;$A$2:$A$4001,0,-1)),L1620))</f>
        <v>5</v>
      </c>
      <c r="N1620" s="1">
        <f t="shared" si="25"/>
        <v>36485</v>
      </c>
    </row>
    <row r="1621" spans="1:14" x14ac:dyDescent="0.35">
      <c r="A1621">
        <v>769</v>
      </c>
      <c r="B1621" s="2">
        <v>37032</v>
      </c>
      <c r="C1621">
        <v>2</v>
      </c>
      <c r="D1621">
        <v>2</v>
      </c>
      <c r="F1621">
        <v>1620</v>
      </c>
      <c r="G1621" cm="1">
        <f t="array" ref="G1621">_xlfn.IFNA(INDEX($D$2:$D$4001,_xlfn.XMATCH(G$1&amp;"-"&amp;$F1621,YEAR($B$2:$B$4001)&amp;"-"&amp;$A$2:$A$4001,0,-1)),9)</f>
        <v>9</v>
      </c>
      <c r="H1621" cm="1">
        <f t="array" ref="H1621">IF(OR(AND(G1621=9,H$1&gt;YEAR($N1621))),9,_xlfn.IFNA(INDEX($D$2:$D$4001,_xlfn.XMATCH(H$1&amp;"-"&amp;$F1621,YEAR($B$2:$B$4001)&amp;"-"&amp;$A$2:$A$4001,0,-1)),G1621))</f>
        <v>9</v>
      </c>
      <c r="I1621" cm="1">
        <f t="array" ref="I1621">IF(OR(AND(H1621=9,I$1&gt;YEAR($N1621))),9,_xlfn.IFNA(INDEX($D$2:$D$4001,_xlfn.XMATCH(I$1&amp;"-"&amp;$F1621,YEAR($B$2:$B$4001)&amp;"-"&amp;$A$2:$A$4001,0,-1)),H1621))</f>
        <v>9</v>
      </c>
      <c r="J1621" cm="1">
        <f t="array" ref="J1621">IF(OR(AND(I1621=9,J$1&gt;YEAR($N1621))),9,_xlfn.IFNA(INDEX($D$2:$D$4001,_xlfn.XMATCH(J$1&amp;"-"&amp;$F1621,YEAR($B$2:$B$4001)&amp;"-"&amp;$A$2:$A$4001,0,-1)),I1621))</f>
        <v>9</v>
      </c>
      <c r="K1621" cm="1">
        <f t="array" ref="K1621">IF(OR(AND(J1621=9,K$1&gt;YEAR($N1621))),9,_xlfn.IFNA(INDEX($D$2:$D$4001,_xlfn.XMATCH(K$1&amp;"-"&amp;$F1621,YEAR($B$2:$B$4001)&amp;"-"&amp;$A$2:$A$4001,0,-1)),J1621))</f>
        <v>9</v>
      </c>
      <c r="L1621" cm="1">
        <f t="array" ref="L1621">IF(OR(AND(K1621=9,L$1&gt;YEAR($N1621))),9,_xlfn.IFNA(INDEX($D$2:$D$4001,_xlfn.XMATCH(L$1&amp;"-"&amp;$F1621,YEAR($B$2:$B$4001)&amp;"-"&amp;$A$2:$A$4001,0,-1)),K1621))</f>
        <v>3</v>
      </c>
      <c r="M1621" cm="1">
        <f t="array" ref="M1621">IF(OR(AND(L1621=9,M$1&gt;YEAR($N1621))),9,_xlfn.IFNA(INDEX($D$2:$D$4001,_xlfn.XMATCH(M$1&amp;"-"&amp;$F1621,YEAR($B$2:$B$4001)&amp;"-"&amp;$A$2:$A$4001,0,-1)),L1621))</f>
        <v>3</v>
      </c>
      <c r="N1621" s="1">
        <f t="shared" si="25"/>
        <v>38220</v>
      </c>
    </row>
    <row r="1622" spans="1:14" x14ac:dyDescent="0.35">
      <c r="A1622">
        <v>769</v>
      </c>
      <c r="B1622" s="2">
        <v>37985</v>
      </c>
      <c r="C1622">
        <v>3</v>
      </c>
      <c r="D1622">
        <v>3</v>
      </c>
      <c r="F1622">
        <v>1621</v>
      </c>
      <c r="G1622" cm="1">
        <f t="array" ref="G1622">_xlfn.IFNA(INDEX($D$2:$D$4001,_xlfn.XMATCH(G$1&amp;"-"&amp;$F1622,YEAR($B$2:$B$4001)&amp;"-"&amp;$A$2:$A$4001,0,-1)),9)</f>
        <v>9</v>
      </c>
      <c r="H1622" cm="1">
        <f t="array" ref="H1622">IF(OR(AND(G1622=9,H$1&gt;YEAR($N1622))),9,_xlfn.IFNA(INDEX($D$2:$D$4001,_xlfn.XMATCH(H$1&amp;"-"&amp;$F1622,YEAR($B$2:$B$4001)&amp;"-"&amp;$A$2:$A$4001,0,-1)),G1622))</f>
        <v>9</v>
      </c>
      <c r="I1622" cm="1">
        <f t="array" ref="I1622">IF(OR(AND(H1622=9,I$1&gt;YEAR($N1622))),9,_xlfn.IFNA(INDEX($D$2:$D$4001,_xlfn.XMATCH(I$1&amp;"-"&amp;$F1622,YEAR($B$2:$B$4001)&amp;"-"&amp;$A$2:$A$4001,0,-1)),H1622))</f>
        <v>9</v>
      </c>
      <c r="J1622" cm="1">
        <f t="array" ref="J1622">IF(OR(AND(I1622=9,J$1&gt;YEAR($N1622))),9,_xlfn.IFNA(INDEX($D$2:$D$4001,_xlfn.XMATCH(J$1&amp;"-"&amp;$F1622,YEAR($B$2:$B$4001)&amp;"-"&amp;$A$2:$A$4001,0,-1)),I1622))</f>
        <v>9</v>
      </c>
      <c r="K1622" cm="1">
        <f t="array" ref="K1622">IF(OR(AND(J1622=9,K$1&gt;YEAR($N1622))),9,_xlfn.IFNA(INDEX($D$2:$D$4001,_xlfn.XMATCH(K$1&amp;"-"&amp;$F1622,YEAR($B$2:$B$4001)&amp;"-"&amp;$A$2:$A$4001,0,-1)),J1622))</f>
        <v>2</v>
      </c>
      <c r="L1622" cm="1">
        <f t="array" ref="L1622">IF(OR(AND(K1622=9,L$1&gt;YEAR($N1622))),9,_xlfn.IFNA(INDEX($D$2:$D$4001,_xlfn.XMATCH(L$1&amp;"-"&amp;$F1622,YEAR($B$2:$B$4001)&amp;"-"&amp;$A$2:$A$4001,0,-1)),K1622))</f>
        <v>2</v>
      </c>
      <c r="M1622" cm="1">
        <f t="array" ref="M1622">IF(OR(AND(L1622=9,M$1&gt;YEAR($N1622))),9,_xlfn.IFNA(INDEX($D$2:$D$4001,_xlfn.XMATCH(M$1&amp;"-"&amp;$F1622,YEAR($B$2:$B$4001)&amp;"-"&amp;$A$2:$A$4001,0,-1)),L1622))</f>
        <v>2</v>
      </c>
      <c r="N1622" s="1">
        <f t="shared" si="25"/>
        <v>37985</v>
      </c>
    </row>
    <row r="1623" spans="1:14" x14ac:dyDescent="0.35">
      <c r="A1623">
        <v>769</v>
      </c>
      <c r="B1623" s="2">
        <v>38625</v>
      </c>
      <c r="C1623">
        <v>0</v>
      </c>
      <c r="D1623">
        <v>0</v>
      </c>
      <c r="F1623">
        <v>1622</v>
      </c>
      <c r="G1623" cm="1">
        <f t="array" ref="G1623">_xlfn.IFNA(INDEX($D$2:$D$4001,_xlfn.XMATCH(G$1&amp;"-"&amp;$F1623,YEAR($B$2:$B$4001)&amp;"-"&amp;$A$2:$A$4001,0,-1)),9)</f>
        <v>9</v>
      </c>
      <c r="H1623" cm="1">
        <f t="array" ref="H1623">IF(OR(AND(G1623=9,H$1&gt;YEAR($N1623))),9,_xlfn.IFNA(INDEX($D$2:$D$4001,_xlfn.XMATCH(H$1&amp;"-"&amp;$F1623,YEAR($B$2:$B$4001)&amp;"-"&amp;$A$2:$A$4001,0,-1)),G1623))</f>
        <v>9</v>
      </c>
      <c r="I1623" cm="1">
        <f t="array" ref="I1623">IF(OR(AND(H1623=9,I$1&gt;YEAR($N1623))),9,_xlfn.IFNA(INDEX($D$2:$D$4001,_xlfn.XMATCH(I$1&amp;"-"&amp;$F1623,YEAR($B$2:$B$4001)&amp;"-"&amp;$A$2:$A$4001,0,-1)),H1623))</f>
        <v>5</v>
      </c>
      <c r="J1623" cm="1">
        <f t="array" ref="J1623">IF(OR(AND(I1623=9,J$1&gt;YEAR($N1623))),9,_xlfn.IFNA(INDEX($D$2:$D$4001,_xlfn.XMATCH(J$1&amp;"-"&amp;$F1623,YEAR($B$2:$B$4001)&amp;"-"&amp;$A$2:$A$4001,0,-1)),I1623))</f>
        <v>5</v>
      </c>
      <c r="K1623" cm="1">
        <f t="array" ref="K1623">IF(OR(AND(J1623=9,K$1&gt;YEAR($N1623))),9,_xlfn.IFNA(INDEX($D$2:$D$4001,_xlfn.XMATCH(K$1&amp;"-"&amp;$F1623,YEAR($B$2:$B$4001)&amp;"-"&amp;$A$2:$A$4001,0,-1)),J1623))</f>
        <v>6</v>
      </c>
      <c r="L1623" cm="1">
        <f t="array" ref="L1623">IF(OR(AND(K1623=9,L$1&gt;YEAR($N1623))),9,_xlfn.IFNA(INDEX($D$2:$D$4001,_xlfn.XMATCH(L$1&amp;"-"&amp;$F1623,YEAR($B$2:$B$4001)&amp;"-"&amp;$A$2:$A$4001,0,-1)),K1623))</f>
        <v>6</v>
      </c>
      <c r="M1623" cm="1">
        <f t="array" ref="M1623">IF(OR(AND(L1623=9,M$1&gt;YEAR($N1623))),9,_xlfn.IFNA(INDEX($D$2:$D$4001,_xlfn.XMATCH(M$1&amp;"-"&amp;$F1623,YEAR($B$2:$B$4001)&amp;"-"&amp;$A$2:$A$4001,0,-1)),L1623))</f>
        <v>6</v>
      </c>
      <c r="N1623" s="1">
        <f t="shared" si="25"/>
        <v>37255</v>
      </c>
    </row>
    <row r="1624" spans="1:14" x14ac:dyDescent="0.35">
      <c r="A1624">
        <v>770</v>
      </c>
      <c r="B1624" s="2">
        <v>37032</v>
      </c>
      <c r="C1624">
        <v>5</v>
      </c>
      <c r="D1624">
        <v>5</v>
      </c>
      <c r="F1624">
        <v>1623</v>
      </c>
      <c r="G1624" cm="1">
        <f t="array" ref="G1624">_xlfn.IFNA(INDEX($D$2:$D$4001,_xlfn.XMATCH(G$1&amp;"-"&amp;$F1624,YEAR($B$2:$B$4001)&amp;"-"&amp;$A$2:$A$4001,0,-1)),9)</f>
        <v>4</v>
      </c>
      <c r="H1624" cm="1">
        <f t="array" ref="H1624">IF(OR(AND(G1624=9,H$1&gt;YEAR($N1624))),9,_xlfn.IFNA(INDEX($D$2:$D$4001,_xlfn.XMATCH(H$1&amp;"-"&amp;$F1624,YEAR($B$2:$B$4001)&amp;"-"&amp;$A$2:$A$4001,0,-1)),G1624))</f>
        <v>6</v>
      </c>
      <c r="I1624" cm="1">
        <f t="array" ref="I1624">IF(OR(AND(H1624=9,I$1&gt;YEAR($N1624))),9,_xlfn.IFNA(INDEX($D$2:$D$4001,_xlfn.XMATCH(I$1&amp;"-"&amp;$F1624,YEAR($B$2:$B$4001)&amp;"-"&amp;$A$2:$A$4001,0,-1)),H1624))</f>
        <v>6</v>
      </c>
      <c r="J1624" cm="1">
        <f t="array" ref="J1624">IF(OR(AND(I1624=9,J$1&gt;YEAR($N1624))),9,_xlfn.IFNA(INDEX($D$2:$D$4001,_xlfn.XMATCH(J$1&amp;"-"&amp;$F1624,YEAR($B$2:$B$4001)&amp;"-"&amp;$A$2:$A$4001,0,-1)),I1624))</f>
        <v>6</v>
      </c>
      <c r="K1624" cm="1">
        <f t="array" ref="K1624">IF(OR(AND(J1624=9,K$1&gt;YEAR($N1624))),9,_xlfn.IFNA(INDEX($D$2:$D$4001,_xlfn.XMATCH(K$1&amp;"-"&amp;$F1624,YEAR($B$2:$B$4001)&amp;"-"&amp;$A$2:$A$4001,0,-1)),J1624))</f>
        <v>6</v>
      </c>
      <c r="L1624" cm="1">
        <f t="array" ref="L1624">IF(OR(AND(K1624=9,L$1&gt;YEAR($N1624))),9,_xlfn.IFNA(INDEX($D$2:$D$4001,_xlfn.XMATCH(L$1&amp;"-"&amp;$F1624,YEAR($B$2:$B$4001)&amp;"-"&amp;$A$2:$A$4001,0,-1)),K1624))</f>
        <v>5</v>
      </c>
      <c r="M1624" cm="1">
        <f t="array" ref="M1624">IF(OR(AND(L1624=9,M$1&gt;YEAR($N1624))),9,_xlfn.IFNA(INDEX($D$2:$D$4001,_xlfn.XMATCH(M$1&amp;"-"&amp;$F1624,YEAR($B$2:$B$4001)&amp;"-"&amp;$A$2:$A$4001,0,-1)),L1624))</f>
        <v>5</v>
      </c>
      <c r="N1624" s="1">
        <f t="shared" si="25"/>
        <v>36362</v>
      </c>
    </row>
    <row r="1625" spans="1:14" x14ac:dyDescent="0.35">
      <c r="A1625">
        <v>770</v>
      </c>
      <c r="B1625" s="2">
        <v>37620</v>
      </c>
      <c r="C1625">
        <v>6</v>
      </c>
      <c r="D1625">
        <v>6</v>
      </c>
      <c r="F1625">
        <v>1624</v>
      </c>
      <c r="G1625" cm="1">
        <f t="array" ref="G1625">_xlfn.IFNA(INDEX($D$2:$D$4001,_xlfn.XMATCH(G$1&amp;"-"&amp;$F1625,YEAR($B$2:$B$4001)&amp;"-"&amp;$A$2:$A$4001,0,-1)),9)</f>
        <v>7</v>
      </c>
      <c r="H1625" cm="1">
        <f t="array" ref="H1625">IF(OR(AND(G1625=9,H$1&gt;YEAR($N1625))),9,_xlfn.IFNA(INDEX($D$2:$D$4001,_xlfn.XMATCH(H$1&amp;"-"&amp;$F1625,YEAR($B$2:$B$4001)&amp;"-"&amp;$A$2:$A$4001,0,-1)),G1625))</f>
        <v>0</v>
      </c>
      <c r="I1625" cm="1">
        <f t="array" ref="I1625">IF(OR(AND(H1625=9,I$1&gt;YEAR($N1625))),9,_xlfn.IFNA(INDEX($D$2:$D$4001,_xlfn.XMATCH(I$1&amp;"-"&amp;$F1625,YEAR($B$2:$B$4001)&amp;"-"&amp;$A$2:$A$4001,0,-1)),H1625))</f>
        <v>0</v>
      </c>
      <c r="J1625" cm="1">
        <f t="array" ref="J1625">IF(OR(AND(I1625=9,J$1&gt;YEAR($N1625))),9,_xlfn.IFNA(INDEX($D$2:$D$4001,_xlfn.XMATCH(J$1&amp;"-"&amp;$F1625,YEAR($B$2:$B$4001)&amp;"-"&amp;$A$2:$A$4001,0,-1)),I1625))</f>
        <v>0</v>
      </c>
      <c r="K1625" cm="1">
        <f t="array" ref="K1625">IF(OR(AND(J1625=9,K$1&gt;YEAR($N1625))),9,_xlfn.IFNA(INDEX($D$2:$D$4001,_xlfn.XMATCH(K$1&amp;"-"&amp;$F1625,YEAR($B$2:$B$4001)&amp;"-"&amp;$A$2:$A$4001,0,-1)),J1625))</f>
        <v>0</v>
      </c>
      <c r="L1625" cm="1">
        <f t="array" ref="L1625">IF(OR(AND(K1625=9,L$1&gt;YEAR($N1625))),9,_xlfn.IFNA(INDEX($D$2:$D$4001,_xlfn.XMATCH(L$1&amp;"-"&amp;$F1625,YEAR($B$2:$B$4001)&amp;"-"&amp;$A$2:$A$4001,0,-1)),K1625))</f>
        <v>0</v>
      </c>
      <c r="M1625" cm="1">
        <f t="array" ref="M1625">IF(OR(AND(L1625=9,M$1&gt;YEAR($N1625))),9,_xlfn.IFNA(INDEX($D$2:$D$4001,_xlfn.XMATCH(M$1&amp;"-"&amp;$F1625,YEAR($B$2:$B$4001)&amp;"-"&amp;$A$2:$A$4001,0,-1)),L1625))</f>
        <v>0</v>
      </c>
      <c r="N1625" s="1">
        <f t="shared" si="25"/>
        <v>36433</v>
      </c>
    </row>
    <row r="1626" spans="1:14" x14ac:dyDescent="0.35">
      <c r="A1626">
        <v>770</v>
      </c>
      <c r="B1626" s="2">
        <v>37620</v>
      </c>
      <c r="C1626">
        <v>0</v>
      </c>
      <c r="D1626">
        <v>0</v>
      </c>
      <c r="F1626">
        <v>1625</v>
      </c>
      <c r="G1626" cm="1">
        <f t="array" ref="G1626">_xlfn.IFNA(INDEX($D$2:$D$4001,_xlfn.XMATCH(G$1&amp;"-"&amp;$F1626,YEAR($B$2:$B$4001)&amp;"-"&amp;$A$2:$A$4001,0,-1)),9)</f>
        <v>3</v>
      </c>
      <c r="H1626" cm="1">
        <f t="array" ref="H1626">IF(OR(AND(G1626=9,H$1&gt;YEAR($N1626))),9,_xlfn.IFNA(INDEX($D$2:$D$4001,_xlfn.XMATCH(H$1&amp;"-"&amp;$F1626,YEAR($B$2:$B$4001)&amp;"-"&amp;$A$2:$A$4001,0,-1)),G1626))</f>
        <v>3</v>
      </c>
      <c r="I1626" cm="1">
        <f t="array" ref="I1626">IF(OR(AND(H1626=9,I$1&gt;YEAR($N1626))),9,_xlfn.IFNA(INDEX($D$2:$D$4001,_xlfn.XMATCH(I$1&amp;"-"&amp;$F1626,YEAR($B$2:$B$4001)&amp;"-"&amp;$A$2:$A$4001,0,-1)),H1626))</f>
        <v>3</v>
      </c>
      <c r="J1626" cm="1">
        <f t="array" ref="J1626">IF(OR(AND(I1626=9,J$1&gt;YEAR($N1626))),9,_xlfn.IFNA(INDEX($D$2:$D$4001,_xlfn.XMATCH(J$1&amp;"-"&amp;$F1626,YEAR($B$2:$B$4001)&amp;"-"&amp;$A$2:$A$4001,0,-1)),I1626))</f>
        <v>3</v>
      </c>
      <c r="K1626" cm="1">
        <f t="array" ref="K1626">IF(OR(AND(J1626=9,K$1&gt;YEAR($N1626))),9,_xlfn.IFNA(INDEX($D$2:$D$4001,_xlfn.XMATCH(K$1&amp;"-"&amp;$F1626,YEAR($B$2:$B$4001)&amp;"-"&amp;$A$2:$A$4001,0,-1)),J1626))</f>
        <v>2</v>
      </c>
      <c r="L1626" cm="1">
        <f t="array" ref="L1626">IF(OR(AND(K1626=9,L$1&gt;YEAR($N1626))),9,_xlfn.IFNA(INDEX($D$2:$D$4001,_xlfn.XMATCH(L$1&amp;"-"&amp;$F1626,YEAR($B$2:$B$4001)&amp;"-"&amp;$A$2:$A$4001,0,-1)),K1626))</f>
        <v>2</v>
      </c>
      <c r="M1626" cm="1">
        <f t="array" ref="M1626">IF(OR(AND(L1626=9,M$1&gt;YEAR($N1626))),9,_xlfn.IFNA(INDEX($D$2:$D$4001,_xlfn.XMATCH(M$1&amp;"-"&amp;$F1626,YEAR($B$2:$B$4001)&amp;"-"&amp;$A$2:$A$4001,0,-1)),L1626))</f>
        <v>2</v>
      </c>
      <c r="N1626" s="1">
        <f t="shared" si="25"/>
        <v>36332</v>
      </c>
    </row>
    <row r="1627" spans="1:14" x14ac:dyDescent="0.35">
      <c r="A1627">
        <v>770</v>
      </c>
      <c r="B1627" s="2">
        <v>37955</v>
      </c>
      <c r="C1627">
        <v>6</v>
      </c>
      <c r="D1627">
        <v>6</v>
      </c>
      <c r="F1627">
        <v>1626</v>
      </c>
      <c r="G1627" cm="1">
        <f t="array" ref="G1627">_xlfn.IFNA(INDEX($D$2:$D$4001,_xlfn.XMATCH(G$1&amp;"-"&amp;$F1627,YEAR($B$2:$B$4001)&amp;"-"&amp;$A$2:$A$4001,0,-1)),9)</f>
        <v>3</v>
      </c>
      <c r="H1627" cm="1">
        <f t="array" ref="H1627">IF(OR(AND(G1627=9,H$1&gt;YEAR($N1627))),9,_xlfn.IFNA(INDEX($D$2:$D$4001,_xlfn.XMATCH(H$1&amp;"-"&amp;$F1627,YEAR($B$2:$B$4001)&amp;"-"&amp;$A$2:$A$4001,0,-1)),G1627))</f>
        <v>3</v>
      </c>
      <c r="I1627" cm="1">
        <f t="array" ref="I1627">IF(OR(AND(H1627=9,I$1&gt;YEAR($N1627))),9,_xlfn.IFNA(INDEX($D$2:$D$4001,_xlfn.XMATCH(I$1&amp;"-"&amp;$F1627,YEAR($B$2:$B$4001)&amp;"-"&amp;$A$2:$A$4001,0,-1)),H1627))</f>
        <v>3</v>
      </c>
      <c r="J1627" cm="1">
        <f t="array" ref="J1627">IF(OR(AND(I1627=9,J$1&gt;YEAR($N1627))),9,_xlfn.IFNA(INDEX($D$2:$D$4001,_xlfn.XMATCH(J$1&amp;"-"&amp;$F1627,YEAR($B$2:$B$4001)&amp;"-"&amp;$A$2:$A$4001,0,-1)),I1627))</f>
        <v>3</v>
      </c>
      <c r="K1627" cm="1">
        <f t="array" ref="K1627">IF(OR(AND(J1627=9,K$1&gt;YEAR($N1627))),9,_xlfn.IFNA(INDEX($D$2:$D$4001,_xlfn.XMATCH(K$1&amp;"-"&amp;$F1627,YEAR($B$2:$B$4001)&amp;"-"&amp;$A$2:$A$4001,0,-1)),J1627))</f>
        <v>3</v>
      </c>
      <c r="L1627" cm="1">
        <f t="array" ref="L1627">IF(OR(AND(K1627=9,L$1&gt;YEAR($N1627))),9,_xlfn.IFNA(INDEX($D$2:$D$4001,_xlfn.XMATCH(L$1&amp;"-"&amp;$F1627,YEAR($B$2:$B$4001)&amp;"-"&amp;$A$2:$A$4001,0,-1)),K1627))</f>
        <v>3</v>
      </c>
      <c r="M1627" cm="1">
        <f t="array" ref="M1627">IF(OR(AND(L1627=9,M$1&gt;YEAR($N1627))),9,_xlfn.IFNA(INDEX($D$2:$D$4001,_xlfn.XMATCH(M$1&amp;"-"&amp;$F1627,YEAR($B$2:$B$4001)&amp;"-"&amp;$A$2:$A$4001,0,-1)),L1627))</f>
        <v>3</v>
      </c>
      <c r="N1627" s="1">
        <f t="shared" si="25"/>
        <v>36310</v>
      </c>
    </row>
    <row r="1628" spans="1:14" x14ac:dyDescent="0.35">
      <c r="A1628">
        <v>771</v>
      </c>
      <c r="B1628" s="2">
        <v>36524</v>
      </c>
      <c r="C1628">
        <v>6</v>
      </c>
      <c r="D1628">
        <v>6</v>
      </c>
      <c r="F1628">
        <v>1627</v>
      </c>
      <c r="G1628" cm="1">
        <f t="array" ref="G1628">_xlfn.IFNA(INDEX($D$2:$D$4001,_xlfn.XMATCH(G$1&amp;"-"&amp;$F1628,YEAR($B$2:$B$4001)&amp;"-"&amp;$A$2:$A$4001,0,-1)),9)</f>
        <v>9</v>
      </c>
      <c r="H1628" cm="1">
        <f t="array" ref="H1628">IF(OR(AND(G1628=9,H$1&gt;YEAR($N1628))),9,_xlfn.IFNA(INDEX($D$2:$D$4001,_xlfn.XMATCH(H$1&amp;"-"&amp;$F1628,YEAR($B$2:$B$4001)&amp;"-"&amp;$A$2:$A$4001,0,-1)),G1628))</f>
        <v>9</v>
      </c>
      <c r="I1628" cm="1">
        <f t="array" ref="I1628">IF(OR(AND(H1628=9,I$1&gt;YEAR($N1628))),9,_xlfn.IFNA(INDEX($D$2:$D$4001,_xlfn.XMATCH(I$1&amp;"-"&amp;$F1628,YEAR($B$2:$B$4001)&amp;"-"&amp;$A$2:$A$4001,0,-1)),H1628))</f>
        <v>0</v>
      </c>
      <c r="J1628" cm="1">
        <f t="array" ref="J1628">IF(OR(AND(I1628=9,J$1&gt;YEAR($N1628))),9,_xlfn.IFNA(INDEX($D$2:$D$4001,_xlfn.XMATCH(J$1&amp;"-"&amp;$F1628,YEAR($B$2:$B$4001)&amp;"-"&amp;$A$2:$A$4001,0,-1)),I1628))</f>
        <v>0</v>
      </c>
      <c r="K1628" cm="1">
        <f t="array" ref="K1628">IF(OR(AND(J1628=9,K$1&gt;YEAR($N1628))),9,_xlfn.IFNA(INDEX($D$2:$D$4001,_xlfn.XMATCH(K$1&amp;"-"&amp;$F1628,YEAR($B$2:$B$4001)&amp;"-"&amp;$A$2:$A$4001,0,-1)),J1628))</f>
        <v>0</v>
      </c>
      <c r="L1628" cm="1">
        <f t="array" ref="L1628">IF(OR(AND(K1628=9,L$1&gt;YEAR($N1628))),9,_xlfn.IFNA(INDEX($D$2:$D$4001,_xlfn.XMATCH(L$1&amp;"-"&amp;$F1628,YEAR($B$2:$B$4001)&amp;"-"&amp;$A$2:$A$4001,0,-1)),K1628))</f>
        <v>0</v>
      </c>
      <c r="M1628" cm="1">
        <f t="array" ref="M1628">IF(OR(AND(L1628=9,M$1&gt;YEAR($N1628))),9,_xlfn.IFNA(INDEX($D$2:$D$4001,_xlfn.XMATCH(M$1&amp;"-"&amp;$F1628,YEAR($B$2:$B$4001)&amp;"-"&amp;$A$2:$A$4001,0,-1)),L1628))</f>
        <v>0</v>
      </c>
      <c r="N1628" s="1">
        <f t="shared" si="25"/>
        <v>37194</v>
      </c>
    </row>
    <row r="1629" spans="1:14" x14ac:dyDescent="0.35">
      <c r="A1629">
        <v>771</v>
      </c>
      <c r="B1629" s="2">
        <v>37924</v>
      </c>
      <c r="C1629">
        <v>6</v>
      </c>
      <c r="D1629">
        <v>6</v>
      </c>
      <c r="F1629">
        <v>1628</v>
      </c>
      <c r="G1629" cm="1">
        <f t="array" ref="G1629">_xlfn.IFNA(INDEX($D$2:$D$4001,_xlfn.XMATCH(G$1&amp;"-"&amp;$F1629,YEAR($B$2:$B$4001)&amp;"-"&amp;$A$2:$A$4001,0,-1)),9)</f>
        <v>9</v>
      </c>
      <c r="H1629" cm="1">
        <f t="array" ref="H1629">IF(OR(AND(G1629=9,H$1&gt;YEAR($N1629))),9,_xlfn.IFNA(INDEX($D$2:$D$4001,_xlfn.XMATCH(H$1&amp;"-"&amp;$F1629,YEAR($B$2:$B$4001)&amp;"-"&amp;$A$2:$A$4001,0,-1)),G1629))</f>
        <v>9</v>
      </c>
      <c r="I1629" cm="1">
        <f t="array" ref="I1629">IF(OR(AND(H1629=9,I$1&gt;YEAR($N1629))),9,_xlfn.IFNA(INDEX($D$2:$D$4001,_xlfn.XMATCH(I$1&amp;"-"&amp;$F1629,YEAR($B$2:$B$4001)&amp;"-"&amp;$A$2:$A$4001,0,-1)),H1629))</f>
        <v>9</v>
      </c>
      <c r="J1629" cm="1">
        <f t="array" ref="J1629">IF(OR(AND(I1629=9,J$1&gt;YEAR($N1629))),9,_xlfn.IFNA(INDEX($D$2:$D$4001,_xlfn.XMATCH(J$1&amp;"-"&amp;$F1629,YEAR($B$2:$B$4001)&amp;"-"&amp;$A$2:$A$4001,0,-1)),I1629))</f>
        <v>9</v>
      </c>
      <c r="K1629" cm="1">
        <f t="array" ref="K1629">IF(OR(AND(J1629=9,K$1&gt;YEAR($N1629))),9,_xlfn.IFNA(INDEX($D$2:$D$4001,_xlfn.XMATCH(K$1&amp;"-"&amp;$F1629,YEAR($B$2:$B$4001)&amp;"-"&amp;$A$2:$A$4001,0,-1)),J1629))</f>
        <v>9</v>
      </c>
      <c r="L1629" cm="1">
        <f t="array" ref="L1629">IF(OR(AND(K1629=9,L$1&gt;YEAR($N1629))),9,_xlfn.IFNA(INDEX($D$2:$D$4001,_xlfn.XMATCH(L$1&amp;"-"&amp;$F1629,YEAR($B$2:$B$4001)&amp;"-"&amp;$A$2:$A$4001,0,-1)),K1629))</f>
        <v>2</v>
      </c>
      <c r="M1629" cm="1">
        <f t="array" ref="M1629">IF(OR(AND(L1629=9,M$1&gt;YEAR($N1629))),9,_xlfn.IFNA(INDEX($D$2:$D$4001,_xlfn.XMATCH(M$1&amp;"-"&amp;$F1629,YEAR($B$2:$B$4001)&amp;"-"&amp;$A$2:$A$4001,0,-1)),L1629))</f>
        <v>2</v>
      </c>
      <c r="N1629" s="1">
        <f t="shared" si="25"/>
        <v>38128</v>
      </c>
    </row>
    <row r="1630" spans="1:14" x14ac:dyDescent="0.35">
      <c r="A1630">
        <v>771</v>
      </c>
      <c r="B1630" s="2">
        <v>37985</v>
      </c>
      <c r="C1630">
        <v>7</v>
      </c>
      <c r="D1630">
        <v>7</v>
      </c>
      <c r="F1630">
        <v>1629</v>
      </c>
      <c r="G1630" cm="1">
        <f t="array" ref="G1630">_xlfn.IFNA(INDEX($D$2:$D$4001,_xlfn.XMATCH(G$1&amp;"-"&amp;$F1630,YEAR($B$2:$B$4001)&amp;"-"&amp;$A$2:$A$4001,0,-1)),9)</f>
        <v>9</v>
      </c>
      <c r="H1630" cm="1">
        <f t="array" ref="H1630">IF(OR(AND(G1630=9,H$1&gt;YEAR($N1630))),9,_xlfn.IFNA(INDEX($D$2:$D$4001,_xlfn.XMATCH(H$1&amp;"-"&amp;$F1630,YEAR($B$2:$B$4001)&amp;"-"&amp;$A$2:$A$4001,0,-1)),G1630))</f>
        <v>9</v>
      </c>
      <c r="I1630" cm="1">
        <f t="array" ref="I1630">IF(OR(AND(H1630=9,I$1&gt;YEAR($N1630))),9,_xlfn.IFNA(INDEX($D$2:$D$4001,_xlfn.XMATCH(I$1&amp;"-"&amp;$F1630,YEAR($B$2:$B$4001)&amp;"-"&amp;$A$2:$A$4001,0,-1)),H1630))</f>
        <v>9</v>
      </c>
      <c r="J1630" cm="1">
        <f t="array" ref="J1630">IF(OR(AND(I1630=9,J$1&gt;YEAR($N1630))),9,_xlfn.IFNA(INDEX($D$2:$D$4001,_xlfn.XMATCH(J$1&amp;"-"&amp;$F1630,YEAR($B$2:$B$4001)&amp;"-"&amp;$A$2:$A$4001,0,-1)),I1630))</f>
        <v>3</v>
      </c>
      <c r="K1630" cm="1">
        <f t="array" ref="K1630">IF(OR(AND(J1630=9,K$1&gt;YEAR($N1630))),9,_xlfn.IFNA(INDEX($D$2:$D$4001,_xlfn.XMATCH(K$1&amp;"-"&amp;$F1630,YEAR($B$2:$B$4001)&amp;"-"&amp;$A$2:$A$4001,0,-1)),J1630))</f>
        <v>3</v>
      </c>
      <c r="L1630" cm="1">
        <f t="array" ref="L1630">IF(OR(AND(K1630=9,L$1&gt;YEAR($N1630))),9,_xlfn.IFNA(INDEX($D$2:$D$4001,_xlfn.XMATCH(L$1&amp;"-"&amp;$F1630,YEAR($B$2:$B$4001)&amp;"-"&amp;$A$2:$A$4001,0,-1)),K1630))</f>
        <v>3</v>
      </c>
      <c r="M1630" cm="1">
        <f t="array" ref="M1630">IF(OR(AND(L1630=9,M$1&gt;YEAR($N1630))),9,_xlfn.IFNA(INDEX($D$2:$D$4001,_xlfn.XMATCH(M$1&amp;"-"&amp;$F1630,YEAR($B$2:$B$4001)&amp;"-"&amp;$A$2:$A$4001,0,-1)),L1630))</f>
        <v>3</v>
      </c>
      <c r="N1630" s="1">
        <f t="shared" si="25"/>
        <v>37405</v>
      </c>
    </row>
    <row r="1631" spans="1:14" x14ac:dyDescent="0.35">
      <c r="A1631">
        <v>772</v>
      </c>
      <c r="B1631" s="2">
        <v>37216</v>
      </c>
      <c r="C1631">
        <v>8</v>
      </c>
      <c r="D1631">
        <v>8</v>
      </c>
      <c r="F1631">
        <v>1630</v>
      </c>
      <c r="G1631" cm="1">
        <f t="array" ref="G1631">_xlfn.IFNA(INDEX($D$2:$D$4001,_xlfn.XMATCH(G$1&amp;"-"&amp;$F1631,YEAR($B$2:$B$4001)&amp;"-"&amp;$A$2:$A$4001,0,-1)),9)</f>
        <v>6</v>
      </c>
      <c r="H1631" cm="1">
        <f t="array" ref="H1631">IF(OR(AND(G1631=9,H$1&gt;YEAR($N1631))),9,_xlfn.IFNA(INDEX($D$2:$D$4001,_xlfn.XMATCH(H$1&amp;"-"&amp;$F1631,YEAR($B$2:$B$4001)&amp;"-"&amp;$A$2:$A$4001,0,-1)),G1631))</f>
        <v>6</v>
      </c>
      <c r="I1631" cm="1">
        <f t="array" ref="I1631">IF(OR(AND(H1631=9,I$1&gt;YEAR($N1631))),9,_xlfn.IFNA(INDEX($D$2:$D$4001,_xlfn.XMATCH(I$1&amp;"-"&amp;$F1631,YEAR($B$2:$B$4001)&amp;"-"&amp;$A$2:$A$4001,0,-1)),H1631))</f>
        <v>6</v>
      </c>
      <c r="J1631" cm="1">
        <f t="array" ref="J1631">IF(OR(AND(I1631=9,J$1&gt;YEAR($N1631))),9,_xlfn.IFNA(INDEX($D$2:$D$4001,_xlfn.XMATCH(J$1&amp;"-"&amp;$F1631,YEAR($B$2:$B$4001)&amp;"-"&amp;$A$2:$A$4001,0,-1)),I1631))</f>
        <v>6</v>
      </c>
      <c r="K1631" cm="1">
        <f t="array" ref="K1631">IF(OR(AND(J1631=9,K$1&gt;YEAR($N1631))),9,_xlfn.IFNA(INDEX($D$2:$D$4001,_xlfn.XMATCH(K$1&amp;"-"&amp;$F1631,YEAR($B$2:$B$4001)&amp;"-"&amp;$A$2:$A$4001,0,-1)),J1631))</f>
        <v>6</v>
      </c>
      <c r="L1631" cm="1">
        <f t="array" ref="L1631">IF(OR(AND(K1631=9,L$1&gt;YEAR($N1631))),9,_xlfn.IFNA(INDEX($D$2:$D$4001,_xlfn.XMATCH(L$1&amp;"-"&amp;$F1631,YEAR($B$2:$B$4001)&amp;"-"&amp;$A$2:$A$4001,0,-1)),K1631))</f>
        <v>5</v>
      </c>
      <c r="M1631" cm="1">
        <f t="array" ref="M1631">IF(OR(AND(L1631=9,M$1&gt;YEAR($N1631))),9,_xlfn.IFNA(INDEX($D$2:$D$4001,_xlfn.XMATCH(M$1&amp;"-"&amp;$F1631,YEAR($B$2:$B$4001)&amp;"-"&amp;$A$2:$A$4001,0,-1)),L1631))</f>
        <v>5</v>
      </c>
      <c r="N1631" s="1">
        <f t="shared" si="25"/>
        <v>36524</v>
      </c>
    </row>
    <row r="1632" spans="1:14" x14ac:dyDescent="0.35">
      <c r="A1632">
        <v>772</v>
      </c>
      <c r="B1632" s="2">
        <v>37255</v>
      </c>
      <c r="C1632">
        <v>7</v>
      </c>
      <c r="D1632">
        <v>8</v>
      </c>
      <c r="F1632">
        <v>1631</v>
      </c>
      <c r="G1632" cm="1">
        <f t="array" ref="G1632">_xlfn.IFNA(INDEX($D$2:$D$4001,_xlfn.XMATCH(G$1&amp;"-"&amp;$F1632,YEAR($B$2:$B$4001)&amp;"-"&amp;$A$2:$A$4001,0,-1)),9)</f>
        <v>9</v>
      </c>
      <c r="H1632" cm="1">
        <f t="array" ref="H1632">IF(OR(AND(G1632=9,H$1&gt;YEAR($N1632))),9,_xlfn.IFNA(INDEX($D$2:$D$4001,_xlfn.XMATCH(H$1&amp;"-"&amp;$F1632,YEAR($B$2:$B$4001)&amp;"-"&amp;$A$2:$A$4001,0,-1)),G1632))</f>
        <v>9</v>
      </c>
      <c r="I1632" cm="1">
        <f t="array" ref="I1632">IF(OR(AND(H1632=9,I$1&gt;YEAR($N1632))),9,_xlfn.IFNA(INDEX($D$2:$D$4001,_xlfn.XMATCH(I$1&amp;"-"&amp;$F1632,YEAR($B$2:$B$4001)&amp;"-"&amp;$A$2:$A$4001,0,-1)),H1632))</f>
        <v>9</v>
      </c>
      <c r="J1632" cm="1">
        <f t="array" ref="J1632">IF(OR(AND(I1632=9,J$1&gt;YEAR($N1632))),9,_xlfn.IFNA(INDEX($D$2:$D$4001,_xlfn.XMATCH(J$1&amp;"-"&amp;$F1632,YEAR($B$2:$B$4001)&amp;"-"&amp;$A$2:$A$4001,0,-1)),I1632))</f>
        <v>9</v>
      </c>
      <c r="K1632" cm="1">
        <f t="array" ref="K1632">IF(OR(AND(J1632=9,K$1&gt;YEAR($N1632))),9,_xlfn.IFNA(INDEX($D$2:$D$4001,_xlfn.XMATCH(K$1&amp;"-"&amp;$F1632,YEAR($B$2:$B$4001)&amp;"-"&amp;$A$2:$A$4001,0,-1)),J1632))</f>
        <v>9</v>
      </c>
      <c r="L1632" cm="1">
        <f t="array" ref="L1632">IF(OR(AND(K1632=9,L$1&gt;YEAR($N1632))),9,_xlfn.IFNA(INDEX($D$2:$D$4001,_xlfn.XMATCH(L$1&amp;"-"&amp;$F1632,YEAR($B$2:$B$4001)&amp;"-"&amp;$A$2:$A$4001,0,-1)),K1632))</f>
        <v>0</v>
      </c>
      <c r="M1632" cm="1">
        <f t="array" ref="M1632">IF(OR(AND(L1632=9,M$1&gt;YEAR($N1632))),9,_xlfn.IFNA(INDEX($D$2:$D$4001,_xlfn.XMATCH(M$1&amp;"-"&amp;$F1632,YEAR($B$2:$B$4001)&amp;"-"&amp;$A$2:$A$4001,0,-1)),L1632))</f>
        <v>0</v>
      </c>
      <c r="N1632" s="1">
        <f t="shared" si="25"/>
        <v>38351</v>
      </c>
    </row>
    <row r="1633" spans="1:14" x14ac:dyDescent="0.35">
      <c r="A1633">
        <v>772</v>
      </c>
      <c r="B1633" s="2">
        <v>37406</v>
      </c>
      <c r="C1633">
        <v>0</v>
      </c>
      <c r="D1633">
        <v>8</v>
      </c>
      <c r="F1633">
        <v>1632</v>
      </c>
      <c r="G1633" cm="1">
        <f t="array" ref="G1633">_xlfn.IFNA(INDEX($D$2:$D$4001,_xlfn.XMATCH(G$1&amp;"-"&amp;$F1633,YEAR($B$2:$B$4001)&amp;"-"&amp;$A$2:$A$4001,0,-1)),9)</f>
        <v>4</v>
      </c>
      <c r="H1633" cm="1">
        <f t="array" ref="H1633">IF(OR(AND(G1633=9,H$1&gt;YEAR($N1633))),9,_xlfn.IFNA(INDEX($D$2:$D$4001,_xlfn.XMATCH(H$1&amp;"-"&amp;$F1633,YEAR($B$2:$B$4001)&amp;"-"&amp;$A$2:$A$4001,0,-1)),G1633))</f>
        <v>0</v>
      </c>
      <c r="I1633" cm="1">
        <f t="array" ref="I1633">IF(OR(AND(H1633=9,I$1&gt;YEAR($N1633))),9,_xlfn.IFNA(INDEX($D$2:$D$4001,_xlfn.XMATCH(I$1&amp;"-"&amp;$F1633,YEAR($B$2:$B$4001)&amp;"-"&amp;$A$2:$A$4001,0,-1)),H1633))</f>
        <v>0</v>
      </c>
      <c r="J1633" cm="1">
        <f t="array" ref="J1633">IF(OR(AND(I1633=9,J$1&gt;YEAR($N1633))),9,_xlfn.IFNA(INDEX($D$2:$D$4001,_xlfn.XMATCH(J$1&amp;"-"&amp;$F1633,YEAR($B$2:$B$4001)&amp;"-"&amp;$A$2:$A$4001,0,-1)),I1633))</f>
        <v>0</v>
      </c>
      <c r="K1633" cm="1">
        <f t="array" ref="K1633">IF(OR(AND(J1633=9,K$1&gt;YEAR($N1633))),9,_xlfn.IFNA(INDEX($D$2:$D$4001,_xlfn.XMATCH(K$1&amp;"-"&amp;$F1633,YEAR($B$2:$B$4001)&amp;"-"&amp;$A$2:$A$4001,0,-1)),J1633))</f>
        <v>0</v>
      </c>
      <c r="L1633" cm="1">
        <f t="array" ref="L1633">IF(OR(AND(K1633=9,L$1&gt;YEAR($N1633))),9,_xlfn.IFNA(INDEX($D$2:$D$4001,_xlfn.XMATCH(L$1&amp;"-"&amp;$F1633,YEAR($B$2:$B$4001)&amp;"-"&amp;$A$2:$A$4001,0,-1)),K1633))</f>
        <v>0</v>
      </c>
      <c r="M1633" cm="1">
        <f t="array" ref="M1633">IF(OR(AND(L1633=9,M$1&gt;YEAR($N1633))),9,_xlfn.IFNA(INDEX($D$2:$D$4001,_xlfn.XMATCH(M$1&amp;"-"&amp;$F1633,YEAR($B$2:$B$4001)&amp;"-"&amp;$A$2:$A$4001,0,-1)),L1633))</f>
        <v>0</v>
      </c>
      <c r="N1633" s="1">
        <f t="shared" si="25"/>
        <v>36310</v>
      </c>
    </row>
    <row r="1634" spans="1:14" x14ac:dyDescent="0.35">
      <c r="A1634">
        <v>772</v>
      </c>
      <c r="B1634" s="2">
        <v>37985</v>
      </c>
      <c r="C1634">
        <v>6</v>
      </c>
      <c r="D1634">
        <v>8</v>
      </c>
      <c r="F1634">
        <v>1633</v>
      </c>
      <c r="G1634" cm="1">
        <f t="array" ref="G1634">_xlfn.IFNA(INDEX($D$2:$D$4001,_xlfn.XMATCH(G$1&amp;"-"&amp;$F1634,YEAR($B$2:$B$4001)&amp;"-"&amp;$A$2:$A$4001,0,-1)),9)</f>
        <v>9</v>
      </c>
      <c r="H1634" cm="1">
        <f t="array" ref="H1634">IF(OR(AND(G1634=9,H$1&gt;YEAR($N1634))),9,_xlfn.IFNA(INDEX($D$2:$D$4001,_xlfn.XMATCH(H$1&amp;"-"&amp;$F1634,YEAR($B$2:$B$4001)&amp;"-"&amp;$A$2:$A$4001,0,-1)),G1634))</f>
        <v>9</v>
      </c>
      <c r="I1634" cm="1">
        <f t="array" ref="I1634">IF(OR(AND(H1634=9,I$1&gt;YEAR($N1634))),9,_xlfn.IFNA(INDEX($D$2:$D$4001,_xlfn.XMATCH(I$1&amp;"-"&amp;$F1634,YEAR($B$2:$B$4001)&amp;"-"&amp;$A$2:$A$4001,0,-1)),H1634))</f>
        <v>9</v>
      </c>
      <c r="J1634" cm="1">
        <f t="array" ref="J1634">IF(OR(AND(I1634=9,J$1&gt;YEAR($N1634))),9,_xlfn.IFNA(INDEX($D$2:$D$4001,_xlfn.XMATCH(J$1&amp;"-"&amp;$F1634,YEAR($B$2:$B$4001)&amp;"-"&amp;$A$2:$A$4001,0,-1)),I1634))</f>
        <v>3</v>
      </c>
      <c r="K1634" cm="1">
        <f t="array" ref="K1634">IF(OR(AND(J1634=9,K$1&gt;YEAR($N1634))),9,_xlfn.IFNA(INDEX($D$2:$D$4001,_xlfn.XMATCH(K$1&amp;"-"&amp;$F1634,YEAR($B$2:$B$4001)&amp;"-"&amp;$A$2:$A$4001,0,-1)),J1634))</f>
        <v>3</v>
      </c>
      <c r="L1634" cm="1">
        <f t="array" ref="L1634">IF(OR(AND(K1634=9,L$1&gt;YEAR($N1634))),9,_xlfn.IFNA(INDEX($D$2:$D$4001,_xlfn.XMATCH(L$1&amp;"-"&amp;$F1634,YEAR($B$2:$B$4001)&amp;"-"&amp;$A$2:$A$4001,0,-1)),K1634))</f>
        <v>3</v>
      </c>
      <c r="M1634" cm="1">
        <f t="array" ref="M1634">IF(OR(AND(L1634=9,M$1&gt;YEAR($N1634))),9,_xlfn.IFNA(INDEX($D$2:$D$4001,_xlfn.XMATCH(M$1&amp;"-"&amp;$F1634,YEAR($B$2:$B$4001)&amp;"-"&amp;$A$2:$A$4001,0,-1)),L1634))</f>
        <v>3</v>
      </c>
      <c r="N1634" s="1">
        <f t="shared" si="25"/>
        <v>37620</v>
      </c>
    </row>
    <row r="1635" spans="1:14" x14ac:dyDescent="0.35">
      <c r="A1635">
        <v>772</v>
      </c>
      <c r="B1635" s="2">
        <v>38351</v>
      </c>
      <c r="C1635">
        <v>6</v>
      </c>
      <c r="D1635">
        <v>8</v>
      </c>
      <c r="F1635">
        <v>1634</v>
      </c>
      <c r="G1635" cm="1">
        <f t="array" ref="G1635">_xlfn.IFNA(INDEX($D$2:$D$4001,_xlfn.XMATCH(G$1&amp;"-"&amp;$F1635,YEAR($B$2:$B$4001)&amp;"-"&amp;$A$2:$A$4001,0,-1)),9)</f>
        <v>6</v>
      </c>
      <c r="H1635" cm="1">
        <f t="array" ref="H1635">IF(OR(AND(G1635=9,H$1&gt;YEAR($N1635))),9,_xlfn.IFNA(INDEX($D$2:$D$4001,_xlfn.XMATCH(H$1&amp;"-"&amp;$F1635,YEAR($B$2:$B$4001)&amp;"-"&amp;$A$2:$A$4001,0,-1)),G1635))</f>
        <v>7</v>
      </c>
      <c r="I1635" cm="1">
        <f t="array" ref="I1635">IF(OR(AND(H1635=9,I$1&gt;YEAR($N1635))),9,_xlfn.IFNA(INDEX($D$2:$D$4001,_xlfn.XMATCH(I$1&amp;"-"&amp;$F1635,YEAR($B$2:$B$4001)&amp;"-"&amp;$A$2:$A$4001,0,-1)),H1635))</f>
        <v>0</v>
      </c>
      <c r="J1635" cm="1">
        <f t="array" ref="J1635">IF(OR(AND(I1635=9,J$1&gt;YEAR($N1635))),9,_xlfn.IFNA(INDEX($D$2:$D$4001,_xlfn.XMATCH(J$1&amp;"-"&amp;$F1635,YEAR($B$2:$B$4001)&amp;"-"&amp;$A$2:$A$4001,0,-1)),I1635))</f>
        <v>0</v>
      </c>
      <c r="K1635" cm="1">
        <f t="array" ref="K1635">IF(OR(AND(J1635=9,K$1&gt;YEAR($N1635))),9,_xlfn.IFNA(INDEX($D$2:$D$4001,_xlfn.XMATCH(K$1&amp;"-"&amp;$F1635,YEAR($B$2:$B$4001)&amp;"-"&amp;$A$2:$A$4001,0,-1)),J1635))</f>
        <v>0</v>
      </c>
      <c r="L1635" cm="1">
        <f t="array" ref="L1635">IF(OR(AND(K1635=9,L$1&gt;YEAR($N1635))),9,_xlfn.IFNA(INDEX($D$2:$D$4001,_xlfn.XMATCH(L$1&amp;"-"&amp;$F1635,YEAR($B$2:$B$4001)&amp;"-"&amp;$A$2:$A$4001,0,-1)),K1635))</f>
        <v>0</v>
      </c>
      <c r="M1635" cm="1">
        <f t="array" ref="M1635">IF(OR(AND(L1635=9,M$1&gt;YEAR($N1635))),9,_xlfn.IFNA(INDEX($D$2:$D$4001,_xlfn.XMATCH(M$1&amp;"-"&amp;$F1635,YEAR($B$2:$B$4001)&amp;"-"&amp;$A$2:$A$4001,0,-1)),L1635))</f>
        <v>0</v>
      </c>
      <c r="N1635" s="1">
        <f t="shared" si="25"/>
        <v>36494</v>
      </c>
    </row>
    <row r="1636" spans="1:14" x14ac:dyDescent="0.35">
      <c r="A1636">
        <v>772</v>
      </c>
      <c r="B1636" s="2">
        <v>38493</v>
      </c>
      <c r="C1636">
        <v>7</v>
      </c>
      <c r="D1636">
        <v>8</v>
      </c>
      <c r="F1636">
        <v>1635</v>
      </c>
      <c r="G1636" cm="1">
        <f t="array" ref="G1636">_xlfn.IFNA(INDEX($D$2:$D$4001,_xlfn.XMATCH(G$1&amp;"-"&amp;$F1636,YEAR($B$2:$B$4001)&amp;"-"&amp;$A$2:$A$4001,0,-1)),9)</f>
        <v>2</v>
      </c>
      <c r="H1636" cm="1">
        <f t="array" ref="H1636">IF(OR(AND(G1636=9,H$1&gt;YEAR($N1636))),9,_xlfn.IFNA(INDEX($D$2:$D$4001,_xlfn.XMATCH(H$1&amp;"-"&amp;$F1636,YEAR($B$2:$B$4001)&amp;"-"&amp;$A$2:$A$4001,0,-1)),G1636))</f>
        <v>2</v>
      </c>
      <c r="I1636" cm="1">
        <f t="array" ref="I1636">IF(OR(AND(H1636=9,I$1&gt;YEAR($N1636))),9,_xlfn.IFNA(INDEX($D$2:$D$4001,_xlfn.XMATCH(I$1&amp;"-"&amp;$F1636,YEAR($B$2:$B$4001)&amp;"-"&amp;$A$2:$A$4001,0,-1)),H1636))</f>
        <v>2</v>
      </c>
      <c r="J1636" cm="1">
        <f t="array" ref="J1636">IF(OR(AND(I1636=9,J$1&gt;YEAR($N1636))),9,_xlfn.IFNA(INDEX($D$2:$D$4001,_xlfn.XMATCH(J$1&amp;"-"&amp;$F1636,YEAR($B$2:$B$4001)&amp;"-"&amp;$A$2:$A$4001,0,-1)),I1636))</f>
        <v>2</v>
      </c>
      <c r="K1636" cm="1">
        <f t="array" ref="K1636">IF(OR(AND(J1636=9,K$1&gt;YEAR($N1636))),9,_xlfn.IFNA(INDEX($D$2:$D$4001,_xlfn.XMATCH(K$1&amp;"-"&amp;$F1636,YEAR($B$2:$B$4001)&amp;"-"&amp;$A$2:$A$4001,0,-1)),J1636))</f>
        <v>2</v>
      </c>
      <c r="L1636" cm="1">
        <f t="array" ref="L1636">IF(OR(AND(K1636=9,L$1&gt;YEAR($N1636))),9,_xlfn.IFNA(INDEX($D$2:$D$4001,_xlfn.XMATCH(L$1&amp;"-"&amp;$F1636,YEAR($B$2:$B$4001)&amp;"-"&amp;$A$2:$A$4001,0,-1)),K1636))</f>
        <v>2</v>
      </c>
      <c r="M1636" cm="1">
        <f t="array" ref="M1636">IF(OR(AND(L1636=9,M$1&gt;YEAR($N1636))),9,_xlfn.IFNA(INDEX($D$2:$D$4001,_xlfn.XMATCH(M$1&amp;"-"&amp;$F1636,YEAR($B$2:$B$4001)&amp;"-"&amp;$A$2:$A$4001,0,-1)),L1636))</f>
        <v>2</v>
      </c>
      <c r="N1636" s="1">
        <f t="shared" si="25"/>
        <v>36301</v>
      </c>
    </row>
    <row r="1637" spans="1:14" x14ac:dyDescent="0.35">
      <c r="A1637">
        <v>773</v>
      </c>
      <c r="B1637" s="2">
        <v>38493</v>
      </c>
      <c r="C1637">
        <v>0</v>
      </c>
      <c r="D1637">
        <v>0</v>
      </c>
      <c r="F1637">
        <v>1636</v>
      </c>
      <c r="G1637" cm="1">
        <f t="array" ref="G1637">_xlfn.IFNA(INDEX($D$2:$D$4001,_xlfn.XMATCH(G$1&amp;"-"&amp;$F1637,YEAR($B$2:$B$4001)&amp;"-"&amp;$A$2:$A$4001,0,-1)),9)</f>
        <v>9</v>
      </c>
      <c r="H1637" cm="1">
        <f t="array" ref="H1637">IF(OR(AND(G1637=9,H$1&gt;YEAR($N1637))),9,_xlfn.IFNA(INDEX($D$2:$D$4001,_xlfn.XMATCH(H$1&amp;"-"&amp;$F1637,YEAR($B$2:$B$4001)&amp;"-"&amp;$A$2:$A$4001,0,-1)),G1637))</f>
        <v>9</v>
      </c>
      <c r="I1637" cm="1">
        <f t="array" ref="I1637">IF(OR(AND(H1637=9,I$1&gt;YEAR($N1637))),9,_xlfn.IFNA(INDEX($D$2:$D$4001,_xlfn.XMATCH(I$1&amp;"-"&amp;$F1637,YEAR($B$2:$B$4001)&amp;"-"&amp;$A$2:$A$4001,0,-1)),H1637))</f>
        <v>9</v>
      </c>
      <c r="J1637" cm="1">
        <f t="array" ref="J1637">IF(OR(AND(I1637=9,J$1&gt;YEAR($N1637))),9,_xlfn.IFNA(INDEX($D$2:$D$4001,_xlfn.XMATCH(J$1&amp;"-"&amp;$F1637,YEAR($B$2:$B$4001)&amp;"-"&amp;$A$2:$A$4001,0,-1)),I1637))</f>
        <v>6</v>
      </c>
      <c r="K1637" cm="1">
        <f t="array" ref="K1637">IF(OR(AND(J1637=9,K$1&gt;YEAR($N1637))),9,_xlfn.IFNA(INDEX($D$2:$D$4001,_xlfn.XMATCH(K$1&amp;"-"&amp;$F1637,YEAR($B$2:$B$4001)&amp;"-"&amp;$A$2:$A$4001,0,-1)),J1637))</f>
        <v>6</v>
      </c>
      <c r="L1637" cm="1">
        <f t="array" ref="L1637">IF(OR(AND(K1637=9,L$1&gt;YEAR($N1637))),9,_xlfn.IFNA(INDEX($D$2:$D$4001,_xlfn.XMATCH(L$1&amp;"-"&amp;$F1637,YEAR($B$2:$B$4001)&amp;"-"&amp;$A$2:$A$4001,0,-1)),K1637))</f>
        <v>6</v>
      </c>
      <c r="M1637" cm="1">
        <f t="array" ref="M1637">IF(OR(AND(L1637=9,M$1&gt;YEAR($N1637))),9,_xlfn.IFNA(INDEX($D$2:$D$4001,_xlfn.XMATCH(M$1&amp;"-"&amp;$F1637,YEAR($B$2:$B$4001)&amp;"-"&amp;$A$2:$A$4001,0,-1)),L1637))</f>
        <v>6</v>
      </c>
      <c r="N1637" s="1">
        <f t="shared" si="25"/>
        <v>37397</v>
      </c>
    </row>
    <row r="1638" spans="1:14" x14ac:dyDescent="0.35">
      <c r="A1638">
        <v>774</v>
      </c>
      <c r="B1638" s="2">
        <v>36890</v>
      </c>
      <c r="C1638">
        <v>2</v>
      </c>
      <c r="D1638">
        <v>2</v>
      </c>
      <c r="F1638">
        <v>1637</v>
      </c>
      <c r="G1638" cm="1">
        <f t="array" ref="G1638">_xlfn.IFNA(INDEX($D$2:$D$4001,_xlfn.XMATCH(G$1&amp;"-"&amp;$F1638,YEAR($B$2:$B$4001)&amp;"-"&amp;$A$2:$A$4001,0,-1)),9)</f>
        <v>9</v>
      </c>
      <c r="H1638" cm="1">
        <f t="array" ref="H1638">IF(OR(AND(G1638=9,H$1&gt;YEAR($N1638))),9,_xlfn.IFNA(INDEX($D$2:$D$4001,_xlfn.XMATCH(H$1&amp;"-"&amp;$F1638,YEAR($B$2:$B$4001)&amp;"-"&amp;$A$2:$A$4001,0,-1)),G1638))</f>
        <v>9</v>
      </c>
      <c r="I1638" cm="1">
        <f t="array" ref="I1638">IF(OR(AND(H1638=9,I$1&gt;YEAR($N1638))),9,_xlfn.IFNA(INDEX($D$2:$D$4001,_xlfn.XMATCH(I$1&amp;"-"&amp;$F1638,YEAR($B$2:$B$4001)&amp;"-"&amp;$A$2:$A$4001,0,-1)),H1638))</f>
        <v>8</v>
      </c>
      <c r="J1638" cm="1">
        <f t="array" ref="J1638">IF(OR(AND(I1638=9,J$1&gt;YEAR($N1638))),9,_xlfn.IFNA(INDEX($D$2:$D$4001,_xlfn.XMATCH(J$1&amp;"-"&amp;$F1638,YEAR($B$2:$B$4001)&amp;"-"&amp;$A$2:$A$4001,0,-1)),I1638))</f>
        <v>8</v>
      </c>
      <c r="K1638" cm="1">
        <f t="array" ref="K1638">IF(OR(AND(J1638=9,K$1&gt;YEAR($N1638))),9,_xlfn.IFNA(INDEX($D$2:$D$4001,_xlfn.XMATCH(K$1&amp;"-"&amp;$F1638,YEAR($B$2:$B$4001)&amp;"-"&amp;$A$2:$A$4001,0,-1)),J1638))</f>
        <v>8</v>
      </c>
      <c r="L1638" cm="1">
        <f t="array" ref="L1638">IF(OR(AND(K1638=9,L$1&gt;YEAR($N1638))),9,_xlfn.IFNA(INDEX($D$2:$D$4001,_xlfn.XMATCH(L$1&amp;"-"&amp;$F1638,YEAR($B$2:$B$4001)&amp;"-"&amp;$A$2:$A$4001,0,-1)),K1638))</f>
        <v>8</v>
      </c>
      <c r="M1638" cm="1">
        <f t="array" ref="M1638">IF(OR(AND(L1638=9,M$1&gt;YEAR($N1638))),9,_xlfn.IFNA(INDEX($D$2:$D$4001,_xlfn.XMATCH(M$1&amp;"-"&amp;$F1638,YEAR($B$2:$B$4001)&amp;"-"&amp;$A$2:$A$4001,0,-1)),L1638))</f>
        <v>8</v>
      </c>
      <c r="N1638" s="1">
        <f t="shared" si="25"/>
        <v>37041</v>
      </c>
    </row>
    <row r="1639" spans="1:14" x14ac:dyDescent="0.35">
      <c r="A1639">
        <v>775</v>
      </c>
      <c r="B1639" s="2">
        <v>37033</v>
      </c>
      <c r="C1639">
        <v>0</v>
      </c>
      <c r="D1639">
        <v>0</v>
      </c>
      <c r="F1639">
        <v>1638</v>
      </c>
      <c r="G1639" cm="1">
        <f t="array" ref="G1639">_xlfn.IFNA(INDEX($D$2:$D$4001,_xlfn.XMATCH(G$1&amp;"-"&amp;$F1639,YEAR($B$2:$B$4001)&amp;"-"&amp;$A$2:$A$4001,0,-1)),9)</f>
        <v>9</v>
      </c>
      <c r="H1639" cm="1">
        <f t="array" ref="H1639">IF(OR(AND(G1639=9,H$1&gt;YEAR($N1639))),9,_xlfn.IFNA(INDEX($D$2:$D$4001,_xlfn.XMATCH(H$1&amp;"-"&amp;$F1639,YEAR($B$2:$B$4001)&amp;"-"&amp;$A$2:$A$4001,0,-1)),G1639))</f>
        <v>9</v>
      </c>
      <c r="I1639" cm="1">
        <f t="array" ref="I1639">IF(OR(AND(H1639=9,I$1&gt;YEAR($N1639))),9,_xlfn.IFNA(INDEX($D$2:$D$4001,_xlfn.XMATCH(I$1&amp;"-"&amp;$F1639,YEAR($B$2:$B$4001)&amp;"-"&amp;$A$2:$A$4001,0,-1)),H1639))</f>
        <v>9</v>
      </c>
      <c r="J1639" cm="1">
        <f t="array" ref="J1639">IF(OR(AND(I1639=9,J$1&gt;YEAR($N1639))),9,_xlfn.IFNA(INDEX($D$2:$D$4001,_xlfn.XMATCH(J$1&amp;"-"&amp;$F1639,YEAR($B$2:$B$4001)&amp;"-"&amp;$A$2:$A$4001,0,-1)),I1639))</f>
        <v>9</v>
      </c>
      <c r="K1639" cm="1">
        <f t="array" ref="K1639">IF(OR(AND(J1639=9,K$1&gt;YEAR($N1639))),9,_xlfn.IFNA(INDEX($D$2:$D$4001,_xlfn.XMATCH(K$1&amp;"-"&amp;$F1639,YEAR($B$2:$B$4001)&amp;"-"&amp;$A$2:$A$4001,0,-1)),J1639))</f>
        <v>3</v>
      </c>
      <c r="L1639" cm="1">
        <f t="array" ref="L1639">IF(OR(AND(K1639=9,L$1&gt;YEAR($N1639))),9,_xlfn.IFNA(INDEX($D$2:$D$4001,_xlfn.XMATCH(L$1&amp;"-"&amp;$F1639,YEAR($B$2:$B$4001)&amp;"-"&amp;$A$2:$A$4001,0,-1)),K1639))</f>
        <v>2</v>
      </c>
      <c r="M1639" cm="1">
        <f t="array" ref="M1639">IF(OR(AND(L1639=9,M$1&gt;YEAR($N1639))),9,_xlfn.IFNA(INDEX($D$2:$D$4001,_xlfn.XMATCH(M$1&amp;"-"&amp;$F1639,YEAR($B$2:$B$4001)&amp;"-"&amp;$A$2:$A$4001,0,-1)),L1639))</f>
        <v>2</v>
      </c>
      <c r="N1639" s="1">
        <f t="shared" si="25"/>
        <v>37763</v>
      </c>
    </row>
    <row r="1640" spans="1:14" x14ac:dyDescent="0.35">
      <c r="A1640">
        <v>776</v>
      </c>
      <c r="B1640" s="2">
        <v>37255</v>
      </c>
      <c r="C1640">
        <v>2</v>
      </c>
      <c r="D1640">
        <v>2</v>
      </c>
      <c r="F1640">
        <v>1639</v>
      </c>
      <c r="G1640" cm="1">
        <f t="array" ref="G1640">_xlfn.IFNA(INDEX($D$2:$D$4001,_xlfn.XMATCH(G$1&amp;"-"&amp;$F1640,YEAR($B$2:$B$4001)&amp;"-"&amp;$A$2:$A$4001,0,-1)),9)</f>
        <v>9</v>
      </c>
      <c r="H1640" cm="1">
        <f t="array" ref="H1640">IF(OR(AND(G1640=9,H$1&gt;YEAR($N1640))),9,_xlfn.IFNA(INDEX($D$2:$D$4001,_xlfn.XMATCH(H$1&amp;"-"&amp;$F1640,YEAR($B$2:$B$4001)&amp;"-"&amp;$A$2:$A$4001,0,-1)),G1640))</f>
        <v>3</v>
      </c>
      <c r="I1640" cm="1">
        <f t="array" ref="I1640">IF(OR(AND(H1640=9,I$1&gt;YEAR($N1640))),9,_xlfn.IFNA(INDEX($D$2:$D$4001,_xlfn.XMATCH(I$1&amp;"-"&amp;$F1640,YEAR($B$2:$B$4001)&amp;"-"&amp;$A$2:$A$4001,0,-1)),H1640))</f>
        <v>3</v>
      </c>
      <c r="J1640" cm="1">
        <f t="array" ref="J1640">IF(OR(AND(I1640=9,J$1&gt;YEAR($N1640))),9,_xlfn.IFNA(INDEX($D$2:$D$4001,_xlfn.XMATCH(J$1&amp;"-"&amp;$F1640,YEAR($B$2:$B$4001)&amp;"-"&amp;$A$2:$A$4001,0,-1)),I1640))</f>
        <v>3</v>
      </c>
      <c r="K1640" cm="1">
        <f t="array" ref="K1640">IF(OR(AND(J1640=9,K$1&gt;YEAR($N1640))),9,_xlfn.IFNA(INDEX($D$2:$D$4001,_xlfn.XMATCH(K$1&amp;"-"&amp;$F1640,YEAR($B$2:$B$4001)&amp;"-"&amp;$A$2:$A$4001,0,-1)),J1640))</f>
        <v>3</v>
      </c>
      <c r="L1640" cm="1">
        <f t="array" ref="L1640">IF(OR(AND(K1640=9,L$1&gt;YEAR($N1640))),9,_xlfn.IFNA(INDEX($D$2:$D$4001,_xlfn.XMATCH(L$1&amp;"-"&amp;$F1640,YEAR($B$2:$B$4001)&amp;"-"&amp;$A$2:$A$4001,0,-1)),K1640))</f>
        <v>3</v>
      </c>
      <c r="M1640" cm="1">
        <f t="array" ref="M1640">IF(OR(AND(L1640=9,M$1&gt;YEAR($N1640))),9,_xlfn.IFNA(INDEX($D$2:$D$4001,_xlfn.XMATCH(M$1&amp;"-"&amp;$F1640,YEAR($B$2:$B$4001)&amp;"-"&amp;$A$2:$A$4001,0,-1)),L1640))</f>
        <v>3</v>
      </c>
      <c r="N1640" s="1">
        <f t="shared" si="25"/>
        <v>36759</v>
      </c>
    </row>
    <row r="1641" spans="1:14" x14ac:dyDescent="0.35">
      <c r="A1641">
        <v>776</v>
      </c>
      <c r="B1641" s="2">
        <v>37255</v>
      </c>
      <c r="C1641">
        <v>2</v>
      </c>
      <c r="D1641">
        <v>2</v>
      </c>
      <c r="F1641">
        <v>1640</v>
      </c>
      <c r="G1641" cm="1">
        <f t="array" ref="G1641">_xlfn.IFNA(INDEX($D$2:$D$4001,_xlfn.XMATCH(G$1&amp;"-"&amp;$F1641,YEAR($B$2:$B$4001)&amp;"-"&amp;$A$2:$A$4001,0,-1)),9)</f>
        <v>9</v>
      </c>
      <c r="H1641" cm="1">
        <f t="array" ref="H1641">IF(OR(AND(G1641=9,H$1&gt;YEAR($N1641))),9,_xlfn.IFNA(INDEX($D$2:$D$4001,_xlfn.XMATCH(H$1&amp;"-"&amp;$F1641,YEAR($B$2:$B$4001)&amp;"-"&amp;$A$2:$A$4001,0,-1)),G1641))</f>
        <v>9</v>
      </c>
      <c r="I1641" cm="1">
        <f t="array" ref="I1641">IF(OR(AND(H1641=9,I$1&gt;YEAR($N1641))),9,_xlfn.IFNA(INDEX($D$2:$D$4001,_xlfn.XMATCH(I$1&amp;"-"&amp;$F1641,YEAR($B$2:$B$4001)&amp;"-"&amp;$A$2:$A$4001,0,-1)),H1641))</f>
        <v>9</v>
      </c>
      <c r="J1641" cm="1">
        <f t="array" ref="J1641">IF(OR(AND(I1641=9,J$1&gt;YEAR($N1641))),9,_xlfn.IFNA(INDEX($D$2:$D$4001,_xlfn.XMATCH(J$1&amp;"-"&amp;$F1641,YEAR($B$2:$B$4001)&amp;"-"&amp;$A$2:$A$4001,0,-1)),I1641))</f>
        <v>9</v>
      </c>
      <c r="K1641" cm="1">
        <f t="array" ref="K1641">IF(OR(AND(J1641=9,K$1&gt;YEAR($N1641))),9,_xlfn.IFNA(INDEX($D$2:$D$4001,_xlfn.XMATCH(K$1&amp;"-"&amp;$F1641,YEAR($B$2:$B$4001)&amp;"-"&amp;$A$2:$A$4001,0,-1)),J1641))</f>
        <v>9</v>
      </c>
      <c r="L1641" cm="1">
        <f t="array" ref="L1641">IF(OR(AND(K1641=9,L$1&gt;YEAR($N1641))),9,_xlfn.IFNA(INDEX($D$2:$D$4001,_xlfn.XMATCH(L$1&amp;"-"&amp;$F1641,YEAR($B$2:$B$4001)&amp;"-"&amp;$A$2:$A$4001,0,-1)),K1641))</f>
        <v>9</v>
      </c>
      <c r="M1641" cm="1">
        <f t="array" ref="M1641">IF(OR(AND(L1641=9,M$1&gt;YEAR($N1641))),9,_xlfn.IFNA(INDEX($D$2:$D$4001,_xlfn.XMATCH(M$1&amp;"-"&amp;$F1641,YEAR($B$2:$B$4001)&amp;"-"&amp;$A$2:$A$4001,0,-1)),L1641))</f>
        <v>2</v>
      </c>
      <c r="N1641" s="1">
        <f t="shared" si="25"/>
        <v>38563</v>
      </c>
    </row>
    <row r="1642" spans="1:14" x14ac:dyDescent="0.35">
      <c r="A1642">
        <v>776</v>
      </c>
      <c r="B1642" s="2">
        <v>37404</v>
      </c>
      <c r="C1642">
        <v>3</v>
      </c>
      <c r="D1642">
        <v>3</v>
      </c>
      <c r="F1642">
        <v>1641</v>
      </c>
      <c r="G1642" cm="1">
        <f t="array" ref="G1642">_xlfn.IFNA(INDEX($D$2:$D$4001,_xlfn.XMATCH(G$1&amp;"-"&amp;$F1642,YEAR($B$2:$B$4001)&amp;"-"&amp;$A$2:$A$4001,0,-1)),9)</f>
        <v>9</v>
      </c>
      <c r="H1642" cm="1">
        <f t="array" ref="H1642">IF(OR(AND(G1642=9,H$1&gt;YEAR($N1642))),9,_xlfn.IFNA(INDEX($D$2:$D$4001,_xlfn.XMATCH(H$1&amp;"-"&amp;$F1642,YEAR($B$2:$B$4001)&amp;"-"&amp;$A$2:$A$4001,0,-1)),G1642))</f>
        <v>9</v>
      </c>
      <c r="I1642" cm="1">
        <f t="array" ref="I1642">IF(OR(AND(H1642=9,I$1&gt;YEAR($N1642))),9,_xlfn.IFNA(INDEX($D$2:$D$4001,_xlfn.XMATCH(I$1&amp;"-"&amp;$F1642,YEAR($B$2:$B$4001)&amp;"-"&amp;$A$2:$A$4001,0,-1)),H1642))</f>
        <v>2</v>
      </c>
      <c r="J1642" cm="1">
        <f t="array" ref="J1642">IF(OR(AND(I1642=9,J$1&gt;YEAR($N1642))),9,_xlfn.IFNA(INDEX($D$2:$D$4001,_xlfn.XMATCH(J$1&amp;"-"&amp;$F1642,YEAR($B$2:$B$4001)&amp;"-"&amp;$A$2:$A$4001,0,-1)),I1642))</f>
        <v>2</v>
      </c>
      <c r="K1642" cm="1">
        <f t="array" ref="K1642">IF(OR(AND(J1642=9,K$1&gt;YEAR($N1642))),9,_xlfn.IFNA(INDEX($D$2:$D$4001,_xlfn.XMATCH(K$1&amp;"-"&amp;$F1642,YEAR($B$2:$B$4001)&amp;"-"&amp;$A$2:$A$4001,0,-1)),J1642))</f>
        <v>2</v>
      </c>
      <c r="L1642" cm="1">
        <f t="array" ref="L1642">IF(OR(AND(K1642=9,L$1&gt;YEAR($N1642))),9,_xlfn.IFNA(INDEX($D$2:$D$4001,_xlfn.XMATCH(L$1&amp;"-"&amp;$F1642,YEAR($B$2:$B$4001)&amp;"-"&amp;$A$2:$A$4001,0,-1)),K1642))</f>
        <v>2</v>
      </c>
      <c r="M1642" cm="1">
        <f t="array" ref="M1642">IF(OR(AND(L1642=9,M$1&gt;YEAR($N1642))),9,_xlfn.IFNA(INDEX($D$2:$D$4001,_xlfn.XMATCH(M$1&amp;"-"&amp;$F1642,YEAR($B$2:$B$4001)&amp;"-"&amp;$A$2:$A$4001,0,-1)),L1642))</f>
        <v>2</v>
      </c>
      <c r="N1642" s="1">
        <f t="shared" si="25"/>
        <v>37124</v>
      </c>
    </row>
    <row r="1643" spans="1:14" x14ac:dyDescent="0.35">
      <c r="A1643">
        <v>777</v>
      </c>
      <c r="B1643" s="2">
        <v>37072</v>
      </c>
      <c r="C1643">
        <v>4</v>
      </c>
      <c r="D1643">
        <v>4</v>
      </c>
      <c r="F1643">
        <v>1642</v>
      </c>
      <c r="G1643" cm="1">
        <f t="array" ref="G1643">_xlfn.IFNA(INDEX($D$2:$D$4001,_xlfn.XMATCH(G$1&amp;"-"&amp;$F1643,YEAR($B$2:$B$4001)&amp;"-"&amp;$A$2:$A$4001,0,-1)),9)</f>
        <v>9</v>
      </c>
      <c r="H1643" cm="1">
        <f t="array" ref="H1643">IF(OR(AND(G1643=9,H$1&gt;YEAR($N1643))),9,_xlfn.IFNA(INDEX($D$2:$D$4001,_xlfn.XMATCH(H$1&amp;"-"&amp;$F1643,YEAR($B$2:$B$4001)&amp;"-"&amp;$A$2:$A$4001,0,-1)),G1643))</f>
        <v>9</v>
      </c>
      <c r="I1643" cm="1">
        <f t="array" ref="I1643">IF(OR(AND(H1643=9,I$1&gt;YEAR($N1643))),9,_xlfn.IFNA(INDEX($D$2:$D$4001,_xlfn.XMATCH(I$1&amp;"-"&amp;$F1643,YEAR($B$2:$B$4001)&amp;"-"&amp;$A$2:$A$4001,0,-1)),H1643))</f>
        <v>9</v>
      </c>
      <c r="J1643" cm="1">
        <f t="array" ref="J1643">IF(OR(AND(I1643=9,J$1&gt;YEAR($N1643))),9,_xlfn.IFNA(INDEX($D$2:$D$4001,_xlfn.XMATCH(J$1&amp;"-"&amp;$F1643,YEAR($B$2:$B$4001)&amp;"-"&amp;$A$2:$A$4001,0,-1)),I1643))</f>
        <v>9</v>
      </c>
      <c r="K1643" cm="1">
        <f t="array" ref="K1643">IF(OR(AND(J1643=9,K$1&gt;YEAR($N1643))),9,_xlfn.IFNA(INDEX($D$2:$D$4001,_xlfn.XMATCH(K$1&amp;"-"&amp;$F1643,YEAR($B$2:$B$4001)&amp;"-"&amp;$A$2:$A$4001,0,-1)),J1643))</f>
        <v>9</v>
      </c>
      <c r="L1643" cm="1">
        <f t="array" ref="L1643">IF(OR(AND(K1643=9,L$1&gt;YEAR($N1643))),9,_xlfn.IFNA(INDEX($D$2:$D$4001,_xlfn.XMATCH(L$1&amp;"-"&amp;$F1643,YEAR($B$2:$B$4001)&amp;"-"&amp;$A$2:$A$4001,0,-1)),K1643))</f>
        <v>9</v>
      </c>
      <c r="M1643" cm="1">
        <f t="array" ref="M1643">IF(OR(AND(L1643=9,M$1&gt;YEAR($N1643))),9,_xlfn.IFNA(INDEX($D$2:$D$4001,_xlfn.XMATCH(M$1&amp;"-"&amp;$F1643,YEAR($B$2:$B$4001)&amp;"-"&amp;$A$2:$A$4001,0,-1)),L1643))</f>
        <v>2</v>
      </c>
      <c r="N1643" s="1">
        <f t="shared" si="25"/>
        <v>38493</v>
      </c>
    </row>
    <row r="1644" spans="1:14" x14ac:dyDescent="0.35">
      <c r="A1644">
        <v>777</v>
      </c>
      <c r="B1644" s="2">
        <v>37397</v>
      </c>
      <c r="C1644">
        <v>5</v>
      </c>
      <c r="D1644">
        <v>5</v>
      </c>
      <c r="F1644">
        <v>1643</v>
      </c>
      <c r="G1644" cm="1">
        <f t="array" ref="G1644">_xlfn.IFNA(INDEX($D$2:$D$4001,_xlfn.XMATCH(G$1&amp;"-"&amp;$F1644,YEAR($B$2:$B$4001)&amp;"-"&amp;$A$2:$A$4001,0,-1)),9)</f>
        <v>9</v>
      </c>
      <c r="H1644" cm="1">
        <f t="array" ref="H1644">IF(OR(AND(G1644=9,H$1&gt;YEAR($N1644))),9,_xlfn.IFNA(INDEX($D$2:$D$4001,_xlfn.XMATCH(H$1&amp;"-"&amp;$F1644,YEAR($B$2:$B$4001)&amp;"-"&amp;$A$2:$A$4001,0,-1)),G1644))</f>
        <v>9</v>
      </c>
      <c r="I1644" cm="1">
        <f t="array" ref="I1644">IF(OR(AND(H1644=9,I$1&gt;YEAR($N1644))),9,_xlfn.IFNA(INDEX($D$2:$D$4001,_xlfn.XMATCH(I$1&amp;"-"&amp;$F1644,YEAR($B$2:$B$4001)&amp;"-"&amp;$A$2:$A$4001,0,-1)),H1644))</f>
        <v>9</v>
      </c>
      <c r="J1644" cm="1">
        <f t="array" ref="J1644">IF(OR(AND(I1644=9,J$1&gt;YEAR($N1644))),9,_xlfn.IFNA(INDEX($D$2:$D$4001,_xlfn.XMATCH(J$1&amp;"-"&amp;$F1644,YEAR($B$2:$B$4001)&amp;"-"&amp;$A$2:$A$4001,0,-1)),I1644))</f>
        <v>1</v>
      </c>
      <c r="K1644" cm="1">
        <f t="array" ref="K1644">IF(OR(AND(J1644=9,K$1&gt;YEAR($N1644))),9,_xlfn.IFNA(INDEX($D$2:$D$4001,_xlfn.XMATCH(K$1&amp;"-"&amp;$F1644,YEAR($B$2:$B$4001)&amp;"-"&amp;$A$2:$A$4001,0,-1)),J1644))</f>
        <v>1</v>
      </c>
      <c r="L1644" cm="1">
        <f t="array" ref="L1644">IF(OR(AND(K1644=9,L$1&gt;YEAR($N1644))),9,_xlfn.IFNA(INDEX($D$2:$D$4001,_xlfn.XMATCH(L$1&amp;"-"&amp;$F1644,YEAR($B$2:$B$4001)&amp;"-"&amp;$A$2:$A$4001,0,-1)),K1644))</f>
        <v>1</v>
      </c>
      <c r="M1644" cm="1">
        <f t="array" ref="M1644">IF(OR(AND(L1644=9,M$1&gt;YEAR($N1644))),9,_xlfn.IFNA(INDEX($D$2:$D$4001,_xlfn.XMATCH(M$1&amp;"-"&amp;$F1644,YEAR($B$2:$B$4001)&amp;"-"&amp;$A$2:$A$4001,0,-1)),L1644))</f>
        <v>1</v>
      </c>
      <c r="N1644" s="1">
        <f t="shared" si="25"/>
        <v>37401</v>
      </c>
    </row>
    <row r="1645" spans="1:14" x14ac:dyDescent="0.35">
      <c r="A1645">
        <v>777</v>
      </c>
      <c r="B1645" s="2">
        <v>37620</v>
      </c>
      <c r="C1645">
        <v>5</v>
      </c>
      <c r="D1645">
        <v>5</v>
      </c>
      <c r="F1645">
        <v>1644</v>
      </c>
      <c r="G1645" cm="1">
        <f t="array" ref="G1645">_xlfn.IFNA(INDEX($D$2:$D$4001,_xlfn.XMATCH(G$1&amp;"-"&amp;$F1645,YEAR($B$2:$B$4001)&amp;"-"&amp;$A$2:$A$4001,0,-1)),9)</f>
        <v>9</v>
      </c>
      <c r="H1645" cm="1">
        <f t="array" ref="H1645">IF(OR(AND(G1645=9,H$1&gt;YEAR($N1645))),9,_xlfn.IFNA(INDEX($D$2:$D$4001,_xlfn.XMATCH(H$1&amp;"-"&amp;$F1645,YEAR($B$2:$B$4001)&amp;"-"&amp;$A$2:$A$4001,0,-1)),G1645))</f>
        <v>9</v>
      </c>
      <c r="I1645" cm="1">
        <f t="array" ref="I1645">IF(OR(AND(H1645=9,I$1&gt;YEAR($N1645))),9,_xlfn.IFNA(INDEX($D$2:$D$4001,_xlfn.XMATCH(I$1&amp;"-"&amp;$F1645,YEAR($B$2:$B$4001)&amp;"-"&amp;$A$2:$A$4001,0,-1)),H1645))</f>
        <v>3</v>
      </c>
      <c r="J1645" cm="1">
        <f t="array" ref="J1645">IF(OR(AND(I1645=9,J$1&gt;YEAR($N1645))),9,_xlfn.IFNA(INDEX($D$2:$D$4001,_xlfn.XMATCH(J$1&amp;"-"&amp;$F1645,YEAR($B$2:$B$4001)&amp;"-"&amp;$A$2:$A$4001,0,-1)),I1645))</f>
        <v>3</v>
      </c>
      <c r="K1645" cm="1">
        <f t="array" ref="K1645">IF(OR(AND(J1645=9,K$1&gt;YEAR($N1645))),9,_xlfn.IFNA(INDEX($D$2:$D$4001,_xlfn.XMATCH(K$1&amp;"-"&amp;$F1645,YEAR($B$2:$B$4001)&amp;"-"&amp;$A$2:$A$4001,0,-1)),J1645))</f>
        <v>3</v>
      </c>
      <c r="L1645" cm="1">
        <f t="array" ref="L1645">IF(OR(AND(K1645=9,L$1&gt;YEAR($N1645))),9,_xlfn.IFNA(INDEX($D$2:$D$4001,_xlfn.XMATCH(L$1&amp;"-"&amp;$F1645,YEAR($B$2:$B$4001)&amp;"-"&amp;$A$2:$A$4001,0,-1)),K1645))</f>
        <v>3</v>
      </c>
      <c r="M1645" cm="1">
        <f t="array" ref="M1645">IF(OR(AND(L1645=9,M$1&gt;YEAR($N1645))),9,_xlfn.IFNA(INDEX($D$2:$D$4001,_xlfn.XMATCH(M$1&amp;"-"&amp;$F1645,YEAR($B$2:$B$4001)&amp;"-"&amp;$A$2:$A$4001,0,-1)),L1645))</f>
        <v>3</v>
      </c>
      <c r="N1645" s="1">
        <f t="shared" si="25"/>
        <v>37255</v>
      </c>
    </row>
    <row r="1646" spans="1:14" x14ac:dyDescent="0.35">
      <c r="A1646">
        <v>778</v>
      </c>
      <c r="B1646" s="2">
        <v>36494</v>
      </c>
      <c r="C1646">
        <v>5</v>
      </c>
      <c r="D1646">
        <v>5</v>
      </c>
      <c r="F1646">
        <v>1645</v>
      </c>
      <c r="G1646" cm="1">
        <f t="array" ref="G1646">_xlfn.IFNA(INDEX($D$2:$D$4001,_xlfn.XMATCH(G$1&amp;"-"&amp;$F1646,YEAR($B$2:$B$4001)&amp;"-"&amp;$A$2:$A$4001,0,-1)),9)</f>
        <v>0</v>
      </c>
      <c r="H1646" cm="1">
        <f t="array" ref="H1646">IF(OR(AND(G1646=9,H$1&gt;YEAR($N1646))),9,_xlfn.IFNA(INDEX($D$2:$D$4001,_xlfn.XMATCH(H$1&amp;"-"&amp;$F1646,YEAR($B$2:$B$4001)&amp;"-"&amp;$A$2:$A$4001,0,-1)),G1646))</f>
        <v>0</v>
      </c>
      <c r="I1646" cm="1">
        <f t="array" ref="I1646">IF(OR(AND(H1646=9,I$1&gt;YEAR($N1646))),9,_xlfn.IFNA(INDEX($D$2:$D$4001,_xlfn.XMATCH(I$1&amp;"-"&amp;$F1646,YEAR($B$2:$B$4001)&amp;"-"&amp;$A$2:$A$4001,0,-1)),H1646))</f>
        <v>0</v>
      </c>
      <c r="J1646" cm="1">
        <f t="array" ref="J1646">IF(OR(AND(I1646=9,J$1&gt;YEAR($N1646))),9,_xlfn.IFNA(INDEX($D$2:$D$4001,_xlfn.XMATCH(J$1&amp;"-"&amp;$F1646,YEAR($B$2:$B$4001)&amp;"-"&amp;$A$2:$A$4001,0,-1)),I1646))</f>
        <v>0</v>
      </c>
      <c r="K1646" cm="1">
        <f t="array" ref="K1646">IF(OR(AND(J1646=9,K$1&gt;YEAR($N1646))),9,_xlfn.IFNA(INDEX($D$2:$D$4001,_xlfn.XMATCH(K$1&amp;"-"&amp;$F1646,YEAR($B$2:$B$4001)&amp;"-"&amp;$A$2:$A$4001,0,-1)),J1646))</f>
        <v>0</v>
      </c>
      <c r="L1646" cm="1">
        <f t="array" ref="L1646">IF(OR(AND(K1646=9,L$1&gt;YEAR($N1646))),9,_xlfn.IFNA(INDEX($D$2:$D$4001,_xlfn.XMATCH(L$1&amp;"-"&amp;$F1646,YEAR($B$2:$B$4001)&amp;"-"&amp;$A$2:$A$4001,0,-1)),K1646))</f>
        <v>0</v>
      </c>
      <c r="M1646" cm="1">
        <f t="array" ref="M1646">IF(OR(AND(L1646=9,M$1&gt;YEAR($N1646))),9,_xlfn.IFNA(INDEX($D$2:$D$4001,_xlfn.XMATCH(M$1&amp;"-"&amp;$F1646,YEAR($B$2:$B$4001)&amp;"-"&amp;$A$2:$A$4001,0,-1)),L1646))</f>
        <v>0</v>
      </c>
      <c r="N1646" s="1">
        <f t="shared" si="25"/>
        <v>36524</v>
      </c>
    </row>
    <row r="1647" spans="1:14" x14ac:dyDescent="0.35">
      <c r="A1647">
        <v>778</v>
      </c>
      <c r="B1647" s="2">
        <v>36494</v>
      </c>
      <c r="C1647">
        <v>6</v>
      </c>
      <c r="D1647">
        <v>6</v>
      </c>
      <c r="F1647">
        <v>1646</v>
      </c>
      <c r="G1647" cm="1">
        <f t="array" ref="G1647">_xlfn.IFNA(INDEX($D$2:$D$4001,_xlfn.XMATCH(G$1&amp;"-"&amp;$F1647,YEAR($B$2:$B$4001)&amp;"-"&amp;$A$2:$A$4001,0,-1)),9)</f>
        <v>9</v>
      </c>
      <c r="H1647" cm="1">
        <f t="array" ref="H1647">IF(OR(AND(G1647=9,H$1&gt;YEAR($N1647))),9,_xlfn.IFNA(INDEX($D$2:$D$4001,_xlfn.XMATCH(H$1&amp;"-"&amp;$F1647,YEAR($B$2:$B$4001)&amp;"-"&amp;$A$2:$A$4001,0,-1)),G1647))</f>
        <v>9</v>
      </c>
      <c r="I1647" cm="1">
        <f t="array" ref="I1647">IF(OR(AND(H1647=9,I$1&gt;YEAR($N1647))),9,_xlfn.IFNA(INDEX($D$2:$D$4001,_xlfn.XMATCH(I$1&amp;"-"&amp;$F1647,YEAR($B$2:$B$4001)&amp;"-"&amp;$A$2:$A$4001,0,-1)),H1647))</f>
        <v>3</v>
      </c>
      <c r="J1647" cm="1">
        <f t="array" ref="J1647">IF(OR(AND(I1647=9,J$1&gt;YEAR($N1647))),9,_xlfn.IFNA(INDEX($D$2:$D$4001,_xlfn.XMATCH(J$1&amp;"-"&amp;$F1647,YEAR($B$2:$B$4001)&amp;"-"&amp;$A$2:$A$4001,0,-1)),I1647))</f>
        <v>3</v>
      </c>
      <c r="K1647" cm="1">
        <f t="array" ref="K1647">IF(OR(AND(J1647=9,K$1&gt;YEAR($N1647))),9,_xlfn.IFNA(INDEX($D$2:$D$4001,_xlfn.XMATCH(K$1&amp;"-"&amp;$F1647,YEAR($B$2:$B$4001)&amp;"-"&amp;$A$2:$A$4001,0,-1)),J1647))</f>
        <v>3</v>
      </c>
      <c r="L1647" cm="1">
        <f t="array" ref="L1647">IF(OR(AND(K1647=9,L$1&gt;YEAR($N1647))),9,_xlfn.IFNA(INDEX($D$2:$D$4001,_xlfn.XMATCH(L$1&amp;"-"&amp;$F1647,YEAR($B$2:$B$4001)&amp;"-"&amp;$A$2:$A$4001,0,-1)),K1647))</f>
        <v>3</v>
      </c>
      <c r="M1647" cm="1">
        <f t="array" ref="M1647">IF(OR(AND(L1647=9,M$1&gt;YEAR($N1647))),9,_xlfn.IFNA(INDEX($D$2:$D$4001,_xlfn.XMATCH(M$1&amp;"-"&amp;$F1647,YEAR($B$2:$B$4001)&amp;"-"&amp;$A$2:$A$4001,0,-1)),L1647))</f>
        <v>3</v>
      </c>
      <c r="N1647" s="1">
        <f t="shared" si="25"/>
        <v>37032</v>
      </c>
    </row>
    <row r="1648" spans="1:14" x14ac:dyDescent="0.35">
      <c r="A1648">
        <v>778</v>
      </c>
      <c r="B1648" s="2">
        <v>37194</v>
      </c>
      <c r="C1648">
        <v>6</v>
      </c>
      <c r="D1648">
        <v>6</v>
      </c>
      <c r="F1648">
        <v>1647</v>
      </c>
      <c r="G1648" cm="1">
        <f t="array" ref="G1648">_xlfn.IFNA(INDEX($D$2:$D$4001,_xlfn.XMATCH(G$1&amp;"-"&amp;$F1648,YEAR($B$2:$B$4001)&amp;"-"&amp;$A$2:$A$4001,0,-1)),9)</f>
        <v>9</v>
      </c>
      <c r="H1648" cm="1">
        <f t="array" ref="H1648">IF(OR(AND(G1648=9,H$1&gt;YEAR($N1648))),9,_xlfn.IFNA(INDEX($D$2:$D$4001,_xlfn.XMATCH(H$1&amp;"-"&amp;$F1648,YEAR($B$2:$B$4001)&amp;"-"&amp;$A$2:$A$4001,0,-1)),G1648))</f>
        <v>9</v>
      </c>
      <c r="I1648" cm="1">
        <f t="array" ref="I1648">IF(OR(AND(H1648=9,I$1&gt;YEAR($N1648))),9,_xlfn.IFNA(INDEX($D$2:$D$4001,_xlfn.XMATCH(I$1&amp;"-"&amp;$F1648,YEAR($B$2:$B$4001)&amp;"-"&amp;$A$2:$A$4001,0,-1)),H1648))</f>
        <v>9</v>
      </c>
      <c r="J1648" cm="1">
        <f t="array" ref="J1648">IF(OR(AND(I1648=9,J$1&gt;YEAR($N1648))),9,_xlfn.IFNA(INDEX($D$2:$D$4001,_xlfn.XMATCH(J$1&amp;"-"&amp;$F1648,YEAR($B$2:$B$4001)&amp;"-"&amp;$A$2:$A$4001,0,-1)),I1648))</f>
        <v>9</v>
      </c>
      <c r="K1648" cm="1">
        <f t="array" ref="K1648">IF(OR(AND(J1648=9,K$1&gt;YEAR($N1648))),9,_xlfn.IFNA(INDEX($D$2:$D$4001,_xlfn.XMATCH(K$1&amp;"-"&amp;$F1648,YEAR($B$2:$B$4001)&amp;"-"&amp;$A$2:$A$4001,0,-1)),J1648))</f>
        <v>9</v>
      </c>
      <c r="L1648" cm="1">
        <f t="array" ref="L1648">IF(OR(AND(K1648=9,L$1&gt;YEAR($N1648))),9,_xlfn.IFNA(INDEX($D$2:$D$4001,_xlfn.XMATCH(L$1&amp;"-"&amp;$F1648,YEAR($B$2:$B$4001)&amp;"-"&amp;$A$2:$A$4001,0,-1)),K1648))</f>
        <v>3</v>
      </c>
      <c r="M1648" cm="1">
        <f t="array" ref="M1648">IF(OR(AND(L1648=9,M$1&gt;YEAR($N1648))),9,_xlfn.IFNA(INDEX($D$2:$D$4001,_xlfn.XMATCH(M$1&amp;"-"&amp;$F1648,YEAR($B$2:$B$4001)&amp;"-"&amp;$A$2:$A$4001,0,-1)),L1648))</f>
        <v>3</v>
      </c>
      <c r="N1648" s="1">
        <f t="shared" si="25"/>
        <v>38351</v>
      </c>
    </row>
    <row r="1649" spans="1:14" x14ac:dyDescent="0.35">
      <c r="A1649">
        <v>778</v>
      </c>
      <c r="B1649" s="2">
        <v>37985</v>
      </c>
      <c r="C1649">
        <v>6</v>
      </c>
      <c r="D1649">
        <v>6</v>
      </c>
      <c r="F1649">
        <v>1648</v>
      </c>
      <c r="G1649" cm="1">
        <f t="array" ref="G1649">_xlfn.IFNA(INDEX($D$2:$D$4001,_xlfn.XMATCH(G$1&amp;"-"&amp;$F1649,YEAR($B$2:$B$4001)&amp;"-"&amp;$A$2:$A$4001,0,-1)),9)</f>
        <v>9</v>
      </c>
      <c r="H1649" cm="1">
        <f t="array" ref="H1649">IF(OR(AND(G1649=9,H$1&gt;YEAR($N1649))),9,_xlfn.IFNA(INDEX($D$2:$D$4001,_xlfn.XMATCH(H$1&amp;"-"&amp;$F1649,YEAR($B$2:$B$4001)&amp;"-"&amp;$A$2:$A$4001,0,-1)),G1649))</f>
        <v>9</v>
      </c>
      <c r="I1649" cm="1">
        <f t="array" ref="I1649">IF(OR(AND(H1649=9,I$1&gt;YEAR($N1649))),9,_xlfn.IFNA(INDEX($D$2:$D$4001,_xlfn.XMATCH(I$1&amp;"-"&amp;$F1649,YEAR($B$2:$B$4001)&amp;"-"&amp;$A$2:$A$4001,0,-1)),H1649))</f>
        <v>5</v>
      </c>
      <c r="J1649" cm="1">
        <f t="array" ref="J1649">IF(OR(AND(I1649=9,J$1&gt;YEAR($N1649))),9,_xlfn.IFNA(INDEX($D$2:$D$4001,_xlfn.XMATCH(J$1&amp;"-"&amp;$F1649,YEAR($B$2:$B$4001)&amp;"-"&amp;$A$2:$A$4001,0,-1)),I1649))</f>
        <v>5</v>
      </c>
      <c r="K1649" cm="1">
        <f t="array" ref="K1649">IF(OR(AND(J1649=9,K$1&gt;YEAR($N1649))),9,_xlfn.IFNA(INDEX($D$2:$D$4001,_xlfn.XMATCH(K$1&amp;"-"&amp;$F1649,YEAR($B$2:$B$4001)&amp;"-"&amp;$A$2:$A$4001,0,-1)),J1649))</f>
        <v>5</v>
      </c>
      <c r="L1649" cm="1">
        <f t="array" ref="L1649">IF(OR(AND(K1649=9,L$1&gt;YEAR($N1649))),9,_xlfn.IFNA(INDEX($D$2:$D$4001,_xlfn.XMATCH(L$1&amp;"-"&amp;$F1649,YEAR($B$2:$B$4001)&amp;"-"&amp;$A$2:$A$4001,0,-1)),K1649))</f>
        <v>4</v>
      </c>
      <c r="M1649" cm="1">
        <f t="array" ref="M1649">IF(OR(AND(L1649=9,M$1&gt;YEAR($N1649))),9,_xlfn.IFNA(INDEX($D$2:$D$4001,_xlfn.XMATCH(M$1&amp;"-"&amp;$F1649,YEAR($B$2:$B$4001)&amp;"-"&amp;$A$2:$A$4001,0,-1)),L1649))</f>
        <v>4</v>
      </c>
      <c r="N1649" s="1">
        <f t="shared" si="25"/>
        <v>37039</v>
      </c>
    </row>
    <row r="1650" spans="1:14" x14ac:dyDescent="0.35">
      <c r="A1650">
        <v>779</v>
      </c>
      <c r="B1650" s="2">
        <v>37620</v>
      </c>
      <c r="C1650">
        <v>4</v>
      </c>
      <c r="D1650">
        <v>4</v>
      </c>
      <c r="F1650">
        <v>1649</v>
      </c>
      <c r="G1650" cm="1">
        <f t="array" ref="G1650">_xlfn.IFNA(INDEX($D$2:$D$4001,_xlfn.XMATCH(G$1&amp;"-"&amp;$F1650,YEAR($B$2:$B$4001)&amp;"-"&amp;$A$2:$A$4001,0,-1)),9)</f>
        <v>9</v>
      </c>
      <c r="H1650" cm="1">
        <f t="array" ref="H1650">IF(OR(AND(G1650=9,H$1&gt;YEAR($N1650))),9,_xlfn.IFNA(INDEX($D$2:$D$4001,_xlfn.XMATCH(H$1&amp;"-"&amp;$F1650,YEAR($B$2:$B$4001)&amp;"-"&amp;$A$2:$A$4001,0,-1)),G1650))</f>
        <v>9</v>
      </c>
      <c r="I1650" cm="1">
        <f t="array" ref="I1650">IF(OR(AND(H1650=9,I$1&gt;YEAR($N1650))),9,_xlfn.IFNA(INDEX($D$2:$D$4001,_xlfn.XMATCH(I$1&amp;"-"&amp;$F1650,YEAR($B$2:$B$4001)&amp;"-"&amp;$A$2:$A$4001,0,-1)),H1650))</f>
        <v>4</v>
      </c>
      <c r="J1650" cm="1">
        <f t="array" ref="J1650">IF(OR(AND(I1650=9,J$1&gt;YEAR($N1650))),9,_xlfn.IFNA(INDEX($D$2:$D$4001,_xlfn.XMATCH(J$1&amp;"-"&amp;$F1650,YEAR($B$2:$B$4001)&amp;"-"&amp;$A$2:$A$4001,0,-1)),I1650))</f>
        <v>4</v>
      </c>
      <c r="K1650" cm="1">
        <f t="array" ref="K1650">IF(OR(AND(J1650=9,K$1&gt;YEAR($N1650))),9,_xlfn.IFNA(INDEX($D$2:$D$4001,_xlfn.XMATCH(K$1&amp;"-"&amp;$F1650,YEAR($B$2:$B$4001)&amp;"-"&amp;$A$2:$A$4001,0,-1)),J1650))</f>
        <v>4</v>
      </c>
      <c r="L1650" cm="1">
        <f t="array" ref="L1650">IF(OR(AND(K1650=9,L$1&gt;YEAR($N1650))),9,_xlfn.IFNA(INDEX($D$2:$D$4001,_xlfn.XMATCH(L$1&amp;"-"&amp;$F1650,YEAR($B$2:$B$4001)&amp;"-"&amp;$A$2:$A$4001,0,-1)),K1650))</f>
        <v>4</v>
      </c>
      <c r="M1650" cm="1">
        <f t="array" ref="M1650">IF(OR(AND(L1650=9,M$1&gt;YEAR($N1650))),9,_xlfn.IFNA(INDEX($D$2:$D$4001,_xlfn.XMATCH(M$1&amp;"-"&amp;$F1650,YEAR($B$2:$B$4001)&amp;"-"&amp;$A$2:$A$4001,0,-1)),L1650))</f>
        <v>4</v>
      </c>
      <c r="N1650" s="1">
        <f t="shared" si="25"/>
        <v>37255</v>
      </c>
    </row>
    <row r="1651" spans="1:14" x14ac:dyDescent="0.35">
      <c r="A1651">
        <v>780</v>
      </c>
      <c r="B1651" s="2">
        <v>36667</v>
      </c>
      <c r="C1651">
        <v>2</v>
      </c>
      <c r="D1651">
        <v>2</v>
      </c>
      <c r="F1651">
        <v>1650</v>
      </c>
      <c r="G1651" cm="1">
        <f t="array" ref="G1651">_xlfn.IFNA(INDEX($D$2:$D$4001,_xlfn.XMATCH(G$1&amp;"-"&amp;$F1651,YEAR($B$2:$B$4001)&amp;"-"&amp;$A$2:$A$4001,0,-1)),9)</f>
        <v>9</v>
      </c>
      <c r="H1651" cm="1">
        <f t="array" ref="H1651">IF(OR(AND(G1651=9,H$1&gt;YEAR($N1651))),9,_xlfn.IFNA(INDEX($D$2:$D$4001,_xlfn.XMATCH(H$1&amp;"-"&amp;$F1651,YEAR($B$2:$B$4001)&amp;"-"&amp;$A$2:$A$4001,0,-1)),G1651))</f>
        <v>9</v>
      </c>
      <c r="I1651" cm="1">
        <f t="array" ref="I1651">IF(OR(AND(H1651=9,I$1&gt;YEAR($N1651))),9,_xlfn.IFNA(INDEX($D$2:$D$4001,_xlfn.XMATCH(I$1&amp;"-"&amp;$F1651,YEAR($B$2:$B$4001)&amp;"-"&amp;$A$2:$A$4001,0,-1)),H1651))</f>
        <v>9</v>
      </c>
      <c r="J1651" cm="1">
        <f t="array" ref="J1651">IF(OR(AND(I1651=9,J$1&gt;YEAR($N1651))),9,_xlfn.IFNA(INDEX($D$2:$D$4001,_xlfn.XMATCH(J$1&amp;"-"&amp;$F1651,YEAR($B$2:$B$4001)&amp;"-"&amp;$A$2:$A$4001,0,-1)),I1651))</f>
        <v>9</v>
      </c>
      <c r="K1651" cm="1">
        <f t="array" ref="K1651">IF(OR(AND(J1651=9,K$1&gt;YEAR($N1651))),9,_xlfn.IFNA(INDEX($D$2:$D$4001,_xlfn.XMATCH(K$1&amp;"-"&amp;$F1651,YEAR($B$2:$B$4001)&amp;"-"&amp;$A$2:$A$4001,0,-1)),J1651))</f>
        <v>2</v>
      </c>
      <c r="L1651" cm="1">
        <f t="array" ref="L1651">IF(OR(AND(K1651=9,L$1&gt;YEAR($N1651))),9,_xlfn.IFNA(INDEX($D$2:$D$4001,_xlfn.XMATCH(L$1&amp;"-"&amp;$F1651,YEAR($B$2:$B$4001)&amp;"-"&amp;$A$2:$A$4001,0,-1)),K1651))</f>
        <v>1</v>
      </c>
      <c r="M1651" cm="1">
        <f t="array" ref="M1651">IF(OR(AND(L1651=9,M$1&gt;YEAR($N1651))),9,_xlfn.IFNA(INDEX($D$2:$D$4001,_xlfn.XMATCH(M$1&amp;"-"&amp;$F1651,YEAR($B$2:$B$4001)&amp;"-"&amp;$A$2:$A$4001,0,-1)),L1651))</f>
        <v>1</v>
      </c>
      <c r="N1651" s="1">
        <f t="shared" si="25"/>
        <v>37985</v>
      </c>
    </row>
    <row r="1652" spans="1:14" x14ac:dyDescent="0.35">
      <c r="A1652">
        <v>780</v>
      </c>
      <c r="B1652" s="2">
        <v>37397</v>
      </c>
      <c r="C1652">
        <v>1</v>
      </c>
      <c r="D1652">
        <v>1</v>
      </c>
      <c r="F1652">
        <v>1651</v>
      </c>
      <c r="G1652" cm="1">
        <f t="array" ref="G1652">_xlfn.IFNA(INDEX($D$2:$D$4001,_xlfn.XMATCH(G$1&amp;"-"&amp;$F1652,YEAR($B$2:$B$4001)&amp;"-"&amp;$A$2:$A$4001,0,-1)),9)</f>
        <v>9</v>
      </c>
      <c r="H1652" cm="1">
        <f t="array" ref="H1652">IF(OR(AND(G1652=9,H$1&gt;YEAR($N1652))),9,_xlfn.IFNA(INDEX($D$2:$D$4001,_xlfn.XMATCH(H$1&amp;"-"&amp;$F1652,YEAR($B$2:$B$4001)&amp;"-"&amp;$A$2:$A$4001,0,-1)),G1652))</f>
        <v>9</v>
      </c>
      <c r="I1652" cm="1">
        <f t="array" ref="I1652">IF(OR(AND(H1652=9,I$1&gt;YEAR($N1652))),9,_xlfn.IFNA(INDEX($D$2:$D$4001,_xlfn.XMATCH(I$1&amp;"-"&amp;$F1652,YEAR($B$2:$B$4001)&amp;"-"&amp;$A$2:$A$4001,0,-1)),H1652))</f>
        <v>9</v>
      </c>
      <c r="J1652" cm="1">
        <f t="array" ref="J1652">IF(OR(AND(I1652=9,J$1&gt;YEAR($N1652))),9,_xlfn.IFNA(INDEX($D$2:$D$4001,_xlfn.XMATCH(J$1&amp;"-"&amp;$F1652,YEAR($B$2:$B$4001)&amp;"-"&amp;$A$2:$A$4001,0,-1)),I1652))</f>
        <v>3</v>
      </c>
      <c r="K1652" cm="1">
        <f t="array" ref="K1652">IF(OR(AND(J1652=9,K$1&gt;YEAR($N1652))),9,_xlfn.IFNA(INDEX($D$2:$D$4001,_xlfn.XMATCH(K$1&amp;"-"&amp;$F1652,YEAR($B$2:$B$4001)&amp;"-"&amp;$A$2:$A$4001,0,-1)),J1652))</f>
        <v>3</v>
      </c>
      <c r="L1652" cm="1">
        <f t="array" ref="L1652">IF(OR(AND(K1652=9,L$1&gt;YEAR($N1652))),9,_xlfn.IFNA(INDEX($D$2:$D$4001,_xlfn.XMATCH(L$1&amp;"-"&amp;$F1652,YEAR($B$2:$B$4001)&amp;"-"&amp;$A$2:$A$4001,0,-1)),K1652))</f>
        <v>3</v>
      </c>
      <c r="M1652" cm="1">
        <f t="array" ref="M1652">IF(OR(AND(L1652=9,M$1&gt;YEAR($N1652))),9,_xlfn.IFNA(INDEX($D$2:$D$4001,_xlfn.XMATCH(M$1&amp;"-"&amp;$F1652,YEAR($B$2:$B$4001)&amp;"-"&amp;$A$2:$A$4001,0,-1)),L1652))</f>
        <v>3</v>
      </c>
      <c r="N1652" s="1">
        <f t="shared" si="25"/>
        <v>37406</v>
      </c>
    </row>
    <row r="1653" spans="1:14" x14ac:dyDescent="0.35">
      <c r="A1653">
        <v>781</v>
      </c>
      <c r="B1653" s="2">
        <v>36667</v>
      </c>
      <c r="C1653">
        <v>2</v>
      </c>
      <c r="D1653">
        <v>2</v>
      </c>
      <c r="F1653">
        <v>1652</v>
      </c>
      <c r="G1653" cm="1">
        <f t="array" ref="G1653">_xlfn.IFNA(INDEX($D$2:$D$4001,_xlfn.XMATCH(G$1&amp;"-"&amp;$F1653,YEAR($B$2:$B$4001)&amp;"-"&amp;$A$2:$A$4001,0,-1)),9)</f>
        <v>9</v>
      </c>
      <c r="H1653" cm="1">
        <f t="array" ref="H1653">IF(OR(AND(G1653=9,H$1&gt;YEAR($N1653))),9,_xlfn.IFNA(INDEX($D$2:$D$4001,_xlfn.XMATCH(H$1&amp;"-"&amp;$F1653,YEAR($B$2:$B$4001)&amp;"-"&amp;$A$2:$A$4001,0,-1)),G1653))</f>
        <v>3</v>
      </c>
      <c r="I1653" cm="1">
        <f t="array" ref="I1653">IF(OR(AND(H1653=9,I$1&gt;YEAR($N1653))),9,_xlfn.IFNA(INDEX($D$2:$D$4001,_xlfn.XMATCH(I$1&amp;"-"&amp;$F1653,YEAR($B$2:$B$4001)&amp;"-"&amp;$A$2:$A$4001,0,-1)),H1653))</f>
        <v>3</v>
      </c>
      <c r="J1653" cm="1">
        <f t="array" ref="J1653">IF(OR(AND(I1653=9,J$1&gt;YEAR($N1653))),9,_xlfn.IFNA(INDEX($D$2:$D$4001,_xlfn.XMATCH(J$1&amp;"-"&amp;$F1653,YEAR($B$2:$B$4001)&amp;"-"&amp;$A$2:$A$4001,0,-1)),I1653))</f>
        <v>2</v>
      </c>
      <c r="K1653" cm="1">
        <f t="array" ref="K1653">IF(OR(AND(J1653=9,K$1&gt;YEAR($N1653))),9,_xlfn.IFNA(INDEX($D$2:$D$4001,_xlfn.XMATCH(K$1&amp;"-"&amp;$F1653,YEAR($B$2:$B$4001)&amp;"-"&amp;$A$2:$A$4001,0,-1)),J1653))</f>
        <v>2</v>
      </c>
      <c r="L1653" cm="1">
        <f t="array" ref="L1653">IF(OR(AND(K1653=9,L$1&gt;YEAR($N1653))),9,_xlfn.IFNA(INDEX($D$2:$D$4001,_xlfn.XMATCH(L$1&amp;"-"&amp;$F1653,YEAR($B$2:$B$4001)&amp;"-"&amp;$A$2:$A$4001,0,-1)),K1653))</f>
        <v>2</v>
      </c>
      <c r="M1653" cm="1">
        <f t="array" ref="M1653">IF(OR(AND(L1653=9,M$1&gt;YEAR($N1653))),9,_xlfn.IFNA(INDEX($D$2:$D$4001,_xlfn.XMATCH(M$1&amp;"-"&amp;$F1653,YEAR($B$2:$B$4001)&amp;"-"&amp;$A$2:$A$4001,0,-1)),L1653))</f>
        <v>2</v>
      </c>
      <c r="N1653" s="1">
        <f t="shared" si="25"/>
        <v>36820</v>
      </c>
    </row>
    <row r="1654" spans="1:14" x14ac:dyDescent="0.35">
      <c r="A1654">
        <v>781</v>
      </c>
      <c r="B1654" s="2">
        <v>37397</v>
      </c>
      <c r="C1654">
        <v>1</v>
      </c>
      <c r="D1654">
        <v>1</v>
      </c>
      <c r="F1654">
        <v>1653</v>
      </c>
      <c r="G1654" cm="1">
        <f t="array" ref="G1654">_xlfn.IFNA(INDEX($D$2:$D$4001,_xlfn.XMATCH(G$1&amp;"-"&amp;$F1654,YEAR($B$2:$B$4001)&amp;"-"&amp;$A$2:$A$4001,0,-1)),9)</f>
        <v>9</v>
      </c>
      <c r="H1654" cm="1">
        <f t="array" ref="H1654">IF(OR(AND(G1654=9,H$1&gt;YEAR($N1654))),9,_xlfn.IFNA(INDEX($D$2:$D$4001,_xlfn.XMATCH(H$1&amp;"-"&amp;$F1654,YEAR($B$2:$B$4001)&amp;"-"&amp;$A$2:$A$4001,0,-1)),G1654))</f>
        <v>2</v>
      </c>
      <c r="I1654" cm="1">
        <f t="array" ref="I1654">IF(OR(AND(H1654=9,I$1&gt;YEAR($N1654))),9,_xlfn.IFNA(INDEX($D$2:$D$4001,_xlfn.XMATCH(I$1&amp;"-"&amp;$F1654,YEAR($B$2:$B$4001)&amp;"-"&amp;$A$2:$A$4001,0,-1)),H1654))</f>
        <v>2</v>
      </c>
      <c r="J1654" cm="1">
        <f t="array" ref="J1654">IF(OR(AND(I1654=9,J$1&gt;YEAR($N1654))),9,_xlfn.IFNA(INDEX($D$2:$D$4001,_xlfn.XMATCH(J$1&amp;"-"&amp;$F1654,YEAR($B$2:$B$4001)&amp;"-"&amp;$A$2:$A$4001,0,-1)),I1654))</f>
        <v>2</v>
      </c>
      <c r="K1654" cm="1">
        <f t="array" ref="K1654">IF(OR(AND(J1654=9,K$1&gt;YEAR($N1654))),9,_xlfn.IFNA(INDEX($D$2:$D$4001,_xlfn.XMATCH(K$1&amp;"-"&amp;$F1654,YEAR($B$2:$B$4001)&amp;"-"&amp;$A$2:$A$4001,0,-1)),J1654))</f>
        <v>2</v>
      </c>
      <c r="L1654" cm="1">
        <f t="array" ref="L1654">IF(OR(AND(K1654=9,L$1&gt;YEAR($N1654))),9,_xlfn.IFNA(INDEX($D$2:$D$4001,_xlfn.XMATCH(L$1&amp;"-"&amp;$F1654,YEAR($B$2:$B$4001)&amp;"-"&amp;$A$2:$A$4001,0,-1)),K1654))</f>
        <v>3</v>
      </c>
      <c r="M1654" cm="1">
        <f t="array" ref="M1654">IF(OR(AND(L1654=9,M$1&gt;YEAR($N1654))),9,_xlfn.IFNA(INDEX($D$2:$D$4001,_xlfn.XMATCH(M$1&amp;"-"&amp;$F1654,YEAR($B$2:$B$4001)&amp;"-"&amp;$A$2:$A$4001,0,-1)),L1654))</f>
        <v>3</v>
      </c>
      <c r="N1654" s="1">
        <f t="shared" si="25"/>
        <v>36707</v>
      </c>
    </row>
    <row r="1655" spans="1:14" x14ac:dyDescent="0.35">
      <c r="A1655">
        <v>782</v>
      </c>
      <c r="B1655" s="2">
        <v>36667</v>
      </c>
      <c r="C1655">
        <v>5</v>
      </c>
      <c r="D1655">
        <v>5</v>
      </c>
      <c r="F1655">
        <v>1654</v>
      </c>
      <c r="G1655" cm="1">
        <f t="array" ref="G1655">_xlfn.IFNA(INDEX($D$2:$D$4001,_xlfn.XMATCH(G$1&amp;"-"&amp;$F1655,YEAR($B$2:$B$4001)&amp;"-"&amp;$A$2:$A$4001,0,-1)),9)</f>
        <v>9</v>
      </c>
      <c r="H1655" cm="1">
        <f t="array" ref="H1655">IF(OR(AND(G1655=9,H$1&gt;YEAR($N1655))),9,_xlfn.IFNA(INDEX($D$2:$D$4001,_xlfn.XMATCH(H$1&amp;"-"&amp;$F1655,YEAR($B$2:$B$4001)&amp;"-"&amp;$A$2:$A$4001,0,-1)),G1655))</f>
        <v>5</v>
      </c>
      <c r="I1655" cm="1">
        <f t="array" ref="I1655">IF(OR(AND(H1655=9,I$1&gt;YEAR($N1655))),9,_xlfn.IFNA(INDEX($D$2:$D$4001,_xlfn.XMATCH(I$1&amp;"-"&amp;$F1655,YEAR($B$2:$B$4001)&amp;"-"&amp;$A$2:$A$4001,0,-1)),H1655))</f>
        <v>0</v>
      </c>
      <c r="J1655" cm="1">
        <f t="array" ref="J1655">IF(OR(AND(I1655=9,J$1&gt;YEAR($N1655))),9,_xlfn.IFNA(INDEX($D$2:$D$4001,_xlfn.XMATCH(J$1&amp;"-"&amp;$F1655,YEAR($B$2:$B$4001)&amp;"-"&amp;$A$2:$A$4001,0,-1)),I1655))</f>
        <v>0</v>
      </c>
      <c r="K1655" cm="1">
        <f t="array" ref="K1655">IF(OR(AND(J1655=9,K$1&gt;YEAR($N1655))),9,_xlfn.IFNA(INDEX($D$2:$D$4001,_xlfn.XMATCH(K$1&amp;"-"&amp;$F1655,YEAR($B$2:$B$4001)&amp;"-"&amp;$A$2:$A$4001,0,-1)),J1655))</f>
        <v>0</v>
      </c>
      <c r="L1655" cm="1">
        <f t="array" ref="L1655">IF(OR(AND(K1655=9,L$1&gt;YEAR($N1655))),9,_xlfn.IFNA(INDEX($D$2:$D$4001,_xlfn.XMATCH(L$1&amp;"-"&amp;$F1655,YEAR($B$2:$B$4001)&amp;"-"&amp;$A$2:$A$4001,0,-1)),K1655))</f>
        <v>0</v>
      </c>
      <c r="M1655" cm="1">
        <f t="array" ref="M1655">IF(OR(AND(L1655=9,M$1&gt;YEAR($N1655))),9,_xlfn.IFNA(INDEX($D$2:$D$4001,_xlfn.XMATCH(M$1&amp;"-"&amp;$F1655,YEAR($B$2:$B$4001)&amp;"-"&amp;$A$2:$A$4001,0,-1)),L1655))</f>
        <v>4</v>
      </c>
      <c r="N1655" s="1">
        <f t="shared" si="25"/>
        <v>36890</v>
      </c>
    </row>
    <row r="1656" spans="1:14" x14ac:dyDescent="0.35">
      <c r="A1656">
        <v>782</v>
      </c>
      <c r="B1656" s="2">
        <v>36676</v>
      </c>
      <c r="C1656">
        <v>6</v>
      </c>
      <c r="D1656">
        <v>6</v>
      </c>
      <c r="F1656">
        <v>1655</v>
      </c>
      <c r="G1656" cm="1">
        <f t="array" ref="G1656">_xlfn.IFNA(INDEX($D$2:$D$4001,_xlfn.XMATCH(G$1&amp;"-"&amp;$F1656,YEAR($B$2:$B$4001)&amp;"-"&amp;$A$2:$A$4001,0,-1)),9)</f>
        <v>0</v>
      </c>
      <c r="H1656" cm="1">
        <f t="array" ref="H1656">IF(OR(AND(G1656=9,H$1&gt;YEAR($N1656))),9,_xlfn.IFNA(INDEX($D$2:$D$4001,_xlfn.XMATCH(H$1&amp;"-"&amp;$F1656,YEAR($B$2:$B$4001)&amp;"-"&amp;$A$2:$A$4001,0,-1)),G1656))</f>
        <v>0</v>
      </c>
      <c r="I1656" cm="1">
        <f t="array" ref="I1656">IF(OR(AND(H1656=9,I$1&gt;YEAR($N1656))),9,_xlfn.IFNA(INDEX($D$2:$D$4001,_xlfn.XMATCH(I$1&amp;"-"&amp;$F1656,YEAR($B$2:$B$4001)&amp;"-"&amp;$A$2:$A$4001,0,-1)),H1656))</f>
        <v>0</v>
      </c>
      <c r="J1656" cm="1">
        <f t="array" ref="J1656">IF(OR(AND(I1656=9,J$1&gt;YEAR($N1656))),9,_xlfn.IFNA(INDEX($D$2:$D$4001,_xlfn.XMATCH(J$1&amp;"-"&amp;$F1656,YEAR($B$2:$B$4001)&amp;"-"&amp;$A$2:$A$4001,0,-1)),I1656))</f>
        <v>0</v>
      </c>
      <c r="K1656" cm="1">
        <f t="array" ref="K1656">IF(OR(AND(J1656=9,K$1&gt;YEAR($N1656))),9,_xlfn.IFNA(INDEX($D$2:$D$4001,_xlfn.XMATCH(K$1&amp;"-"&amp;$F1656,YEAR($B$2:$B$4001)&amp;"-"&amp;$A$2:$A$4001,0,-1)),J1656))</f>
        <v>0</v>
      </c>
      <c r="L1656" cm="1">
        <f t="array" ref="L1656">IF(OR(AND(K1656=9,L$1&gt;YEAR($N1656))),9,_xlfn.IFNA(INDEX($D$2:$D$4001,_xlfn.XMATCH(L$1&amp;"-"&amp;$F1656,YEAR($B$2:$B$4001)&amp;"-"&amp;$A$2:$A$4001,0,-1)),K1656))</f>
        <v>0</v>
      </c>
      <c r="M1656" cm="1">
        <f t="array" ref="M1656">IF(OR(AND(L1656=9,M$1&gt;YEAR($N1656))),9,_xlfn.IFNA(INDEX($D$2:$D$4001,_xlfn.XMATCH(M$1&amp;"-"&amp;$F1656,YEAR($B$2:$B$4001)&amp;"-"&amp;$A$2:$A$4001,0,-1)),L1656))</f>
        <v>0</v>
      </c>
      <c r="N1656" s="1">
        <f t="shared" si="25"/>
        <v>36310</v>
      </c>
    </row>
    <row r="1657" spans="1:14" x14ac:dyDescent="0.35">
      <c r="A1657">
        <v>782</v>
      </c>
      <c r="B1657" s="2">
        <v>36703</v>
      </c>
      <c r="C1657">
        <v>6</v>
      </c>
      <c r="D1657">
        <v>6</v>
      </c>
      <c r="F1657">
        <v>1656</v>
      </c>
      <c r="G1657" cm="1">
        <f t="array" ref="G1657">_xlfn.IFNA(INDEX($D$2:$D$4001,_xlfn.XMATCH(G$1&amp;"-"&amp;$F1657,YEAR($B$2:$B$4001)&amp;"-"&amp;$A$2:$A$4001,0,-1)),9)</f>
        <v>9</v>
      </c>
      <c r="H1657" cm="1">
        <f t="array" ref="H1657">IF(OR(AND(G1657=9,H$1&gt;YEAR($N1657))),9,_xlfn.IFNA(INDEX($D$2:$D$4001,_xlfn.XMATCH(H$1&amp;"-"&amp;$F1657,YEAR($B$2:$B$4001)&amp;"-"&amp;$A$2:$A$4001,0,-1)),G1657))</f>
        <v>9</v>
      </c>
      <c r="I1657" cm="1">
        <f t="array" ref="I1657">IF(OR(AND(H1657=9,I$1&gt;YEAR($N1657))),9,_xlfn.IFNA(INDEX($D$2:$D$4001,_xlfn.XMATCH(I$1&amp;"-"&amp;$F1657,YEAR($B$2:$B$4001)&amp;"-"&amp;$A$2:$A$4001,0,-1)),H1657))</f>
        <v>4</v>
      </c>
      <c r="J1657" cm="1">
        <f t="array" ref="J1657">IF(OR(AND(I1657=9,J$1&gt;YEAR($N1657))),9,_xlfn.IFNA(INDEX($D$2:$D$4001,_xlfn.XMATCH(J$1&amp;"-"&amp;$F1657,YEAR($B$2:$B$4001)&amp;"-"&amp;$A$2:$A$4001,0,-1)),I1657))</f>
        <v>4</v>
      </c>
      <c r="K1657" cm="1">
        <f t="array" ref="K1657">IF(OR(AND(J1657=9,K$1&gt;YEAR($N1657))),9,_xlfn.IFNA(INDEX($D$2:$D$4001,_xlfn.XMATCH(K$1&amp;"-"&amp;$F1657,YEAR($B$2:$B$4001)&amp;"-"&amp;$A$2:$A$4001,0,-1)),J1657))</f>
        <v>5</v>
      </c>
      <c r="L1657" cm="1">
        <f t="array" ref="L1657">IF(OR(AND(K1657=9,L$1&gt;YEAR($N1657))),9,_xlfn.IFNA(INDEX($D$2:$D$4001,_xlfn.XMATCH(L$1&amp;"-"&amp;$F1657,YEAR($B$2:$B$4001)&amp;"-"&amp;$A$2:$A$4001,0,-1)),K1657))</f>
        <v>5</v>
      </c>
      <c r="M1657" cm="1">
        <f t="array" ref="M1657">IF(OR(AND(L1657=9,M$1&gt;YEAR($N1657))),9,_xlfn.IFNA(INDEX($D$2:$D$4001,_xlfn.XMATCH(M$1&amp;"-"&amp;$F1657,YEAR($B$2:$B$4001)&amp;"-"&amp;$A$2:$A$4001,0,-1)),L1657))</f>
        <v>5</v>
      </c>
      <c r="N1657" s="1">
        <f t="shared" si="25"/>
        <v>37041</v>
      </c>
    </row>
    <row r="1658" spans="1:14" x14ac:dyDescent="0.35">
      <c r="A1658">
        <v>782</v>
      </c>
      <c r="B1658" s="2">
        <v>37397</v>
      </c>
      <c r="C1658">
        <v>7</v>
      </c>
      <c r="D1658">
        <v>7</v>
      </c>
      <c r="F1658">
        <v>1657</v>
      </c>
      <c r="G1658" cm="1">
        <f t="array" ref="G1658">_xlfn.IFNA(INDEX($D$2:$D$4001,_xlfn.XMATCH(G$1&amp;"-"&amp;$F1658,YEAR($B$2:$B$4001)&amp;"-"&amp;$A$2:$A$4001,0,-1)),9)</f>
        <v>9</v>
      </c>
      <c r="H1658" cm="1">
        <f t="array" ref="H1658">IF(OR(AND(G1658=9,H$1&gt;YEAR($N1658))),9,_xlfn.IFNA(INDEX($D$2:$D$4001,_xlfn.XMATCH(H$1&amp;"-"&amp;$F1658,YEAR($B$2:$B$4001)&amp;"-"&amp;$A$2:$A$4001,0,-1)),G1658))</f>
        <v>9</v>
      </c>
      <c r="I1658" cm="1">
        <f t="array" ref="I1658">IF(OR(AND(H1658=9,I$1&gt;YEAR($N1658))),9,_xlfn.IFNA(INDEX($D$2:$D$4001,_xlfn.XMATCH(I$1&amp;"-"&amp;$F1658,YEAR($B$2:$B$4001)&amp;"-"&amp;$A$2:$A$4001,0,-1)),H1658))</f>
        <v>9</v>
      </c>
      <c r="J1658" cm="1">
        <f t="array" ref="J1658">IF(OR(AND(I1658=9,J$1&gt;YEAR($N1658))),9,_xlfn.IFNA(INDEX($D$2:$D$4001,_xlfn.XMATCH(J$1&amp;"-"&amp;$F1658,YEAR($B$2:$B$4001)&amp;"-"&amp;$A$2:$A$4001,0,-1)),I1658))</f>
        <v>3</v>
      </c>
      <c r="K1658" cm="1">
        <f t="array" ref="K1658">IF(OR(AND(J1658=9,K$1&gt;YEAR($N1658))),9,_xlfn.IFNA(INDEX($D$2:$D$4001,_xlfn.XMATCH(K$1&amp;"-"&amp;$F1658,YEAR($B$2:$B$4001)&amp;"-"&amp;$A$2:$A$4001,0,-1)),J1658))</f>
        <v>3</v>
      </c>
      <c r="L1658" cm="1">
        <f t="array" ref="L1658">IF(OR(AND(K1658=9,L$1&gt;YEAR($N1658))),9,_xlfn.IFNA(INDEX($D$2:$D$4001,_xlfn.XMATCH(L$1&amp;"-"&amp;$F1658,YEAR($B$2:$B$4001)&amp;"-"&amp;$A$2:$A$4001,0,-1)),K1658))</f>
        <v>2</v>
      </c>
      <c r="M1658" cm="1">
        <f t="array" ref="M1658">IF(OR(AND(L1658=9,M$1&gt;YEAR($N1658))),9,_xlfn.IFNA(INDEX($D$2:$D$4001,_xlfn.XMATCH(M$1&amp;"-"&amp;$F1658,YEAR($B$2:$B$4001)&amp;"-"&amp;$A$2:$A$4001,0,-1)),L1658))</f>
        <v>2</v>
      </c>
      <c r="N1658" s="1">
        <f t="shared" si="25"/>
        <v>37406</v>
      </c>
    </row>
    <row r="1659" spans="1:14" x14ac:dyDescent="0.35">
      <c r="A1659">
        <v>782</v>
      </c>
      <c r="B1659" s="2">
        <v>37620</v>
      </c>
      <c r="C1659">
        <v>0</v>
      </c>
      <c r="D1659">
        <v>0</v>
      </c>
      <c r="F1659">
        <v>1658</v>
      </c>
      <c r="G1659" cm="1">
        <f t="array" ref="G1659">_xlfn.IFNA(INDEX($D$2:$D$4001,_xlfn.XMATCH(G$1&amp;"-"&amp;$F1659,YEAR($B$2:$B$4001)&amp;"-"&amp;$A$2:$A$4001,0,-1)),9)</f>
        <v>9</v>
      </c>
      <c r="H1659" cm="1">
        <f t="array" ref="H1659">IF(OR(AND(G1659=9,H$1&gt;YEAR($N1659))),9,_xlfn.IFNA(INDEX($D$2:$D$4001,_xlfn.XMATCH(H$1&amp;"-"&amp;$F1659,YEAR($B$2:$B$4001)&amp;"-"&amp;$A$2:$A$4001,0,-1)),G1659))</f>
        <v>9</v>
      </c>
      <c r="I1659" cm="1">
        <f t="array" ref="I1659">IF(OR(AND(H1659=9,I$1&gt;YEAR($N1659))),9,_xlfn.IFNA(INDEX($D$2:$D$4001,_xlfn.XMATCH(I$1&amp;"-"&amp;$F1659,YEAR($B$2:$B$4001)&amp;"-"&amp;$A$2:$A$4001,0,-1)),H1659))</f>
        <v>4</v>
      </c>
      <c r="J1659" cm="1">
        <f t="array" ref="J1659">IF(OR(AND(I1659=9,J$1&gt;YEAR($N1659))),9,_xlfn.IFNA(INDEX($D$2:$D$4001,_xlfn.XMATCH(J$1&amp;"-"&amp;$F1659,YEAR($B$2:$B$4001)&amp;"-"&amp;$A$2:$A$4001,0,-1)),I1659))</f>
        <v>4</v>
      </c>
      <c r="K1659" cm="1">
        <f t="array" ref="K1659">IF(OR(AND(J1659=9,K$1&gt;YEAR($N1659))),9,_xlfn.IFNA(INDEX($D$2:$D$4001,_xlfn.XMATCH(K$1&amp;"-"&amp;$F1659,YEAR($B$2:$B$4001)&amp;"-"&amp;$A$2:$A$4001,0,-1)),J1659))</f>
        <v>4</v>
      </c>
      <c r="L1659" cm="1">
        <f t="array" ref="L1659">IF(OR(AND(K1659=9,L$1&gt;YEAR($N1659))),9,_xlfn.IFNA(INDEX($D$2:$D$4001,_xlfn.XMATCH(L$1&amp;"-"&amp;$F1659,YEAR($B$2:$B$4001)&amp;"-"&amp;$A$2:$A$4001,0,-1)),K1659))</f>
        <v>4</v>
      </c>
      <c r="M1659" cm="1">
        <f t="array" ref="M1659">IF(OR(AND(L1659=9,M$1&gt;YEAR($N1659))),9,_xlfn.IFNA(INDEX($D$2:$D$4001,_xlfn.XMATCH(M$1&amp;"-"&amp;$F1659,YEAR($B$2:$B$4001)&amp;"-"&amp;$A$2:$A$4001,0,-1)),L1659))</f>
        <v>4</v>
      </c>
      <c r="N1659" s="1">
        <f t="shared" si="25"/>
        <v>37255</v>
      </c>
    </row>
    <row r="1660" spans="1:14" x14ac:dyDescent="0.35">
      <c r="A1660">
        <v>783</v>
      </c>
      <c r="B1660" s="2">
        <v>36728</v>
      </c>
      <c r="C1660">
        <v>6</v>
      </c>
      <c r="D1660">
        <v>6</v>
      </c>
      <c r="F1660">
        <v>1659</v>
      </c>
      <c r="G1660" cm="1">
        <f t="array" ref="G1660">_xlfn.IFNA(INDEX($D$2:$D$4001,_xlfn.XMATCH(G$1&amp;"-"&amp;$F1660,YEAR($B$2:$B$4001)&amp;"-"&amp;$A$2:$A$4001,0,-1)),9)</f>
        <v>9</v>
      </c>
      <c r="H1660" cm="1">
        <f t="array" ref="H1660">IF(OR(AND(G1660=9,H$1&gt;YEAR($N1660))),9,_xlfn.IFNA(INDEX($D$2:$D$4001,_xlfn.XMATCH(H$1&amp;"-"&amp;$F1660,YEAR($B$2:$B$4001)&amp;"-"&amp;$A$2:$A$4001,0,-1)),G1660))</f>
        <v>2</v>
      </c>
      <c r="I1660" cm="1">
        <f t="array" ref="I1660">IF(OR(AND(H1660=9,I$1&gt;YEAR($N1660))),9,_xlfn.IFNA(INDEX($D$2:$D$4001,_xlfn.XMATCH(I$1&amp;"-"&amp;$F1660,YEAR($B$2:$B$4001)&amp;"-"&amp;$A$2:$A$4001,0,-1)),H1660))</f>
        <v>2</v>
      </c>
      <c r="J1660" cm="1">
        <f t="array" ref="J1660">IF(OR(AND(I1660=9,J$1&gt;YEAR($N1660))),9,_xlfn.IFNA(INDEX($D$2:$D$4001,_xlfn.XMATCH(J$1&amp;"-"&amp;$F1660,YEAR($B$2:$B$4001)&amp;"-"&amp;$A$2:$A$4001,0,-1)),I1660))</f>
        <v>2</v>
      </c>
      <c r="K1660" cm="1">
        <f t="array" ref="K1660">IF(OR(AND(J1660=9,K$1&gt;YEAR($N1660))),9,_xlfn.IFNA(INDEX($D$2:$D$4001,_xlfn.XMATCH(K$1&amp;"-"&amp;$F1660,YEAR($B$2:$B$4001)&amp;"-"&amp;$A$2:$A$4001,0,-1)),J1660))</f>
        <v>2</v>
      </c>
      <c r="L1660" cm="1">
        <f t="array" ref="L1660">IF(OR(AND(K1660=9,L$1&gt;YEAR($N1660))),9,_xlfn.IFNA(INDEX($D$2:$D$4001,_xlfn.XMATCH(L$1&amp;"-"&amp;$F1660,YEAR($B$2:$B$4001)&amp;"-"&amp;$A$2:$A$4001,0,-1)),K1660))</f>
        <v>3</v>
      </c>
      <c r="M1660" cm="1">
        <f t="array" ref="M1660">IF(OR(AND(L1660=9,M$1&gt;YEAR($N1660))),9,_xlfn.IFNA(INDEX($D$2:$D$4001,_xlfn.XMATCH(M$1&amp;"-"&amp;$F1660,YEAR($B$2:$B$4001)&amp;"-"&amp;$A$2:$A$4001,0,-1)),L1660))</f>
        <v>3</v>
      </c>
      <c r="N1660" s="1">
        <f t="shared" si="25"/>
        <v>36676</v>
      </c>
    </row>
    <row r="1661" spans="1:14" x14ac:dyDescent="0.35">
      <c r="A1661">
        <v>783</v>
      </c>
      <c r="B1661" s="2">
        <v>36890</v>
      </c>
      <c r="C1661">
        <v>5</v>
      </c>
      <c r="D1661">
        <v>5</v>
      </c>
      <c r="F1661">
        <v>1660</v>
      </c>
      <c r="G1661" cm="1">
        <f t="array" ref="G1661">_xlfn.IFNA(INDEX($D$2:$D$4001,_xlfn.XMATCH(G$1&amp;"-"&amp;$F1661,YEAR($B$2:$B$4001)&amp;"-"&amp;$A$2:$A$4001,0,-1)),9)</f>
        <v>9</v>
      </c>
      <c r="H1661" cm="1">
        <f t="array" ref="H1661">IF(OR(AND(G1661=9,H$1&gt;YEAR($N1661))),9,_xlfn.IFNA(INDEX($D$2:$D$4001,_xlfn.XMATCH(H$1&amp;"-"&amp;$F1661,YEAR($B$2:$B$4001)&amp;"-"&amp;$A$2:$A$4001,0,-1)),G1661))</f>
        <v>9</v>
      </c>
      <c r="I1661" cm="1">
        <f t="array" ref="I1661">IF(OR(AND(H1661=9,I$1&gt;YEAR($N1661))),9,_xlfn.IFNA(INDEX($D$2:$D$4001,_xlfn.XMATCH(I$1&amp;"-"&amp;$F1661,YEAR($B$2:$B$4001)&amp;"-"&amp;$A$2:$A$4001,0,-1)),H1661))</f>
        <v>7</v>
      </c>
      <c r="J1661" cm="1">
        <f t="array" ref="J1661">IF(OR(AND(I1661=9,J$1&gt;YEAR($N1661))),9,_xlfn.IFNA(INDEX($D$2:$D$4001,_xlfn.XMATCH(J$1&amp;"-"&amp;$F1661,YEAR($B$2:$B$4001)&amp;"-"&amp;$A$2:$A$4001,0,-1)),I1661))</f>
        <v>5</v>
      </c>
      <c r="K1661" cm="1">
        <f t="array" ref="K1661">IF(OR(AND(J1661=9,K$1&gt;YEAR($N1661))),9,_xlfn.IFNA(INDEX($D$2:$D$4001,_xlfn.XMATCH(K$1&amp;"-"&amp;$F1661,YEAR($B$2:$B$4001)&amp;"-"&amp;$A$2:$A$4001,0,-1)),J1661))</f>
        <v>4</v>
      </c>
      <c r="L1661" cm="1">
        <f t="array" ref="L1661">IF(OR(AND(K1661=9,L$1&gt;YEAR($N1661))),9,_xlfn.IFNA(INDEX($D$2:$D$4001,_xlfn.XMATCH(L$1&amp;"-"&amp;$F1661,YEAR($B$2:$B$4001)&amp;"-"&amp;$A$2:$A$4001,0,-1)),K1661))</f>
        <v>4</v>
      </c>
      <c r="M1661" cm="1">
        <f t="array" ref="M1661">IF(OR(AND(L1661=9,M$1&gt;YEAR($N1661))),9,_xlfn.IFNA(INDEX($D$2:$D$4001,_xlfn.XMATCH(M$1&amp;"-"&amp;$F1661,YEAR($B$2:$B$4001)&amp;"-"&amp;$A$2:$A$4001,0,-1)),L1661))</f>
        <v>4</v>
      </c>
      <c r="N1661" s="1">
        <f t="shared" si="25"/>
        <v>37041</v>
      </c>
    </row>
    <row r="1662" spans="1:14" x14ac:dyDescent="0.35">
      <c r="A1662">
        <v>783</v>
      </c>
      <c r="B1662" s="2">
        <v>37032</v>
      </c>
      <c r="C1662">
        <v>6</v>
      </c>
      <c r="D1662">
        <v>6</v>
      </c>
      <c r="F1662">
        <v>1661</v>
      </c>
      <c r="G1662" cm="1">
        <f t="array" ref="G1662">_xlfn.IFNA(INDEX($D$2:$D$4001,_xlfn.XMATCH(G$1&amp;"-"&amp;$F1662,YEAR($B$2:$B$4001)&amp;"-"&amp;$A$2:$A$4001,0,-1)),9)</f>
        <v>9</v>
      </c>
      <c r="H1662" cm="1">
        <f t="array" ref="H1662">IF(OR(AND(G1662=9,H$1&gt;YEAR($N1662))),9,_xlfn.IFNA(INDEX($D$2:$D$4001,_xlfn.XMATCH(H$1&amp;"-"&amp;$F1662,YEAR($B$2:$B$4001)&amp;"-"&amp;$A$2:$A$4001,0,-1)),G1662))</f>
        <v>9</v>
      </c>
      <c r="I1662" cm="1">
        <f t="array" ref="I1662">IF(OR(AND(H1662=9,I$1&gt;YEAR($N1662))),9,_xlfn.IFNA(INDEX($D$2:$D$4001,_xlfn.XMATCH(I$1&amp;"-"&amp;$F1662,YEAR($B$2:$B$4001)&amp;"-"&amp;$A$2:$A$4001,0,-1)),H1662))</f>
        <v>0</v>
      </c>
      <c r="J1662" cm="1">
        <f t="array" ref="J1662">IF(OR(AND(I1662=9,J$1&gt;YEAR($N1662))),9,_xlfn.IFNA(INDEX($D$2:$D$4001,_xlfn.XMATCH(J$1&amp;"-"&amp;$F1662,YEAR($B$2:$B$4001)&amp;"-"&amp;$A$2:$A$4001,0,-1)),I1662))</f>
        <v>0</v>
      </c>
      <c r="K1662" cm="1">
        <f t="array" ref="K1662">IF(OR(AND(J1662=9,K$1&gt;YEAR($N1662))),9,_xlfn.IFNA(INDEX($D$2:$D$4001,_xlfn.XMATCH(K$1&amp;"-"&amp;$F1662,YEAR($B$2:$B$4001)&amp;"-"&amp;$A$2:$A$4001,0,-1)),J1662))</f>
        <v>0</v>
      </c>
      <c r="L1662" cm="1">
        <f t="array" ref="L1662">IF(OR(AND(K1662=9,L$1&gt;YEAR($N1662))),9,_xlfn.IFNA(INDEX($D$2:$D$4001,_xlfn.XMATCH(L$1&amp;"-"&amp;$F1662,YEAR($B$2:$B$4001)&amp;"-"&amp;$A$2:$A$4001,0,-1)),K1662))</f>
        <v>0</v>
      </c>
      <c r="M1662" cm="1">
        <f t="array" ref="M1662">IF(OR(AND(L1662=9,M$1&gt;YEAR($N1662))),9,_xlfn.IFNA(INDEX($D$2:$D$4001,_xlfn.XMATCH(M$1&amp;"-"&amp;$F1662,YEAR($B$2:$B$4001)&amp;"-"&amp;$A$2:$A$4001,0,-1)),L1662))</f>
        <v>0</v>
      </c>
      <c r="N1662" s="1">
        <f t="shared" si="25"/>
        <v>37255</v>
      </c>
    </row>
    <row r="1663" spans="1:14" x14ac:dyDescent="0.35">
      <c r="A1663">
        <v>783</v>
      </c>
      <c r="B1663" s="2">
        <v>37032</v>
      </c>
      <c r="C1663">
        <v>7</v>
      </c>
      <c r="D1663">
        <v>7</v>
      </c>
      <c r="F1663">
        <v>1662</v>
      </c>
      <c r="G1663" cm="1">
        <f t="array" ref="G1663">_xlfn.IFNA(INDEX($D$2:$D$4001,_xlfn.XMATCH(G$1&amp;"-"&amp;$F1663,YEAR($B$2:$B$4001)&amp;"-"&amp;$A$2:$A$4001,0,-1)),9)</f>
        <v>9</v>
      </c>
      <c r="H1663" cm="1">
        <f t="array" ref="H1663">IF(OR(AND(G1663=9,H$1&gt;YEAR($N1663))),9,_xlfn.IFNA(INDEX($D$2:$D$4001,_xlfn.XMATCH(H$1&amp;"-"&amp;$F1663,YEAR($B$2:$B$4001)&amp;"-"&amp;$A$2:$A$4001,0,-1)),G1663))</f>
        <v>3</v>
      </c>
      <c r="I1663" cm="1">
        <f t="array" ref="I1663">IF(OR(AND(H1663=9,I$1&gt;YEAR($N1663))),9,_xlfn.IFNA(INDEX($D$2:$D$4001,_xlfn.XMATCH(I$1&amp;"-"&amp;$F1663,YEAR($B$2:$B$4001)&amp;"-"&amp;$A$2:$A$4001,0,-1)),H1663))</f>
        <v>3</v>
      </c>
      <c r="J1663" cm="1">
        <f t="array" ref="J1663">IF(OR(AND(I1663=9,J$1&gt;YEAR($N1663))),9,_xlfn.IFNA(INDEX($D$2:$D$4001,_xlfn.XMATCH(J$1&amp;"-"&amp;$F1663,YEAR($B$2:$B$4001)&amp;"-"&amp;$A$2:$A$4001,0,-1)),I1663))</f>
        <v>4</v>
      </c>
      <c r="K1663" cm="1">
        <f t="array" ref="K1663">IF(OR(AND(J1663=9,K$1&gt;YEAR($N1663))),9,_xlfn.IFNA(INDEX($D$2:$D$4001,_xlfn.XMATCH(K$1&amp;"-"&amp;$F1663,YEAR($B$2:$B$4001)&amp;"-"&amp;$A$2:$A$4001,0,-1)),J1663))</f>
        <v>4</v>
      </c>
      <c r="L1663" cm="1">
        <f t="array" ref="L1663">IF(OR(AND(K1663=9,L$1&gt;YEAR($N1663))),9,_xlfn.IFNA(INDEX($D$2:$D$4001,_xlfn.XMATCH(L$1&amp;"-"&amp;$F1663,YEAR($B$2:$B$4001)&amp;"-"&amp;$A$2:$A$4001,0,-1)),K1663))</f>
        <v>4</v>
      </c>
      <c r="M1663" cm="1">
        <f t="array" ref="M1663">IF(OR(AND(L1663=9,M$1&gt;YEAR($N1663))),9,_xlfn.IFNA(INDEX($D$2:$D$4001,_xlfn.XMATCH(M$1&amp;"-"&amp;$F1663,YEAR($B$2:$B$4001)&amp;"-"&amp;$A$2:$A$4001,0,-1)),L1663))</f>
        <v>4</v>
      </c>
      <c r="N1663" s="1">
        <f t="shared" si="25"/>
        <v>36790</v>
      </c>
    </row>
    <row r="1664" spans="1:14" x14ac:dyDescent="0.35">
      <c r="A1664">
        <v>783</v>
      </c>
      <c r="B1664" s="2">
        <v>37071</v>
      </c>
      <c r="C1664">
        <v>7</v>
      </c>
      <c r="D1664">
        <v>7</v>
      </c>
      <c r="F1664">
        <v>1663</v>
      </c>
      <c r="G1664" cm="1">
        <f t="array" ref="G1664">_xlfn.IFNA(INDEX($D$2:$D$4001,_xlfn.XMATCH(G$1&amp;"-"&amp;$F1664,YEAR($B$2:$B$4001)&amp;"-"&amp;$A$2:$A$4001,0,-1)),9)</f>
        <v>9</v>
      </c>
      <c r="H1664" cm="1">
        <f t="array" ref="H1664">IF(OR(AND(G1664=9,H$1&gt;YEAR($N1664))),9,_xlfn.IFNA(INDEX($D$2:$D$4001,_xlfn.XMATCH(H$1&amp;"-"&amp;$F1664,YEAR($B$2:$B$4001)&amp;"-"&amp;$A$2:$A$4001,0,-1)),G1664))</f>
        <v>9</v>
      </c>
      <c r="I1664" cm="1">
        <f t="array" ref="I1664">IF(OR(AND(H1664=9,I$1&gt;YEAR($N1664))),9,_xlfn.IFNA(INDEX($D$2:$D$4001,_xlfn.XMATCH(I$1&amp;"-"&amp;$F1664,YEAR($B$2:$B$4001)&amp;"-"&amp;$A$2:$A$4001,0,-1)),H1664))</f>
        <v>3</v>
      </c>
      <c r="J1664" cm="1">
        <f t="array" ref="J1664">IF(OR(AND(I1664=9,J$1&gt;YEAR($N1664))),9,_xlfn.IFNA(INDEX($D$2:$D$4001,_xlfn.XMATCH(J$1&amp;"-"&amp;$F1664,YEAR($B$2:$B$4001)&amp;"-"&amp;$A$2:$A$4001,0,-1)),I1664))</f>
        <v>3</v>
      </c>
      <c r="K1664" cm="1">
        <f t="array" ref="K1664">IF(OR(AND(J1664=9,K$1&gt;YEAR($N1664))),9,_xlfn.IFNA(INDEX($D$2:$D$4001,_xlfn.XMATCH(K$1&amp;"-"&amp;$F1664,YEAR($B$2:$B$4001)&amp;"-"&amp;$A$2:$A$4001,0,-1)),J1664))</f>
        <v>3</v>
      </c>
      <c r="L1664" cm="1">
        <f t="array" ref="L1664">IF(OR(AND(K1664=9,L$1&gt;YEAR($N1664))),9,_xlfn.IFNA(INDEX($D$2:$D$4001,_xlfn.XMATCH(L$1&amp;"-"&amp;$F1664,YEAR($B$2:$B$4001)&amp;"-"&amp;$A$2:$A$4001,0,-1)),K1664))</f>
        <v>3</v>
      </c>
      <c r="M1664" cm="1">
        <f t="array" ref="M1664">IF(OR(AND(L1664=9,M$1&gt;YEAR($N1664))),9,_xlfn.IFNA(INDEX($D$2:$D$4001,_xlfn.XMATCH(M$1&amp;"-"&amp;$F1664,YEAR($B$2:$B$4001)&amp;"-"&amp;$A$2:$A$4001,0,-1)),L1664))</f>
        <v>3</v>
      </c>
      <c r="N1664" s="1">
        <f t="shared" si="25"/>
        <v>37041</v>
      </c>
    </row>
    <row r="1665" spans="1:14" x14ac:dyDescent="0.35">
      <c r="A1665">
        <v>783</v>
      </c>
      <c r="B1665" s="2">
        <v>37185</v>
      </c>
      <c r="C1665">
        <v>0</v>
      </c>
      <c r="D1665">
        <v>0</v>
      </c>
      <c r="F1665">
        <v>1664</v>
      </c>
      <c r="G1665" cm="1">
        <f t="array" ref="G1665">_xlfn.IFNA(INDEX($D$2:$D$4001,_xlfn.XMATCH(G$1&amp;"-"&amp;$F1665,YEAR($B$2:$B$4001)&amp;"-"&amp;$A$2:$A$4001,0,-1)),9)</f>
        <v>4</v>
      </c>
      <c r="H1665" cm="1">
        <f t="array" ref="H1665">IF(OR(AND(G1665=9,H$1&gt;YEAR($N1665))),9,_xlfn.IFNA(INDEX($D$2:$D$4001,_xlfn.XMATCH(H$1&amp;"-"&amp;$F1665,YEAR($B$2:$B$4001)&amp;"-"&amp;$A$2:$A$4001,0,-1)),G1665))</f>
        <v>4</v>
      </c>
      <c r="I1665" cm="1">
        <f t="array" ref="I1665">IF(OR(AND(H1665=9,I$1&gt;YEAR($N1665))),9,_xlfn.IFNA(INDEX($D$2:$D$4001,_xlfn.XMATCH(I$1&amp;"-"&amp;$F1665,YEAR($B$2:$B$4001)&amp;"-"&amp;$A$2:$A$4001,0,-1)),H1665))</f>
        <v>4</v>
      </c>
      <c r="J1665" cm="1">
        <f t="array" ref="J1665">IF(OR(AND(I1665=9,J$1&gt;YEAR($N1665))),9,_xlfn.IFNA(INDEX($D$2:$D$4001,_xlfn.XMATCH(J$1&amp;"-"&amp;$F1665,YEAR($B$2:$B$4001)&amp;"-"&amp;$A$2:$A$4001,0,-1)),I1665))</f>
        <v>4</v>
      </c>
      <c r="K1665" cm="1">
        <f t="array" ref="K1665">IF(OR(AND(J1665=9,K$1&gt;YEAR($N1665))),9,_xlfn.IFNA(INDEX($D$2:$D$4001,_xlfn.XMATCH(K$1&amp;"-"&amp;$F1665,YEAR($B$2:$B$4001)&amp;"-"&amp;$A$2:$A$4001,0,-1)),J1665))</f>
        <v>6</v>
      </c>
      <c r="L1665" cm="1">
        <f t="array" ref="L1665">IF(OR(AND(K1665=9,L$1&gt;YEAR($N1665))),9,_xlfn.IFNA(INDEX($D$2:$D$4001,_xlfn.XMATCH(L$1&amp;"-"&amp;$F1665,YEAR($B$2:$B$4001)&amp;"-"&amp;$A$2:$A$4001,0,-1)),K1665))</f>
        <v>6</v>
      </c>
      <c r="M1665" cm="1">
        <f t="array" ref="M1665">IF(OR(AND(L1665=9,M$1&gt;YEAR($N1665))),9,_xlfn.IFNA(INDEX($D$2:$D$4001,_xlfn.XMATCH(M$1&amp;"-"&amp;$F1665,YEAR($B$2:$B$4001)&amp;"-"&amp;$A$2:$A$4001,0,-1)),L1665))</f>
        <v>6</v>
      </c>
      <c r="N1665" s="1">
        <f t="shared" si="25"/>
        <v>36341</v>
      </c>
    </row>
    <row r="1666" spans="1:14" x14ac:dyDescent="0.35">
      <c r="A1666">
        <v>784</v>
      </c>
      <c r="B1666" s="2">
        <v>36670</v>
      </c>
      <c r="C1666">
        <v>3</v>
      </c>
      <c r="D1666">
        <v>3</v>
      </c>
      <c r="F1666">
        <v>1665</v>
      </c>
      <c r="G1666" cm="1">
        <f t="array" ref="G1666">_xlfn.IFNA(INDEX($D$2:$D$4001,_xlfn.XMATCH(G$1&amp;"-"&amp;$F1666,YEAR($B$2:$B$4001)&amp;"-"&amp;$A$2:$A$4001,0,-1)),9)</f>
        <v>4</v>
      </c>
      <c r="H1666" cm="1">
        <f t="array" ref="H1666">IF(OR(AND(G1666=9,H$1&gt;YEAR($N1666))),9,_xlfn.IFNA(INDEX($D$2:$D$4001,_xlfn.XMATCH(H$1&amp;"-"&amp;$F1666,YEAR($B$2:$B$4001)&amp;"-"&amp;$A$2:$A$4001,0,-1)),G1666))</f>
        <v>4</v>
      </c>
      <c r="I1666" cm="1">
        <f t="array" ref="I1666">IF(OR(AND(H1666=9,I$1&gt;YEAR($N1666))),9,_xlfn.IFNA(INDEX($D$2:$D$4001,_xlfn.XMATCH(I$1&amp;"-"&amp;$F1666,YEAR($B$2:$B$4001)&amp;"-"&amp;$A$2:$A$4001,0,-1)),H1666))</f>
        <v>4</v>
      </c>
      <c r="J1666" cm="1">
        <f t="array" ref="J1666">IF(OR(AND(I1666=9,J$1&gt;YEAR($N1666))),9,_xlfn.IFNA(INDEX($D$2:$D$4001,_xlfn.XMATCH(J$1&amp;"-"&amp;$F1666,YEAR($B$2:$B$4001)&amp;"-"&amp;$A$2:$A$4001,0,-1)),I1666))</f>
        <v>5</v>
      </c>
      <c r="K1666" cm="1">
        <f t="array" ref="K1666">IF(OR(AND(J1666=9,K$1&gt;YEAR($N1666))),9,_xlfn.IFNA(INDEX($D$2:$D$4001,_xlfn.XMATCH(K$1&amp;"-"&amp;$F1666,YEAR($B$2:$B$4001)&amp;"-"&amp;$A$2:$A$4001,0,-1)),J1666))</f>
        <v>7</v>
      </c>
      <c r="L1666" cm="1">
        <f t="array" ref="L1666">IF(OR(AND(K1666=9,L$1&gt;YEAR($N1666))),9,_xlfn.IFNA(INDEX($D$2:$D$4001,_xlfn.XMATCH(L$1&amp;"-"&amp;$F1666,YEAR($B$2:$B$4001)&amp;"-"&amp;$A$2:$A$4001,0,-1)),K1666))</f>
        <v>7</v>
      </c>
      <c r="M1666" cm="1">
        <f t="array" ref="M1666">IF(OR(AND(L1666=9,M$1&gt;YEAR($N1666))),9,_xlfn.IFNA(INDEX($D$2:$D$4001,_xlfn.XMATCH(M$1&amp;"-"&amp;$F1666,YEAR($B$2:$B$4001)&amp;"-"&amp;$A$2:$A$4001,0,-1)),L1666))</f>
        <v>7</v>
      </c>
      <c r="N1666" s="1">
        <f t="shared" si="25"/>
        <v>36485</v>
      </c>
    </row>
    <row r="1667" spans="1:14" x14ac:dyDescent="0.35">
      <c r="A1667">
        <v>784</v>
      </c>
      <c r="B1667" s="2">
        <v>36829</v>
      </c>
      <c r="C1667">
        <v>4</v>
      </c>
      <c r="D1667">
        <v>4</v>
      </c>
      <c r="F1667">
        <v>1666</v>
      </c>
      <c r="G1667" cm="1">
        <f t="array" ref="G1667">_xlfn.IFNA(INDEX($D$2:$D$4001,_xlfn.XMATCH(G$1&amp;"-"&amp;$F1667,YEAR($B$2:$B$4001)&amp;"-"&amp;$A$2:$A$4001,0,-1)),9)</f>
        <v>2</v>
      </c>
      <c r="H1667" cm="1">
        <f t="array" ref="H1667">IF(OR(AND(G1667=9,H$1&gt;YEAR($N1667))),9,_xlfn.IFNA(INDEX($D$2:$D$4001,_xlfn.XMATCH(H$1&amp;"-"&amp;$F1667,YEAR($B$2:$B$4001)&amp;"-"&amp;$A$2:$A$4001,0,-1)),G1667))</f>
        <v>2</v>
      </c>
      <c r="I1667" cm="1">
        <f t="array" ref="I1667">IF(OR(AND(H1667=9,I$1&gt;YEAR($N1667))),9,_xlfn.IFNA(INDEX($D$2:$D$4001,_xlfn.XMATCH(I$1&amp;"-"&amp;$F1667,YEAR($B$2:$B$4001)&amp;"-"&amp;$A$2:$A$4001,0,-1)),H1667))</f>
        <v>2</v>
      </c>
      <c r="J1667" cm="1">
        <f t="array" ref="J1667">IF(OR(AND(I1667=9,J$1&gt;YEAR($N1667))),9,_xlfn.IFNA(INDEX($D$2:$D$4001,_xlfn.XMATCH(J$1&amp;"-"&amp;$F1667,YEAR($B$2:$B$4001)&amp;"-"&amp;$A$2:$A$4001,0,-1)),I1667))</f>
        <v>2</v>
      </c>
      <c r="K1667" cm="1">
        <f t="array" ref="K1667">IF(OR(AND(J1667=9,K$1&gt;YEAR($N1667))),9,_xlfn.IFNA(INDEX($D$2:$D$4001,_xlfn.XMATCH(K$1&amp;"-"&amp;$F1667,YEAR($B$2:$B$4001)&amp;"-"&amp;$A$2:$A$4001,0,-1)),J1667))</f>
        <v>2</v>
      </c>
      <c r="L1667" cm="1">
        <f t="array" ref="L1667">IF(OR(AND(K1667=9,L$1&gt;YEAR($N1667))),9,_xlfn.IFNA(INDEX($D$2:$D$4001,_xlfn.XMATCH(L$1&amp;"-"&amp;$F1667,YEAR($B$2:$B$4001)&amp;"-"&amp;$A$2:$A$4001,0,-1)),K1667))</f>
        <v>3</v>
      </c>
      <c r="M1667" cm="1">
        <f t="array" ref="M1667">IF(OR(AND(L1667=9,M$1&gt;YEAR($N1667))),9,_xlfn.IFNA(INDEX($D$2:$D$4001,_xlfn.XMATCH(M$1&amp;"-"&amp;$F1667,YEAR($B$2:$B$4001)&amp;"-"&amp;$A$2:$A$4001,0,-1)),L1667))</f>
        <v>3</v>
      </c>
      <c r="N1667" s="1">
        <f t="shared" ref="N1667:N1730" si="26">_xlfn.MINIFS($B$2:$B$4001,$A$2:$A$4001,F1667)</f>
        <v>36524</v>
      </c>
    </row>
    <row r="1668" spans="1:14" x14ac:dyDescent="0.35">
      <c r="A1668">
        <v>784</v>
      </c>
      <c r="B1668" s="2">
        <v>37063</v>
      </c>
      <c r="C1668">
        <v>4</v>
      </c>
      <c r="D1668">
        <v>4</v>
      </c>
      <c r="F1668">
        <v>1667</v>
      </c>
      <c r="G1668" cm="1">
        <f t="array" ref="G1668">_xlfn.IFNA(INDEX($D$2:$D$4001,_xlfn.XMATCH(G$1&amp;"-"&amp;$F1668,YEAR($B$2:$B$4001)&amp;"-"&amp;$A$2:$A$4001,0,-1)),9)</f>
        <v>2</v>
      </c>
      <c r="H1668" cm="1">
        <f t="array" ref="H1668">IF(OR(AND(G1668=9,H$1&gt;YEAR($N1668))),9,_xlfn.IFNA(INDEX($D$2:$D$4001,_xlfn.XMATCH(H$1&amp;"-"&amp;$F1668,YEAR($B$2:$B$4001)&amp;"-"&amp;$A$2:$A$4001,0,-1)),G1668))</f>
        <v>2</v>
      </c>
      <c r="I1668" cm="1">
        <f t="array" ref="I1668">IF(OR(AND(H1668=9,I$1&gt;YEAR($N1668))),9,_xlfn.IFNA(INDEX($D$2:$D$4001,_xlfn.XMATCH(I$1&amp;"-"&amp;$F1668,YEAR($B$2:$B$4001)&amp;"-"&amp;$A$2:$A$4001,0,-1)),H1668))</f>
        <v>2</v>
      </c>
      <c r="J1668" cm="1">
        <f t="array" ref="J1668">IF(OR(AND(I1668=9,J$1&gt;YEAR($N1668))),9,_xlfn.IFNA(INDEX($D$2:$D$4001,_xlfn.XMATCH(J$1&amp;"-"&amp;$F1668,YEAR($B$2:$B$4001)&amp;"-"&amp;$A$2:$A$4001,0,-1)),I1668))</f>
        <v>2</v>
      </c>
      <c r="K1668" cm="1">
        <f t="array" ref="K1668">IF(OR(AND(J1668=9,K$1&gt;YEAR($N1668))),9,_xlfn.IFNA(INDEX($D$2:$D$4001,_xlfn.XMATCH(K$1&amp;"-"&amp;$F1668,YEAR($B$2:$B$4001)&amp;"-"&amp;$A$2:$A$4001,0,-1)),J1668))</f>
        <v>3</v>
      </c>
      <c r="L1668" cm="1">
        <f t="array" ref="L1668">IF(OR(AND(K1668=9,L$1&gt;YEAR($N1668))),9,_xlfn.IFNA(INDEX($D$2:$D$4001,_xlfn.XMATCH(L$1&amp;"-"&amp;$F1668,YEAR($B$2:$B$4001)&amp;"-"&amp;$A$2:$A$4001,0,-1)),K1668))</f>
        <v>3</v>
      </c>
      <c r="M1668" cm="1">
        <f t="array" ref="M1668">IF(OR(AND(L1668=9,M$1&gt;YEAR($N1668))),9,_xlfn.IFNA(INDEX($D$2:$D$4001,_xlfn.XMATCH(M$1&amp;"-"&amp;$F1668,YEAR($B$2:$B$4001)&amp;"-"&amp;$A$2:$A$4001,0,-1)),L1668))</f>
        <v>3</v>
      </c>
      <c r="N1668" s="1">
        <f t="shared" si="26"/>
        <v>36310</v>
      </c>
    </row>
    <row r="1669" spans="1:14" x14ac:dyDescent="0.35">
      <c r="A1669">
        <v>785</v>
      </c>
      <c r="B1669" s="2">
        <v>36454</v>
      </c>
      <c r="C1669">
        <v>4</v>
      </c>
      <c r="D1669">
        <v>4</v>
      </c>
      <c r="F1669">
        <v>1668</v>
      </c>
      <c r="G1669" cm="1">
        <f t="array" ref="G1669">_xlfn.IFNA(INDEX($D$2:$D$4001,_xlfn.XMATCH(G$1&amp;"-"&amp;$F1669,YEAR($B$2:$B$4001)&amp;"-"&amp;$A$2:$A$4001,0,-1)),9)</f>
        <v>9</v>
      </c>
      <c r="H1669" cm="1">
        <f t="array" ref="H1669">IF(OR(AND(G1669=9,H$1&gt;YEAR($N1669))),9,_xlfn.IFNA(INDEX($D$2:$D$4001,_xlfn.XMATCH(H$1&amp;"-"&amp;$F1669,YEAR($B$2:$B$4001)&amp;"-"&amp;$A$2:$A$4001,0,-1)),G1669))</f>
        <v>9</v>
      </c>
      <c r="I1669" cm="1">
        <f t="array" ref="I1669">IF(OR(AND(H1669=9,I$1&gt;YEAR($N1669))),9,_xlfn.IFNA(INDEX($D$2:$D$4001,_xlfn.XMATCH(I$1&amp;"-"&amp;$F1669,YEAR($B$2:$B$4001)&amp;"-"&amp;$A$2:$A$4001,0,-1)),H1669))</f>
        <v>9</v>
      </c>
      <c r="J1669" cm="1">
        <f t="array" ref="J1669">IF(OR(AND(I1669=9,J$1&gt;YEAR($N1669))),9,_xlfn.IFNA(INDEX($D$2:$D$4001,_xlfn.XMATCH(J$1&amp;"-"&amp;$F1669,YEAR($B$2:$B$4001)&amp;"-"&amp;$A$2:$A$4001,0,-1)),I1669))</f>
        <v>9</v>
      </c>
      <c r="K1669" cm="1">
        <f t="array" ref="K1669">IF(OR(AND(J1669=9,K$1&gt;YEAR($N1669))),9,_xlfn.IFNA(INDEX($D$2:$D$4001,_xlfn.XMATCH(K$1&amp;"-"&amp;$F1669,YEAR($B$2:$B$4001)&amp;"-"&amp;$A$2:$A$4001,0,-1)),J1669))</f>
        <v>3</v>
      </c>
      <c r="L1669" cm="1">
        <f t="array" ref="L1669">IF(OR(AND(K1669=9,L$1&gt;YEAR($N1669))),9,_xlfn.IFNA(INDEX($D$2:$D$4001,_xlfn.XMATCH(L$1&amp;"-"&amp;$F1669,YEAR($B$2:$B$4001)&amp;"-"&amp;$A$2:$A$4001,0,-1)),K1669))</f>
        <v>3</v>
      </c>
      <c r="M1669" cm="1">
        <f t="array" ref="M1669">IF(OR(AND(L1669=9,M$1&gt;YEAR($N1669))),9,_xlfn.IFNA(INDEX($D$2:$D$4001,_xlfn.XMATCH(M$1&amp;"-"&amp;$F1669,YEAR($B$2:$B$4001)&amp;"-"&amp;$A$2:$A$4001,0,-1)),L1669))</f>
        <v>3</v>
      </c>
      <c r="N1669" s="1">
        <f t="shared" si="26"/>
        <v>37985</v>
      </c>
    </row>
    <row r="1670" spans="1:14" x14ac:dyDescent="0.35">
      <c r="A1670">
        <v>786</v>
      </c>
      <c r="B1670" s="2">
        <v>37032</v>
      </c>
      <c r="C1670">
        <v>4</v>
      </c>
      <c r="D1670">
        <v>4</v>
      </c>
      <c r="F1670">
        <v>1669</v>
      </c>
      <c r="G1670" cm="1">
        <f t="array" ref="G1670">_xlfn.IFNA(INDEX($D$2:$D$4001,_xlfn.XMATCH(G$1&amp;"-"&amp;$F1670,YEAR($B$2:$B$4001)&amp;"-"&amp;$A$2:$A$4001,0,-1)),9)</f>
        <v>9</v>
      </c>
      <c r="H1670" cm="1">
        <f t="array" ref="H1670">IF(OR(AND(G1670=9,H$1&gt;YEAR($N1670))),9,_xlfn.IFNA(INDEX($D$2:$D$4001,_xlfn.XMATCH(H$1&amp;"-"&amp;$F1670,YEAR($B$2:$B$4001)&amp;"-"&amp;$A$2:$A$4001,0,-1)),G1670))</f>
        <v>9</v>
      </c>
      <c r="I1670" cm="1">
        <f t="array" ref="I1670">IF(OR(AND(H1670=9,I$1&gt;YEAR($N1670))),9,_xlfn.IFNA(INDEX($D$2:$D$4001,_xlfn.XMATCH(I$1&amp;"-"&amp;$F1670,YEAR($B$2:$B$4001)&amp;"-"&amp;$A$2:$A$4001,0,-1)),H1670))</f>
        <v>9</v>
      </c>
      <c r="J1670" cm="1">
        <f t="array" ref="J1670">IF(OR(AND(I1670=9,J$1&gt;YEAR($N1670))),9,_xlfn.IFNA(INDEX($D$2:$D$4001,_xlfn.XMATCH(J$1&amp;"-"&amp;$F1670,YEAR($B$2:$B$4001)&amp;"-"&amp;$A$2:$A$4001,0,-1)),I1670))</f>
        <v>9</v>
      </c>
      <c r="K1670" cm="1">
        <f t="array" ref="K1670">IF(OR(AND(J1670=9,K$1&gt;YEAR($N1670))),9,_xlfn.IFNA(INDEX($D$2:$D$4001,_xlfn.XMATCH(K$1&amp;"-"&amp;$F1670,YEAR($B$2:$B$4001)&amp;"-"&amp;$A$2:$A$4001,0,-1)),J1670))</f>
        <v>9</v>
      </c>
      <c r="L1670" cm="1">
        <f t="array" ref="L1670">IF(OR(AND(K1670=9,L$1&gt;YEAR($N1670))),9,_xlfn.IFNA(INDEX($D$2:$D$4001,_xlfn.XMATCH(L$1&amp;"-"&amp;$F1670,YEAR($B$2:$B$4001)&amp;"-"&amp;$A$2:$A$4001,0,-1)),K1670))</f>
        <v>6</v>
      </c>
      <c r="M1670" cm="1">
        <f t="array" ref="M1670">IF(OR(AND(L1670=9,M$1&gt;YEAR($N1670))),9,_xlfn.IFNA(INDEX($D$2:$D$4001,_xlfn.XMATCH(M$1&amp;"-"&amp;$F1670,YEAR($B$2:$B$4001)&amp;"-"&amp;$A$2:$A$4001,0,-1)),L1670))</f>
        <v>6</v>
      </c>
      <c r="N1670" s="1">
        <f t="shared" si="26"/>
        <v>38351</v>
      </c>
    </row>
    <row r="1671" spans="1:14" x14ac:dyDescent="0.35">
      <c r="A1671">
        <v>786</v>
      </c>
      <c r="B1671" s="2">
        <v>37194</v>
      </c>
      <c r="C1671">
        <v>4</v>
      </c>
      <c r="D1671">
        <v>4</v>
      </c>
      <c r="F1671">
        <v>1670</v>
      </c>
      <c r="G1671" cm="1">
        <f t="array" ref="G1671">_xlfn.IFNA(INDEX($D$2:$D$4001,_xlfn.XMATCH(G$1&amp;"-"&amp;$F1671,YEAR($B$2:$B$4001)&amp;"-"&amp;$A$2:$A$4001,0,-1)),9)</f>
        <v>4</v>
      </c>
      <c r="H1671" cm="1">
        <f t="array" ref="H1671">IF(OR(AND(G1671=9,H$1&gt;YEAR($N1671))),9,_xlfn.IFNA(INDEX($D$2:$D$4001,_xlfn.XMATCH(H$1&amp;"-"&amp;$F1671,YEAR($B$2:$B$4001)&amp;"-"&amp;$A$2:$A$4001,0,-1)),G1671))</f>
        <v>4</v>
      </c>
      <c r="I1671" cm="1">
        <f t="array" ref="I1671">IF(OR(AND(H1671=9,I$1&gt;YEAR($N1671))),9,_xlfn.IFNA(INDEX($D$2:$D$4001,_xlfn.XMATCH(I$1&amp;"-"&amp;$F1671,YEAR($B$2:$B$4001)&amp;"-"&amp;$A$2:$A$4001,0,-1)),H1671))</f>
        <v>4</v>
      </c>
      <c r="J1671" cm="1">
        <f t="array" ref="J1671">IF(OR(AND(I1671=9,J$1&gt;YEAR($N1671))),9,_xlfn.IFNA(INDEX($D$2:$D$4001,_xlfn.XMATCH(J$1&amp;"-"&amp;$F1671,YEAR($B$2:$B$4001)&amp;"-"&amp;$A$2:$A$4001,0,-1)),I1671))</f>
        <v>4</v>
      </c>
      <c r="K1671" cm="1">
        <f t="array" ref="K1671">IF(OR(AND(J1671=9,K$1&gt;YEAR($N1671))),9,_xlfn.IFNA(INDEX($D$2:$D$4001,_xlfn.XMATCH(K$1&amp;"-"&amp;$F1671,YEAR($B$2:$B$4001)&amp;"-"&amp;$A$2:$A$4001,0,-1)),J1671))</f>
        <v>4</v>
      </c>
      <c r="L1671" cm="1">
        <f t="array" ref="L1671">IF(OR(AND(K1671=9,L$1&gt;YEAR($N1671))),9,_xlfn.IFNA(INDEX($D$2:$D$4001,_xlfn.XMATCH(L$1&amp;"-"&amp;$F1671,YEAR($B$2:$B$4001)&amp;"-"&amp;$A$2:$A$4001,0,-1)),K1671))</f>
        <v>4</v>
      </c>
      <c r="M1671" cm="1">
        <f t="array" ref="M1671">IF(OR(AND(L1671=9,M$1&gt;YEAR($N1671))),9,_xlfn.IFNA(INDEX($D$2:$D$4001,_xlfn.XMATCH(M$1&amp;"-"&amp;$F1671,YEAR($B$2:$B$4001)&amp;"-"&amp;$A$2:$A$4001,0,-1)),L1671))</f>
        <v>4</v>
      </c>
      <c r="N1671" s="1">
        <f t="shared" si="26"/>
        <v>36424</v>
      </c>
    </row>
    <row r="1672" spans="1:14" x14ac:dyDescent="0.35">
      <c r="A1672">
        <v>786</v>
      </c>
      <c r="B1672" s="2">
        <v>38716</v>
      </c>
      <c r="C1672">
        <v>5</v>
      </c>
      <c r="D1672">
        <v>5</v>
      </c>
      <c r="F1672">
        <v>1671</v>
      </c>
      <c r="G1672" cm="1">
        <f t="array" ref="G1672">_xlfn.IFNA(INDEX($D$2:$D$4001,_xlfn.XMATCH(G$1&amp;"-"&amp;$F1672,YEAR($B$2:$B$4001)&amp;"-"&amp;$A$2:$A$4001,0,-1)),9)</f>
        <v>5</v>
      </c>
      <c r="H1672" cm="1">
        <f t="array" ref="H1672">IF(OR(AND(G1672=9,H$1&gt;YEAR($N1672))),9,_xlfn.IFNA(INDEX($D$2:$D$4001,_xlfn.XMATCH(H$1&amp;"-"&amp;$F1672,YEAR($B$2:$B$4001)&amp;"-"&amp;$A$2:$A$4001,0,-1)),G1672))</f>
        <v>4</v>
      </c>
      <c r="I1672" cm="1">
        <f t="array" ref="I1672">IF(OR(AND(H1672=9,I$1&gt;YEAR($N1672))),9,_xlfn.IFNA(INDEX($D$2:$D$4001,_xlfn.XMATCH(I$1&amp;"-"&amp;$F1672,YEAR($B$2:$B$4001)&amp;"-"&amp;$A$2:$A$4001,0,-1)),H1672))</f>
        <v>4</v>
      </c>
      <c r="J1672" cm="1">
        <f t="array" ref="J1672">IF(OR(AND(I1672=9,J$1&gt;YEAR($N1672))),9,_xlfn.IFNA(INDEX($D$2:$D$4001,_xlfn.XMATCH(J$1&amp;"-"&amp;$F1672,YEAR($B$2:$B$4001)&amp;"-"&amp;$A$2:$A$4001,0,-1)),I1672))</f>
        <v>4</v>
      </c>
      <c r="K1672" cm="1">
        <f t="array" ref="K1672">IF(OR(AND(J1672=9,K$1&gt;YEAR($N1672))),9,_xlfn.IFNA(INDEX($D$2:$D$4001,_xlfn.XMATCH(K$1&amp;"-"&amp;$F1672,YEAR($B$2:$B$4001)&amp;"-"&amp;$A$2:$A$4001,0,-1)),J1672))</f>
        <v>4</v>
      </c>
      <c r="L1672" cm="1">
        <f t="array" ref="L1672">IF(OR(AND(K1672=9,L$1&gt;YEAR($N1672))),9,_xlfn.IFNA(INDEX($D$2:$D$4001,_xlfn.XMATCH(L$1&amp;"-"&amp;$F1672,YEAR($B$2:$B$4001)&amp;"-"&amp;$A$2:$A$4001,0,-1)),K1672))</f>
        <v>4</v>
      </c>
      <c r="M1672" cm="1">
        <f t="array" ref="M1672">IF(OR(AND(L1672=9,M$1&gt;YEAR($N1672))),9,_xlfn.IFNA(INDEX($D$2:$D$4001,_xlfn.XMATCH(M$1&amp;"-"&amp;$F1672,YEAR($B$2:$B$4001)&amp;"-"&amp;$A$2:$A$4001,0,-1)),L1672))</f>
        <v>4</v>
      </c>
      <c r="N1672" s="1">
        <f t="shared" si="26"/>
        <v>36424</v>
      </c>
    </row>
    <row r="1673" spans="1:14" x14ac:dyDescent="0.35">
      <c r="A1673">
        <v>787</v>
      </c>
      <c r="B1673" s="2">
        <v>36301</v>
      </c>
      <c r="C1673">
        <v>3</v>
      </c>
      <c r="D1673">
        <v>3</v>
      </c>
      <c r="F1673">
        <v>1672</v>
      </c>
      <c r="G1673" cm="1">
        <f t="array" ref="G1673">_xlfn.IFNA(INDEX($D$2:$D$4001,_xlfn.XMATCH(G$1&amp;"-"&amp;$F1673,YEAR($B$2:$B$4001)&amp;"-"&amp;$A$2:$A$4001,0,-1)),9)</f>
        <v>9</v>
      </c>
      <c r="H1673" cm="1">
        <f t="array" ref="H1673">IF(OR(AND(G1673=9,H$1&gt;YEAR($N1673))),9,_xlfn.IFNA(INDEX($D$2:$D$4001,_xlfn.XMATCH(H$1&amp;"-"&amp;$F1673,YEAR($B$2:$B$4001)&amp;"-"&amp;$A$2:$A$4001,0,-1)),G1673))</f>
        <v>4</v>
      </c>
      <c r="I1673" cm="1">
        <f t="array" ref="I1673">IF(OR(AND(H1673=9,I$1&gt;YEAR($N1673))),9,_xlfn.IFNA(INDEX($D$2:$D$4001,_xlfn.XMATCH(I$1&amp;"-"&amp;$F1673,YEAR($B$2:$B$4001)&amp;"-"&amp;$A$2:$A$4001,0,-1)),H1673))</f>
        <v>4</v>
      </c>
      <c r="J1673" cm="1">
        <f t="array" ref="J1673">IF(OR(AND(I1673=9,J$1&gt;YEAR($N1673))),9,_xlfn.IFNA(INDEX($D$2:$D$4001,_xlfn.XMATCH(J$1&amp;"-"&amp;$F1673,YEAR($B$2:$B$4001)&amp;"-"&amp;$A$2:$A$4001,0,-1)),I1673))</f>
        <v>5</v>
      </c>
      <c r="K1673" cm="1">
        <f t="array" ref="K1673">IF(OR(AND(J1673=9,K$1&gt;YEAR($N1673))),9,_xlfn.IFNA(INDEX($D$2:$D$4001,_xlfn.XMATCH(K$1&amp;"-"&amp;$F1673,YEAR($B$2:$B$4001)&amp;"-"&amp;$A$2:$A$4001,0,-1)),J1673))</f>
        <v>6</v>
      </c>
      <c r="L1673" cm="1">
        <f t="array" ref="L1673">IF(OR(AND(K1673=9,L$1&gt;YEAR($N1673))),9,_xlfn.IFNA(INDEX($D$2:$D$4001,_xlfn.XMATCH(L$1&amp;"-"&amp;$F1673,YEAR($B$2:$B$4001)&amp;"-"&amp;$A$2:$A$4001,0,-1)),K1673))</f>
        <v>6</v>
      </c>
      <c r="M1673" cm="1">
        <f t="array" ref="M1673">IF(OR(AND(L1673=9,M$1&gt;YEAR($N1673))),9,_xlfn.IFNA(INDEX($D$2:$D$4001,_xlfn.XMATCH(M$1&amp;"-"&amp;$F1673,YEAR($B$2:$B$4001)&amp;"-"&amp;$A$2:$A$4001,0,-1)),L1673))</f>
        <v>6</v>
      </c>
      <c r="N1673" s="1">
        <f t="shared" si="26"/>
        <v>36890</v>
      </c>
    </row>
    <row r="1674" spans="1:14" x14ac:dyDescent="0.35">
      <c r="A1674">
        <v>787</v>
      </c>
      <c r="B1674" s="2">
        <v>37164</v>
      </c>
      <c r="C1674">
        <v>4</v>
      </c>
      <c r="D1674">
        <v>4</v>
      </c>
      <c r="F1674">
        <v>1673</v>
      </c>
      <c r="G1674" cm="1">
        <f t="array" ref="G1674">_xlfn.IFNA(INDEX($D$2:$D$4001,_xlfn.XMATCH(G$1&amp;"-"&amp;$F1674,YEAR($B$2:$B$4001)&amp;"-"&amp;$A$2:$A$4001,0,-1)),9)</f>
        <v>3</v>
      </c>
      <c r="H1674" cm="1">
        <f t="array" ref="H1674">IF(OR(AND(G1674=9,H$1&gt;YEAR($N1674))),9,_xlfn.IFNA(INDEX($D$2:$D$4001,_xlfn.XMATCH(H$1&amp;"-"&amp;$F1674,YEAR($B$2:$B$4001)&amp;"-"&amp;$A$2:$A$4001,0,-1)),G1674))</f>
        <v>3</v>
      </c>
      <c r="I1674" cm="1">
        <f t="array" ref="I1674">IF(OR(AND(H1674=9,I$1&gt;YEAR($N1674))),9,_xlfn.IFNA(INDEX($D$2:$D$4001,_xlfn.XMATCH(I$1&amp;"-"&amp;$F1674,YEAR($B$2:$B$4001)&amp;"-"&amp;$A$2:$A$4001,0,-1)),H1674))</f>
        <v>3</v>
      </c>
      <c r="J1674" cm="1">
        <f t="array" ref="J1674">IF(OR(AND(I1674=9,J$1&gt;YEAR($N1674))),9,_xlfn.IFNA(INDEX($D$2:$D$4001,_xlfn.XMATCH(J$1&amp;"-"&amp;$F1674,YEAR($B$2:$B$4001)&amp;"-"&amp;$A$2:$A$4001,0,-1)),I1674))</f>
        <v>3</v>
      </c>
      <c r="K1674" cm="1">
        <f t="array" ref="K1674">IF(OR(AND(J1674=9,K$1&gt;YEAR($N1674))),9,_xlfn.IFNA(INDEX($D$2:$D$4001,_xlfn.XMATCH(K$1&amp;"-"&amp;$F1674,YEAR($B$2:$B$4001)&amp;"-"&amp;$A$2:$A$4001,0,-1)),J1674))</f>
        <v>3</v>
      </c>
      <c r="L1674" cm="1">
        <f t="array" ref="L1674">IF(OR(AND(K1674=9,L$1&gt;YEAR($N1674))),9,_xlfn.IFNA(INDEX($D$2:$D$4001,_xlfn.XMATCH(L$1&amp;"-"&amp;$F1674,YEAR($B$2:$B$4001)&amp;"-"&amp;$A$2:$A$4001,0,-1)),K1674))</f>
        <v>3</v>
      </c>
      <c r="M1674" cm="1">
        <f t="array" ref="M1674">IF(OR(AND(L1674=9,M$1&gt;YEAR($N1674))),9,_xlfn.IFNA(INDEX($D$2:$D$4001,_xlfn.XMATCH(M$1&amp;"-"&amp;$F1674,YEAR($B$2:$B$4001)&amp;"-"&amp;$A$2:$A$4001,0,-1)),L1674))</f>
        <v>3</v>
      </c>
      <c r="N1674" s="1">
        <f t="shared" si="26"/>
        <v>36371</v>
      </c>
    </row>
    <row r="1675" spans="1:14" x14ac:dyDescent="0.35">
      <c r="A1675">
        <v>787</v>
      </c>
      <c r="B1675" s="2">
        <v>37397</v>
      </c>
      <c r="C1675">
        <v>4</v>
      </c>
      <c r="D1675">
        <v>4</v>
      </c>
      <c r="F1675">
        <v>1674</v>
      </c>
      <c r="G1675" cm="1">
        <f t="array" ref="G1675">_xlfn.IFNA(INDEX($D$2:$D$4001,_xlfn.XMATCH(G$1&amp;"-"&amp;$F1675,YEAR($B$2:$B$4001)&amp;"-"&amp;$A$2:$A$4001,0,-1)),9)</f>
        <v>0</v>
      </c>
      <c r="H1675" cm="1">
        <f t="array" ref="H1675">IF(OR(AND(G1675=9,H$1&gt;YEAR($N1675))),9,_xlfn.IFNA(INDEX($D$2:$D$4001,_xlfn.XMATCH(H$1&amp;"-"&amp;$F1675,YEAR($B$2:$B$4001)&amp;"-"&amp;$A$2:$A$4001,0,-1)),G1675))</f>
        <v>0</v>
      </c>
      <c r="I1675" cm="1">
        <f t="array" ref="I1675">IF(OR(AND(H1675=9,I$1&gt;YEAR($N1675))),9,_xlfn.IFNA(INDEX($D$2:$D$4001,_xlfn.XMATCH(I$1&amp;"-"&amp;$F1675,YEAR($B$2:$B$4001)&amp;"-"&amp;$A$2:$A$4001,0,-1)),H1675))</f>
        <v>0</v>
      </c>
      <c r="J1675" cm="1">
        <f t="array" ref="J1675">IF(OR(AND(I1675=9,J$1&gt;YEAR($N1675))),9,_xlfn.IFNA(INDEX($D$2:$D$4001,_xlfn.XMATCH(J$1&amp;"-"&amp;$F1675,YEAR($B$2:$B$4001)&amp;"-"&amp;$A$2:$A$4001,0,-1)),I1675))</f>
        <v>0</v>
      </c>
      <c r="K1675" cm="1">
        <f t="array" ref="K1675">IF(OR(AND(J1675=9,K$1&gt;YEAR($N1675))),9,_xlfn.IFNA(INDEX($D$2:$D$4001,_xlfn.XMATCH(K$1&amp;"-"&amp;$F1675,YEAR($B$2:$B$4001)&amp;"-"&amp;$A$2:$A$4001,0,-1)),J1675))</f>
        <v>0</v>
      </c>
      <c r="L1675" cm="1">
        <f t="array" ref="L1675">IF(OR(AND(K1675=9,L$1&gt;YEAR($N1675))),9,_xlfn.IFNA(INDEX($D$2:$D$4001,_xlfn.XMATCH(L$1&amp;"-"&amp;$F1675,YEAR($B$2:$B$4001)&amp;"-"&amp;$A$2:$A$4001,0,-1)),K1675))</f>
        <v>0</v>
      </c>
      <c r="M1675" cm="1">
        <f t="array" ref="M1675">IF(OR(AND(L1675=9,M$1&gt;YEAR($N1675))),9,_xlfn.IFNA(INDEX($D$2:$D$4001,_xlfn.XMATCH(M$1&amp;"-"&amp;$F1675,YEAR($B$2:$B$4001)&amp;"-"&amp;$A$2:$A$4001,0,-1)),L1675))</f>
        <v>0</v>
      </c>
      <c r="N1675" s="1">
        <f t="shared" si="26"/>
        <v>36371</v>
      </c>
    </row>
    <row r="1676" spans="1:14" x14ac:dyDescent="0.35">
      <c r="A1676">
        <v>787</v>
      </c>
      <c r="B1676" s="2">
        <v>37620</v>
      </c>
      <c r="C1676">
        <v>5</v>
      </c>
      <c r="D1676">
        <v>5</v>
      </c>
      <c r="F1676">
        <v>1675</v>
      </c>
      <c r="G1676" cm="1">
        <f t="array" ref="G1676">_xlfn.IFNA(INDEX($D$2:$D$4001,_xlfn.XMATCH(G$1&amp;"-"&amp;$F1676,YEAR($B$2:$B$4001)&amp;"-"&amp;$A$2:$A$4001,0,-1)),9)</f>
        <v>9</v>
      </c>
      <c r="H1676" cm="1">
        <f t="array" ref="H1676">IF(OR(AND(G1676=9,H$1&gt;YEAR($N1676))),9,_xlfn.IFNA(INDEX($D$2:$D$4001,_xlfn.XMATCH(H$1&amp;"-"&amp;$F1676,YEAR($B$2:$B$4001)&amp;"-"&amp;$A$2:$A$4001,0,-1)),G1676))</f>
        <v>9</v>
      </c>
      <c r="I1676" cm="1">
        <f t="array" ref="I1676">IF(OR(AND(H1676=9,I$1&gt;YEAR($N1676))),9,_xlfn.IFNA(INDEX($D$2:$D$4001,_xlfn.XMATCH(I$1&amp;"-"&amp;$F1676,YEAR($B$2:$B$4001)&amp;"-"&amp;$A$2:$A$4001,0,-1)),H1676))</f>
        <v>9</v>
      </c>
      <c r="J1676" cm="1">
        <f t="array" ref="J1676">IF(OR(AND(I1676=9,J$1&gt;YEAR($N1676))),9,_xlfn.IFNA(INDEX($D$2:$D$4001,_xlfn.XMATCH(J$1&amp;"-"&amp;$F1676,YEAR($B$2:$B$4001)&amp;"-"&amp;$A$2:$A$4001,0,-1)),I1676))</f>
        <v>3</v>
      </c>
      <c r="K1676" cm="1">
        <f t="array" ref="K1676">IF(OR(AND(J1676=9,K$1&gt;YEAR($N1676))),9,_xlfn.IFNA(INDEX($D$2:$D$4001,_xlfn.XMATCH(K$1&amp;"-"&amp;$F1676,YEAR($B$2:$B$4001)&amp;"-"&amp;$A$2:$A$4001,0,-1)),J1676))</f>
        <v>3</v>
      </c>
      <c r="L1676" cm="1">
        <f t="array" ref="L1676">IF(OR(AND(K1676=9,L$1&gt;YEAR($N1676))),9,_xlfn.IFNA(INDEX($D$2:$D$4001,_xlfn.XMATCH(L$1&amp;"-"&amp;$F1676,YEAR($B$2:$B$4001)&amp;"-"&amp;$A$2:$A$4001,0,-1)),K1676))</f>
        <v>0</v>
      </c>
      <c r="M1676" cm="1">
        <f t="array" ref="M1676">IF(OR(AND(L1676=9,M$1&gt;YEAR($N1676))),9,_xlfn.IFNA(INDEX($D$2:$D$4001,_xlfn.XMATCH(M$1&amp;"-"&amp;$F1676,YEAR($B$2:$B$4001)&amp;"-"&amp;$A$2:$A$4001,0,-1)),L1676))</f>
        <v>0</v>
      </c>
      <c r="N1676" s="1">
        <f t="shared" si="26"/>
        <v>37398</v>
      </c>
    </row>
    <row r="1677" spans="1:14" x14ac:dyDescent="0.35">
      <c r="A1677">
        <v>787</v>
      </c>
      <c r="B1677" s="2">
        <v>37823</v>
      </c>
      <c r="C1677">
        <v>5</v>
      </c>
      <c r="D1677">
        <v>5</v>
      </c>
      <c r="F1677">
        <v>1676</v>
      </c>
      <c r="G1677" cm="1">
        <f t="array" ref="G1677">_xlfn.IFNA(INDEX($D$2:$D$4001,_xlfn.XMATCH(G$1&amp;"-"&amp;$F1677,YEAR($B$2:$B$4001)&amp;"-"&amp;$A$2:$A$4001,0,-1)),9)</f>
        <v>2</v>
      </c>
      <c r="H1677" cm="1">
        <f t="array" ref="H1677">IF(OR(AND(G1677=9,H$1&gt;YEAR($N1677))),9,_xlfn.IFNA(INDEX($D$2:$D$4001,_xlfn.XMATCH(H$1&amp;"-"&amp;$F1677,YEAR($B$2:$B$4001)&amp;"-"&amp;$A$2:$A$4001,0,-1)),G1677))</f>
        <v>2</v>
      </c>
      <c r="I1677" cm="1">
        <f t="array" ref="I1677">IF(OR(AND(H1677=9,I$1&gt;YEAR($N1677))),9,_xlfn.IFNA(INDEX($D$2:$D$4001,_xlfn.XMATCH(I$1&amp;"-"&amp;$F1677,YEAR($B$2:$B$4001)&amp;"-"&amp;$A$2:$A$4001,0,-1)),H1677))</f>
        <v>2</v>
      </c>
      <c r="J1677" cm="1">
        <f t="array" ref="J1677">IF(OR(AND(I1677=9,J$1&gt;YEAR($N1677))),9,_xlfn.IFNA(INDEX($D$2:$D$4001,_xlfn.XMATCH(J$1&amp;"-"&amp;$F1677,YEAR($B$2:$B$4001)&amp;"-"&amp;$A$2:$A$4001,0,-1)),I1677))</f>
        <v>2</v>
      </c>
      <c r="K1677" cm="1">
        <f t="array" ref="K1677">IF(OR(AND(J1677=9,K$1&gt;YEAR($N1677))),9,_xlfn.IFNA(INDEX($D$2:$D$4001,_xlfn.XMATCH(K$1&amp;"-"&amp;$F1677,YEAR($B$2:$B$4001)&amp;"-"&amp;$A$2:$A$4001,0,-1)),J1677))</f>
        <v>3</v>
      </c>
      <c r="L1677" cm="1">
        <f t="array" ref="L1677">IF(OR(AND(K1677=9,L$1&gt;YEAR($N1677))),9,_xlfn.IFNA(INDEX($D$2:$D$4001,_xlfn.XMATCH(L$1&amp;"-"&amp;$F1677,YEAR($B$2:$B$4001)&amp;"-"&amp;$A$2:$A$4001,0,-1)),K1677))</f>
        <v>3</v>
      </c>
      <c r="M1677" cm="1">
        <f t="array" ref="M1677">IF(OR(AND(L1677=9,M$1&gt;YEAR($N1677))),9,_xlfn.IFNA(INDEX($D$2:$D$4001,_xlfn.XMATCH(M$1&amp;"-"&amp;$F1677,YEAR($B$2:$B$4001)&amp;"-"&amp;$A$2:$A$4001,0,-1)),L1677))</f>
        <v>3</v>
      </c>
      <c r="N1677" s="1">
        <f t="shared" si="26"/>
        <v>36524</v>
      </c>
    </row>
    <row r="1678" spans="1:14" x14ac:dyDescent="0.35">
      <c r="A1678">
        <v>788</v>
      </c>
      <c r="B1678" s="2">
        <v>36301</v>
      </c>
      <c r="C1678">
        <v>3</v>
      </c>
      <c r="D1678">
        <v>3</v>
      </c>
      <c r="F1678">
        <v>1677</v>
      </c>
      <c r="G1678" cm="1">
        <f t="array" ref="G1678">_xlfn.IFNA(INDEX($D$2:$D$4001,_xlfn.XMATCH(G$1&amp;"-"&amp;$F1678,YEAR($B$2:$B$4001)&amp;"-"&amp;$A$2:$A$4001,0,-1)),9)</f>
        <v>2</v>
      </c>
      <c r="H1678" cm="1">
        <f t="array" ref="H1678">IF(OR(AND(G1678=9,H$1&gt;YEAR($N1678))),9,_xlfn.IFNA(INDEX($D$2:$D$4001,_xlfn.XMATCH(H$1&amp;"-"&amp;$F1678,YEAR($B$2:$B$4001)&amp;"-"&amp;$A$2:$A$4001,0,-1)),G1678))</f>
        <v>2</v>
      </c>
      <c r="I1678" cm="1">
        <f t="array" ref="I1678">IF(OR(AND(H1678=9,I$1&gt;YEAR($N1678))),9,_xlfn.IFNA(INDEX($D$2:$D$4001,_xlfn.XMATCH(I$1&amp;"-"&amp;$F1678,YEAR($B$2:$B$4001)&amp;"-"&amp;$A$2:$A$4001,0,-1)),H1678))</f>
        <v>2</v>
      </c>
      <c r="J1678" cm="1">
        <f t="array" ref="J1678">IF(OR(AND(I1678=9,J$1&gt;YEAR($N1678))),9,_xlfn.IFNA(INDEX($D$2:$D$4001,_xlfn.XMATCH(J$1&amp;"-"&amp;$F1678,YEAR($B$2:$B$4001)&amp;"-"&amp;$A$2:$A$4001,0,-1)),I1678))</f>
        <v>2</v>
      </c>
      <c r="K1678" cm="1">
        <f t="array" ref="K1678">IF(OR(AND(J1678=9,K$1&gt;YEAR($N1678))),9,_xlfn.IFNA(INDEX($D$2:$D$4001,_xlfn.XMATCH(K$1&amp;"-"&amp;$F1678,YEAR($B$2:$B$4001)&amp;"-"&amp;$A$2:$A$4001,0,-1)),J1678))</f>
        <v>3</v>
      </c>
      <c r="L1678" cm="1">
        <f t="array" ref="L1678">IF(OR(AND(K1678=9,L$1&gt;YEAR($N1678))),9,_xlfn.IFNA(INDEX($D$2:$D$4001,_xlfn.XMATCH(L$1&amp;"-"&amp;$F1678,YEAR($B$2:$B$4001)&amp;"-"&amp;$A$2:$A$4001,0,-1)),K1678))</f>
        <v>3</v>
      </c>
      <c r="M1678" cm="1">
        <f t="array" ref="M1678">IF(OR(AND(L1678=9,M$1&gt;YEAR($N1678))),9,_xlfn.IFNA(INDEX($D$2:$D$4001,_xlfn.XMATCH(M$1&amp;"-"&amp;$F1678,YEAR($B$2:$B$4001)&amp;"-"&amp;$A$2:$A$4001,0,-1)),L1678))</f>
        <v>3</v>
      </c>
      <c r="N1678" s="1">
        <f t="shared" si="26"/>
        <v>36524</v>
      </c>
    </row>
    <row r="1679" spans="1:14" x14ac:dyDescent="0.35">
      <c r="A1679">
        <v>788</v>
      </c>
      <c r="B1679" s="2">
        <v>36890</v>
      </c>
      <c r="C1679">
        <v>2</v>
      </c>
      <c r="D1679">
        <v>2</v>
      </c>
      <c r="F1679">
        <v>1678</v>
      </c>
      <c r="G1679" cm="1">
        <f t="array" ref="G1679">_xlfn.IFNA(INDEX($D$2:$D$4001,_xlfn.XMATCH(G$1&amp;"-"&amp;$F1679,YEAR($B$2:$B$4001)&amp;"-"&amp;$A$2:$A$4001,0,-1)),9)</f>
        <v>3</v>
      </c>
      <c r="H1679" cm="1">
        <f t="array" ref="H1679">IF(OR(AND(G1679=9,H$1&gt;YEAR($N1679))),9,_xlfn.IFNA(INDEX($D$2:$D$4001,_xlfn.XMATCH(H$1&amp;"-"&amp;$F1679,YEAR($B$2:$B$4001)&amp;"-"&amp;$A$2:$A$4001,0,-1)),G1679))</f>
        <v>3</v>
      </c>
      <c r="I1679" cm="1">
        <f t="array" ref="I1679">IF(OR(AND(H1679=9,I$1&gt;YEAR($N1679))),9,_xlfn.IFNA(INDEX($D$2:$D$4001,_xlfn.XMATCH(I$1&amp;"-"&amp;$F1679,YEAR($B$2:$B$4001)&amp;"-"&amp;$A$2:$A$4001,0,-1)),H1679))</f>
        <v>3</v>
      </c>
      <c r="J1679" cm="1">
        <f t="array" ref="J1679">IF(OR(AND(I1679=9,J$1&gt;YEAR($N1679))),9,_xlfn.IFNA(INDEX($D$2:$D$4001,_xlfn.XMATCH(J$1&amp;"-"&amp;$F1679,YEAR($B$2:$B$4001)&amp;"-"&amp;$A$2:$A$4001,0,-1)),I1679))</f>
        <v>3</v>
      </c>
      <c r="K1679" cm="1">
        <f t="array" ref="K1679">IF(OR(AND(J1679=9,K$1&gt;YEAR($N1679))),9,_xlfn.IFNA(INDEX($D$2:$D$4001,_xlfn.XMATCH(K$1&amp;"-"&amp;$F1679,YEAR($B$2:$B$4001)&amp;"-"&amp;$A$2:$A$4001,0,-1)),J1679))</f>
        <v>3</v>
      </c>
      <c r="L1679" cm="1">
        <f t="array" ref="L1679">IF(OR(AND(K1679=9,L$1&gt;YEAR($N1679))),9,_xlfn.IFNA(INDEX($D$2:$D$4001,_xlfn.XMATCH(L$1&amp;"-"&amp;$F1679,YEAR($B$2:$B$4001)&amp;"-"&amp;$A$2:$A$4001,0,-1)),K1679))</f>
        <v>3</v>
      </c>
      <c r="M1679" cm="1">
        <f t="array" ref="M1679">IF(OR(AND(L1679=9,M$1&gt;YEAR($N1679))),9,_xlfn.IFNA(INDEX($D$2:$D$4001,_xlfn.XMATCH(M$1&amp;"-"&amp;$F1679,YEAR($B$2:$B$4001)&amp;"-"&amp;$A$2:$A$4001,0,-1)),L1679))</f>
        <v>3</v>
      </c>
      <c r="N1679" s="1">
        <f t="shared" si="26"/>
        <v>36301</v>
      </c>
    </row>
    <row r="1680" spans="1:14" x14ac:dyDescent="0.35">
      <c r="A1680">
        <v>788</v>
      </c>
      <c r="B1680" s="2">
        <v>37397</v>
      </c>
      <c r="C1680">
        <v>2</v>
      </c>
      <c r="D1680">
        <v>2</v>
      </c>
      <c r="F1680">
        <v>1679</v>
      </c>
      <c r="G1680" cm="1">
        <f t="array" ref="G1680">_xlfn.IFNA(INDEX($D$2:$D$4001,_xlfn.XMATCH(G$1&amp;"-"&amp;$F1680,YEAR($B$2:$B$4001)&amp;"-"&amp;$A$2:$A$4001,0,-1)),9)</f>
        <v>2</v>
      </c>
      <c r="H1680" cm="1">
        <f t="array" ref="H1680">IF(OR(AND(G1680=9,H$1&gt;YEAR($N1680))),9,_xlfn.IFNA(INDEX($D$2:$D$4001,_xlfn.XMATCH(H$1&amp;"-"&amp;$F1680,YEAR($B$2:$B$4001)&amp;"-"&amp;$A$2:$A$4001,0,-1)),G1680))</f>
        <v>2</v>
      </c>
      <c r="I1680" cm="1">
        <f t="array" ref="I1680">IF(OR(AND(H1680=9,I$1&gt;YEAR($N1680))),9,_xlfn.IFNA(INDEX($D$2:$D$4001,_xlfn.XMATCH(I$1&amp;"-"&amp;$F1680,YEAR($B$2:$B$4001)&amp;"-"&amp;$A$2:$A$4001,0,-1)),H1680))</f>
        <v>2</v>
      </c>
      <c r="J1680" cm="1">
        <f t="array" ref="J1680">IF(OR(AND(I1680=9,J$1&gt;YEAR($N1680))),9,_xlfn.IFNA(INDEX($D$2:$D$4001,_xlfn.XMATCH(J$1&amp;"-"&amp;$F1680,YEAR($B$2:$B$4001)&amp;"-"&amp;$A$2:$A$4001,0,-1)),I1680))</f>
        <v>2</v>
      </c>
      <c r="K1680" cm="1">
        <f t="array" ref="K1680">IF(OR(AND(J1680=9,K$1&gt;YEAR($N1680))),9,_xlfn.IFNA(INDEX($D$2:$D$4001,_xlfn.XMATCH(K$1&amp;"-"&amp;$F1680,YEAR($B$2:$B$4001)&amp;"-"&amp;$A$2:$A$4001,0,-1)),J1680))</f>
        <v>2</v>
      </c>
      <c r="L1680" cm="1">
        <f t="array" ref="L1680">IF(OR(AND(K1680=9,L$1&gt;YEAR($N1680))),9,_xlfn.IFNA(INDEX($D$2:$D$4001,_xlfn.XMATCH(L$1&amp;"-"&amp;$F1680,YEAR($B$2:$B$4001)&amp;"-"&amp;$A$2:$A$4001,0,-1)),K1680))</f>
        <v>3</v>
      </c>
      <c r="M1680" cm="1">
        <f t="array" ref="M1680">IF(OR(AND(L1680=9,M$1&gt;YEAR($N1680))),9,_xlfn.IFNA(INDEX($D$2:$D$4001,_xlfn.XMATCH(M$1&amp;"-"&amp;$F1680,YEAR($B$2:$B$4001)&amp;"-"&amp;$A$2:$A$4001,0,-1)),L1680))</f>
        <v>3</v>
      </c>
      <c r="N1680" s="1">
        <f t="shared" si="26"/>
        <v>36341</v>
      </c>
    </row>
    <row r="1681" spans="1:14" x14ac:dyDescent="0.35">
      <c r="A1681">
        <v>789</v>
      </c>
      <c r="B1681" s="2">
        <v>37406</v>
      </c>
      <c r="C1681">
        <v>2</v>
      </c>
      <c r="D1681">
        <v>2</v>
      </c>
      <c r="F1681">
        <v>1680</v>
      </c>
      <c r="G1681" cm="1">
        <f t="array" ref="G1681">_xlfn.IFNA(INDEX($D$2:$D$4001,_xlfn.XMATCH(G$1&amp;"-"&amp;$F1681,YEAR($B$2:$B$4001)&amp;"-"&amp;$A$2:$A$4001,0,-1)),9)</f>
        <v>9</v>
      </c>
      <c r="H1681" cm="1">
        <f t="array" ref="H1681">IF(OR(AND(G1681=9,H$1&gt;YEAR($N1681))),9,_xlfn.IFNA(INDEX($D$2:$D$4001,_xlfn.XMATCH(H$1&amp;"-"&amp;$F1681,YEAR($B$2:$B$4001)&amp;"-"&amp;$A$2:$A$4001,0,-1)),G1681))</f>
        <v>3</v>
      </c>
      <c r="I1681" cm="1">
        <f t="array" ref="I1681">IF(OR(AND(H1681=9,I$1&gt;YEAR($N1681))),9,_xlfn.IFNA(INDEX($D$2:$D$4001,_xlfn.XMATCH(I$1&amp;"-"&amp;$F1681,YEAR($B$2:$B$4001)&amp;"-"&amp;$A$2:$A$4001,0,-1)),H1681))</f>
        <v>3</v>
      </c>
      <c r="J1681" cm="1">
        <f t="array" ref="J1681">IF(OR(AND(I1681=9,J$1&gt;YEAR($N1681))),9,_xlfn.IFNA(INDEX($D$2:$D$4001,_xlfn.XMATCH(J$1&amp;"-"&amp;$F1681,YEAR($B$2:$B$4001)&amp;"-"&amp;$A$2:$A$4001,0,-1)),I1681))</f>
        <v>3</v>
      </c>
      <c r="K1681" cm="1">
        <f t="array" ref="K1681">IF(OR(AND(J1681=9,K$1&gt;YEAR($N1681))),9,_xlfn.IFNA(INDEX($D$2:$D$4001,_xlfn.XMATCH(K$1&amp;"-"&amp;$F1681,YEAR($B$2:$B$4001)&amp;"-"&amp;$A$2:$A$4001,0,-1)),J1681))</f>
        <v>4</v>
      </c>
      <c r="L1681" cm="1">
        <f t="array" ref="L1681">IF(OR(AND(K1681=9,L$1&gt;YEAR($N1681))),9,_xlfn.IFNA(INDEX($D$2:$D$4001,_xlfn.XMATCH(L$1&amp;"-"&amp;$F1681,YEAR($B$2:$B$4001)&amp;"-"&amp;$A$2:$A$4001,0,-1)),K1681))</f>
        <v>4</v>
      </c>
      <c r="M1681" cm="1">
        <f t="array" ref="M1681">IF(OR(AND(L1681=9,M$1&gt;YEAR($N1681))),9,_xlfn.IFNA(INDEX($D$2:$D$4001,_xlfn.XMATCH(M$1&amp;"-"&amp;$F1681,YEAR($B$2:$B$4001)&amp;"-"&amp;$A$2:$A$4001,0,-1)),L1681))</f>
        <v>4</v>
      </c>
      <c r="N1681" s="1">
        <f t="shared" si="26"/>
        <v>36698</v>
      </c>
    </row>
    <row r="1682" spans="1:14" x14ac:dyDescent="0.35">
      <c r="A1682">
        <v>790</v>
      </c>
      <c r="B1682" s="2">
        <v>37032</v>
      </c>
      <c r="C1682">
        <v>0</v>
      </c>
      <c r="D1682">
        <v>0</v>
      </c>
      <c r="F1682">
        <v>1681</v>
      </c>
      <c r="G1682" cm="1">
        <f t="array" ref="G1682">_xlfn.IFNA(INDEX($D$2:$D$4001,_xlfn.XMATCH(G$1&amp;"-"&amp;$F1682,YEAR($B$2:$B$4001)&amp;"-"&amp;$A$2:$A$4001,0,-1)),9)</f>
        <v>9</v>
      </c>
      <c r="H1682" cm="1">
        <f t="array" ref="H1682">IF(OR(AND(G1682=9,H$1&gt;YEAR($N1682))),9,_xlfn.IFNA(INDEX($D$2:$D$4001,_xlfn.XMATCH(H$1&amp;"-"&amp;$F1682,YEAR($B$2:$B$4001)&amp;"-"&amp;$A$2:$A$4001,0,-1)),G1682))</f>
        <v>9</v>
      </c>
      <c r="I1682" cm="1">
        <f t="array" ref="I1682">IF(OR(AND(H1682=9,I$1&gt;YEAR($N1682))),9,_xlfn.IFNA(INDEX($D$2:$D$4001,_xlfn.XMATCH(I$1&amp;"-"&amp;$F1682,YEAR($B$2:$B$4001)&amp;"-"&amp;$A$2:$A$4001,0,-1)),H1682))</f>
        <v>4</v>
      </c>
      <c r="J1682" cm="1">
        <f t="array" ref="J1682">IF(OR(AND(I1682=9,J$1&gt;YEAR($N1682))),9,_xlfn.IFNA(INDEX($D$2:$D$4001,_xlfn.XMATCH(J$1&amp;"-"&amp;$F1682,YEAR($B$2:$B$4001)&amp;"-"&amp;$A$2:$A$4001,0,-1)),I1682))</f>
        <v>5</v>
      </c>
      <c r="K1682" cm="1">
        <f t="array" ref="K1682">IF(OR(AND(J1682=9,K$1&gt;YEAR($N1682))),9,_xlfn.IFNA(INDEX($D$2:$D$4001,_xlfn.XMATCH(K$1&amp;"-"&amp;$F1682,YEAR($B$2:$B$4001)&amp;"-"&amp;$A$2:$A$4001,0,-1)),J1682))</f>
        <v>5</v>
      </c>
      <c r="L1682" cm="1">
        <f t="array" ref="L1682">IF(OR(AND(K1682=9,L$1&gt;YEAR($N1682))),9,_xlfn.IFNA(INDEX($D$2:$D$4001,_xlfn.XMATCH(L$1&amp;"-"&amp;$F1682,YEAR($B$2:$B$4001)&amp;"-"&amp;$A$2:$A$4001,0,-1)),K1682))</f>
        <v>5</v>
      </c>
      <c r="M1682" cm="1">
        <f t="array" ref="M1682">IF(OR(AND(L1682=9,M$1&gt;YEAR($N1682))),9,_xlfn.IFNA(INDEX($D$2:$D$4001,_xlfn.XMATCH(M$1&amp;"-"&amp;$F1682,YEAR($B$2:$B$4001)&amp;"-"&amp;$A$2:$A$4001,0,-1)),L1682))</f>
        <v>5</v>
      </c>
      <c r="N1682" s="1">
        <f t="shared" si="26"/>
        <v>37102</v>
      </c>
    </row>
    <row r="1683" spans="1:14" x14ac:dyDescent="0.35">
      <c r="A1683">
        <v>791</v>
      </c>
      <c r="B1683" s="2">
        <v>36310</v>
      </c>
      <c r="C1683">
        <v>3</v>
      </c>
      <c r="D1683">
        <v>3</v>
      </c>
      <c r="F1683">
        <v>1682</v>
      </c>
      <c r="G1683" cm="1">
        <f t="array" ref="G1683">_xlfn.IFNA(INDEX($D$2:$D$4001,_xlfn.XMATCH(G$1&amp;"-"&amp;$F1683,YEAR($B$2:$B$4001)&amp;"-"&amp;$A$2:$A$4001,0,-1)),9)</f>
        <v>9</v>
      </c>
      <c r="H1683" cm="1">
        <f t="array" ref="H1683">IF(OR(AND(G1683=9,H$1&gt;YEAR($N1683))),9,_xlfn.IFNA(INDEX($D$2:$D$4001,_xlfn.XMATCH(H$1&amp;"-"&amp;$F1683,YEAR($B$2:$B$4001)&amp;"-"&amp;$A$2:$A$4001,0,-1)),G1683))</f>
        <v>4</v>
      </c>
      <c r="I1683" cm="1">
        <f t="array" ref="I1683">IF(OR(AND(H1683=9,I$1&gt;YEAR($N1683))),9,_xlfn.IFNA(INDEX($D$2:$D$4001,_xlfn.XMATCH(I$1&amp;"-"&amp;$F1683,YEAR($B$2:$B$4001)&amp;"-"&amp;$A$2:$A$4001,0,-1)),H1683))</f>
        <v>4</v>
      </c>
      <c r="J1683" cm="1">
        <f t="array" ref="J1683">IF(OR(AND(I1683=9,J$1&gt;YEAR($N1683))),9,_xlfn.IFNA(INDEX($D$2:$D$4001,_xlfn.XMATCH(J$1&amp;"-"&amp;$F1683,YEAR($B$2:$B$4001)&amp;"-"&amp;$A$2:$A$4001,0,-1)),I1683))</f>
        <v>6</v>
      </c>
      <c r="K1683" cm="1">
        <f t="array" ref="K1683">IF(OR(AND(J1683=9,K$1&gt;YEAR($N1683))),9,_xlfn.IFNA(INDEX($D$2:$D$4001,_xlfn.XMATCH(K$1&amp;"-"&amp;$F1683,YEAR($B$2:$B$4001)&amp;"-"&amp;$A$2:$A$4001,0,-1)),J1683))</f>
        <v>6</v>
      </c>
      <c r="L1683" cm="1">
        <f t="array" ref="L1683">IF(OR(AND(K1683=9,L$1&gt;YEAR($N1683))),9,_xlfn.IFNA(INDEX($D$2:$D$4001,_xlfn.XMATCH(L$1&amp;"-"&amp;$F1683,YEAR($B$2:$B$4001)&amp;"-"&amp;$A$2:$A$4001,0,-1)),K1683))</f>
        <v>6</v>
      </c>
      <c r="M1683" cm="1">
        <f t="array" ref="M1683">IF(OR(AND(L1683=9,M$1&gt;YEAR($N1683))),9,_xlfn.IFNA(INDEX($D$2:$D$4001,_xlfn.XMATCH(M$1&amp;"-"&amp;$F1683,YEAR($B$2:$B$4001)&amp;"-"&amp;$A$2:$A$4001,0,-1)),L1683))</f>
        <v>6</v>
      </c>
      <c r="N1683" s="1">
        <f t="shared" si="26"/>
        <v>36759</v>
      </c>
    </row>
    <row r="1684" spans="1:14" x14ac:dyDescent="0.35">
      <c r="A1684">
        <v>791</v>
      </c>
      <c r="B1684" s="2">
        <v>36890</v>
      </c>
      <c r="C1684">
        <v>3</v>
      </c>
      <c r="D1684">
        <v>3</v>
      </c>
      <c r="F1684">
        <v>1683</v>
      </c>
      <c r="G1684" cm="1">
        <f t="array" ref="G1684">_xlfn.IFNA(INDEX($D$2:$D$4001,_xlfn.XMATCH(G$1&amp;"-"&amp;$F1684,YEAR($B$2:$B$4001)&amp;"-"&amp;$A$2:$A$4001,0,-1)),9)</f>
        <v>7</v>
      </c>
      <c r="H1684" cm="1">
        <f t="array" ref="H1684">IF(OR(AND(G1684=9,H$1&gt;YEAR($N1684))),9,_xlfn.IFNA(INDEX($D$2:$D$4001,_xlfn.XMATCH(H$1&amp;"-"&amp;$F1684,YEAR($B$2:$B$4001)&amp;"-"&amp;$A$2:$A$4001,0,-1)),G1684))</f>
        <v>0</v>
      </c>
      <c r="I1684" cm="1">
        <f t="array" ref="I1684">IF(OR(AND(H1684=9,I$1&gt;YEAR($N1684))),9,_xlfn.IFNA(INDEX($D$2:$D$4001,_xlfn.XMATCH(I$1&amp;"-"&amp;$F1684,YEAR($B$2:$B$4001)&amp;"-"&amp;$A$2:$A$4001,0,-1)),H1684))</f>
        <v>0</v>
      </c>
      <c r="J1684" cm="1">
        <f t="array" ref="J1684">IF(OR(AND(I1684=9,J$1&gt;YEAR($N1684))),9,_xlfn.IFNA(INDEX($D$2:$D$4001,_xlfn.XMATCH(J$1&amp;"-"&amp;$F1684,YEAR($B$2:$B$4001)&amp;"-"&amp;$A$2:$A$4001,0,-1)),I1684))</f>
        <v>0</v>
      </c>
      <c r="K1684" cm="1">
        <f t="array" ref="K1684">IF(OR(AND(J1684=9,K$1&gt;YEAR($N1684))),9,_xlfn.IFNA(INDEX($D$2:$D$4001,_xlfn.XMATCH(K$1&amp;"-"&amp;$F1684,YEAR($B$2:$B$4001)&amp;"-"&amp;$A$2:$A$4001,0,-1)),J1684))</f>
        <v>0</v>
      </c>
      <c r="L1684" cm="1">
        <f t="array" ref="L1684">IF(OR(AND(K1684=9,L$1&gt;YEAR($N1684))),9,_xlfn.IFNA(INDEX($D$2:$D$4001,_xlfn.XMATCH(L$1&amp;"-"&amp;$F1684,YEAR($B$2:$B$4001)&amp;"-"&amp;$A$2:$A$4001,0,-1)),K1684))</f>
        <v>0</v>
      </c>
      <c r="M1684" cm="1">
        <f t="array" ref="M1684">IF(OR(AND(L1684=9,M$1&gt;YEAR($N1684))),9,_xlfn.IFNA(INDEX($D$2:$D$4001,_xlfn.XMATCH(M$1&amp;"-"&amp;$F1684,YEAR($B$2:$B$4001)&amp;"-"&amp;$A$2:$A$4001,0,-1)),L1684))</f>
        <v>0</v>
      </c>
      <c r="N1684" s="1">
        <f t="shared" si="26"/>
        <v>36301</v>
      </c>
    </row>
    <row r="1685" spans="1:14" x14ac:dyDescent="0.35">
      <c r="A1685">
        <v>791</v>
      </c>
      <c r="B1685" s="2">
        <v>37194</v>
      </c>
      <c r="C1685">
        <v>3</v>
      </c>
      <c r="D1685">
        <v>3</v>
      </c>
      <c r="F1685">
        <v>1684</v>
      </c>
      <c r="G1685" cm="1">
        <f t="array" ref="G1685">_xlfn.IFNA(INDEX($D$2:$D$4001,_xlfn.XMATCH(G$1&amp;"-"&amp;$F1685,YEAR($B$2:$B$4001)&amp;"-"&amp;$A$2:$A$4001,0,-1)),9)</f>
        <v>9</v>
      </c>
      <c r="H1685" cm="1">
        <f t="array" ref="H1685">IF(OR(AND(G1685=9,H$1&gt;YEAR($N1685))),9,_xlfn.IFNA(INDEX($D$2:$D$4001,_xlfn.XMATCH(H$1&amp;"-"&amp;$F1685,YEAR($B$2:$B$4001)&amp;"-"&amp;$A$2:$A$4001,0,-1)),G1685))</f>
        <v>3</v>
      </c>
      <c r="I1685" cm="1">
        <f t="array" ref="I1685">IF(OR(AND(H1685=9,I$1&gt;YEAR($N1685))),9,_xlfn.IFNA(INDEX($D$2:$D$4001,_xlfn.XMATCH(I$1&amp;"-"&amp;$F1685,YEAR($B$2:$B$4001)&amp;"-"&amp;$A$2:$A$4001,0,-1)),H1685))</f>
        <v>3</v>
      </c>
      <c r="J1685" cm="1">
        <f t="array" ref="J1685">IF(OR(AND(I1685=9,J$1&gt;YEAR($N1685))),9,_xlfn.IFNA(INDEX($D$2:$D$4001,_xlfn.XMATCH(J$1&amp;"-"&amp;$F1685,YEAR($B$2:$B$4001)&amp;"-"&amp;$A$2:$A$4001,0,-1)),I1685))</f>
        <v>4</v>
      </c>
      <c r="K1685" cm="1">
        <f t="array" ref="K1685">IF(OR(AND(J1685=9,K$1&gt;YEAR($N1685))),9,_xlfn.IFNA(INDEX($D$2:$D$4001,_xlfn.XMATCH(K$1&amp;"-"&amp;$F1685,YEAR($B$2:$B$4001)&amp;"-"&amp;$A$2:$A$4001,0,-1)),J1685))</f>
        <v>4</v>
      </c>
      <c r="L1685" cm="1">
        <f t="array" ref="L1685">IF(OR(AND(K1685=9,L$1&gt;YEAR($N1685))),9,_xlfn.IFNA(INDEX($D$2:$D$4001,_xlfn.XMATCH(L$1&amp;"-"&amp;$F1685,YEAR($B$2:$B$4001)&amp;"-"&amp;$A$2:$A$4001,0,-1)),K1685))</f>
        <v>4</v>
      </c>
      <c r="M1685" cm="1">
        <f t="array" ref="M1685">IF(OR(AND(L1685=9,M$1&gt;YEAR($N1685))),9,_xlfn.IFNA(INDEX($D$2:$D$4001,_xlfn.XMATCH(M$1&amp;"-"&amp;$F1685,YEAR($B$2:$B$4001)&amp;"-"&amp;$A$2:$A$4001,0,-1)),L1685))</f>
        <v>4</v>
      </c>
      <c r="N1685" s="1">
        <f t="shared" si="26"/>
        <v>36890</v>
      </c>
    </row>
    <row r="1686" spans="1:14" x14ac:dyDescent="0.35">
      <c r="A1686">
        <v>792</v>
      </c>
      <c r="B1686" s="2">
        <v>37397</v>
      </c>
      <c r="C1686">
        <v>0</v>
      </c>
      <c r="D1686">
        <v>0</v>
      </c>
      <c r="F1686">
        <v>1685</v>
      </c>
      <c r="G1686" cm="1">
        <f t="array" ref="G1686">_xlfn.IFNA(INDEX($D$2:$D$4001,_xlfn.XMATCH(G$1&amp;"-"&amp;$F1686,YEAR($B$2:$B$4001)&amp;"-"&amp;$A$2:$A$4001,0,-1)),9)</f>
        <v>5</v>
      </c>
      <c r="H1686" cm="1">
        <f t="array" ref="H1686">IF(OR(AND(G1686=9,H$1&gt;YEAR($N1686))),9,_xlfn.IFNA(INDEX($D$2:$D$4001,_xlfn.XMATCH(H$1&amp;"-"&amp;$F1686,YEAR($B$2:$B$4001)&amp;"-"&amp;$A$2:$A$4001,0,-1)),G1686))</f>
        <v>4</v>
      </c>
      <c r="I1686" cm="1">
        <f t="array" ref="I1686">IF(OR(AND(H1686=9,I$1&gt;YEAR($N1686))),9,_xlfn.IFNA(INDEX($D$2:$D$4001,_xlfn.XMATCH(I$1&amp;"-"&amp;$F1686,YEAR($B$2:$B$4001)&amp;"-"&amp;$A$2:$A$4001,0,-1)),H1686))</f>
        <v>4</v>
      </c>
      <c r="J1686" cm="1">
        <f t="array" ref="J1686">IF(OR(AND(I1686=9,J$1&gt;YEAR($N1686))),9,_xlfn.IFNA(INDEX($D$2:$D$4001,_xlfn.XMATCH(J$1&amp;"-"&amp;$F1686,YEAR($B$2:$B$4001)&amp;"-"&amp;$A$2:$A$4001,0,-1)),I1686))</f>
        <v>4</v>
      </c>
      <c r="K1686" cm="1">
        <f t="array" ref="K1686">IF(OR(AND(J1686=9,K$1&gt;YEAR($N1686))),9,_xlfn.IFNA(INDEX($D$2:$D$4001,_xlfn.XMATCH(K$1&amp;"-"&amp;$F1686,YEAR($B$2:$B$4001)&amp;"-"&amp;$A$2:$A$4001,0,-1)),J1686))</f>
        <v>4</v>
      </c>
      <c r="L1686" cm="1">
        <f t="array" ref="L1686">IF(OR(AND(K1686=9,L$1&gt;YEAR($N1686))),9,_xlfn.IFNA(INDEX($D$2:$D$4001,_xlfn.XMATCH(L$1&amp;"-"&amp;$F1686,YEAR($B$2:$B$4001)&amp;"-"&amp;$A$2:$A$4001,0,-1)),K1686))</f>
        <v>4</v>
      </c>
      <c r="M1686" cm="1">
        <f t="array" ref="M1686">IF(OR(AND(L1686=9,M$1&gt;YEAR($N1686))),9,_xlfn.IFNA(INDEX($D$2:$D$4001,_xlfn.XMATCH(M$1&amp;"-"&amp;$F1686,YEAR($B$2:$B$4001)&amp;"-"&amp;$A$2:$A$4001,0,-1)),L1686))</f>
        <v>4</v>
      </c>
      <c r="N1686" s="1">
        <f t="shared" si="26"/>
        <v>36524</v>
      </c>
    </row>
    <row r="1687" spans="1:14" x14ac:dyDescent="0.35">
      <c r="A1687">
        <v>793</v>
      </c>
      <c r="B1687" s="2">
        <v>36524</v>
      </c>
      <c r="C1687">
        <v>2</v>
      </c>
      <c r="D1687">
        <v>2</v>
      </c>
      <c r="F1687">
        <v>1686</v>
      </c>
      <c r="G1687" cm="1">
        <f t="array" ref="G1687">_xlfn.IFNA(INDEX($D$2:$D$4001,_xlfn.XMATCH(G$1&amp;"-"&amp;$F1687,YEAR($B$2:$B$4001)&amp;"-"&amp;$A$2:$A$4001,0,-1)),9)</f>
        <v>9</v>
      </c>
      <c r="H1687" cm="1">
        <f t="array" ref="H1687">IF(OR(AND(G1687=9,H$1&gt;YEAR($N1687))),9,_xlfn.IFNA(INDEX($D$2:$D$4001,_xlfn.XMATCH(H$1&amp;"-"&amp;$F1687,YEAR($B$2:$B$4001)&amp;"-"&amp;$A$2:$A$4001,0,-1)),G1687))</f>
        <v>9</v>
      </c>
      <c r="I1687" cm="1">
        <f t="array" ref="I1687">IF(OR(AND(H1687=9,I$1&gt;YEAR($N1687))),9,_xlfn.IFNA(INDEX($D$2:$D$4001,_xlfn.XMATCH(I$1&amp;"-"&amp;$F1687,YEAR($B$2:$B$4001)&amp;"-"&amp;$A$2:$A$4001,0,-1)),H1687))</f>
        <v>1</v>
      </c>
      <c r="J1687" cm="1">
        <f t="array" ref="J1687">IF(OR(AND(I1687=9,J$1&gt;YEAR($N1687))),9,_xlfn.IFNA(INDEX($D$2:$D$4001,_xlfn.XMATCH(J$1&amp;"-"&amp;$F1687,YEAR($B$2:$B$4001)&amp;"-"&amp;$A$2:$A$4001,0,-1)),I1687))</f>
        <v>1</v>
      </c>
      <c r="K1687" cm="1">
        <f t="array" ref="K1687">IF(OR(AND(J1687=9,K$1&gt;YEAR($N1687))),9,_xlfn.IFNA(INDEX($D$2:$D$4001,_xlfn.XMATCH(K$1&amp;"-"&amp;$F1687,YEAR($B$2:$B$4001)&amp;"-"&amp;$A$2:$A$4001,0,-1)),J1687))</f>
        <v>1</v>
      </c>
      <c r="L1687" cm="1">
        <f t="array" ref="L1687">IF(OR(AND(K1687=9,L$1&gt;YEAR($N1687))),9,_xlfn.IFNA(INDEX($D$2:$D$4001,_xlfn.XMATCH(L$1&amp;"-"&amp;$F1687,YEAR($B$2:$B$4001)&amp;"-"&amp;$A$2:$A$4001,0,-1)),K1687))</f>
        <v>1</v>
      </c>
      <c r="M1687" cm="1">
        <f t="array" ref="M1687">IF(OR(AND(L1687=9,M$1&gt;YEAR($N1687))),9,_xlfn.IFNA(INDEX($D$2:$D$4001,_xlfn.XMATCH(M$1&amp;"-"&amp;$F1687,YEAR($B$2:$B$4001)&amp;"-"&amp;$A$2:$A$4001,0,-1)),L1687))</f>
        <v>1</v>
      </c>
      <c r="N1687" s="1">
        <f t="shared" si="26"/>
        <v>37255</v>
      </c>
    </row>
    <row r="1688" spans="1:14" x14ac:dyDescent="0.35">
      <c r="A1688">
        <v>793</v>
      </c>
      <c r="B1688" s="2">
        <v>37255</v>
      </c>
      <c r="C1688">
        <v>2</v>
      </c>
      <c r="D1688">
        <v>2</v>
      </c>
      <c r="F1688">
        <v>1687</v>
      </c>
      <c r="G1688" cm="1">
        <f t="array" ref="G1688">_xlfn.IFNA(INDEX($D$2:$D$4001,_xlfn.XMATCH(G$1&amp;"-"&amp;$F1688,YEAR($B$2:$B$4001)&amp;"-"&amp;$A$2:$A$4001,0,-1)),9)</f>
        <v>9</v>
      </c>
      <c r="H1688" cm="1">
        <f t="array" ref="H1688">IF(OR(AND(G1688=9,H$1&gt;YEAR($N1688))),9,_xlfn.IFNA(INDEX($D$2:$D$4001,_xlfn.XMATCH(H$1&amp;"-"&amp;$F1688,YEAR($B$2:$B$4001)&amp;"-"&amp;$A$2:$A$4001,0,-1)),G1688))</f>
        <v>2</v>
      </c>
      <c r="I1688" cm="1">
        <f t="array" ref="I1688">IF(OR(AND(H1688=9,I$1&gt;YEAR($N1688))),9,_xlfn.IFNA(INDEX($D$2:$D$4001,_xlfn.XMATCH(I$1&amp;"-"&amp;$F1688,YEAR($B$2:$B$4001)&amp;"-"&amp;$A$2:$A$4001,0,-1)),H1688))</f>
        <v>2</v>
      </c>
      <c r="J1688" cm="1">
        <f t="array" ref="J1688">IF(OR(AND(I1688=9,J$1&gt;YEAR($N1688))),9,_xlfn.IFNA(INDEX($D$2:$D$4001,_xlfn.XMATCH(J$1&amp;"-"&amp;$F1688,YEAR($B$2:$B$4001)&amp;"-"&amp;$A$2:$A$4001,0,-1)),I1688))</f>
        <v>2</v>
      </c>
      <c r="K1688" cm="1">
        <f t="array" ref="K1688">IF(OR(AND(J1688=9,K$1&gt;YEAR($N1688))),9,_xlfn.IFNA(INDEX($D$2:$D$4001,_xlfn.XMATCH(K$1&amp;"-"&amp;$F1688,YEAR($B$2:$B$4001)&amp;"-"&amp;$A$2:$A$4001,0,-1)),J1688))</f>
        <v>2</v>
      </c>
      <c r="L1688" cm="1">
        <f t="array" ref="L1688">IF(OR(AND(K1688=9,L$1&gt;YEAR($N1688))),9,_xlfn.IFNA(INDEX($D$2:$D$4001,_xlfn.XMATCH(L$1&amp;"-"&amp;$F1688,YEAR($B$2:$B$4001)&amp;"-"&amp;$A$2:$A$4001,0,-1)),K1688))</f>
        <v>2</v>
      </c>
      <c r="M1688" cm="1">
        <f t="array" ref="M1688">IF(OR(AND(L1688=9,M$1&gt;YEAR($N1688))),9,_xlfn.IFNA(INDEX($D$2:$D$4001,_xlfn.XMATCH(M$1&amp;"-"&amp;$F1688,YEAR($B$2:$B$4001)&amp;"-"&amp;$A$2:$A$4001,0,-1)),L1688))</f>
        <v>2</v>
      </c>
      <c r="N1688" s="1">
        <f t="shared" si="26"/>
        <v>36890</v>
      </c>
    </row>
    <row r="1689" spans="1:14" x14ac:dyDescent="0.35">
      <c r="A1689">
        <v>794</v>
      </c>
      <c r="B1689" s="2">
        <v>36524</v>
      </c>
      <c r="C1689">
        <v>3</v>
      </c>
      <c r="D1689">
        <v>3</v>
      </c>
      <c r="F1689">
        <v>1688</v>
      </c>
      <c r="G1689" cm="1">
        <f t="array" ref="G1689">_xlfn.IFNA(INDEX($D$2:$D$4001,_xlfn.XMATCH(G$1&amp;"-"&amp;$F1689,YEAR($B$2:$B$4001)&amp;"-"&amp;$A$2:$A$4001,0,-1)),9)</f>
        <v>9</v>
      </c>
      <c r="H1689" cm="1">
        <f t="array" ref="H1689">IF(OR(AND(G1689=9,H$1&gt;YEAR($N1689))),9,_xlfn.IFNA(INDEX($D$2:$D$4001,_xlfn.XMATCH(H$1&amp;"-"&amp;$F1689,YEAR($B$2:$B$4001)&amp;"-"&amp;$A$2:$A$4001,0,-1)),G1689))</f>
        <v>3</v>
      </c>
      <c r="I1689" cm="1">
        <f t="array" ref="I1689">IF(OR(AND(H1689=9,I$1&gt;YEAR($N1689))),9,_xlfn.IFNA(INDEX($D$2:$D$4001,_xlfn.XMATCH(I$1&amp;"-"&amp;$F1689,YEAR($B$2:$B$4001)&amp;"-"&amp;$A$2:$A$4001,0,-1)),H1689))</f>
        <v>3</v>
      </c>
      <c r="J1689" cm="1">
        <f t="array" ref="J1689">IF(OR(AND(I1689=9,J$1&gt;YEAR($N1689))),9,_xlfn.IFNA(INDEX($D$2:$D$4001,_xlfn.XMATCH(J$1&amp;"-"&amp;$F1689,YEAR($B$2:$B$4001)&amp;"-"&amp;$A$2:$A$4001,0,-1)),I1689))</f>
        <v>3</v>
      </c>
      <c r="K1689" cm="1">
        <f t="array" ref="K1689">IF(OR(AND(J1689=9,K$1&gt;YEAR($N1689))),9,_xlfn.IFNA(INDEX($D$2:$D$4001,_xlfn.XMATCH(K$1&amp;"-"&amp;$F1689,YEAR($B$2:$B$4001)&amp;"-"&amp;$A$2:$A$4001,0,-1)),J1689))</f>
        <v>3</v>
      </c>
      <c r="L1689" cm="1">
        <f t="array" ref="L1689">IF(OR(AND(K1689=9,L$1&gt;YEAR($N1689))),9,_xlfn.IFNA(INDEX($D$2:$D$4001,_xlfn.XMATCH(L$1&amp;"-"&amp;$F1689,YEAR($B$2:$B$4001)&amp;"-"&amp;$A$2:$A$4001,0,-1)),K1689))</f>
        <v>3</v>
      </c>
      <c r="M1689" cm="1">
        <f t="array" ref="M1689">IF(OR(AND(L1689=9,M$1&gt;YEAR($N1689))),9,_xlfn.IFNA(INDEX($D$2:$D$4001,_xlfn.XMATCH(M$1&amp;"-"&amp;$F1689,YEAR($B$2:$B$4001)&amp;"-"&amp;$A$2:$A$4001,0,-1)),L1689))</f>
        <v>3</v>
      </c>
      <c r="N1689" s="1">
        <f t="shared" si="26"/>
        <v>36737</v>
      </c>
    </row>
    <row r="1690" spans="1:14" x14ac:dyDescent="0.35">
      <c r="A1690">
        <v>795</v>
      </c>
      <c r="B1690" s="2">
        <v>37620</v>
      </c>
      <c r="C1690">
        <v>2</v>
      </c>
      <c r="D1690">
        <v>2</v>
      </c>
      <c r="F1690">
        <v>1689</v>
      </c>
      <c r="G1690" cm="1">
        <f t="array" ref="G1690">_xlfn.IFNA(INDEX($D$2:$D$4001,_xlfn.XMATCH(G$1&amp;"-"&amp;$F1690,YEAR($B$2:$B$4001)&amp;"-"&amp;$A$2:$A$4001,0,-1)),9)</f>
        <v>9</v>
      </c>
      <c r="H1690" cm="1">
        <f t="array" ref="H1690">IF(OR(AND(G1690=9,H$1&gt;YEAR($N1690))),9,_xlfn.IFNA(INDEX($D$2:$D$4001,_xlfn.XMATCH(H$1&amp;"-"&amp;$F1690,YEAR($B$2:$B$4001)&amp;"-"&amp;$A$2:$A$4001,0,-1)),G1690))</f>
        <v>9</v>
      </c>
      <c r="I1690" cm="1">
        <f t="array" ref="I1690">IF(OR(AND(H1690=9,I$1&gt;YEAR($N1690))),9,_xlfn.IFNA(INDEX($D$2:$D$4001,_xlfn.XMATCH(I$1&amp;"-"&amp;$F1690,YEAR($B$2:$B$4001)&amp;"-"&amp;$A$2:$A$4001,0,-1)),H1690))</f>
        <v>9</v>
      </c>
      <c r="J1690" cm="1">
        <f t="array" ref="J1690">IF(OR(AND(I1690=9,J$1&gt;YEAR($N1690))),9,_xlfn.IFNA(INDEX($D$2:$D$4001,_xlfn.XMATCH(J$1&amp;"-"&amp;$F1690,YEAR($B$2:$B$4001)&amp;"-"&amp;$A$2:$A$4001,0,-1)),I1690))</f>
        <v>9</v>
      </c>
      <c r="K1690" cm="1">
        <f t="array" ref="K1690">IF(OR(AND(J1690=9,K$1&gt;YEAR($N1690))),9,_xlfn.IFNA(INDEX($D$2:$D$4001,_xlfn.XMATCH(K$1&amp;"-"&amp;$F1690,YEAR($B$2:$B$4001)&amp;"-"&amp;$A$2:$A$4001,0,-1)),J1690))</f>
        <v>9</v>
      </c>
      <c r="L1690" cm="1">
        <f t="array" ref="L1690">IF(OR(AND(K1690=9,L$1&gt;YEAR($N1690))),9,_xlfn.IFNA(INDEX($D$2:$D$4001,_xlfn.XMATCH(L$1&amp;"-"&amp;$F1690,YEAR($B$2:$B$4001)&amp;"-"&amp;$A$2:$A$4001,0,-1)),K1690))</f>
        <v>3</v>
      </c>
      <c r="M1690" cm="1">
        <f t="array" ref="M1690">IF(OR(AND(L1690=9,M$1&gt;YEAR($N1690))),9,_xlfn.IFNA(INDEX($D$2:$D$4001,_xlfn.XMATCH(M$1&amp;"-"&amp;$F1690,YEAR($B$2:$B$4001)&amp;"-"&amp;$A$2:$A$4001,0,-1)),L1690))</f>
        <v>3</v>
      </c>
      <c r="N1690" s="1">
        <f t="shared" si="26"/>
        <v>38137</v>
      </c>
    </row>
    <row r="1691" spans="1:14" x14ac:dyDescent="0.35">
      <c r="A1691">
        <v>795</v>
      </c>
      <c r="B1691" s="2">
        <v>38625</v>
      </c>
      <c r="C1691">
        <v>2</v>
      </c>
      <c r="D1691">
        <v>2</v>
      </c>
      <c r="F1691">
        <v>1690</v>
      </c>
      <c r="G1691" cm="1">
        <f t="array" ref="G1691">_xlfn.IFNA(INDEX($D$2:$D$4001,_xlfn.XMATCH(G$1&amp;"-"&amp;$F1691,YEAR($B$2:$B$4001)&amp;"-"&amp;$A$2:$A$4001,0,-1)),9)</f>
        <v>2</v>
      </c>
      <c r="H1691" cm="1">
        <f t="array" ref="H1691">IF(OR(AND(G1691=9,H$1&gt;YEAR($N1691))),9,_xlfn.IFNA(INDEX($D$2:$D$4001,_xlfn.XMATCH(H$1&amp;"-"&amp;$F1691,YEAR($B$2:$B$4001)&amp;"-"&amp;$A$2:$A$4001,0,-1)),G1691))</f>
        <v>2</v>
      </c>
      <c r="I1691" cm="1">
        <f t="array" ref="I1691">IF(OR(AND(H1691=9,I$1&gt;YEAR($N1691))),9,_xlfn.IFNA(INDEX($D$2:$D$4001,_xlfn.XMATCH(I$1&amp;"-"&amp;$F1691,YEAR($B$2:$B$4001)&amp;"-"&amp;$A$2:$A$4001,0,-1)),H1691))</f>
        <v>2</v>
      </c>
      <c r="J1691" cm="1">
        <f t="array" ref="J1691">IF(OR(AND(I1691=9,J$1&gt;YEAR($N1691))),9,_xlfn.IFNA(INDEX($D$2:$D$4001,_xlfn.XMATCH(J$1&amp;"-"&amp;$F1691,YEAR($B$2:$B$4001)&amp;"-"&amp;$A$2:$A$4001,0,-1)),I1691))</f>
        <v>2</v>
      </c>
      <c r="K1691" cm="1">
        <f t="array" ref="K1691">IF(OR(AND(J1691=9,K$1&gt;YEAR($N1691))),9,_xlfn.IFNA(INDEX($D$2:$D$4001,_xlfn.XMATCH(K$1&amp;"-"&amp;$F1691,YEAR($B$2:$B$4001)&amp;"-"&amp;$A$2:$A$4001,0,-1)),J1691))</f>
        <v>2</v>
      </c>
      <c r="L1691" cm="1">
        <f t="array" ref="L1691">IF(OR(AND(K1691=9,L$1&gt;YEAR($N1691))),9,_xlfn.IFNA(INDEX($D$2:$D$4001,_xlfn.XMATCH(L$1&amp;"-"&amp;$F1691,YEAR($B$2:$B$4001)&amp;"-"&amp;$A$2:$A$4001,0,-1)),K1691))</f>
        <v>2</v>
      </c>
      <c r="M1691" cm="1">
        <f t="array" ref="M1691">IF(OR(AND(L1691=9,M$1&gt;YEAR($N1691))),9,_xlfn.IFNA(INDEX($D$2:$D$4001,_xlfn.XMATCH(M$1&amp;"-"&amp;$F1691,YEAR($B$2:$B$4001)&amp;"-"&amp;$A$2:$A$4001,0,-1)),L1691))</f>
        <v>2</v>
      </c>
      <c r="N1691" s="1">
        <f t="shared" si="26"/>
        <v>36301</v>
      </c>
    </row>
    <row r="1692" spans="1:14" x14ac:dyDescent="0.35">
      <c r="A1692">
        <v>796</v>
      </c>
      <c r="B1692" s="2">
        <v>37620</v>
      </c>
      <c r="C1692">
        <v>2</v>
      </c>
      <c r="D1692">
        <v>2</v>
      </c>
      <c r="F1692">
        <v>1691</v>
      </c>
      <c r="G1692" cm="1">
        <f t="array" ref="G1692">_xlfn.IFNA(INDEX($D$2:$D$4001,_xlfn.XMATCH(G$1&amp;"-"&amp;$F1692,YEAR($B$2:$B$4001)&amp;"-"&amp;$A$2:$A$4001,0,-1)),9)</f>
        <v>9</v>
      </c>
      <c r="H1692" cm="1">
        <f t="array" ref="H1692">IF(OR(AND(G1692=9,H$1&gt;YEAR($N1692))),9,_xlfn.IFNA(INDEX($D$2:$D$4001,_xlfn.XMATCH(H$1&amp;"-"&amp;$F1692,YEAR($B$2:$B$4001)&amp;"-"&amp;$A$2:$A$4001,0,-1)),G1692))</f>
        <v>9</v>
      </c>
      <c r="I1692" cm="1">
        <f t="array" ref="I1692">IF(OR(AND(H1692=9,I$1&gt;YEAR($N1692))),9,_xlfn.IFNA(INDEX($D$2:$D$4001,_xlfn.XMATCH(I$1&amp;"-"&amp;$F1692,YEAR($B$2:$B$4001)&amp;"-"&amp;$A$2:$A$4001,0,-1)),H1692))</f>
        <v>3</v>
      </c>
      <c r="J1692" cm="1">
        <f t="array" ref="J1692">IF(OR(AND(I1692=9,J$1&gt;YEAR($N1692))),9,_xlfn.IFNA(INDEX($D$2:$D$4001,_xlfn.XMATCH(J$1&amp;"-"&amp;$F1692,YEAR($B$2:$B$4001)&amp;"-"&amp;$A$2:$A$4001,0,-1)),I1692))</f>
        <v>3</v>
      </c>
      <c r="K1692" cm="1">
        <f t="array" ref="K1692">IF(OR(AND(J1692=9,K$1&gt;YEAR($N1692))),9,_xlfn.IFNA(INDEX($D$2:$D$4001,_xlfn.XMATCH(K$1&amp;"-"&amp;$F1692,YEAR($B$2:$B$4001)&amp;"-"&amp;$A$2:$A$4001,0,-1)),J1692))</f>
        <v>3</v>
      </c>
      <c r="L1692" cm="1">
        <f t="array" ref="L1692">IF(OR(AND(K1692=9,L$1&gt;YEAR($N1692))),9,_xlfn.IFNA(INDEX($D$2:$D$4001,_xlfn.XMATCH(L$1&amp;"-"&amp;$F1692,YEAR($B$2:$B$4001)&amp;"-"&amp;$A$2:$A$4001,0,-1)),K1692))</f>
        <v>3</v>
      </c>
      <c r="M1692" cm="1">
        <f t="array" ref="M1692">IF(OR(AND(L1692=9,M$1&gt;YEAR($N1692))),9,_xlfn.IFNA(INDEX($D$2:$D$4001,_xlfn.XMATCH(M$1&amp;"-"&amp;$F1692,YEAR($B$2:$B$4001)&amp;"-"&amp;$A$2:$A$4001,0,-1)),L1692))</f>
        <v>3</v>
      </c>
      <c r="N1692" s="1">
        <f t="shared" si="26"/>
        <v>37041</v>
      </c>
    </row>
    <row r="1693" spans="1:14" x14ac:dyDescent="0.35">
      <c r="A1693">
        <v>796</v>
      </c>
      <c r="B1693" s="2">
        <v>38563</v>
      </c>
      <c r="C1693">
        <v>2</v>
      </c>
      <c r="D1693">
        <v>2</v>
      </c>
      <c r="F1693">
        <v>1692</v>
      </c>
      <c r="G1693" cm="1">
        <f t="array" ref="G1693">_xlfn.IFNA(INDEX($D$2:$D$4001,_xlfn.XMATCH(G$1&amp;"-"&amp;$F1693,YEAR($B$2:$B$4001)&amp;"-"&amp;$A$2:$A$4001,0,-1)),9)</f>
        <v>3</v>
      </c>
      <c r="H1693" cm="1">
        <f t="array" ref="H1693">IF(OR(AND(G1693=9,H$1&gt;YEAR($N1693))),9,_xlfn.IFNA(INDEX($D$2:$D$4001,_xlfn.XMATCH(H$1&amp;"-"&amp;$F1693,YEAR($B$2:$B$4001)&amp;"-"&amp;$A$2:$A$4001,0,-1)),G1693))</f>
        <v>3</v>
      </c>
      <c r="I1693" cm="1">
        <f t="array" ref="I1693">IF(OR(AND(H1693=9,I$1&gt;YEAR($N1693))),9,_xlfn.IFNA(INDEX($D$2:$D$4001,_xlfn.XMATCH(I$1&amp;"-"&amp;$F1693,YEAR($B$2:$B$4001)&amp;"-"&amp;$A$2:$A$4001,0,-1)),H1693))</f>
        <v>3</v>
      </c>
      <c r="J1693" cm="1">
        <f t="array" ref="J1693">IF(OR(AND(I1693=9,J$1&gt;YEAR($N1693))),9,_xlfn.IFNA(INDEX($D$2:$D$4001,_xlfn.XMATCH(J$1&amp;"-"&amp;$F1693,YEAR($B$2:$B$4001)&amp;"-"&amp;$A$2:$A$4001,0,-1)),I1693))</f>
        <v>3</v>
      </c>
      <c r="K1693" cm="1">
        <f t="array" ref="K1693">IF(OR(AND(J1693=9,K$1&gt;YEAR($N1693))),9,_xlfn.IFNA(INDEX($D$2:$D$4001,_xlfn.XMATCH(K$1&amp;"-"&amp;$F1693,YEAR($B$2:$B$4001)&amp;"-"&amp;$A$2:$A$4001,0,-1)),J1693))</f>
        <v>3</v>
      </c>
      <c r="L1693" cm="1">
        <f t="array" ref="L1693">IF(OR(AND(K1693=9,L$1&gt;YEAR($N1693))),9,_xlfn.IFNA(INDEX($D$2:$D$4001,_xlfn.XMATCH(L$1&amp;"-"&amp;$F1693,YEAR($B$2:$B$4001)&amp;"-"&amp;$A$2:$A$4001,0,-1)),K1693))</f>
        <v>2</v>
      </c>
      <c r="M1693" cm="1">
        <f t="array" ref="M1693">IF(OR(AND(L1693=9,M$1&gt;YEAR($N1693))),9,_xlfn.IFNA(INDEX($D$2:$D$4001,_xlfn.XMATCH(M$1&amp;"-"&amp;$F1693,YEAR($B$2:$B$4001)&amp;"-"&amp;$A$2:$A$4001,0,-1)),L1693))</f>
        <v>2</v>
      </c>
      <c r="N1693" s="1">
        <f t="shared" si="26"/>
        <v>36371</v>
      </c>
    </row>
    <row r="1694" spans="1:14" x14ac:dyDescent="0.35">
      <c r="A1694">
        <v>797</v>
      </c>
      <c r="B1694" s="2">
        <v>36494</v>
      </c>
      <c r="C1694">
        <v>7</v>
      </c>
      <c r="D1694">
        <v>7</v>
      </c>
      <c r="F1694">
        <v>1693</v>
      </c>
      <c r="G1694" cm="1">
        <f t="array" ref="G1694">_xlfn.IFNA(INDEX($D$2:$D$4001,_xlfn.XMATCH(G$1&amp;"-"&amp;$F1694,YEAR($B$2:$B$4001)&amp;"-"&amp;$A$2:$A$4001,0,-1)),9)</f>
        <v>3</v>
      </c>
      <c r="H1694" cm="1">
        <f t="array" ref="H1694">IF(OR(AND(G1694=9,H$1&gt;YEAR($N1694))),9,_xlfn.IFNA(INDEX($D$2:$D$4001,_xlfn.XMATCH(H$1&amp;"-"&amp;$F1694,YEAR($B$2:$B$4001)&amp;"-"&amp;$A$2:$A$4001,0,-1)),G1694))</f>
        <v>0</v>
      </c>
      <c r="I1694" cm="1">
        <f t="array" ref="I1694">IF(OR(AND(H1694=9,I$1&gt;YEAR($N1694))),9,_xlfn.IFNA(INDEX($D$2:$D$4001,_xlfn.XMATCH(I$1&amp;"-"&amp;$F1694,YEAR($B$2:$B$4001)&amp;"-"&amp;$A$2:$A$4001,0,-1)),H1694))</f>
        <v>0</v>
      </c>
      <c r="J1694" cm="1">
        <f t="array" ref="J1694">IF(OR(AND(I1694=9,J$1&gt;YEAR($N1694))),9,_xlfn.IFNA(INDEX($D$2:$D$4001,_xlfn.XMATCH(J$1&amp;"-"&amp;$F1694,YEAR($B$2:$B$4001)&amp;"-"&amp;$A$2:$A$4001,0,-1)),I1694))</f>
        <v>0</v>
      </c>
      <c r="K1694" cm="1">
        <f t="array" ref="K1694">IF(OR(AND(J1694=9,K$1&gt;YEAR($N1694))),9,_xlfn.IFNA(INDEX($D$2:$D$4001,_xlfn.XMATCH(K$1&amp;"-"&amp;$F1694,YEAR($B$2:$B$4001)&amp;"-"&amp;$A$2:$A$4001,0,-1)),J1694))</f>
        <v>0</v>
      </c>
      <c r="L1694" cm="1">
        <f t="array" ref="L1694">IF(OR(AND(K1694=9,L$1&gt;YEAR($N1694))),9,_xlfn.IFNA(INDEX($D$2:$D$4001,_xlfn.XMATCH(L$1&amp;"-"&amp;$F1694,YEAR($B$2:$B$4001)&amp;"-"&amp;$A$2:$A$4001,0,-1)),K1694))</f>
        <v>0</v>
      </c>
      <c r="M1694" cm="1">
        <f t="array" ref="M1694">IF(OR(AND(L1694=9,M$1&gt;YEAR($N1694))),9,_xlfn.IFNA(INDEX($D$2:$D$4001,_xlfn.XMATCH(M$1&amp;"-"&amp;$F1694,YEAR($B$2:$B$4001)&amp;"-"&amp;$A$2:$A$4001,0,-1)),L1694))</f>
        <v>0</v>
      </c>
      <c r="N1694" s="1">
        <f t="shared" si="26"/>
        <v>36301</v>
      </c>
    </row>
    <row r="1695" spans="1:14" x14ac:dyDescent="0.35">
      <c r="A1695">
        <v>797</v>
      </c>
      <c r="B1695" s="2">
        <v>36524</v>
      </c>
      <c r="C1695">
        <v>7</v>
      </c>
      <c r="D1695">
        <v>7</v>
      </c>
      <c r="F1695">
        <v>1694</v>
      </c>
      <c r="G1695" cm="1">
        <f t="array" ref="G1695">_xlfn.IFNA(INDEX($D$2:$D$4001,_xlfn.XMATCH(G$1&amp;"-"&amp;$F1695,YEAR($B$2:$B$4001)&amp;"-"&amp;$A$2:$A$4001,0,-1)),9)</f>
        <v>9</v>
      </c>
      <c r="H1695" cm="1">
        <f t="array" ref="H1695">IF(OR(AND(G1695=9,H$1&gt;YEAR($N1695))),9,_xlfn.IFNA(INDEX($D$2:$D$4001,_xlfn.XMATCH(H$1&amp;"-"&amp;$F1695,YEAR($B$2:$B$4001)&amp;"-"&amp;$A$2:$A$4001,0,-1)),G1695))</f>
        <v>4</v>
      </c>
      <c r="I1695" cm="1">
        <f t="array" ref="I1695">IF(OR(AND(H1695=9,I$1&gt;YEAR($N1695))),9,_xlfn.IFNA(INDEX($D$2:$D$4001,_xlfn.XMATCH(I$1&amp;"-"&amp;$F1695,YEAR($B$2:$B$4001)&amp;"-"&amp;$A$2:$A$4001,0,-1)),H1695))</f>
        <v>4</v>
      </c>
      <c r="J1695" cm="1">
        <f t="array" ref="J1695">IF(OR(AND(I1695=9,J$1&gt;YEAR($N1695))),9,_xlfn.IFNA(INDEX($D$2:$D$4001,_xlfn.XMATCH(J$1&amp;"-"&amp;$F1695,YEAR($B$2:$B$4001)&amp;"-"&amp;$A$2:$A$4001,0,-1)),I1695))</f>
        <v>5</v>
      </c>
      <c r="K1695" cm="1">
        <f t="array" ref="K1695">IF(OR(AND(J1695=9,K$1&gt;YEAR($N1695))),9,_xlfn.IFNA(INDEX($D$2:$D$4001,_xlfn.XMATCH(K$1&amp;"-"&amp;$F1695,YEAR($B$2:$B$4001)&amp;"-"&amp;$A$2:$A$4001,0,-1)),J1695))</f>
        <v>0</v>
      </c>
      <c r="L1695" cm="1">
        <f t="array" ref="L1695">IF(OR(AND(K1695=9,L$1&gt;YEAR($N1695))),9,_xlfn.IFNA(INDEX($D$2:$D$4001,_xlfn.XMATCH(L$1&amp;"-"&amp;$F1695,YEAR($B$2:$B$4001)&amp;"-"&amp;$A$2:$A$4001,0,-1)),K1695))</f>
        <v>0</v>
      </c>
      <c r="M1695" cm="1">
        <f t="array" ref="M1695">IF(OR(AND(L1695=9,M$1&gt;YEAR($N1695))),9,_xlfn.IFNA(INDEX($D$2:$D$4001,_xlfn.XMATCH(M$1&amp;"-"&amp;$F1695,YEAR($B$2:$B$4001)&amp;"-"&amp;$A$2:$A$4001,0,-1)),L1695))</f>
        <v>0</v>
      </c>
      <c r="N1695" s="1">
        <f t="shared" si="26"/>
        <v>36890</v>
      </c>
    </row>
    <row r="1696" spans="1:14" x14ac:dyDescent="0.35">
      <c r="A1696">
        <v>797</v>
      </c>
      <c r="B1696" s="2">
        <v>36768</v>
      </c>
      <c r="C1696">
        <v>0</v>
      </c>
      <c r="D1696">
        <v>0</v>
      </c>
      <c r="F1696">
        <v>1695</v>
      </c>
      <c r="G1696" cm="1">
        <f t="array" ref="G1696">_xlfn.IFNA(INDEX($D$2:$D$4001,_xlfn.XMATCH(G$1&amp;"-"&amp;$F1696,YEAR($B$2:$B$4001)&amp;"-"&amp;$A$2:$A$4001,0,-1)),9)</f>
        <v>9</v>
      </c>
      <c r="H1696" cm="1">
        <f t="array" ref="H1696">IF(OR(AND(G1696=9,H$1&gt;YEAR($N1696))),9,_xlfn.IFNA(INDEX($D$2:$D$4001,_xlfn.XMATCH(H$1&amp;"-"&amp;$F1696,YEAR($B$2:$B$4001)&amp;"-"&amp;$A$2:$A$4001,0,-1)),G1696))</f>
        <v>3</v>
      </c>
      <c r="I1696" cm="1">
        <f t="array" ref="I1696">IF(OR(AND(H1696=9,I$1&gt;YEAR($N1696))),9,_xlfn.IFNA(INDEX($D$2:$D$4001,_xlfn.XMATCH(I$1&amp;"-"&amp;$F1696,YEAR($B$2:$B$4001)&amp;"-"&amp;$A$2:$A$4001,0,-1)),H1696))</f>
        <v>3</v>
      </c>
      <c r="J1696" cm="1">
        <f t="array" ref="J1696">IF(OR(AND(I1696=9,J$1&gt;YEAR($N1696))),9,_xlfn.IFNA(INDEX($D$2:$D$4001,_xlfn.XMATCH(J$1&amp;"-"&amp;$F1696,YEAR($B$2:$B$4001)&amp;"-"&amp;$A$2:$A$4001,0,-1)),I1696))</f>
        <v>3</v>
      </c>
      <c r="K1696" cm="1">
        <f t="array" ref="K1696">IF(OR(AND(J1696=9,K$1&gt;YEAR($N1696))),9,_xlfn.IFNA(INDEX($D$2:$D$4001,_xlfn.XMATCH(K$1&amp;"-"&amp;$F1696,YEAR($B$2:$B$4001)&amp;"-"&amp;$A$2:$A$4001,0,-1)),J1696))</f>
        <v>0</v>
      </c>
      <c r="L1696" cm="1">
        <f t="array" ref="L1696">IF(OR(AND(K1696=9,L$1&gt;YEAR($N1696))),9,_xlfn.IFNA(INDEX($D$2:$D$4001,_xlfn.XMATCH(L$1&amp;"-"&amp;$F1696,YEAR($B$2:$B$4001)&amp;"-"&amp;$A$2:$A$4001,0,-1)),K1696))</f>
        <v>0</v>
      </c>
      <c r="M1696" cm="1">
        <f t="array" ref="M1696">IF(OR(AND(L1696=9,M$1&gt;YEAR($N1696))),9,_xlfn.IFNA(INDEX($D$2:$D$4001,_xlfn.XMATCH(M$1&amp;"-"&amp;$F1696,YEAR($B$2:$B$4001)&amp;"-"&amp;$A$2:$A$4001,0,-1)),L1696))</f>
        <v>0</v>
      </c>
      <c r="N1696" s="1">
        <f t="shared" si="26"/>
        <v>36667</v>
      </c>
    </row>
    <row r="1697" spans="1:14" x14ac:dyDescent="0.35">
      <c r="A1697">
        <v>798</v>
      </c>
      <c r="B1697" s="2">
        <v>36667</v>
      </c>
      <c r="C1697">
        <v>2</v>
      </c>
      <c r="D1697">
        <v>2</v>
      </c>
      <c r="F1697">
        <v>1696</v>
      </c>
      <c r="G1697" cm="1">
        <f t="array" ref="G1697">_xlfn.IFNA(INDEX($D$2:$D$4001,_xlfn.XMATCH(G$1&amp;"-"&amp;$F1697,YEAR($B$2:$B$4001)&amp;"-"&amp;$A$2:$A$4001,0,-1)),9)</f>
        <v>0</v>
      </c>
      <c r="H1697" cm="1">
        <f t="array" ref="H1697">IF(OR(AND(G1697=9,H$1&gt;YEAR($N1697))),9,_xlfn.IFNA(INDEX($D$2:$D$4001,_xlfn.XMATCH(H$1&amp;"-"&amp;$F1697,YEAR($B$2:$B$4001)&amp;"-"&amp;$A$2:$A$4001,0,-1)),G1697))</f>
        <v>0</v>
      </c>
      <c r="I1697" cm="1">
        <f t="array" ref="I1697">IF(OR(AND(H1697=9,I$1&gt;YEAR($N1697))),9,_xlfn.IFNA(INDEX($D$2:$D$4001,_xlfn.XMATCH(I$1&amp;"-"&amp;$F1697,YEAR($B$2:$B$4001)&amp;"-"&amp;$A$2:$A$4001,0,-1)),H1697))</f>
        <v>0</v>
      </c>
      <c r="J1697" cm="1">
        <f t="array" ref="J1697">IF(OR(AND(I1697=9,J$1&gt;YEAR($N1697))),9,_xlfn.IFNA(INDEX($D$2:$D$4001,_xlfn.XMATCH(J$1&amp;"-"&amp;$F1697,YEAR($B$2:$B$4001)&amp;"-"&amp;$A$2:$A$4001,0,-1)),I1697))</f>
        <v>0</v>
      </c>
      <c r="K1697" cm="1">
        <f t="array" ref="K1697">IF(OR(AND(J1697=9,K$1&gt;YEAR($N1697))),9,_xlfn.IFNA(INDEX($D$2:$D$4001,_xlfn.XMATCH(K$1&amp;"-"&amp;$F1697,YEAR($B$2:$B$4001)&amp;"-"&amp;$A$2:$A$4001,0,-1)),J1697))</f>
        <v>4</v>
      </c>
      <c r="L1697" cm="1">
        <f t="array" ref="L1697">IF(OR(AND(K1697=9,L$1&gt;YEAR($N1697))),9,_xlfn.IFNA(INDEX($D$2:$D$4001,_xlfn.XMATCH(L$1&amp;"-"&amp;$F1697,YEAR($B$2:$B$4001)&amp;"-"&amp;$A$2:$A$4001,0,-1)),K1697))</f>
        <v>0</v>
      </c>
      <c r="M1697" cm="1">
        <f t="array" ref="M1697">IF(OR(AND(L1697=9,M$1&gt;YEAR($N1697))),9,_xlfn.IFNA(INDEX($D$2:$D$4001,_xlfn.XMATCH(M$1&amp;"-"&amp;$F1697,YEAR($B$2:$B$4001)&amp;"-"&amp;$A$2:$A$4001,0,-1)),L1697))</f>
        <v>0</v>
      </c>
      <c r="N1697" s="1">
        <f t="shared" si="26"/>
        <v>36524</v>
      </c>
    </row>
    <row r="1698" spans="1:14" x14ac:dyDescent="0.35">
      <c r="A1698">
        <v>799</v>
      </c>
      <c r="B1698" s="2">
        <v>36494</v>
      </c>
      <c r="C1698">
        <v>3</v>
      </c>
      <c r="D1698">
        <v>3</v>
      </c>
      <c r="F1698">
        <v>1697</v>
      </c>
      <c r="G1698" cm="1">
        <f t="array" ref="G1698">_xlfn.IFNA(INDEX($D$2:$D$4001,_xlfn.XMATCH(G$1&amp;"-"&amp;$F1698,YEAR($B$2:$B$4001)&amp;"-"&amp;$A$2:$A$4001,0,-1)),9)</f>
        <v>9</v>
      </c>
      <c r="H1698" cm="1">
        <f t="array" ref="H1698">IF(OR(AND(G1698=9,H$1&gt;YEAR($N1698))),9,_xlfn.IFNA(INDEX($D$2:$D$4001,_xlfn.XMATCH(H$1&amp;"-"&amp;$F1698,YEAR($B$2:$B$4001)&amp;"-"&amp;$A$2:$A$4001,0,-1)),G1698))</f>
        <v>9</v>
      </c>
      <c r="I1698" cm="1">
        <f t="array" ref="I1698">IF(OR(AND(H1698=9,I$1&gt;YEAR($N1698))),9,_xlfn.IFNA(INDEX($D$2:$D$4001,_xlfn.XMATCH(I$1&amp;"-"&amp;$F1698,YEAR($B$2:$B$4001)&amp;"-"&amp;$A$2:$A$4001,0,-1)),H1698))</f>
        <v>9</v>
      </c>
      <c r="J1698" cm="1">
        <f t="array" ref="J1698">IF(OR(AND(I1698=9,J$1&gt;YEAR($N1698))),9,_xlfn.IFNA(INDEX($D$2:$D$4001,_xlfn.XMATCH(J$1&amp;"-"&amp;$F1698,YEAR($B$2:$B$4001)&amp;"-"&amp;$A$2:$A$4001,0,-1)),I1698))</f>
        <v>3</v>
      </c>
      <c r="K1698" cm="1">
        <f t="array" ref="K1698">IF(OR(AND(J1698=9,K$1&gt;YEAR($N1698))),9,_xlfn.IFNA(INDEX($D$2:$D$4001,_xlfn.XMATCH(K$1&amp;"-"&amp;$F1698,YEAR($B$2:$B$4001)&amp;"-"&amp;$A$2:$A$4001,0,-1)),J1698))</f>
        <v>3</v>
      </c>
      <c r="L1698" cm="1">
        <f t="array" ref="L1698">IF(OR(AND(K1698=9,L$1&gt;YEAR($N1698))),9,_xlfn.IFNA(INDEX($D$2:$D$4001,_xlfn.XMATCH(L$1&amp;"-"&amp;$F1698,YEAR($B$2:$B$4001)&amp;"-"&amp;$A$2:$A$4001,0,-1)),K1698))</f>
        <v>3</v>
      </c>
      <c r="M1698" cm="1">
        <f t="array" ref="M1698">IF(OR(AND(L1698=9,M$1&gt;YEAR($N1698))),9,_xlfn.IFNA(INDEX($D$2:$D$4001,_xlfn.XMATCH(M$1&amp;"-"&amp;$F1698,YEAR($B$2:$B$4001)&amp;"-"&amp;$A$2:$A$4001,0,-1)),L1698))</f>
        <v>3</v>
      </c>
      <c r="N1698" s="1">
        <f t="shared" si="26"/>
        <v>37620</v>
      </c>
    </row>
    <row r="1699" spans="1:14" x14ac:dyDescent="0.35">
      <c r="A1699">
        <v>799</v>
      </c>
      <c r="B1699" s="2">
        <v>38189</v>
      </c>
      <c r="C1699">
        <v>3</v>
      </c>
      <c r="D1699">
        <v>3</v>
      </c>
      <c r="F1699">
        <v>1698</v>
      </c>
      <c r="G1699" cm="1">
        <f t="array" ref="G1699">_xlfn.IFNA(INDEX($D$2:$D$4001,_xlfn.XMATCH(G$1&amp;"-"&amp;$F1699,YEAR($B$2:$B$4001)&amp;"-"&amp;$A$2:$A$4001,0,-1)),9)</f>
        <v>9</v>
      </c>
      <c r="H1699" cm="1">
        <f t="array" ref="H1699">IF(OR(AND(G1699=9,H$1&gt;YEAR($N1699))),9,_xlfn.IFNA(INDEX($D$2:$D$4001,_xlfn.XMATCH(H$1&amp;"-"&amp;$F1699,YEAR($B$2:$B$4001)&amp;"-"&amp;$A$2:$A$4001,0,-1)),G1699))</f>
        <v>9</v>
      </c>
      <c r="I1699" cm="1">
        <f t="array" ref="I1699">IF(OR(AND(H1699=9,I$1&gt;YEAR($N1699))),9,_xlfn.IFNA(INDEX($D$2:$D$4001,_xlfn.XMATCH(I$1&amp;"-"&amp;$F1699,YEAR($B$2:$B$4001)&amp;"-"&amp;$A$2:$A$4001,0,-1)),H1699))</f>
        <v>0</v>
      </c>
      <c r="J1699" cm="1">
        <f t="array" ref="J1699">IF(OR(AND(I1699=9,J$1&gt;YEAR($N1699))),9,_xlfn.IFNA(INDEX($D$2:$D$4001,_xlfn.XMATCH(J$1&amp;"-"&amp;$F1699,YEAR($B$2:$B$4001)&amp;"-"&amp;$A$2:$A$4001,0,-1)),I1699))</f>
        <v>0</v>
      </c>
      <c r="K1699" cm="1">
        <f t="array" ref="K1699">IF(OR(AND(J1699=9,K$1&gt;YEAR($N1699))),9,_xlfn.IFNA(INDEX($D$2:$D$4001,_xlfn.XMATCH(K$1&amp;"-"&amp;$F1699,YEAR($B$2:$B$4001)&amp;"-"&amp;$A$2:$A$4001,0,-1)),J1699))</f>
        <v>0</v>
      </c>
      <c r="L1699" cm="1">
        <f t="array" ref="L1699">IF(OR(AND(K1699=9,L$1&gt;YEAR($N1699))),9,_xlfn.IFNA(INDEX($D$2:$D$4001,_xlfn.XMATCH(L$1&amp;"-"&amp;$F1699,YEAR($B$2:$B$4001)&amp;"-"&amp;$A$2:$A$4001,0,-1)),K1699))</f>
        <v>0</v>
      </c>
      <c r="M1699" cm="1">
        <f t="array" ref="M1699">IF(OR(AND(L1699=9,M$1&gt;YEAR($N1699))),9,_xlfn.IFNA(INDEX($D$2:$D$4001,_xlfn.XMATCH(M$1&amp;"-"&amp;$F1699,YEAR($B$2:$B$4001)&amp;"-"&amp;$A$2:$A$4001,0,-1)),L1699))</f>
        <v>0</v>
      </c>
      <c r="N1699" s="1">
        <f t="shared" si="26"/>
        <v>37127</v>
      </c>
    </row>
    <row r="1700" spans="1:14" x14ac:dyDescent="0.35">
      <c r="A1700">
        <v>800</v>
      </c>
      <c r="B1700" s="2">
        <v>38128</v>
      </c>
      <c r="C1700">
        <v>4</v>
      </c>
      <c r="D1700">
        <v>4</v>
      </c>
      <c r="F1700">
        <v>1699</v>
      </c>
      <c r="G1700" cm="1">
        <f t="array" ref="G1700">_xlfn.IFNA(INDEX($D$2:$D$4001,_xlfn.XMATCH(G$1&amp;"-"&amp;$F1700,YEAR($B$2:$B$4001)&amp;"-"&amp;$A$2:$A$4001,0,-1)),9)</f>
        <v>9</v>
      </c>
      <c r="H1700" cm="1">
        <f t="array" ref="H1700">IF(OR(AND(G1700=9,H$1&gt;YEAR($N1700))),9,_xlfn.IFNA(INDEX($D$2:$D$4001,_xlfn.XMATCH(H$1&amp;"-"&amp;$F1700,YEAR($B$2:$B$4001)&amp;"-"&amp;$A$2:$A$4001,0,-1)),G1700))</f>
        <v>9</v>
      </c>
      <c r="I1700" cm="1">
        <f t="array" ref="I1700">IF(OR(AND(H1700=9,I$1&gt;YEAR($N1700))),9,_xlfn.IFNA(INDEX($D$2:$D$4001,_xlfn.XMATCH(I$1&amp;"-"&amp;$F1700,YEAR($B$2:$B$4001)&amp;"-"&amp;$A$2:$A$4001,0,-1)),H1700))</f>
        <v>9</v>
      </c>
      <c r="J1700" cm="1">
        <f t="array" ref="J1700">IF(OR(AND(I1700=9,J$1&gt;YEAR($N1700))),9,_xlfn.IFNA(INDEX($D$2:$D$4001,_xlfn.XMATCH(J$1&amp;"-"&amp;$F1700,YEAR($B$2:$B$4001)&amp;"-"&amp;$A$2:$A$4001,0,-1)),I1700))</f>
        <v>9</v>
      </c>
      <c r="K1700" cm="1">
        <f t="array" ref="K1700">IF(OR(AND(J1700=9,K$1&gt;YEAR($N1700))),9,_xlfn.IFNA(INDEX($D$2:$D$4001,_xlfn.XMATCH(K$1&amp;"-"&amp;$F1700,YEAR($B$2:$B$4001)&amp;"-"&amp;$A$2:$A$4001,0,-1)),J1700))</f>
        <v>9</v>
      </c>
      <c r="L1700" cm="1">
        <f t="array" ref="L1700">IF(OR(AND(K1700=9,L$1&gt;YEAR($N1700))),9,_xlfn.IFNA(INDEX($D$2:$D$4001,_xlfn.XMATCH(L$1&amp;"-"&amp;$F1700,YEAR($B$2:$B$4001)&amp;"-"&amp;$A$2:$A$4001,0,-1)),K1700))</f>
        <v>4</v>
      </c>
      <c r="M1700" cm="1">
        <f t="array" ref="M1700">IF(OR(AND(L1700=9,M$1&gt;YEAR($N1700))),9,_xlfn.IFNA(INDEX($D$2:$D$4001,_xlfn.XMATCH(M$1&amp;"-"&amp;$F1700,YEAR($B$2:$B$4001)&amp;"-"&amp;$A$2:$A$4001,0,-1)),L1700))</f>
        <v>4</v>
      </c>
      <c r="N1700" s="1">
        <f t="shared" si="26"/>
        <v>38260</v>
      </c>
    </row>
    <row r="1701" spans="1:14" x14ac:dyDescent="0.35">
      <c r="A1701">
        <v>801</v>
      </c>
      <c r="B1701" s="2">
        <v>37559</v>
      </c>
      <c r="C1701">
        <v>0</v>
      </c>
      <c r="D1701">
        <v>0</v>
      </c>
      <c r="F1701">
        <v>1700</v>
      </c>
      <c r="G1701" cm="1">
        <f t="array" ref="G1701">_xlfn.IFNA(INDEX($D$2:$D$4001,_xlfn.XMATCH(G$1&amp;"-"&amp;$F1701,YEAR($B$2:$B$4001)&amp;"-"&amp;$A$2:$A$4001,0,-1)),9)</f>
        <v>6</v>
      </c>
      <c r="H1701" cm="1">
        <f t="array" ref="H1701">IF(OR(AND(G1701=9,H$1&gt;YEAR($N1701))),9,_xlfn.IFNA(INDEX($D$2:$D$4001,_xlfn.XMATCH(H$1&amp;"-"&amp;$F1701,YEAR($B$2:$B$4001)&amp;"-"&amp;$A$2:$A$4001,0,-1)),G1701))</f>
        <v>6</v>
      </c>
      <c r="I1701" cm="1">
        <f t="array" ref="I1701">IF(OR(AND(H1701=9,I$1&gt;YEAR($N1701))),9,_xlfn.IFNA(INDEX($D$2:$D$4001,_xlfn.XMATCH(I$1&amp;"-"&amp;$F1701,YEAR($B$2:$B$4001)&amp;"-"&amp;$A$2:$A$4001,0,-1)),H1701))</f>
        <v>6</v>
      </c>
      <c r="J1701" cm="1">
        <f t="array" ref="J1701">IF(OR(AND(I1701=9,J$1&gt;YEAR($N1701))),9,_xlfn.IFNA(INDEX($D$2:$D$4001,_xlfn.XMATCH(J$1&amp;"-"&amp;$F1701,YEAR($B$2:$B$4001)&amp;"-"&amp;$A$2:$A$4001,0,-1)),I1701))</f>
        <v>6</v>
      </c>
      <c r="K1701" cm="1">
        <f t="array" ref="K1701">IF(OR(AND(J1701=9,K$1&gt;YEAR($N1701))),9,_xlfn.IFNA(INDEX($D$2:$D$4001,_xlfn.XMATCH(K$1&amp;"-"&amp;$F1701,YEAR($B$2:$B$4001)&amp;"-"&amp;$A$2:$A$4001,0,-1)),J1701))</f>
        <v>6</v>
      </c>
      <c r="L1701" cm="1">
        <f t="array" ref="L1701">IF(OR(AND(K1701=9,L$1&gt;YEAR($N1701))),9,_xlfn.IFNA(INDEX($D$2:$D$4001,_xlfn.XMATCH(L$1&amp;"-"&amp;$F1701,YEAR($B$2:$B$4001)&amp;"-"&amp;$A$2:$A$4001,0,-1)),K1701))</f>
        <v>6</v>
      </c>
      <c r="M1701" cm="1">
        <f t="array" ref="M1701">IF(OR(AND(L1701=9,M$1&gt;YEAR($N1701))),9,_xlfn.IFNA(INDEX($D$2:$D$4001,_xlfn.XMATCH(M$1&amp;"-"&amp;$F1701,YEAR($B$2:$B$4001)&amp;"-"&amp;$A$2:$A$4001,0,-1)),L1701))</f>
        <v>6</v>
      </c>
      <c r="N1701" s="1">
        <f t="shared" si="26"/>
        <v>36524</v>
      </c>
    </row>
    <row r="1702" spans="1:14" x14ac:dyDescent="0.35">
      <c r="A1702">
        <v>802</v>
      </c>
      <c r="B1702" s="2">
        <v>36402</v>
      </c>
      <c r="C1702">
        <v>3</v>
      </c>
      <c r="D1702">
        <v>3</v>
      </c>
      <c r="F1702">
        <v>1701</v>
      </c>
      <c r="G1702" cm="1">
        <f t="array" ref="G1702">_xlfn.IFNA(INDEX($D$2:$D$4001,_xlfn.XMATCH(G$1&amp;"-"&amp;$F1702,YEAR($B$2:$B$4001)&amp;"-"&amp;$A$2:$A$4001,0,-1)),9)</f>
        <v>3</v>
      </c>
      <c r="H1702" cm="1">
        <f t="array" ref="H1702">IF(OR(AND(G1702=9,H$1&gt;YEAR($N1702))),9,_xlfn.IFNA(INDEX($D$2:$D$4001,_xlfn.XMATCH(H$1&amp;"-"&amp;$F1702,YEAR($B$2:$B$4001)&amp;"-"&amp;$A$2:$A$4001,0,-1)),G1702))</f>
        <v>3</v>
      </c>
      <c r="I1702" cm="1">
        <f t="array" ref="I1702">IF(OR(AND(H1702=9,I$1&gt;YEAR($N1702))),9,_xlfn.IFNA(INDEX($D$2:$D$4001,_xlfn.XMATCH(I$1&amp;"-"&amp;$F1702,YEAR($B$2:$B$4001)&amp;"-"&amp;$A$2:$A$4001,0,-1)),H1702))</f>
        <v>3</v>
      </c>
      <c r="J1702" cm="1">
        <f t="array" ref="J1702">IF(OR(AND(I1702=9,J$1&gt;YEAR($N1702))),9,_xlfn.IFNA(INDEX($D$2:$D$4001,_xlfn.XMATCH(J$1&amp;"-"&amp;$F1702,YEAR($B$2:$B$4001)&amp;"-"&amp;$A$2:$A$4001,0,-1)),I1702))</f>
        <v>3</v>
      </c>
      <c r="K1702" cm="1">
        <f t="array" ref="K1702">IF(OR(AND(J1702=9,K$1&gt;YEAR($N1702))),9,_xlfn.IFNA(INDEX($D$2:$D$4001,_xlfn.XMATCH(K$1&amp;"-"&amp;$F1702,YEAR($B$2:$B$4001)&amp;"-"&amp;$A$2:$A$4001,0,-1)),J1702))</f>
        <v>3</v>
      </c>
      <c r="L1702" cm="1">
        <f t="array" ref="L1702">IF(OR(AND(K1702=9,L$1&gt;YEAR($N1702))),9,_xlfn.IFNA(INDEX($D$2:$D$4001,_xlfn.XMATCH(L$1&amp;"-"&amp;$F1702,YEAR($B$2:$B$4001)&amp;"-"&amp;$A$2:$A$4001,0,-1)),K1702))</f>
        <v>3</v>
      </c>
      <c r="M1702" cm="1">
        <f t="array" ref="M1702">IF(OR(AND(L1702=9,M$1&gt;YEAR($N1702))),9,_xlfn.IFNA(INDEX($D$2:$D$4001,_xlfn.XMATCH(M$1&amp;"-"&amp;$F1702,YEAR($B$2:$B$4001)&amp;"-"&amp;$A$2:$A$4001,0,-1)),L1702))</f>
        <v>3</v>
      </c>
      <c r="N1702" s="1">
        <f t="shared" si="26"/>
        <v>36524</v>
      </c>
    </row>
    <row r="1703" spans="1:14" x14ac:dyDescent="0.35">
      <c r="A1703">
        <v>803</v>
      </c>
      <c r="B1703" s="2">
        <v>36515</v>
      </c>
      <c r="C1703">
        <v>0</v>
      </c>
      <c r="D1703">
        <v>0</v>
      </c>
      <c r="F1703">
        <v>1702</v>
      </c>
      <c r="G1703" cm="1">
        <f t="array" ref="G1703">_xlfn.IFNA(INDEX($D$2:$D$4001,_xlfn.XMATCH(G$1&amp;"-"&amp;$F1703,YEAR($B$2:$B$4001)&amp;"-"&amp;$A$2:$A$4001,0,-1)),9)</f>
        <v>9</v>
      </c>
      <c r="H1703" cm="1">
        <f t="array" ref="H1703">IF(OR(AND(G1703=9,H$1&gt;YEAR($N1703))),9,_xlfn.IFNA(INDEX($D$2:$D$4001,_xlfn.XMATCH(H$1&amp;"-"&amp;$F1703,YEAR($B$2:$B$4001)&amp;"-"&amp;$A$2:$A$4001,0,-1)),G1703))</f>
        <v>9</v>
      </c>
      <c r="I1703" cm="1">
        <f t="array" ref="I1703">IF(OR(AND(H1703=9,I$1&gt;YEAR($N1703))),9,_xlfn.IFNA(INDEX($D$2:$D$4001,_xlfn.XMATCH(I$1&amp;"-"&amp;$F1703,YEAR($B$2:$B$4001)&amp;"-"&amp;$A$2:$A$4001,0,-1)),H1703))</f>
        <v>0</v>
      </c>
      <c r="J1703" cm="1">
        <f t="array" ref="J1703">IF(OR(AND(I1703=9,J$1&gt;YEAR($N1703))),9,_xlfn.IFNA(INDEX($D$2:$D$4001,_xlfn.XMATCH(J$1&amp;"-"&amp;$F1703,YEAR($B$2:$B$4001)&amp;"-"&amp;$A$2:$A$4001,0,-1)),I1703))</f>
        <v>0</v>
      </c>
      <c r="K1703" cm="1">
        <f t="array" ref="K1703">IF(OR(AND(J1703=9,K$1&gt;YEAR($N1703))),9,_xlfn.IFNA(INDEX($D$2:$D$4001,_xlfn.XMATCH(K$1&amp;"-"&amp;$F1703,YEAR($B$2:$B$4001)&amp;"-"&amp;$A$2:$A$4001,0,-1)),J1703))</f>
        <v>0</v>
      </c>
      <c r="L1703" cm="1">
        <f t="array" ref="L1703">IF(OR(AND(K1703=9,L$1&gt;YEAR($N1703))),9,_xlfn.IFNA(INDEX($D$2:$D$4001,_xlfn.XMATCH(L$1&amp;"-"&amp;$F1703,YEAR($B$2:$B$4001)&amp;"-"&amp;$A$2:$A$4001,0,-1)),K1703))</f>
        <v>0</v>
      </c>
      <c r="M1703" cm="1">
        <f t="array" ref="M1703">IF(OR(AND(L1703=9,M$1&gt;YEAR($N1703))),9,_xlfn.IFNA(INDEX($D$2:$D$4001,_xlfn.XMATCH(M$1&amp;"-"&amp;$F1703,YEAR($B$2:$B$4001)&amp;"-"&amp;$A$2:$A$4001,0,-1)),L1703))</f>
        <v>0</v>
      </c>
      <c r="N1703" s="1">
        <f t="shared" si="26"/>
        <v>37063</v>
      </c>
    </row>
    <row r="1704" spans="1:14" x14ac:dyDescent="0.35">
      <c r="A1704">
        <v>804</v>
      </c>
      <c r="B1704" s="2">
        <v>36524</v>
      </c>
      <c r="C1704">
        <v>0</v>
      </c>
      <c r="D1704">
        <v>0</v>
      </c>
      <c r="F1704">
        <v>1703</v>
      </c>
      <c r="G1704" cm="1">
        <f t="array" ref="G1704">_xlfn.IFNA(INDEX($D$2:$D$4001,_xlfn.XMATCH(G$1&amp;"-"&amp;$F1704,YEAR($B$2:$B$4001)&amp;"-"&amp;$A$2:$A$4001,0,-1)),9)</f>
        <v>9</v>
      </c>
      <c r="H1704" cm="1">
        <f t="array" ref="H1704">IF(OR(AND(G1704=9,H$1&gt;YEAR($N1704))),9,_xlfn.IFNA(INDEX($D$2:$D$4001,_xlfn.XMATCH(H$1&amp;"-"&amp;$F1704,YEAR($B$2:$B$4001)&amp;"-"&amp;$A$2:$A$4001,0,-1)),G1704))</f>
        <v>9</v>
      </c>
      <c r="I1704" cm="1">
        <f t="array" ref="I1704">IF(OR(AND(H1704=9,I$1&gt;YEAR($N1704))),9,_xlfn.IFNA(INDEX($D$2:$D$4001,_xlfn.XMATCH(I$1&amp;"-"&amp;$F1704,YEAR($B$2:$B$4001)&amp;"-"&amp;$A$2:$A$4001,0,-1)),H1704))</f>
        <v>9</v>
      </c>
      <c r="J1704" cm="1">
        <f t="array" ref="J1704">IF(OR(AND(I1704=9,J$1&gt;YEAR($N1704))),9,_xlfn.IFNA(INDEX($D$2:$D$4001,_xlfn.XMATCH(J$1&amp;"-"&amp;$F1704,YEAR($B$2:$B$4001)&amp;"-"&amp;$A$2:$A$4001,0,-1)),I1704))</f>
        <v>3</v>
      </c>
      <c r="K1704" cm="1">
        <f t="array" ref="K1704">IF(OR(AND(J1704=9,K$1&gt;YEAR($N1704))),9,_xlfn.IFNA(INDEX($D$2:$D$4001,_xlfn.XMATCH(K$1&amp;"-"&amp;$F1704,YEAR($B$2:$B$4001)&amp;"-"&amp;$A$2:$A$4001,0,-1)),J1704))</f>
        <v>3</v>
      </c>
      <c r="L1704" cm="1">
        <f t="array" ref="L1704">IF(OR(AND(K1704=9,L$1&gt;YEAR($N1704))),9,_xlfn.IFNA(INDEX($D$2:$D$4001,_xlfn.XMATCH(L$1&amp;"-"&amp;$F1704,YEAR($B$2:$B$4001)&amp;"-"&amp;$A$2:$A$4001,0,-1)),K1704))</f>
        <v>3</v>
      </c>
      <c r="M1704" cm="1">
        <f t="array" ref="M1704">IF(OR(AND(L1704=9,M$1&gt;YEAR($N1704))),9,_xlfn.IFNA(INDEX($D$2:$D$4001,_xlfn.XMATCH(M$1&amp;"-"&amp;$F1704,YEAR($B$2:$B$4001)&amp;"-"&amp;$A$2:$A$4001,0,-1)),L1704))</f>
        <v>3</v>
      </c>
      <c r="N1704" s="1">
        <f t="shared" si="26"/>
        <v>37428</v>
      </c>
    </row>
    <row r="1705" spans="1:14" x14ac:dyDescent="0.35">
      <c r="A1705">
        <v>805</v>
      </c>
      <c r="B1705" s="2">
        <v>37771</v>
      </c>
      <c r="C1705">
        <v>3</v>
      </c>
      <c r="D1705">
        <v>3</v>
      </c>
      <c r="F1705">
        <v>1704</v>
      </c>
      <c r="G1705" cm="1">
        <f t="array" ref="G1705">_xlfn.IFNA(INDEX($D$2:$D$4001,_xlfn.XMATCH(G$1&amp;"-"&amp;$F1705,YEAR($B$2:$B$4001)&amp;"-"&amp;$A$2:$A$4001,0,-1)),9)</f>
        <v>5</v>
      </c>
      <c r="H1705" cm="1">
        <f t="array" ref="H1705">IF(OR(AND(G1705=9,H$1&gt;YEAR($N1705))),9,_xlfn.IFNA(INDEX($D$2:$D$4001,_xlfn.XMATCH(H$1&amp;"-"&amp;$F1705,YEAR($B$2:$B$4001)&amp;"-"&amp;$A$2:$A$4001,0,-1)),G1705))</f>
        <v>5</v>
      </c>
      <c r="I1705" cm="1">
        <f t="array" ref="I1705">IF(OR(AND(H1705=9,I$1&gt;YEAR($N1705))),9,_xlfn.IFNA(INDEX($D$2:$D$4001,_xlfn.XMATCH(I$1&amp;"-"&amp;$F1705,YEAR($B$2:$B$4001)&amp;"-"&amp;$A$2:$A$4001,0,-1)),H1705))</f>
        <v>5</v>
      </c>
      <c r="J1705" cm="1">
        <f t="array" ref="J1705">IF(OR(AND(I1705=9,J$1&gt;YEAR($N1705))),9,_xlfn.IFNA(INDEX($D$2:$D$4001,_xlfn.XMATCH(J$1&amp;"-"&amp;$F1705,YEAR($B$2:$B$4001)&amp;"-"&amp;$A$2:$A$4001,0,-1)),I1705))</f>
        <v>5</v>
      </c>
      <c r="K1705" cm="1">
        <f t="array" ref="K1705">IF(OR(AND(J1705=9,K$1&gt;YEAR($N1705))),9,_xlfn.IFNA(INDEX($D$2:$D$4001,_xlfn.XMATCH(K$1&amp;"-"&amp;$F1705,YEAR($B$2:$B$4001)&amp;"-"&amp;$A$2:$A$4001,0,-1)),J1705))</f>
        <v>6</v>
      </c>
      <c r="L1705" cm="1">
        <f t="array" ref="L1705">IF(OR(AND(K1705=9,L$1&gt;YEAR($N1705))),9,_xlfn.IFNA(INDEX($D$2:$D$4001,_xlfn.XMATCH(L$1&amp;"-"&amp;$F1705,YEAR($B$2:$B$4001)&amp;"-"&amp;$A$2:$A$4001,0,-1)),K1705))</f>
        <v>6</v>
      </c>
      <c r="M1705" cm="1">
        <f t="array" ref="M1705">IF(OR(AND(L1705=9,M$1&gt;YEAR($N1705))),9,_xlfn.IFNA(INDEX($D$2:$D$4001,_xlfn.XMATCH(M$1&amp;"-"&amp;$F1705,YEAR($B$2:$B$4001)&amp;"-"&amp;$A$2:$A$4001,0,-1)),L1705))</f>
        <v>6</v>
      </c>
      <c r="N1705" s="1">
        <f t="shared" si="26"/>
        <v>36310</v>
      </c>
    </row>
    <row r="1706" spans="1:14" x14ac:dyDescent="0.35">
      <c r="A1706">
        <v>806</v>
      </c>
      <c r="B1706" s="2">
        <v>37255</v>
      </c>
      <c r="C1706">
        <v>2</v>
      </c>
      <c r="D1706">
        <v>2</v>
      </c>
      <c r="F1706">
        <v>1705</v>
      </c>
      <c r="G1706" cm="1">
        <f t="array" ref="G1706">_xlfn.IFNA(INDEX($D$2:$D$4001,_xlfn.XMATCH(G$1&amp;"-"&amp;$F1706,YEAR($B$2:$B$4001)&amp;"-"&amp;$A$2:$A$4001,0,-1)),9)</f>
        <v>9</v>
      </c>
      <c r="H1706" cm="1">
        <f t="array" ref="H1706">IF(OR(AND(G1706=9,H$1&gt;YEAR($N1706))),9,_xlfn.IFNA(INDEX($D$2:$D$4001,_xlfn.XMATCH(H$1&amp;"-"&amp;$F1706,YEAR($B$2:$B$4001)&amp;"-"&amp;$A$2:$A$4001,0,-1)),G1706))</f>
        <v>9</v>
      </c>
      <c r="I1706" cm="1">
        <f t="array" ref="I1706">IF(OR(AND(H1706=9,I$1&gt;YEAR($N1706))),9,_xlfn.IFNA(INDEX($D$2:$D$4001,_xlfn.XMATCH(I$1&amp;"-"&amp;$F1706,YEAR($B$2:$B$4001)&amp;"-"&amp;$A$2:$A$4001,0,-1)),H1706))</f>
        <v>3</v>
      </c>
      <c r="J1706" cm="1">
        <f t="array" ref="J1706">IF(OR(AND(I1706=9,J$1&gt;YEAR($N1706))),9,_xlfn.IFNA(INDEX($D$2:$D$4001,_xlfn.XMATCH(J$1&amp;"-"&amp;$F1706,YEAR($B$2:$B$4001)&amp;"-"&amp;$A$2:$A$4001,0,-1)),I1706))</f>
        <v>3</v>
      </c>
      <c r="K1706" cm="1">
        <f t="array" ref="K1706">IF(OR(AND(J1706=9,K$1&gt;YEAR($N1706))),9,_xlfn.IFNA(INDEX($D$2:$D$4001,_xlfn.XMATCH(K$1&amp;"-"&amp;$F1706,YEAR($B$2:$B$4001)&amp;"-"&amp;$A$2:$A$4001,0,-1)),J1706))</f>
        <v>3</v>
      </c>
      <c r="L1706" cm="1">
        <f t="array" ref="L1706">IF(OR(AND(K1706=9,L$1&gt;YEAR($N1706))),9,_xlfn.IFNA(INDEX($D$2:$D$4001,_xlfn.XMATCH(L$1&amp;"-"&amp;$F1706,YEAR($B$2:$B$4001)&amp;"-"&amp;$A$2:$A$4001,0,-1)),K1706))</f>
        <v>0</v>
      </c>
      <c r="M1706" cm="1">
        <f t="array" ref="M1706">IF(OR(AND(L1706=9,M$1&gt;YEAR($N1706))),9,_xlfn.IFNA(INDEX($D$2:$D$4001,_xlfn.XMATCH(M$1&amp;"-"&amp;$F1706,YEAR($B$2:$B$4001)&amp;"-"&amp;$A$2:$A$4001,0,-1)),L1706))</f>
        <v>0</v>
      </c>
      <c r="N1706" s="1">
        <f t="shared" si="26"/>
        <v>37041</v>
      </c>
    </row>
    <row r="1707" spans="1:14" x14ac:dyDescent="0.35">
      <c r="A1707">
        <v>806</v>
      </c>
      <c r="B1707" s="2">
        <v>38128</v>
      </c>
      <c r="C1707">
        <v>2</v>
      </c>
      <c r="D1707">
        <v>2</v>
      </c>
      <c r="F1707">
        <v>1706</v>
      </c>
      <c r="G1707" cm="1">
        <f t="array" ref="G1707">_xlfn.IFNA(INDEX($D$2:$D$4001,_xlfn.XMATCH(G$1&amp;"-"&amp;$F1707,YEAR($B$2:$B$4001)&amp;"-"&amp;$A$2:$A$4001,0,-1)),9)</f>
        <v>9</v>
      </c>
      <c r="H1707" cm="1">
        <f t="array" ref="H1707">IF(OR(AND(G1707=9,H$1&gt;YEAR($N1707))),9,_xlfn.IFNA(INDEX($D$2:$D$4001,_xlfn.XMATCH(H$1&amp;"-"&amp;$F1707,YEAR($B$2:$B$4001)&amp;"-"&amp;$A$2:$A$4001,0,-1)),G1707))</f>
        <v>0</v>
      </c>
      <c r="I1707" cm="1">
        <f t="array" ref="I1707">IF(OR(AND(H1707=9,I$1&gt;YEAR($N1707))),9,_xlfn.IFNA(INDEX($D$2:$D$4001,_xlfn.XMATCH(I$1&amp;"-"&amp;$F1707,YEAR($B$2:$B$4001)&amp;"-"&amp;$A$2:$A$4001,0,-1)),H1707))</f>
        <v>0</v>
      </c>
      <c r="J1707" cm="1">
        <f t="array" ref="J1707">IF(OR(AND(I1707=9,J$1&gt;YEAR($N1707))),9,_xlfn.IFNA(INDEX($D$2:$D$4001,_xlfn.XMATCH(J$1&amp;"-"&amp;$F1707,YEAR($B$2:$B$4001)&amp;"-"&amp;$A$2:$A$4001,0,-1)),I1707))</f>
        <v>2</v>
      </c>
      <c r="K1707" cm="1">
        <f t="array" ref="K1707">IF(OR(AND(J1707=9,K$1&gt;YEAR($N1707))),9,_xlfn.IFNA(INDEX($D$2:$D$4001,_xlfn.XMATCH(K$1&amp;"-"&amp;$F1707,YEAR($B$2:$B$4001)&amp;"-"&amp;$A$2:$A$4001,0,-1)),J1707))</f>
        <v>2</v>
      </c>
      <c r="L1707" cm="1">
        <f t="array" ref="L1707">IF(OR(AND(K1707=9,L$1&gt;YEAR($N1707))),9,_xlfn.IFNA(INDEX($D$2:$D$4001,_xlfn.XMATCH(L$1&amp;"-"&amp;$F1707,YEAR($B$2:$B$4001)&amp;"-"&amp;$A$2:$A$4001,0,-1)),K1707))</f>
        <v>2</v>
      </c>
      <c r="M1707" cm="1">
        <f t="array" ref="M1707">IF(OR(AND(L1707=9,M$1&gt;YEAR($N1707))),9,_xlfn.IFNA(INDEX($D$2:$D$4001,_xlfn.XMATCH(M$1&amp;"-"&amp;$F1707,YEAR($B$2:$B$4001)&amp;"-"&amp;$A$2:$A$4001,0,-1)),L1707))</f>
        <v>2</v>
      </c>
      <c r="N1707" s="1">
        <f t="shared" si="26"/>
        <v>36667</v>
      </c>
    </row>
    <row r="1708" spans="1:14" x14ac:dyDescent="0.35">
      <c r="A1708">
        <v>807</v>
      </c>
      <c r="B1708" s="2">
        <v>36676</v>
      </c>
      <c r="C1708">
        <v>2</v>
      </c>
      <c r="D1708">
        <v>2</v>
      </c>
      <c r="F1708">
        <v>1707</v>
      </c>
      <c r="G1708" cm="1">
        <f t="array" ref="G1708">_xlfn.IFNA(INDEX($D$2:$D$4001,_xlfn.XMATCH(G$1&amp;"-"&amp;$F1708,YEAR($B$2:$B$4001)&amp;"-"&amp;$A$2:$A$4001,0,-1)),9)</f>
        <v>9</v>
      </c>
      <c r="H1708" cm="1">
        <f t="array" ref="H1708">IF(OR(AND(G1708=9,H$1&gt;YEAR($N1708))),9,_xlfn.IFNA(INDEX($D$2:$D$4001,_xlfn.XMATCH(H$1&amp;"-"&amp;$F1708,YEAR($B$2:$B$4001)&amp;"-"&amp;$A$2:$A$4001,0,-1)),G1708))</f>
        <v>9</v>
      </c>
      <c r="I1708" cm="1">
        <f t="array" ref="I1708">IF(OR(AND(H1708=9,I$1&gt;YEAR($N1708))),9,_xlfn.IFNA(INDEX($D$2:$D$4001,_xlfn.XMATCH(I$1&amp;"-"&amp;$F1708,YEAR($B$2:$B$4001)&amp;"-"&amp;$A$2:$A$4001,0,-1)),H1708))</f>
        <v>9</v>
      </c>
      <c r="J1708" cm="1">
        <f t="array" ref="J1708">IF(OR(AND(I1708=9,J$1&gt;YEAR($N1708))),9,_xlfn.IFNA(INDEX($D$2:$D$4001,_xlfn.XMATCH(J$1&amp;"-"&amp;$F1708,YEAR($B$2:$B$4001)&amp;"-"&amp;$A$2:$A$4001,0,-1)),I1708))</f>
        <v>1</v>
      </c>
      <c r="K1708" cm="1">
        <f t="array" ref="K1708">IF(OR(AND(J1708=9,K$1&gt;YEAR($N1708))),9,_xlfn.IFNA(INDEX($D$2:$D$4001,_xlfn.XMATCH(K$1&amp;"-"&amp;$F1708,YEAR($B$2:$B$4001)&amp;"-"&amp;$A$2:$A$4001,0,-1)),J1708))</f>
        <v>1</v>
      </c>
      <c r="L1708" cm="1">
        <f t="array" ref="L1708">IF(OR(AND(K1708=9,L$1&gt;YEAR($N1708))),9,_xlfn.IFNA(INDEX($D$2:$D$4001,_xlfn.XMATCH(L$1&amp;"-"&amp;$F1708,YEAR($B$2:$B$4001)&amp;"-"&amp;$A$2:$A$4001,0,-1)),K1708))</f>
        <v>1</v>
      </c>
      <c r="M1708" cm="1">
        <f t="array" ref="M1708">IF(OR(AND(L1708=9,M$1&gt;YEAR($N1708))),9,_xlfn.IFNA(INDEX($D$2:$D$4001,_xlfn.XMATCH(M$1&amp;"-"&amp;$F1708,YEAR($B$2:$B$4001)&amp;"-"&amp;$A$2:$A$4001,0,-1)),L1708))</f>
        <v>1</v>
      </c>
      <c r="N1708" s="1">
        <f t="shared" si="26"/>
        <v>37620</v>
      </c>
    </row>
    <row r="1709" spans="1:14" x14ac:dyDescent="0.35">
      <c r="A1709">
        <v>807</v>
      </c>
      <c r="B1709" s="2">
        <v>37620</v>
      </c>
      <c r="C1709">
        <v>2</v>
      </c>
      <c r="D1709">
        <v>2</v>
      </c>
      <c r="F1709">
        <v>1708</v>
      </c>
      <c r="G1709" cm="1">
        <f t="array" ref="G1709">_xlfn.IFNA(INDEX($D$2:$D$4001,_xlfn.XMATCH(G$1&amp;"-"&amp;$F1709,YEAR($B$2:$B$4001)&amp;"-"&amp;$A$2:$A$4001,0,-1)),9)</f>
        <v>9</v>
      </c>
      <c r="H1709" cm="1">
        <f t="array" ref="H1709">IF(OR(AND(G1709=9,H$1&gt;YEAR($N1709))),9,_xlfn.IFNA(INDEX($D$2:$D$4001,_xlfn.XMATCH(H$1&amp;"-"&amp;$F1709,YEAR($B$2:$B$4001)&amp;"-"&amp;$A$2:$A$4001,0,-1)),G1709))</f>
        <v>9</v>
      </c>
      <c r="I1709" cm="1">
        <f t="array" ref="I1709">IF(OR(AND(H1709=9,I$1&gt;YEAR($N1709))),9,_xlfn.IFNA(INDEX($D$2:$D$4001,_xlfn.XMATCH(I$1&amp;"-"&amp;$F1709,YEAR($B$2:$B$4001)&amp;"-"&amp;$A$2:$A$4001,0,-1)),H1709))</f>
        <v>3</v>
      </c>
      <c r="J1709" cm="1">
        <f t="array" ref="J1709">IF(OR(AND(I1709=9,J$1&gt;YEAR($N1709))),9,_xlfn.IFNA(INDEX($D$2:$D$4001,_xlfn.XMATCH(J$1&amp;"-"&amp;$F1709,YEAR($B$2:$B$4001)&amp;"-"&amp;$A$2:$A$4001,0,-1)),I1709))</f>
        <v>3</v>
      </c>
      <c r="K1709" cm="1">
        <f t="array" ref="K1709">IF(OR(AND(J1709=9,K$1&gt;YEAR($N1709))),9,_xlfn.IFNA(INDEX($D$2:$D$4001,_xlfn.XMATCH(K$1&amp;"-"&amp;$F1709,YEAR($B$2:$B$4001)&amp;"-"&amp;$A$2:$A$4001,0,-1)),J1709))</f>
        <v>3</v>
      </c>
      <c r="L1709" cm="1">
        <f t="array" ref="L1709">IF(OR(AND(K1709=9,L$1&gt;YEAR($N1709))),9,_xlfn.IFNA(INDEX($D$2:$D$4001,_xlfn.XMATCH(L$1&amp;"-"&amp;$F1709,YEAR($B$2:$B$4001)&amp;"-"&amp;$A$2:$A$4001,0,-1)),K1709))</f>
        <v>3</v>
      </c>
      <c r="M1709" cm="1">
        <f t="array" ref="M1709">IF(OR(AND(L1709=9,M$1&gt;YEAR($N1709))),9,_xlfn.IFNA(INDEX($D$2:$D$4001,_xlfn.XMATCH(M$1&amp;"-"&amp;$F1709,YEAR($B$2:$B$4001)&amp;"-"&amp;$A$2:$A$4001,0,-1)),L1709))</f>
        <v>3</v>
      </c>
      <c r="N1709" s="1">
        <f t="shared" si="26"/>
        <v>37032</v>
      </c>
    </row>
    <row r="1710" spans="1:14" x14ac:dyDescent="0.35">
      <c r="A1710">
        <v>807</v>
      </c>
      <c r="B1710" s="2">
        <v>38493</v>
      </c>
      <c r="C1710">
        <v>2</v>
      </c>
      <c r="D1710">
        <v>2</v>
      </c>
      <c r="F1710">
        <v>1709</v>
      </c>
      <c r="G1710" cm="1">
        <f t="array" ref="G1710">_xlfn.IFNA(INDEX($D$2:$D$4001,_xlfn.XMATCH(G$1&amp;"-"&amp;$F1710,YEAR($B$2:$B$4001)&amp;"-"&amp;$A$2:$A$4001,0,-1)),9)</f>
        <v>7</v>
      </c>
      <c r="H1710" cm="1">
        <f t="array" ref="H1710">IF(OR(AND(G1710=9,H$1&gt;YEAR($N1710))),9,_xlfn.IFNA(INDEX($D$2:$D$4001,_xlfn.XMATCH(H$1&amp;"-"&amp;$F1710,YEAR($B$2:$B$4001)&amp;"-"&amp;$A$2:$A$4001,0,-1)),G1710))</f>
        <v>7</v>
      </c>
      <c r="I1710" cm="1">
        <f t="array" ref="I1710">IF(OR(AND(H1710=9,I$1&gt;YEAR($N1710))),9,_xlfn.IFNA(INDEX($D$2:$D$4001,_xlfn.XMATCH(I$1&amp;"-"&amp;$F1710,YEAR($B$2:$B$4001)&amp;"-"&amp;$A$2:$A$4001,0,-1)),H1710))</f>
        <v>8</v>
      </c>
      <c r="J1710" cm="1">
        <f t="array" ref="J1710">IF(OR(AND(I1710=9,J$1&gt;YEAR($N1710))),9,_xlfn.IFNA(INDEX($D$2:$D$4001,_xlfn.XMATCH(J$1&amp;"-"&amp;$F1710,YEAR($B$2:$B$4001)&amp;"-"&amp;$A$2:$A$4001,0,-1)),I1710))</f>
        <v>8</v>
      </c>
      <c r="K1710" cm="1">
        <f t="array" ref="K1710">IF(OR(AND(J1710=9,K$1&gt;YEAR($N1710))),9,_xlfn.IFNA(INDEX($D$2:$D$4001,_xlfn.XMATCH(K$1&amp;"-"&amp;$F1710,YEAR($B$2:$B$4001)&amp;"-"&amp;$A$2:$A$4001,0,-1)),J1710))</f>
        <v>8</v>
      </c>
      <c r="L1710" cm="1">
        <f t="array" ref="L1710">IF(OR(AND(K1710=9,L$1&gt;YEAR($N1710))),9,_xlfn.IFNA(INDEX($D$2:$D$4001,_xlfn.XMATCH(L$1&amp;"-"&amp;$F1710,YEAR($B$2:$B$4001)&amp;"-"&amp;$A$2:$A$4001,0,-1)),K1710))</f>
        <v>8</v>
      </c>
      <c r="M1710" cm="1">
        <f t="array" ref="M1710">IF(OR(AND(L1710=9,M$1&gt;YEAR($N1710))),9,_xlfn.IFNA(INDEX($D$2:$D$4001,_xlfn.XMATCH(M$1&amp;"-"&amp;$F1710,YEAR($B$2:$B$4001)&amp;"-"&amp;$A$2:$A$4001,0,-1)),L1710))</f>
        <v>8</v>
      </c>
      <c r="N1710" s="1">
        <f t="shared" si="26"/>
        <v>36301</v>
      </c>
    </row>
    <row r="1711" spans="1:14" x14ac:dyDescent="0.35">
      <c r="A1711">
        <v>808</v>
      </c>
      <c r="B1711" s="2">
        <v>36737</v>
      </c>
      <c r="C1711">
        <v>0</v>
      </c>
      <c r="D1711">
        <v>0</v>
      </c>
      <c r="F1711">
        <v>1710</v>
      </c>
      <c r="G1711" cm="1">
        <f t="array" ref="G1711">_xlfn.IFNA(INDEX($D$2:$D$4001,_xlfn.XMATCH(G$1&amp;"-"&amp;$F1711,YEAR($B$2:$B$4001)&amp;"-"&amp;$A$2:$A$4001,0,-1)),9)</f>
        <v>9</v>
      </c>
      <c r="H1711" cm="1">
        <f t="array" ref="H1711">IF(OR(AND(G1711=9,H$1&gt;YEAR($N1711))),9,_xlfn.IFNA(INDEX($D$2:$D$4001,_xlfn.XMATCH(H$1&amp;"-"&amp;$F1711,YEAR($B$2:$B$4001)&amp;"-"&amp;$A$2:$A$4001,0,-1)),G1711))</f>
        <v>9</v>
      </c>
      <c r="I1711" cm="1">
        <f t="array" ref="I1711">IF(OR(AND(H1711=9,I$1&gt;YEAR($N1711))),9,_xlfn.IFNA(INDEX($D$2:$D$4001,_xlfn.XMATCH(I$1&amp;"-"&amp;$F1711,YEAR($B$2:$B$4001)&amp;"-"&amp;$A$2:$A$4001,0,-1)),H1711))</f>
        <v>9</v>
      </c>
      <c r="J1711" cm="1">
        <f t="array" ref="J1711">IF(OR(AND(I1711=9,J$1&gt;YEAR($N1711))),9,_xlfn.IFNA(INDEX($D$2:$D$4001,_xlfn.XMATCH(J$1&amp;"-"&amp;$F1711,YEAR($B$2:$B$4001)&amp;"-"&amp;$A$2:$A$4001,0,-1)),I1711))</f>
        <v>3</v>
      </c>
      <c r="K1711" cm="1">
        <f t="array" ref="K1711">IF(OR(AND(J1711=9,K$1&gt;YEAR($N1711))),9,_xlfn.IFNA(INDEX($D$2:$D$4001,_xlfn.XMATCH(K$1&amp;"-"&amp;$F1711,YEAR($B$2:$B$4001)&amp;"-"&amp;$A$2:$A$4001,0,-1)),J1711))</f>
        <v>3</v>
      </c>
      <c r="L1711" cm="1">
        <f t="array" ref="L1711">IF(OR(AND(K1711=9,L$1&gt;YEAR($N1711))),9,_xlfn.IFNA(INDEX($D$2:$D$4001,_xlfn.XMATCH(L$1&amp;"-"&amp;$F1711,YEAR($B$2:$B$4001)&amp;"-"&amp;$A$2:$A$4001,0,-1)),K1711))</f>
        <v>3</v>
      </c>
      <c r="M1711" cm="1">
        <f t="array" ref="M1711">IF(OR(AND(L1711=9,M$1&gt;YEAR($N1711))),9,_xlfn.IFNA(INDEX($D$2:$D$4001,_xlfn.XMATCH(M$1&amp;"-"&amp;$F1711,YEAR($B$2:$B$4001)&amp;"-"&amp;$A$2:$A$4001,0,-1)),L1711))</f>
        <v>3</v>
      </c>
      <c r="N1711" s="1">
        <f t="shared" si="26"/>
        <v>37620</v>
      </c>
    </row>
    <row r="1712" spans="1:14" x14ac:dyDescent="0.35">
      <c r="A1712">
        <v>809</v>
      </c>
      <c r="B1712" s="2">
        <v>37620</v>
      </c>
      <c r="C1712">
        <v>2</v>
      </c>
      <c r="D1712">
        <v>2</v>
      </c>
      <c r="F1712">
        <v>1711</v>
      </c>
      <c r="G1712" cm="1">
        <f t="array" ref="G1712">_xlfn.IFNA(INDEX($D$2:$D$4001,_xlfn.XMATCH(G$1&amp;"-"&amp;$F1712,YEAR($B$2:$B$4001)&amp;"-"&amp;$A$2:$A$4001,0,-1)),9)</f>
        <v>9</v>
      </c>
      <c r="H1712" cm="1">
        <f t="array" ref="H1712">IF(OR(AND(G1712=9,H$1&gt;YEAR($N1712))),9,_xlfn.IFNA(INDEX($D$2:$D$4001,_xlfn.XMATCH(H$1&amp;"-"&amp;$F1712,YEAR($B$2:$B$4001)&amp;"-"&amp;$A$2:$A$4001,0,-1)),G1712))</f>
        <v>3</v>
      </c>
      <c r="I1712" cm="1">
        <f t="array" ref="I1712">IF(OR(AND(H1712=9,I$1&gt;YEAR($N1712))),9,_xlfn.IFNA(INDEX($D$2:$D$4001,_xlfn.XMATCH(I$1&amp;"-"&amp;$F1712,YEAR($B$2:$B$4001)&amp;"-"&amp;$A$2:$A$4001,0,-1)),H1712))</f>
        <v>3</v>
      </c>
      <c r="J1712" cm="1">
        <f t="array" ref="J1712">IF(OR(AND(I1712=9,J$1&gt;YEAR($N1712))),9,_xlfn.IFNA(INDEX($D$2:$D$4001,_xlfn.XMATCH(J$1&amp;"-"&amp;$F1712,YEAR($B$2:$B$4001)&amp;"-"&amp;$A$2:$A$4001,0,-1)),I1712))</f>
        <v>3</v>
      </c>
      <c r="K1712" cm="1">
        <f t="array" ref="K1712">IF(OR(AND(J1712=9,K$1&gt;YEAR($N1712))),9,_xlfn.IFNA(INDEX($D$2:$D$4001,_xlfn.XMATCH(K$1&amp;"-"&amp;$F1712,YEAR($B$2:$B$4001)&amp;"-"&amp;$A$2:$A$4001,0,-1)),J1712))</f>
        <v>3</v>
      </c>
      <c r="L1712" cm="1">
        <f t="array" ref="L1712">IF(OR(AND(K1712=9,L$1&gt;YEAR($N1712))),9,_xlfn.IFNA(INDEX($D$2:$D$4001,_xlfn.XMATCH(L$1&amp;"-"&amp;$F1712,YEAR($B$2:$B$4001)&amp;"-"&amp;$A$2:$A$4001,0,-1)),K1712))</f>
        <v>3</v>
      </c>
      <c r="M1712" cm="1">
        <f t="array" ref="M1712">IF(OR(AND(L1712=9,M$1&gt;YEAR($N1712))),9,_xlfn.IFNA(INDEX($D$2:$D$4001,_xlfn.XMATCH(M$1&amp;"-"&amp;$F1712,YEAR($B$2:$B$4001)&amp;"-"&amp;$A$2:$A$4001,0,-1)),L1712))</f>
        <v>3</v>
      </c>
      <c r="N1712" s="1">
        <f t="shared" si="26"/>
        <v>36676</v>
      </c>
    </row>
    <row r="1713" spans="1:14" x14ac:dyDescent="0.35">
      <c r="A1713">
        <v>809</v>
      </c>
      <c r="B1713" s="2">
        <v>38655</v>
      </c>
      <c r="C1713">
        <v>2</v>
      </c>
      <c r="D1713">
        <v>2</v>
      </c>
      <c r="F1713">
        <v>1712</v>
      </c>
      <c r="G1713" cm="1">
        <f t="array" ref="G1713">_xlfn.IFNA(INDEX($D$2:$D$4001,_xlfn.XMATCH(G$1&amp;"-"&amp;$F1713,YEAR($B$2:$B$4001)&amp;"-"&amp;$A$2:$A$4001,0,-1)),9)</f>
        <v>9</v>
      </c>
      <c r="H1713" cm="1">
        <f t="array" ref="H1713">IF(OR(AND(G1713=9,H$1&gt;YEAR($N1713))),9,_xlfn.IFNA(INDEX($D$2:$D$4001,_xlfn.XMATCH(H$1&amp;"-"&amp;$F1713,YEAR($B$2:$B$4001)&amp;"-"&amp;$A$2:$A$4001,0,-1)),G1713))</f>
        <v>9</v>
      </c>
      <c r="I1713" cm="1">
        <f t="array" ref="I1713">IF(OR(AND(H1713=9,I$1&gt;YEAR($N1713))),9,_xlfn.IFNA(INDEX($D$2:$D$4001,_xlfn.XMATCH(I$1&amp;"-"&amp;$F1713,YEAR($B$2:$B$4001)&amp;"-"&amp;$A$2:$A$4001,0,-1)),H1713))</f>
        <v>9</v>
      </c>
      <c r="J1713" cm="1">
        <f t="array" ref="J1713">IF(OR(AND(I1713=9,J$1&gt;YEAR($N1713))),9,_xlfn.IFNA(INDEX($D$2:$D$4001,_xlfn.XMATCH(J$1&amp;"-"&amp;$F1713,YEAR($B$2:$B$4001)&amp;"-"&amp;$A$2:$A$4001,0,-1)),I1713))</f>
        <v>3</v>
      </c>
      <c r="K1713" cm="1">
        <f t="array" ref="K1713">IF(OR(AND(J1713=9,K$1&gt;YEAR($N1713))),9,_xlfn.IFNA(INDEX($D$2:$D$4001,_xlfn.XMATCH(K$1&amp;"-"&amp;$F1713,YEAR($B$2:$B$4001)&amp;"-"&amp;$A$2:$A$4001,0,-1)),J1713))</f>
        <v>0</v>
      </c>
      <c r="L1713" cm="1">
        <f t="array" ref="L1713">IF(OR(AND(K1713=9,L$1&gt;YEAR($N1713))),9,_xlfn.IFNA(INDEX($D$2:$D$4001,_xlfn.XMATCH(L$1&amp;"-"&amp;$F1713,YEAR($B$2:$B$4001)&amp;"-"&amp;$A$2:$A$4001,0,-1)),K1713))</f>
        <v>0</v>
      </c>
      <c r="M1713" cm="1">
        <f t="array" ref="M1713">IF(OR(AND(L1713=9,M$1&gt;YEAR($N1713))),9,_xlfn.IFNA(INDEX($D$2:$D$4001,_xlfn.XMATCH(M$1&amp;"-"&amp;$F1713,YEAR($B$2:$B$4001)&amp;"-"&amp;$A$2:$A$4001,0,-1)),L1713))</f>
        <v>0</v>
      </c>
      <c r="N1713" s="1">
        <f t="shared" si="26"/>
        <v>37620</v>
      </c>
    </row>
    <row r="1714" spans="1:14" x14ac:dyDescent="0.35">
      <c r="A1714">
        <v>810</v>
      </c>
      <c r="B1714" s="2">
        <v>38128</v>
      </c>
      <c r="C1714">
        <v>2</v>
      </c>
      <c r="D1714">
        <v>2</v>
      </c>
      <c r="F1714">
        <v>1713</v>
      </c>
      <c r="G1714" cm="1">
        <f t="array" ref="G1714">_xlfn.IFNA(INDEX($D$2:$D$4001,_xlfn.XMATCH(G$1&amp;"-"&amp;$F1714,YEAR($B$2:$B$4001)&amp;"-"&amp;$A$2:$A$4001,0,-1)),9)</f>
        <v>9</v>
      </c>
      <c r="H1714" cm="1">
        <f t="array" ref="H1714">IF(OR(AND(G1714=9,H$1&gt;YEAR($N1714))),9,_xlfn.IFNA(INDEX($D$2:$D$4001,_xlfn.XMATCH(H$1&amp;"-"&amp;$F1714,YEAR($B$2:$B$4001)&amp;"-"&amp;$A$2:$A$4001,0,-1)),G1714))</f>
        <v>9</v>
      </c>
      <c r="I1714" cm="1">
        <f t="array" ref="I1714">IF(OR(AND(H1714=9,I$1&gt;YEAR($N1714))),9,_xlfn.IFNA(INDEX($D$2:$D$4001,_xlfn.XMATCH(I$1&amp;"-"&amp;$F1714,YEAR($B$2:$B$4001)&amp;"-"&amp;$A$2:$A$4001,0,-1)),H1714))</f>
        <v>3</v>
      </c>
      <c r="J1714" cm="1">
        <f t="array" ref="J1714">IF(OR(AND(I1714=9,J$1&gt;YEAR($N1714))),9,_xlfn.IFNA(INDEX($D$2:$D$4001,_xlfn.XMATCH(J$1&amp;"-"&amp;$F1714,YEAR($B$2:$B$4001)&amp;"-"&amp;$A$2:$A$4001,0,-1)),I1714))</f>
        <v>4</v>
      </c>
      <c r="K1714" cm="1">
        <f t="array" ref="K1714">IF(OR(AND(J1714=9,K$1&gt;YEAR($N1714))),9,_xlfn.IFNA(INDEX($D$2:$D$4001,_xlfn.XMATCH(K$1&amp;"-"&amp;$F1714,YEAR($B$2:$B$4001)&amp;"-"&amp;$A$2:$A$4001,0,-1)),J1714))</f>
        <v>4</v>
      </c>
      <c r="L1714" cm="1">
        <f t="array" ref="L1714">IF(OR(AND(K1714=9,L$1&gt;YEAR($N1714))),9,_xlfn.IFNA(INDEX($D$2:$D$4001,_xlfn.XMATCH(L$1&amp;"-"&amp;$F1714,YEAR($B$2:$B$4001)&amp;"-"&amp;$A$2:$A$4001,0,-1)),K1714))</f>
        <v>5</v>
      </c>
      <c r="M1714" cm="1">
        <f t="array" ref="M1714">IF(OR(AND(L1714=9,M$1&gt;YEAR($N1714))),9,_xlfn.IFNA(INDEX($D$2:$D$4001,_xlfn.XMATCH(M$1&amp;"-"&amp;$F1714,YEAR($B$2:$B$4001)&amp;"-"&amp;$A$2:$A$4001,0,-1)),L1714))</f>
        <v>5</v>
      </c>
      <c r="N1714" s="1">
        <f t="shared" si="26"/>
        <v>37041</v>
      </c>
    </row>
    <row r="1715" spans="1:14" x14ac:dyDescent="0.35">
      <c r="A1715">
        <v>811</v>
      </c>
      <c r="B1715" s="2">
        <v>36676</v>
      </c>
      <c r="C1715">
        <v>3</v>
      </c>
      <c r="D1715">
        <v>3</v>
      </c>
      <c r="F1715">
        <v>1714</v>
      </c>
      <c r="G1715" cm="1">
        <f t="array" ref="G1715">_xlfn.IFNA(INDEX($D$2:$D$4001,_xlfn.XMATCH(G$1&amp;"-"&amp;$F1715,YEAR($B$2:$B$4001)&amp;"-"&amp;$A$2:$A$4001,0,-1)),9)</f>
        <v>9</v>
      </c>
      <c r="H1715" cm="1">
        <f t="array" ref="H1715">IF(OR(AND(G1715=9,H$1&gt;YEAR($N1715))),9,_xlfn.IFNA(INDEX($D$2:$D$4001,_xlfn.XMATCH(H$1&amp;"-"&amp;$F1715,YEAR($B$2:$B$4001)&amp;"-"&amp;$A$2:$A$4001,0,-1)),G1715))</f>
        <v>0</v>
      </c>
      <c r="I1715" cm="1">
        <f t="array" ref="I1715">IF(OR(AND(H1715=9,I$1&gt;YEAR($N1715))),9,_xlfn.IFNA(INDEX($D$2:$D$4001,_xlfn.XMATCH(I$1&amp;"-"&amp;$F1715,YEAR($B$2:$B$4001)&amp;"-"&amp;$A$2:$A$4001,0,-1)),H1715))</f>
        <v>4</v>
      </c>
      <c r="J1715" cm="1">
        <f t="array" ref="J1715">IF(OR(AND(I1715=9,J$1&gt;YEAR($N1715))),9,_xlfn.IFNA(INDEX($D$2:$D$4001,_xlfn.XMATCH(J$1&amp;"-"&amp;$F1715,YEAR($B$2:$B$4001)&amp;"-"&amp;$A$2:$A$4001,0,-1)),I1715))</f>
        <v>4</v>
      </c>
      <c r="K1715" cm="1">
        <f t="array" ref="K1715">IF(OR(AND(J1715=9,K$1&gt;YEAR($N1715))),9,_xlfn.IFNA(INDEX($D$2:$D$4001,_xlfn.XMATCH(K$1&amp;"-"&amp;$F1715,YEAR($B$2:$B$4001)&amp;"-"&amp;$A$2:$A$4001,0,-1)),J1715))</f>
        <v>4</v>
      </c>
      <c r="L1715" cm="1">
        <f t="array" ref="L1715">IF(OR(AND(K1715=9,L$1&gt;YEAR($N1715))),9,_xlfn.IFNA(INDEX($D$2:$D$4001,_xlfn.XMATCH(L$1&amp;"-"&amp;$F1715,YEAR($B$2:$B$4001)&amp;"-"&amp;$A$2:$A$4001,0,-1)),K1715))</f>
        <v>4</v>
      </c>
      <c r="M1715" cm="1">
        <f t="array" ref="M1715">IF(OR(AND(L1715=9,M$1&gt;YEAR($N1715))),9,_xlfn.IFNA(INDEX($D$2:$D$4001,_xlfn.XMATCH(M$1&amp;"-"&amp;$F1715,YEAR($B$2:$B$4001)&amp;"-"&amp;$A$2:$A$4001,0,-1)),L1715))</f>
        <v>4</v>
      </c>
      <c r="N1715" s="1">
        <f t="shared" si="26"/>
        <v>36890</v>
      </c>
    </row>
    <row r="1716" spans="1:14" x14ac:dyDescent="0.35">
      <c r="A1716">
        <v>811</v>
      </c>
      <c r="B1716" s="2">
        <v>37399</v>
      </c>
      <c r="C1716">
        <v>2</v>
      </c>
      <c r="D1716">
        <v>2</v>
      </c>
      <c r="F1716">
        <v>1715</v>
      </c>
      <c r="G1716" cm="1">
        <f t="array" ref="G1716">_xlfn.IFNA(INDEX($D$2:$D$4001,_xlfn.XMATCH(G$1&amp;"-"&amp;$F1716,YEAR($B$2:$B$4001)&amp;"-"&amp;$A$2:$A$4001,0,-1)),9)</f>
        <v>3</v>
      </c>
      <c r="H1716" cm="1">
        <f t="array" ref="H1716">IF(OR(AND(G1716=9,H$1&gt;YEAR($N1716))),9,_xlfn.IFNA(INDEX($D$2:$D$4001,_xlfn.XMATCH(H$1&amp;"-"&amp;$F1716,YEAR($B$2:$B$4001)&amp;"-"&amp;$A$2:$A$4001,0,-1)),G1716))</f>
        <v>3</v>
      </c>
      <c r="I1716" cm="1">
        <f t="array" ref="I1716">IF(OR(AND(H1716=9,I$1&gt;YEAR($N1716))),9,_xlfn.IFNA(INDEX($D$2:$D$4001,_xlfn.XMATCH(I$1&amp;"-"&amp;$F1716,YEAR($B$2:$B$4001)&amp;"-"&amp;$A$2:$A$4001,0,-1)),H1716))</f>
        <v>3</v>
      </c>
      <c r="J1716" cm="1">
        <f t="array" ref="J1716">IF(OR(AND(I1716=9,J$1&gt;YEAR($N1716))),9,_xlfn.IFNA(INDEX($D$2:$D$4001,_xlfn.XMATCH(J$1&amp;"-"&amp;$F1716,YEAR($B$2:$B$4001)&amp;"-"&amp;$A$2:$A$4001,0,-1)),I1716))</f>
        <v>3</v>
      </c>
      <c r="K1716" cm="1">
        <f t="array" ref="K1716">IF(OR(AND(J1716=9,K$1&gt;YEAR($N1716))),9,_xlfn.IFNA(INDEX($D$2:$D$4001,_xlfn.XMATCH(K$1&amp;"-"&amp;$F1716,YEAR($B$2:$B$4001)&amp;"-"&amp;$A$2:$A$4001,0,-1)),J1716))</f>
        <v>3</v>
      </c>
      <c r="L1716" cm="1">
        <f t="array" ref="L1716">IF(OR(AND(K1716=9,L$1&gt;YEAR($N1716))),9,_xlfn.IFNA(INDEX($D$2:$D$4001,_xlfn.XMATCH(L$1&amp;"-"&amp;$F1716,YEAR($B$2:$B$4001)&amp;"-"&amp;$A$2:$A$4001,0,-1)),K1716))</f>
        <v>3</v>
      </c>
      <c r="M1716" cm="1">
        <f t="array" ref="M1716">IF(OR(AND(L1716=9,M$1&gt;YEAR($N1716))),9,_xlfn.IFNA(INDEX($D$2:$D$4001,_xlfn.XMATCH(M$1&amp;"-"&amp;$F1716,YEAR($B$2:$B$4001)&amp;"-"&amp;$A$2:$A$4001,0,-1)),L1716))</f>
        <v>3</v>
      </c>
      <c r="N1716" s="1">
        <f t="shared" si="26"/>
        <v>36301</v>
      </c>
    </row>
    <row r="1717" spans="1:14" x14ac:dyDescent="0.35">
      <c r="A1717">
        <v>811</v>
      </c>
      <c r="B1717" s="2">
        <v>37885</v>
      </c>
      <c r="C1717">
        <v>0</v>
      </c>
      <c r="D1717">
        <v>0</v>
      </c>
      <c r="F1717">
        <v>1716</v>
      </c>
      <c r="G1717" cm="1">
        <f t="array" ref="G1717">_xlfn.IFNA(INDEX($D$2:$D$4001,_xlfn.XMATCH(G$1&amp;"-"&amp;$F1717,YEAR($B$2:$B$4001)&amp;"-"&amp;$A$2:$A$4001,0,-1)),9)</f>
        <v>4</v>
      </c>
      <c r="H1717" cm="1">
        <f t="array" ref="H1717">IF(OR(AND(G1717=9,H$1&gt;YEAR($N1717))),9,_xlfn.IFNA(INDEX($D$2:$D$4001,_xlfn.XMATCH(H$1&amp;"-"&amp;$F1717,YEAR($B$2:$B$4001)&amp;"-"&amp;$A$2:$A$4001,0,-1)),G1717))</f>
        <v>0</v>
      </c>
      <c r="I1717" cm="1">
        <f t="array" ref="I1717">IF(OR(AND(H1717=9,I$1&gt;YEAR($N1717))),9,_xlfn.IFNA(INDEX($D$2:$D$4001,_xlfn.XMATCH(I$1&amp;"-"&amp;$F1717,YEAR($B$2:$B$4001)&amp;"-"&amp;$A$2:$A$4001,0,-1)),H1717))</f>
        <v>0</v>
      </c>
      <c r="J1717" cm="1">
        <f t="array" ref="J1717">IF(OR(AND(I1717=9,J$1&gt;YEAR($N1717))),9,_xlfn.IFNA(INDEX($D$2:$D$4001,_xlfn.XMATCH(J$1&amp;"-"&amp;$F1717,YEAR($B$2:$B$4001)&amp;"-"&amp;$A$2:$A$4001,0,-1)),I1717))</f>
        <v>0</v>
      </c>
      <c r="K1717" cm="1">
        <f t="array" ref="K1717">IF(OR(AND(J1717=9,K$1&gt;YEAR($N1717))),9,_xlfn.IFNA(INDEX($D$2:$D$4001,_xlfn.XMATCH(K$1&amp;"-"&amp;$F1717,YEAR($B$2:$B$4001)&amp;"-"&amp;$A$2:$A$4001,0,-1)),J1717))</f>
        <v>0</v>
      </c>
      <c r="L1717" cm="1">
        <f t="array" ref="L1717">IF(OR(AND(K1717=9,L$1&gt;YEAR($N1717))),9,_xlfn.IFNA(INDEX($D$2:$D$4001,_xlfn.XMATCH(L$1&amp;"-"&amp;$F1717,YEAR($B$2:$B$4001)&amp;"-"&amp;$A$2:$A$4001,0,-1)),K1717))</f>
        <v>0</v>
      </c>
      <c r="M1717" cm="1">
        <f t="array" ref="M1717">IF(OR(AND(L1717=9,M$1&gt;YEAR($N1717))),9,_xlfn.IFNA(INDEX($D$2:$D$4001,_xlfn.XMATCH(M$1&amp;"-"&amp;$F1717,YEAR($B$2:$B$4001)&amp;"-"&amp;$A$2:$A$4001,0,-1)),L1717))</f>
        <v>0</v>
      </c>
      <c r="N1717" s="1">
        <f t="shared" si="26"/>
        <v>36341</v>
      </c>
    </row>
    <row r="1718" spans="1:14" x14ac:dyDescent="0.35">
      <c r="A1718">
        <v>812</v>
      </c>
      <c r="B1718" s="2">
        <v>37620</v>
      </c>
      <c r="C1718">
        <v>2</v>
      </c>
      <c r="D1718">
        <v>2</v>
      </c>
      <c r="F1718">
        <v>1717</v>
      </c>
      <c r="G1718" cm="1">
        <f t="array" ref="G1718">_xlfn.IFNA(INDEX($D$2:$D$4001,_xlfn.XMATCH(G$1&amp;"-"&amp;$F1718,YEAR($B$2:$B$4001)&amp;"-"&amp;$A$2:$A$4001,0,-1)),9)</f>
        <v>9</v>
      </c>
      <c r="H1718" cm="1">
        <f t="array" ref="H1718">IF(OR(AND(G1718=9,H$1&gt;YEAR($N1718))),9,_xlfn.IFNA(INDEX($D$2:$D$4001,_xlfn.XMATCH(H$1&amp;"-"&amp;$F1718,YEAR($B$2:$B$4001)&amp;"-"&amp;$A$2:$A$4001,0,-1)),G1718))</f>
        <v>9</v>
      </c>
      <c r="I1718" cm="1">
        <f t="array" ref="I1718">IF(OR(AND(H1718=9,I$1&gt;YEAR($N1718))),9,_xlfn.IFNA(INDEX($D$2:$D$4001,_xlfn.XMATCH(I$1&amp;"-"&amp;$F1718,YEAR($B$2:$B$4001)&amp;"-"&amp;$A$2:$A$4001,0,-1)),H1718))</f>
        <v>0</v>
      </c>
      <c r="J1718" cm="1">
        <f t="array" ref="J1718">IF(OR(AND(I1718=9,J$1&gt;YEAR($N1718))),9,_xlfn.IFNA(INDEX($D$2:$D$4001,_xlfn.XMATCH(J$1&amp;"-"&amp;$F1718,YEAR($B$2:$B$4001)&amp;"-"&amp;$A$2:$A$4001,0,-1)),I1718))</f>
        <v>0</v>
      </c>
      <c r="K1718" cm="1">
        <f t="array" ref="K1718">IF(OR(AND(J1718=9,K$1&gt;YEAR($N1718))),9,_xlfn.IFNA(INDEX($D$2:$D$4001,_xlfn.XMATCH(K$1&amp;"-"&amp;$F1718,YEAR($B$2:$B$4001)&amp;"-"&amp;$A$2:$A$4001,0,-1)),J1718))</f>
        <v>0</v>
      </c>
      <c r="L1718" cm="1">
        <f t="array" ref="L1718">IF(OR(AND(K1718=9,L$1&gt;YEAR($N1718))),9,_xlfn.IFNA(INDEX($D$2:$D$4001,_xlfn.XMATCH(L$1&amp;"-"&amp;$F1718,YEAR($B$2:$B$4001)&amp;"-"&amp;$A$2:$A$4001,0,-1)),K1718))</f>
        <v>0</v>
      </c>
      <c r="M1718" cm="1">
        <f t="array" ref="M1718">IF(OR(AND(L1718=9,M$1&gt;YEAR($N1718))),9,_xlfn.IFNA(INDEX($D$2:$D$4001,_xlfn.XMATCH(M$1&amp;"-"&amp;$F1718,YEAR($B$2:$B$4001)&amp;"-"&amp;$A$2:$A$4001,0,-1)),L1718))</f>
        <v>0</v>
      </c>
      <c r="N1718" s="1">
        <f t="shared" si="26"/>
        <v>37255</v>
      </c>
    </row>
    <row r="1719" spans="1:14" x14ac:dyDescent="0.35">
      <c r="A1719">
        <v>812</v>
      </c>
      <c r="B1719" s="2">
        <v>37771</v>
      </c>
      <c r="C1719">
        <v>0</v>
      </c>
      <c r="D1719">
        <v>0</v>
      </c>
      <c r="F1719">
        <v>1718</v>
      </c>
      <c r="G1719" cm="1">
        <f t="array" ref="G1719">_xlfn.IFNA(INDEX($D$2:$D$4001,_xlfn.XMATCH(G$1&amp;"-"&amp;$F1719,YEAR($B$2:$B$4001)&amp;"-"&amp;$A$2:$A$4001,0,-1)),9)</f>
        <v>0</v>
      </c>
      <c r="H1719" cm="1">
        <f t="array" ref="H1719">IF(OR(AND(G1719=9,H$1&gt;YEAR($N1719))),9,_xlfn.IFNA(INDEX($D$2:$D$4001,_xlfn.XMATCH(H$1&amp;"-"&amp;$F1719,YEAR($B$2:$B$4001)&amp;"-"&amp;$A$2:$A$4001,0,-1)),G1719))</f>
        <v>0</v>
      </c>
      <c r="I1719" cm="1">
        <f t="array" ref="I1719">IF(OR(AND(H1719=9,I$1&gt;YEAR($N1719))),9,_xlfn.IFNA(INDEX($D$2:$D$4001,_xlfn.XMATCH(I$1&amp;"-"&amp;$F1719,YEAR($B$2:$B$4001)&amp;"-"&amp;$A$2:$A$4001,0,-1)),H1719))</f>
        <v>0</v>
      </c>
      <c r="J1719" cm="1">
        <f t="array" ref="J1719">IF(OR(AND(I1719=9,J$1&gt;YEAR($N1719))),9,_xlfn.IFNA(INDEX($D$2:$D$4001,_xlfn.XMATCH(J$1&amp;"-"&amp;$F1719,YEAR($B$2:$B$4001)&amp;"-"&amp;$A$2:$A$4001,0,-1)),I1719))</f>
        <v>0</v>
      </c>
      <c r="K1719" cm="1">
        <f t="array" ref="K1719">IF(OR(AND(J1719=9,K$1&gt;YEAR($N1719))),9,_xlfn.IFNA(INDEX($D$2:$D$4001,_xlfn.XMATCH(K$1&amp;"-"&amp;$F1719,YEAR($B$2:$B$4001)&amp;"-"&amp;$A$2:$A$4001,0,-1)),J1719))</f>
        <v>0</v>
      </c>
      <c r="L1719" cm="1">
        <f t="array" ref="L1719">IF(OR(AND(K1719=9,L$1&gt;YEAR($N1719))),9,_xlfn.IFNA(INDEX($D$2:$D$4001,_xlfn.XMATCH(L$1&amp;"-"&amp;$F1719,YEAR($B$2:$B$4001)&amp;"-"&amp;$A$2:$A$4001,0,-1)),K1719))</f>
        <v>0</v>
      </c>
      <c r="M1719" cm="1">
        <f t="array" ref="M1719">IF(OR(AND(L1719=9,M$1&gt;YEAR($N1719))),9,_xlfn.IFNA(INDEX($D$2:$D$4001,_xlfn.XMATCH(M$1&amp;"-"&amp;$F1719,YEAR($B$2:$B$4001)&amp;"-"&amp;$A$2:$A$4001,0,-1)),L1719))</f>
        <v>0</v>
      </c>
      <c r="N1719" s="1">
        <f t="shared" si="26"/>
        <v>36393</v>
      </c>
    </row>
    <row r="1720" spans="1:14" x14ac:dyDescent="0.35">
      <c r="A1720">
        <v>813</v>
      </c>
      <c r="B1720" s="2">
        <v>37490</v>
      </c>
      <c r="C1720">
        <v>2</v>
      </c>
      <c r="D1720">
        <v>2</v>
      </c>
      <c r="F1720">
        <v>1719</v>
      </c>
      <c r="G1720" cm="1">
        <f t="array" ref="G1720">_xlfn.IFNA(INDEX($D$2:$D$4001,_xlfn.XMATCH(G$1&amp;"-"&amp;$F1720,YEAR($B$2:$B$4001)&amp;"-"&amp;$A$2:$A$4001,0,-1)),9)</f>
        <v>9</v>
      </c>
      <c r="H1720" cm="1">
        <f t="array" ref="H1720">IF(OR(AND(G1720=9,H$1&gt;YEAR($N1720))),9,_xlfn.IFNA(INDEX($D$2:$D$4001,_xlfn.XMATCH(H$1&amp;"-"&amp;$F1720,YEAR($B$2:$B$4001)&amp;"-"&amp;$A$2:$A$4001,0,-1)),G1720))</f>
        <v>9</v>
      </c>
      <c r="I1720" cm="1">
        <f t="array" ref="I1720">IF(OR(AND(H1720=9,I$1&gt;YEAR($N1720))),9,_xlfn.IFNA(INDEX($D$2:$D$4001,_xlfn.XMATCH(I$1&amp;"-"&amp;$F1720,YEAR($B$2:$B$4001)&amp;"-"&amp;$A$2:$A$4001,0,-1)),H1720))</f>
        <v>9</v>
      </c>
      <c r="J1720" cm="1">
        <f t="array" ref="J1720">IF(OR(AND(I1720=9,J$1&gt;YEAR($N1720))),9,_xlfn.IFNA(INDEX($D$2:$D$4001,_xlfn.XMATCH(J$1&amp;"-"&amp;$F1720,YEAR($B$2:$B$4001)&amp;"-"&amp;$A$2:$A$4001,0,-1)),I1720))</f>
        <v>9</v>
      </c>
      <c r="K1720" cm="1">
        <f t="array" ref="K1720">IF(OR(AND(J1720=9,K$1&gt;YEAR($N1720))),9,_xlfn.IFNA(INDEX($D$2:$D$4001,_xlfn.XMATCH(K$1&amp;"-"&amp;$F1720,YEAR($B$2:$B$4001)&amp;"-"&amp;$A$2:$A$4001,0,-1)),J1720))</f>
        <v>9</v>
      </c>
      <c r="L1720" cm="1">
        <f t="array" ref="L1720">IF(OR(AND(K1720=9,L$1&gt;YEAR($N1720))),9,_xlfn.IFNA(INDEX($D$2:$D$4001,_xlfn.XMATCH(L$1&amp;"-"&amp;$F1720,YEAR($B$2:$B$4001)&amp;"-"&amp;$A$2:$A$4001,0,-1)),K1720))</f>
        <v>3</v>
      </c>
      <c r="M1720" cm="1">
        <f t="array" ref="M1720">IF(OR(AND(L1720=9,M$1&gt;YEAR($N1720))),9,_xlfn.IFNA(INDEX($D$2:$D$4001,_xlfn.XMATCH(M$1&amp;"-"&amp;$F1720,YEAR($B$2:$B$4001)&amp;"-"&amp;$A$2:$A$4001,0,-1)),L1720))</f>
        <v>3</v>
      </c>
      <c r="N1720" s="1">
        <f t="shared" si="26"/>
        <v>38351</v>
      </c>
    </row>
    <row r="1721" spans="1:14" x14ac:dyDescent="0.35">
      <c r="A1721">
        <v>814</v>
      </c>
      <c r="B1721" s="2">
        <v>38128</v>
      </c>
      <c r="C1721">
        <v>0</v>
      </c>
      <c r="D1721">
        <v>0</v>
      </c>
      <c r="F1721">
        <v>1720</v>
      </c>
      <c r="G1721" cm="1">
        <f t="array" ref="G1721">_xlfn.IFNA(INDEX($D$2:$D$4001,_xlfn.XMATCH(G$1&amp;"-"&amp;$F1721,YEAR($B$2:$B$4001)&amp;"-"&amp;$A$2:$A$4001,0,-1)),9)</f>
        <v>9</v>
      </c>
      <c r="H1721" cm="1">
        <f t="array" ref="H1721">IF(OR(AND(G1721=9,H$1&gt;YEAR($N1721))),9,_xlfn.IFNA(INDEX($D$2:$D$4001,_xlfn.XMATCH(H$1&amp;"-"&amp;$F1721,YEAR($B$2:$B$4001)&amp;"-"&amp;$A$2:$A$4001,0,-1)),G1721))</f>
        <v>9</v>
      </c>
      <c r="I1721" cm="1">
        <f t="array" ref="I1721">IF(OR(AND(H1721=9,I$1&gt;YEAR($N1721))),9,_xlfn.IFNA(INDEX($D$2:$D$4001,_xlfn.XMATCH(I$1&amp;"-"&amp;$F1721,YEAR($B$2:$B$4001)&amp;"-"&amp;$A$2:$A$4001,0,-1)),H1721))</f>
        <v>9</v>
      </c>
      <c r="J1721" cm="1">
        <f t="array" ref="J1721">IF(OR(AND(I1721=9,J$1&gt;YEAR($N1721))),9,_xlfn.IFNA(INDEX($D$2:$D$4001,_xlfn.XMATCH(J$1&amp;"-"&amp;$F1721,YEAR($B$2:$B$4001)&amp;"-"&amp;$A$2:$A$4001,0,-1)),I1721))</f>
        <v>9</v>
      </c>
      <c r="K1721" cm="1">
        <f t="array" ref="K1721">IF(OR(AND(J1721=9,K$1&gt;YEAR($N1721))),9,_xlfn.IFNA(INDEX($D$2:$D$4001,_xlfn.XMATCH(K$1&amp;"-"&amp;$F1721,YEAR($B$2:$B$4001)&amp;"-"&amp;$A$2:$A$4001,0,-1)),J1721))</f>
        <v>9</v>
      </c>
      <c r="L1721" cm="1">
        <f t="array" ref="L1721">IF(OR(AND(K1721=9,L$1&gt;YEAR($N1721))),9,_xlfn.IFNA(INDEX($D$2:$D$4001,_xlfn.XMATCH(L$1&amp;"-"&amp;$F1721,YEAR($B$2:$B$4001)&amp;"-"&amp;$A$2:$A$4001,0,-1)),K1721))</f>
        <v>9</v>
      </c>
      <c r="M1721" cm="1">
        <f t="array" ref="M1721">IF(OR(AND(L1721=9,M$1&gt;YEAR($N1721))),9,_xlfn.IFNA(INDEX($D$2:$D$4001,_xlfn.XMATCH(M$1&amp;"-"&amp;$F1721,YEAR($B$2:$B$4001)&amp;"-"&amp;$A$2:$A$4001,0,-1)),L1721))</f>
        <v>3</v>
      </c>
      <c r="N1721" s="1">
        <f t="shared" si="26"/>
        <v>38493</v>
      </c>
    </row>
    <row r="1722" spans="1:14" x14ac:dyDescent="0.35">
      <c r="A1722">
        <v>815</v>
      </c>
      <c r="B1722" s="2">
        <v>36524</v>
      </c>
      <c r="C1722">
        <v>3</v>
      </c>
      <c r="D1722">
        <v>3</v>
      </c>
      <c r="F1722">
        <v>1721</v>
      </c>
      <c r="G1722" cm="1">
        <f t="array" ref="G1722">_xlfn.IFNA(INDEX($D$2:$D$4001,_xlfn.XMATCH(G$1&amp;"-"&amp;$F1722,YEAR($B$2:$B$4001)&amp;"-"&amp;$A$2:$A$4001,0,-1)),9)</f>
        <v>9</v>
      </c>
      <c r="H1722" cm="1">
        <f t="array" ref="H1722">IF(OR(AND(G1722=9,H$1&gt;YEAR($N1722))),9,_xlfn.IFNA(INDEX($D$2:$D$4001,_xlfn.XMATCH(H$1&amp;"-"&amp;$F1722,YEAR($B$2:$B$4001)&amp;"-"&amp;$A$2:$A$4001,0,-1)),G1722))</f>
        <v>9</v>
      </c>
      <c r="I1722" cm="1">
        <f t="array" ref="I1722">IF(OR(AND(H1722=9,I$1&gt;YEAR($N1722))),9,_xlfn.IFNA(INDEX($D$2:$D$4001,_xlfn.XMATCH(I$1&amp;"-"&amp;$F1722,YEAR($B$2:$B$4001)&amp;"-"&amp;$A$2:$A$4001,0,-1)),H1722))</f>
        <v>9</v>
      </c>
      <c r="J1722" cm="1">
        <f t="array" ref="J1722">IF(OR(AND(I1722=9,J$1&gt;YEAR($N1722))),9,_xlfn.IFNA(INDEX($D$2:$D$4001,_xlfn.XMATCH(J$1&amp;"-"&amp;$F1722,YEAR($B$2:$B$4001)&amp;"-"&amp;$A$2:$A$4001,0,-1)),I1722))</f>
        <v>9</v>
      </c>
      <c r="K1722" cm="1">
        <f t="array" ref="K1722">IF(OR(AND(J1722=9,K$1&gt;YEAR($N1722))),9,_xlfn.IFNA(INDEX($D$2:$D$4001,_xlfn.XMATCH(K$1&amp;"-"&amp;$F1722,YEAR($B$2:$B$4001)&amp;"-"&amp;$A$2:$A$4001,0,-1)),J1722))</f>
        <v>9</v>
      </c>
      <c r="L1722" cm="1">
        <f t="array" ref="L1722">IF(OR(AND(K1722=9,L$1&gt;YEAR($N1722))),9,_xlfn.IFNA(INDEX($D$2:$D$4001,_xlfn.XMATCH(L$1&amp;"-"&amp;$F1722,YEAR($B$2:$B$4001)&amp;"-"&amp;$A$2:$A$4001,0,-1)),K1722))</f>
        <v>9</v>
      </c>
      <c r="M1722" cm="1">
        <f t="array" ref="M1722">IF(OR(AND(L1722=9,M$1&gt;YEAR($N1722))),9,_xlfn.IFNA(INDEX($D$2:$D$4001,_xlfn.XMATCH(M$1&amp;"-"&amp;$F1722,YEAR($B$2:$B$4001)&amp;"-"&amp;$A$2:$A$4001,0,-1)),L1722))</f>
        <v>3</v>
      </c>
      <c r="N1722" s="1">
        <f t="shared" si="26"/>
        <v>38493</v>
      </c>
    </row>
    <row r="1723" spans="1:14" x14ac:dyDescent="0.35">
      <c r="A1723">
        <v>815</v>
      </c>
      <c r="B1723" s="2">
        <v>37762</v>
      </c>
      <c r="C1723">
        <v>2</v>
      </c>
      <c r="D1723">
        <v>2</v>
      </c>
      <c r="F1723">
        <v>1722</v>
      </c>
      <c r="G1723" cm="1">
        <f t="array" ref="G1723">_xlfn.IFNA(INDEX($D$2:$D$4001,_xlfn.XMATCH(G$1&amp;"-"&amp;$F1723,YEAR($B$2:$B$4001)&amp;"-"&amp;$A$2:$A$4001,0,-1)),9)</f>
        <v>3</v>
      </c>
      <c r="H1723" cm="1">
        <f t="array" ref="H1723">IF(OR(AND(G1723=9,H$1&gt;YEAR($N1723))),9,_xlfn.IFNA(INDEX($D$2:$D$4001,_xlfn.XMATCH(H$1&amp;"-"&amp;$F1723,YEAR($B$2:$B$4001)&amp;"-"&amp;$A$2:$A$4001,0,-1)),G1723))</f>
        <v>3</v>
      </c>
      <c r="I1723" cm="1">
        <f t="array" ref="I1723">IF(OR(AND(H1723=9,I$1&gt;YEAR($N1723))),9,_xlfn.IFNA(INDEX($D$2:$D$4001,_xlfn.XMATCH(I$1&amp;"-"&amp;$F1723,YEAR($B$2:$B$4001)&amp;"-"&amp;$A$2:$A$4001,0,-1)),H1723))</f>
        <v>3</v>
      </c>
      <c r="J1723" cm="1">
        <f t="array" ref="J1723">IF(OR(AND(I1723=9,J$1&gt;YEAR($N1723))),9,_xlfn.IFNA(INDEX($D$2:$D$4001,_xlfn.XMATCH(J$1&amp;"-"&amp;$F1723,YEAR($B$2:$B$4001)&amp;"-"&amp;$A$2:$A$4001,0,-1)),I1723))</f>
        <v>3</v>
      </c>
      <c r="K1723" cm="1">
        <f t="array" ref="K1723">IF(OR(AND(J1723=9,K$1&gt;YEAR($N1723))),9,_xlfn.IFNA(INDEX($D$2:$D$4001,_xlfn.XMATCH(K$1&amp;"-"&amp;$F1723,YEAR($B$2:$B$4001)&amp;"-"&amp;$A$2:$A$4001,0,-1)),J1723))</f>
        <v>3</v>
      </c>
      <c r="L1723" cm="1">
        <f t="array" ref="L1723">IF(OR(AND(K1723=9,L$1&gt;YEAR($N1723))),9,_xlfn.IFNA(INDEX($D$2:$D$4001,_xlfn.XMATCH(L$1&amp;"-"&amp;$F1723,YEAR($B$2:$B$4001)&amp;"-"&amp;$A$2:$A$4001,0,-1)),K1723))</f>
        <v>3</v>
      </c>
      <c r="M1723" cm="1">
        <f t="array" ref="M1723">IF(OR(AND(L1723=9,M$1&gt;YEAR($N1723))),9,_xlfn.IFNA(INDEX($D$2:$D$4001,_xlfn.XMATCH(M$1&amp;"-"&amp;$F1723,YEAR($B$2:$B$4001)&amp;"-"&amp;$A$2:$A$4001,0,-1)),L1723))</f>
        <v>3</v>
      </c>
      <c r="N1723" s="1">
        <f t="shared" si="26"/>
        <v>36310</v>
      </c>
    </row>
    <row r="1724" spans="1:14" x14ac:dyDescent="0.35">
      <c r="A1724">
        <v>816</v>
      </c>
      <c r="B1724" s="2">
        <v>36890</v>
      </c>
      <c r="C1724">
        <v>2</v>
      </c>
      <c r="D1724">
        <v>2</v>
      </c>
      <c r="F1724">
        <v>1723</v>
      </c>
      <c r="G1724" cm="1">
        <f t="array" ref="G1724">_xlfn.IFNA(INDEX($D$2:$D$4001,_xlfn.XMATCH(G$1&amp;"-"&amp;$F1724,YEAR($B$2:$B$4001)&amp;"-"&amp;$A$2:$A$4001,0,-1)),9)</f>
        <v>3</v>
      </c>
      <c r="H1724" cm="1">
        <f t="array" ref="H1724">IF(OR(AND(G1724=9,H$1&gt;YEAR($N1724))),9,_xlfn.IFNA(INDEX($D$2:$D$4001,_xlfn.XMATCH(H$1&amp;"-"&amp;$F1724,YEAR($B$2:$B$4001)&amp;"-"&amp;$A$2:$A$4001,0,-1)),G1724))</f>
        <v>3</v>
      </c>
      <c r="I1724" cm="1">
        <f t="array" ref="I1724">IF(OR(AND(H1724=9,I$1&gt;YEAR($N1724))),9,_xlfn.IFNA(INDEX($D$2:$D$4001,_xlfn.XMATCH(I$1&amp;"-"&amp;$F1724,YEAR($B$2:$B$4001)&amp;"-"&amp;$A$2:$A$4001,0,-1)),H1724))</f>
        <v>3</v>
      </c>
      <c r="J1724" cm="1">
        <f t="array" ref="J1724">IF(OR(AND(I1724=9,J$1&gt;YEAR($N1724))),9,_xlfn.IFNA(INDEX($D$2:$D$4001,_xlfn.XMATCH(J$1&amp;"-"&amp;$F1724,YEAR($B$2:$B$4001)&amp;"-"&amp;$A$2:$A$4001,0,-1)),I1724))</f>
        <v>3</v>
      </c>
      <c r="K1724" cm="1">
        <f t="array" ref="K1724">IF(OR(AND(J1724=9,K$1&gt;YEAR($N1724))),9,_xlfn.IFNA(INDEX($D$2:$D$4001,_xlfn.XMATCH(K$1&amp;"-"&amp;$F1724,YEAR($B$2:$B$4001)&amp;"-"&amp;$A$2:$A$4001,0,-1)),J1724))</f>
        <v>3</v>
      </c>
      <c r="L1724" cm="1">
        <f t="array" ref="L1724">IF(OR(AND(K1724=9,L$1&gt;YEAR($N1724))),9,_xlfn.IFNA(INDEX($D$2:$D$4001,_xlfn.XMATCH(L$1&amp;"-"&amp;$F1724,YEAR($B$2:$B$4001)&amp;"-"&amp;$A$2:$A$4001,0,-1)),K1724))</f>
        <v>3</v>
      </c>
      <c r="M1724" cm="1">
        <f t="array" ref="M1724">IF(OR(AND(L1724=9,M$1&gt;YEAR($N1724))),9,_xlfn.IFNA(INDEX($D$2:$D$4001,_xlfn.XMATCH(M$1&amp;"-"&amp;$F1724,YEAR($B$2:$B$4001)&amp;"-"&amp;$A$2:$A$4001,0,-1)),L1724))</f>
        <v>3</v>
      </c>
      <c r="N1724" s="1">
        <f t="shared" si="26"/>
        <v>36304</v>
      </c>
    </row>
    <row r="1725" spans="1:14" x14ac:dyDescent="0.35">
      <c r="A1725">
        <v>816</v>
      </c>
      <c r="B1725" s="2">
        <v>37771</v>
      </c>
      <c r="C1725">
        <v>1</v>
      </c>
      <c r="D1725">
        <v>1</v>
      </c>
      <c r="F1725">
        <v>1724</v>
      </c>
      <c r="G1725" cm="1">
        <f t="array" ref="G1725">_xlfn.IFNA(INDEX($D$2:$D$4001,_xlfn.XMATCH(G$1&amp;"-"&amp;$F1725,YEAR($B$2:$B$4001)&amp;"-"&amp;$A$2:$A$4001,0,-1)),9)</f>
        <v>9</v>
      </c>
      <c r="H1725" cm="1">
        <f t="array" ref="H1725">IF(OR(AND(G1725=9,H$1&gt;YEAR($N1725))),9,_xlfn.IFNA(INDEX($D$2:$D$4001,_xlfn.XMATCH(H$1&amp;"-"&amp;$F1725,YEAR($B$2:$B$4001)&amp;"-"&amp;$A$2:$A$4001,0,-1)),G1725))</f>
        <v>9</v>
      </c>
      <c r="I1725" cm="1">
        <f t="array" ref="I1725">IF(OR(AND(H1725=9,I$1&gt;YEAR($N1725))),9,_xlfn.IFNA(INDEX($D$2:$D$4001,_xlfn.XMATCH(I$1&amp;"-"&amp;$F1725,YEAR($B$2:$B$4001)&amp;"-"&amp;$A$2:$A$4001,0,-1)),H1725))</f>
        <v>9</v>
      </c>
      <c r="J1725" cm="1">
        <f t="array" ref="J1725">IF(OR(AND(I1725=9,J$1&gt;YEAR($N1725))),9,_xlfn.IFNA(INDEX($D$2:$D$4001,_xlfn.XMATCH(J$1&amp;"-"&amp;$F1725,YEAR($B$2:$B$4001)&amp;"-"&amp;$A$2:$A$4001,0,-1)),I1725))</f>
        <v>2</v>
      </c>
      <c r="K1725" cm="1">
        <f t="array" ref="K1725">IF(OR(AND(J1725=9,K$1&gt;YEAR($N1725))),9,_xlfn.IFNA(INDEX($D$2:$D$4001,_xlfn.XMATCH(K$1&amp;"-"&amp;$F1725,YEAR($B$2:$B$4001)&amp;"-"&amp;$A$2:$A$4001,0,-1)),J1725))</f>
        <v>2</v>
      </c>
      <c r="L1725" cm="1">
        <f t="array" ref="L1725">IF(OR(AND(K1725=9,L$1&gt;YEAR($N1725))),9,_xlfn.IFNA(INDEX($D$2:$D$4001,_xlfn.XMATCH(L$1&amp;"-"&amp;$F1725,YEAR($B$2:$B$4001)&amp;"-"&amp;$A$2:$A$4001,0,-1)),K1725))</f>
        <v>0</v>
      </c>
      <c r="M1725" cm="1">
        <f t="array" ref="M1725">IF(OR(AND(L1725=9,M$1&gt;YEAR($N1725))),9,_xlfn.IFNA(INDEX($D$2:$D$4001,_xlfn.XMATCH(M$1&amp;"-"&amp;$F1725,YEAR($B$2:$B$4001)&amp;"-"&amp;$A$2:$A$4001,0,-1)),L1725))</f>
        <v>0</v>
      </c>
      <c r="N1725" s="1">
        <f t="shared" si="26"/>
        <v>37620</v>
      </c>
    </row>
    <row r="1726" spans="1:14" x14ac:dyDescent="0.35">
      <c r="A1726">
        <v>817</v>
      </c>
      <c r="B1726" s="2">
        <v>36676</v>
      </c>
      <c r="C1726">
        <v>3</v>
      </c>
      <c r="D1726">
        <v>3</v>
      </c>
      <c r="F1726">
        <v>1725</v>
      </c>
      <c r="G1726" cm="1">
        <f t="array" ref="G1726">_xlfn.IFNA(INDEX($D$2:$D$4001,_xlfn.XMATCH(G$1&amp;"-"&amp;$F1726,YEAR($B$2:$B$4001)&amp;"-"&amp;$A$2:$A$4001,0,-1)),9)</f>
        <v>9</v>
      </c>
      <c r="H1726" cm="1">
        <f t="array" ref="H1726">IF(OR(AND(G1726=9,H$1&gt;YEAR($N1726))),9,_xlfn.IFNA(INDEX($D$2:$D$4001,_xlfn.XMATCH(H$1&amp;"-"&amp;$F1726,YEAR($B$2:$B$4001)&amp;"-"&amp;$A$2:$A$4001,0,-1)),G1726))</f>
        <v>9</v>
      </c>
      <c r="I1726" cm="1">
        <f t="array" ref="I1726">IF(OR(AND(H1726=9,I$1&gt;YEAR($N1726))),9,_xlfn.IFNA(INDEX($D$2:$D$4001,_xlfn.XMATCH(I$1&amp;"-"&amp;$F1726,YEAR($B$2:$B$4001)&amp;"-"&amp;$A$2:$A$4001,0,-1)),H1726))</f>
        <v>9</v>
      </c>
      <c r="J1726" cm="1">
        <f t="array" ref="J1726">IF(OR(AND(I1726=9,J$1&gt;YEAR($N1726))),9,_xlfn.IFNA(INDEX($D$2:$D$4001,_xlfn.XMATCH(J$1&amp;"-"&amp;$F1726,YEAR($B$2:$B$4001)&amp;"-"&amp;$A$2:$A$4001,0,-1)),I1726))</f>
        <v>9</v>
      </c>
      <c r="K1726" cm="1">
        <f t="array" ref="K1726">IF(OR(AND(J1726=9,K$1&gt;YEAR($N1726))),9,_xlfn.IFNA(INDEX($D$2:$D$4001,_xlfn.XMATCH(K$1&amp;"-"&amp;$F1726,YEAR($B$2:$B$4001)&amp;"-"&amp;$A$2:$A$4001,0,-1)),J1726))</f>
        <v>9</v>
      </c>
      <c r="L1726" cm="1">
        <f t="array" ref="L1726">IF(OR(AND(K1726=9,L$1&gt;YEAR($N1726))),9,_xlfn.IFNA(INDEX($D$2:$D$4001,_xlfn.XMATCH(L$1&amp;"-"&amp;$F1726,YEAR($B$2:$B$4001)&amp;"-"&amp;$A$2:$A$4001,0,-1)),K1726))</f>
        <v>5</v>
      </c>
      <c r="M1726" cm="1">
        <f t="array" ref="M1726">IF(OR(AND(L1726=9,M$1&gt;YEAR($N1726))),9,_xlfn.IFNA(INDEX($D$2:$D$4001,_xlfn.XMATCH(M$1&amp;"-"&amp;$F1726,YEAR($B$2:$B$4001)&amp;"-"&amp;$A$2:$A$4001,0,-1)),L1726))</f>
        <v>5</v>
      </c>
      <c r="N1726" s="1">
        <f t="shared" si="26"/>
        <v>38321</v>
      </c>
    </row>
    <row r="1727" spans="1:14" x14ac:dyDescent="0.35">
      <c r="A1727">
        <v>818</v>
      </c>
      <c r="B1727" s="2">
        <v>37041</v>
      </c>
      <c r="C1727">
        <v>2</v>
      </c>
      <c r="D1727">
        <v>2</v>
      </c>
      <c r="F1727">
        <v>1726</v>
      </c>
      <c r="G1727" cm="1">
        <f t="array" ref="G1727">_xlfn.IFNA(INDEX($D$2:$D$4001,_xlfn.XMATCH(G$1&amp;"-"&amp;$F1727,YEAR($B$2:$B$4001)&amp;"-"&amp;$A$2:$A$4001,0,-1)),9)</f>
        <v>9</v>
      </c>
      <c r="H1727" cm="1">
        <f t="array" ref="H1727">IF(OR(AND(G1727=9,H$1&gt;YEAR($N1727))),9,_xlfn.IFNA(INDEX($D$2:$D$4001,_xlfn.XMATCH(H$1&amp;"-"&amp;$F1727,YEAR($B$2:$B$4001)&amp;"-"&amp;$A$2:$A$4001,0,-1)),G1727))</f>
        <v>9</v>
      </c>
      <c r="I1727" cm="1">
        <f t="array" ref="I1727">IF(OR(AND(H1727=9,I$1&gt;YEAR($N1727))),9,_xlfn.IFNA(INDEX($D$2:$D$4001,_xlfn.XMATCH(I$1&amp;"-"&amp;$F1727,YEAR($B$2:$B$4001)&amp;"-"&amp;$A$2:$A$4001,0,-1)),H1727))</f>
        <v>9</v>
      </c>
      <c r="J1727" cm="1">
        <f t="array" ref="J1727">IF(OR(AND(I1727=9,J$1&gt;YEAR($N1727))),9,_xlfn.IFNA(INDEX($D$2:$D$4001,_xlfn.XMATCH(J$1&amp;"-"&amp;$F1727,YEAR($B$2:$B$4001)&amp;"-"&amp;$A$2:$A$4001,0,-1)),I1727))</f>
        <v>9</v>
      </c>
      <c r="K1727" cm="1">
        <f t="array" ref="K1727">IF(OR(AND(J1727=9,K$1&gt;YEAR($N1727))),9,_xlfn.IFNA(INDEX($D$2:$D$4001,_xlfn.XMATCH(K$1&amp;"-"&amp;$F1727,YEAR($B$2:$B$4001)&amp;"-"&amp;$A$2:$A$4001,0,-1)),J1727))</f>
        <v>4</v>
      </c>
      <c r="L1727" cm="1">
        <f t="array" ref="L1727">IF(OR(AND(K1727=9,L$1&gt;YEAR($N1727))),9,_xlfn.IFNA(INDEX($D$2:$D$4001,_xlfn.XMATCH(L$1&amp;"-"&amp;$F1727,YEAR($B$2:$B$4001)&amp;"-"&amp;$A$2:$A$4001,0,-1)),K1727))</f>
        <v>3</v>
      </c>
      <c r="M1727" cm="1">
        <f t="array" ref="M1727">IF(OR(AND(L1727=9,M$1&gt;YEAR($N1727))),9,_xlfn.IFNA(INDEX($D$2:$D$4001,_xlfn.XMATCH(M$1&amp;"-"&amp;$F1727,YEAR($B$2:$B$4001)&amp;"-"&amp;$A$2:$A$4001,0,-1)),L1727))</f>
        <v>3</v>
      </c>
      <c r="N1727" s="1">
        <f t="shared" si="26"/>
        <v>37832</v>
      </c>
    </row>
    <row r="1728" spans="1:14" x14ac:dyDescent="0.35">
      <c r="A1728">
        <v>818</v>
      </c>
      <c r="B1728" s="2">
        <v>37255</v>
      </c>
      <c r="C1728">
        <v>2</v>
      </c>
      <c r="D1728">
        <v>2</v>
      </c>
      <c r="F1728">
        <v>1727</v>
      </c>
      <c r="G1728" cm="1">
        <f t="array" ref="G1728">_xlfn.IFNA(INDEX($D$2:$D$4001,_xlfn.XMATCH(G$1&amp;"-"&amp;$F1728,YEAR($B$2:$B$4001)&amp;"-"&amp;$A$2:$A$4001,0,-1)),9)</f>
        <v>9</v>
      </c>
      <c r="H1728" cm="1">
        <f t="array" ref="H1728">IF(OR(AND(G1728=9,H$1&gt;YEAR($N1728))),9,_xlfn.IFNA(INDEX($D$2:$D$4001,_xlfn.XMATCH(H$1&amp;"-"&amp;$F1728,YEAR($B$2:$B$4001)&amp;"-"&amp;$A$2:$A$4001,0,-1)),G1728))</f>
        <v>9</v>
      </c>
      <c r="I1728" cm="1">
        <f t="array" ref="I1728">IF(OR(AND(H1728=9,I$1&gt;YEAR($N1728))),9,_xlfn.IFNA(INDEX($D$2:$D$4001,_xlfn.XMATCH(I$1&amp;"-"&amp;$F1728,YEAR($B$2:$B$4001)&amp;"-"&amp;$A$2:$A$4001,0,-1)),H1728))</f>
        <v>9</v>
      </c>
      <c r="J1728" cm="1">
        <f t="array" ref="J1728">IF(OR(AND(I1728=9,J$1&gt;YEAR($N1728))),9,_xlfn.IFNA(INDEX($D$2:$D$4001,_xlfn.XMATCH(J$1&amp;"-"&amp;$F1728,YEAR($B$2:$B$4001)&amp;"-"&amp;$A$2:$A$4001,0,-1)),I1728))</f>
        <v>2</v>
      </c>
      <c r="K1728" cm="1">
        <f t="array" ref="K1728">IF(OR(AND(J1728=9,K$1&gt;YEAR($N1728))),9,_xlfn.IFNA(INDEX($D$2:$D$4001,_xlfn.XMATCH(K$1&amp;"-"&amp;$F1728,YEAR($B$2:$B$4001)&amp;"-"&amp;$A$2:$A$4001,0,-1)),J1728))</f>
        <v>2</v>
      </c>
      <c r="L1728" cm="1">
        <f t="array" ref="L1728">IF(OR(AND(K1728=9,L$1&gt;YEAR($N1728))),9,_xlfn.IFNA(INDEX($D$2:$D$4001,_xlfn.XMATCH(L$1&amp;"-"&amp;$F1728,YEAR($B$2:$B$4001)&amp;"-"&amp;$A$2:$A$4001,0,-1)),K1728))</f>
        <v>2</v>
      </c>
      <c r="M1728" cm="1">
        <f t="array" ref="M1728">IF(OR(AND(L1728=9,M$1&gt;YEAR($N1728))),9,_xlfn.IFNA(INDEX($D$2:$D$4001,_xlfn.XMATCH(M$1&amp;"-"&amp;$F1728,YEAR($B$2:$B$4001)&amp;"-"&amp;$A$2:$A$4001,0,-1)),L1728))</f>
        <v>2</v>
      </c>
      <c r="N1728" s="1">
        <f t="shared" si="26"/>
        <v>37397</v>
      </c>
    </row>
    <row r="1729" spans="1:14" x14ac:dyDescent="0.35">
      <c r="A1729">
        <v>818</v>
      </c>
      <c r="B1729" s="2">
        <v>38321</v>
      </c>
      <c r="C1729">
        <v>0</v>
      </c>
      <c r="D1729">
        <v>0</v>
      </c>
      <c r="F1729">
        <v>1728</v>
      </c>
      <c r="G1729" cm="1">
        <f t="array" ref="G1729">_xlfn.IFNA(INDEX($D$2:$D$4001,_xlfn.XMATCH(G$1&amp;"-"&amp;$F1729,YEAR($B$2:$B$4001)&amp;"-"&amp;$A$2:$A$4001,0,-1)),9)</f>
        <v>5</v>
      </c>
      <c r="H1729" cm="1">
        <f t="array" ref="H1729">IF(OR(AND(G1729=9,H$1&gt;YEAR($N1729))),9,_xlfn.IFNA(INDEX($D$2:$D$4001,_xlfn.XMATCH(H$1&amp;"-"&amp;$F1729,YEAR($B$2:$B$4001)&amp;"-"&amp;$A$2:$A$4001,0,-1)),G1729))</f>
        <v>5</v>
      </c>
      <c r="I1729" cm="1">
        <f t="array" ref="I1729">IF(OR(AND(H1729=9,I$1&gt;YEAR($N1729))),9,_xlfn.IFNA(INDEX($D$2:$D$4001,_xlfn.XMATCH(I$1&amp;"-"&amp;$F1729,YEAR($B$2:$B$4001)&amp;"-"&amp;$A$2:$A$4001,0,-1)),H1729))</f>
        <v>5</v>
      </c>
      <c r="J1729" cm="1">
        <f t="array" ref="J1729">IF(OR(AND(I1729=9,J$1&gt;YEAR($N1729))),9,_xlfn.IFNA(INDEX($D$2:$D$4001,_xlfn.XMATCH(J$1&amp;"-"&amp;$F1729,YEAR($B$2:$B$4001)&amp;"-"&amp;$A$2:$A$4001,0,-1)),I1729))</f>
        <v>5</v>
      </c>
      <c r="K1729" cm="1">
        <f t="array" ref="K1729">IF(OR(AND(J1729=9,K$1&gt;YEAR($N1729))),9,_xlfn.IFNA(INDEX($D$2:$D$4001,_xlfn.XMATCH(K$1&amp;"-"&amp;$F1729,YEAR($B$2:$B$4001)&amp;"-"&amp;$A$2:$A$4001,0,-1)),J1729))</f>
        <v>5</v>
      </c>
      <c r="L1729" cm="1">
        <f t="array" ref="L1729">IF(OR(AND(K1729=9,L$1&gt;YEAR($N1729))),9,_xlfn.IFNA(INDEX($D$2:$D$4001,_xlfn.XMATCH(L$1&amp;"-"&amp;$F1729,YEAR($B$2:$B$4001)&amp;"-"&amp;$A$2:$A$4001,0,-1)),K1729))</f>
        <v>5</v>
      </c>
      <c r="M1729" cm="1">
        <f t="array" ref="M1729">IF(OR(AND(L1729=9,M$1&gt;YEAR($N1729))),9,_xlfn.IFNA(INDEX($D$2:$D$4001,_xlfn.XMATCH(M$1&amp;"-"&amp;$F1729,YEAR($B$2:$B$4001)&amp;"-"&amp;$A$2:$A$4001,0,-1)),L1729))</f>
        <v>5</v>
      </c>
      <c r="N1729" s="1">
        <f t="shared" si="26"/>
        <v>36393</v>
      </c>
    </row>
    <row r="1730" spans="1:14" x14ac:dyDescent="0.35">
      <c r="A1730">
        <v>819</v>
      </c>
      <c r="B1730" s="2">
        <v>37489</v>
      </c>
      <c r="C1730">
        <v>2</v>
      </c>
      <c r="D1730">
        <v>2</v>
      </c>
      <c r="F1730">
        <v>1729</v>
      </c>
      <c r="G1730" cm="1">
        <f t="array" ref="G1730">_xlfn.IFNA(INDEX($D$2:$D$4001,_xlfn.XMATCH(G$1&amp;"-"&amp;$F1730,YEAR($B$2:$B$4001)&amp;"-"&amp;$A$2:$A$4001,0,-1)),9)</f>
        <v>9</v>
      </c>
      <c r="H1730" cm="1">
        <f t="array" ref="H1730">IF(OR(AND(G1730=9,H$1&gt;YEAR($N1730))),9,_xlfn.IFNA(INDEX($D$2:$D$4001,_xlfn.XMATCH(H$1&amp;"-"&amp;$F1730,YEAR($B$2:$B$4001)&amp;"-"&amp;$A$2:$A$4001,0,-1)),G1730))</f>
        <v>2</v>
      </c>
      <c r="I1730" cm="1">
        <f t="array" ref="I1730">IF(OR(AND(H1730=9,I$1&gt;YEAR($N1730))),9,_xlfn.IFNA(INDEX($D$2:$D$4001,_xlfn.XMATCH(I$1&amp;"-"&amp;$F1730,YEAR($B$2:$B$4001)&amp;"-"&amp;$A$2:$A$4001,0,-1)),H1730))</f>
        <v>2</v>
      </c>
      <c r="J1730" cm="1">
        <f t="array" ref="J1730">IF(OR(AND(I1730=9,J$1&gt;YEAR($N1730))),9,_xlfn.IFNA(INDEX($D$2:$D$4001,_xlfn.XMATCH(J$1&amp;"-"&amp;$F1730,YEAR($B$2:$B$4001)&amp;"-"&amp;$A$2:$A$4001,0,-1)),I1730))</f>
        <v>2</v>
      </c>
      <c r="K1730" cm="1">
        <f t="array" ref="K1730">IF(OR(AND(J1730=9,K$1&gt;YEAR($N1730))),9,_xlfn.IFNA(INDEX($D$2:$D$4001,_xlfn.XMATCH(K$1&amp;"-"&amp;$F1730,YEAR($B$2:$B$4001)&amp;"-"&amp;$A$2:$A$4001,0,-1)),J1730))</f>
        <v>2</v>
      </c>
      <c r="L1730" cm="1">
        <f t="array" ref="L1730">IF(OR(AND(K1730=9,L$1&gt;YEAR($N1730))),9,_xlfn.IFNA(INDEX($D$2:$D$4001,_xlfn.XMATCH(L$1&amp;"-"&amp;$F1730,YEAR($B$2:$B$4001)&amp;"-"&amp;$A$2:$A$4001,0,-1)),K1730))</f>
        <v>2</v>
      </c>
      <c r="M1730" cm="1">
        <f t="array" ref="M1730">IF(OR(AND(L1730=9,M$1&gt;YEAR($N1730))),9,_xlfn.IFNA(INDEX($D$2:$D$4001,_xlfn.XMATCH(M$1&amp;"-"&amp;$F1730,YEAR($B$2:$B$4001)&amp;"-"&amp;$A$2:$A$4001,0,-1)),L1730))</f>
        <v>2</v>
      </c>
      <c r="N1730" s="1">
        <f t="shared" si="26"/>
        <v>36820</v>
      </c>
    </row>
    <row r="1731" spans="1:14" x14ac:dyDescent="0.35">
      <c r="A1731">
        <v>820</v>
      </c>
      <c r="B1731" s="2">
        <v>37581</v>
      </c>
      <c r="C1731">
        <v>2</v>
      </c>
      <c r="D1731">
        <v>2</v>
      </c>
      <c r="F1731">
        <v>1730</v>
      </c>
      <c r="G1731" cm="1">
        <f t="array" ref="G1731">_xlfn.IFNA(INDEX($D$2:$D$4001,_xlfn.XMATCH(G$1&amp;"-"&amp;$F1731,YEAR($B$2:$B$4001)&amp;"-"&amp;$A$2:$A$4001,0,-1)),9)</f>
        <v>9</v>
      </c>
      <c r="H1731" cm="1">
        <f t="array" ref="H1731">IF(OR(AND(G1731=9,H$1&gt;YEAR($N1731))),9,_xlfn.IFNA(INDEX($D$2:$D$4001,_xlfn.XMATCH(H$1&amp;"-"&amp;$F1731,YEAR($B$2:$B$4001)&amp;"-"&amp;$A$2:$A$4001,0,-1)),G1731))</f>
        <v>9</v>
      </c>
      <c r="I1731" cm="1">
        <f t="array" ref="I1731">IF(OR(AND(H1731=9,I$1&gt;YEAR($N1731))),9,_xlfn.IFNA(INDEX($D$2:$D$4001,_xlfn.XMATCH(I$1&amp;"-"&amp;$F1731,YEAR($B$2:$B$4001)&amp;"-"&amp;$A$2:$A$4001,0,-1)),H1731))</f>
        <v>9</v>
      </c>
      <c r="J1731" cm="1">
        <f t="array" ref="J1731">IF(OR(AND(I1731=9,J$1&gt;YEAR($N1731))),9,_xlfn.IFNA(INDEX($D$2:$D$4001,_xlfn.XMATCH(J$1&amp;"-"&amp;$F1731,YEAR($B$2:$B$4001)&amp;"-"&amp;$A$2:$A$4001,0,-1)),I1731))</f>
        <v>3</v>
      </c>
      <c r="K1731" cm="1">
        <f t="array" ref="K1731">IF(OR(AND(J1731=9,K$1&gt;YEAR($N1731))),9,_xlfn.IFNA(INDEX($D$2:$D$4001,_xlfn.XMATCH(K$1&amp;"-"&amp;$F1731,YEAR($B$2:$B$4001)&amp;"-"&amp;$A$2:$A$4001,0,-1)),J1731))</f>
        <v>3</v>
      </c>
      <c r="L1731" cm="1">
        <f t="array" ref="L1731">IF(OR(AND(K1731=9,L$1&gt;YEAR($N1731))),9,_xlfn.IFNA(INDEX($D$2:$D$4001,_xlfn.XMATCH(L$1&amp;"-"&amp;$F1731,YEAR($B$2:$B$4001)&amp;"-"&amp;$A$2:$A$4001,0,-1)),K1731))</f>
        <v>3</v>
      </c>
      <c r="M1731" cm="1">
        <f t="array" ref="M1731">IF(OR(AND(L1731=9,M$1&gt;YEAR($N1731))),9,_xlfn.IFNA(INDEX($D$2:$D$4001,_xlfn.XMATCH(M$1&amp;"-"&amp;$F1731,YEAR($B$2:$B$4001)&amp;"-"&amp;$A$2:$A$4001,0,-1)),L1731))</f>
        <v>3</v>
      </c>
      <c r="N1731" s="1">
        <f t="shared" ref="N1731:N1794" si="27">_xlfn.MINIFS($B$2:$B$4001,$A$2:$A$4001,F1731)</f>
        <v>37437</v>
      </c>
    </row>
    <row r="1732" spans="1:14" x14ac:dyDescent="0.35">
      <c r="A1732">
        <v>821</v>
      </c>
      <c r="B1732" s="2">
        <v>36301</v>
      </c>
      <c r="C1732">
        <v>6</v>
      </c>
      <c r="D1732">
        <v>6</v>
      </c>
      <c r="F1732">
        <v>1731</v>
      </c>
      <c r="G1732" cm="1">
        <f t="array" ref="G1732">_xlfn.IFNA(INDEX($D$2:$D$4001,_xlfn.XMATCH(G$1&amp;"-"&amp;$F1732,YEAR($B$2:$B$4001)&amp;"-"&amp;$A$2:$A$4001,0,-1)),9)</f>
        <v>3</v>
      </c>
      <c r="H1732" cm="1">
        <f t="array" ref="H1732">IF(OR(AND(G1732=9,H$1&gt;YEAR($N1732))),9,_xlfn.IFNA(INDEX($D$2:$D$4001,_xlfn.XMATCH(H$1&amp;"-"&amp;$F1732,YEAR($B$2:$B$4001)&amp;"-"&amp;$A$2:$A$4001,0,-1)),G1732))</f>
        <v>3</v>
      </c>
      <c r="I1732" cm="1">
        <f t="array" ref="I1732">IF(OR(AND(H1732=9,I$1&gt;YEAR($N1732))),9,_xlfn.IFNA(INDEX($D$2:$D$4001,_xlfn.XMATCH(I$1&amp;"-"&amp;$F1732,YEAR($B$2:$B$4001)&amp;"-"&amp;$A$2:$A$4001,0,-1)),H1732))</f>
        <v>3</v>
      </c>
      <c r="J1732" cm="1">
        <f t="array" ref="J1732">IF(OR(AND(I1732=9,J$1&gt;YEAR($N1732))),9,_xlfn.IFNA(INDEX($D$2:$D$4001,_xlfn.XMATCH(J$1&amp;"-"&amp;$F1732,YEAR($B$2:$B$4001)&amp;"-"&amp;$A$2:$A$4001,0,-1)),I1732))</f>
        <v>0</v>
      </c>
      <c r="K1732" cm="1">
        <f t="array" ref="K1732">IF(OR(AND(J1732=9,K$1&gt;YEAR($N1732))),9,_xlfn.IFNA(INDEX($D$2:$D$4001,_xlfn.XMATCH(K$1&amp;"-"&amp;$F1732,YEAR($B$2:$B$4001)&amp;"-"&amp;$A$2:$A$4001,0,-1)),J1732))</f>
        <v>0</v>
      </c>
      <c r="L1732" cm="1">
        <f t="array" ref="L1732">IF(OR(AND(K1732=9,L$1&gt;YEAR($N1732))),9,_xlfn.IFNA(INDEX($D$2:$D$4001,_xlfn.XMATCH(L$1&amp;"-"&amp;$F1732,YEAR($B$2:$B$4001)&amp;"-"&amp;$A$2:$A$4001,0,-1)),K1732))</f>
        <v>0</v>
      </c>
      <c r="M1732" cm="1">
        <f t="array" ref="M1732">IF(OR(AND(L1732=9,M$1&gt;YEAR($N1732))),9,_xlfn.IFNA(INDEX($D$2:$D$4001,_xlfn.XMATCH(M$1&amp;"-"&amp;$F1732,YEAR($B$2:$B$4001)&amp;"-"&amp;$A$2:$A$4001,0,-1)),L1732))</f>
        <v>0</v>
      </c>
      <c r="N1732" s="1">
        <f t="shared" si="27"/>
        <v>36424</v>
      </c>
    </row>
    <row r="1733" spans="1:14" x14ac:dyDescent="0.35">
      <c r="A1733">
        <v>822</v>
      </c>
      <c r="B1733" s="2">
        <v>36759</v>
      </c>
      <c r="C1733">
        <v>3</v>
      </c>
      <c r="D1733">
        <v>3</v>
      </c>
      <c r="F1733">
        <v>1732</v>
      </c>
      <c r="G1733" cm="1">
        <f t="array" ref="G1733">_xlfn.IFNA(INDEX($D$2:$D$4001,_xlfn.XMATCH(G$1&amp;"-"&amp;$F1733,YEAR($B$2:$B$4001)&amp;"-"&amp;$A$2:$A$4001,0,-1)),9)</f>
        <v>7</v>
      </c>
      <c r="H1733" cm="1">
        <f t="array" ref="H1733">IF(OR(AND(G1733=9,H$1&gt;YEAR($N1733))),9,_xlfn.IFNA(INDEX($D$2:$D$4001,_xlfn.XMATCH(H$1&amp;"-"&amp;$F1733,YEAR($B$2:$B$4001)&amp;"-"&amp;$A$2:$A$4001,0,-1)),G1733))</f>
        <v>8</v>
      </c>
      <c r="I1733" cm="1">
        <f t="array" ref="I1733">IF(OR(AND(H1733=9,I$1&gt;YEAR($N1733))),9,_xlfn.IFNA(INDEX($D$2:$D$4001,_xlfn.XMATCH(I$1&amp;"-"&amp;$F1733,YEAR($B$2:$B$4001)&amp;"-"&amp;$A$2:$A$4001,0,-1)),H1733))</f>
        <v>8</v>
      </c>
      <c r="J1733" cm="1">
        <f t="array" ref="J1733">IF(OR(AND(I1733=9,J$1&gt;YEAR($N1733))),9,_xlfn.IFNA(INDEX($D$2:$D$4001,_xlfn.XMATCH(J$1&amp;"-"&amp;$F1733,YEAR($B$2:$B$4001)&amp;"-"&amp;$A$2:$A$4001,0,-1)),I1733))</f>
        <v>8</v>
      </c>
      <c r="K1733" cm="1">
        <f t="array" ref="K1733">IF(OR(AND(J1733=9,K$1&gt;YEAR($N1733))),9,_xlfn.IFNA(INDEX($D$2:$D$4001,_xlfn.XMATCH(K$1&amp;"-"&amp;$F1733,YEAR($B$2:$B$4001)&amp;"-"&amp;$A$2:$A$4001,0,-1)),J1733))</f>
        <v>8</v>
      </c>
      <c r="L1733" cm="1">
        <f t="array" ref="L1733">IF(OR(AND(K1733=9,L$1&gt;YEAR($N1733))),9,_xlfn.IFNA(INDEX($D$2:$D$4001,_xlfn.XMATCH(L$1&amp;"-"&amp;$F1733,YEAR($B$2:$B$4001)&amp;"-"&amp;$A$2:$A$4001,0,-1)),K1733))</f>
        <v>8</v>
      </c>
      <c r="M1733" cm="1">
        <f t="array" ref="M1733">IF(OR(AND(L1733=9,M$1&gt;YEAR($N1733))),9,_xlfn.IFNA(INDEX($D$2:$D$4001,_xlfn.XMATCH(M$1&amp;"-"&amp;$F1733,YEAR($B$2:$B$4001)&amp;"-"&amp;$A$2:$A$4001,0,-1)),L1733))</f>
        <v>8</v>
      </c>
      <c r="N1733" s="1">
        <f t="shared" si="27"/>
        <v>36524</v>
      </c>
    </row>
    <row r="1734" spans="1:14" x14ac:dyDescent="0.35">
      <c r="A1734">
        <v>822</v>
      </c>
      <c r="B1734" s="2">
        <v>37620</v>
      </c>
      <c r="C1734">
        <v>2</v>
      </c>
      <c r="D1734">
        <v>2</v>
      </c>
      <c r="F1734">
        <v>1733</v>
      </c>
      <c r="G1734" cm="1">
        <f t="array" ref="G1734">_xlfn.IFNA(INDEX($D$2:$D$4001,_xlfn.XMATCH(G$1&amp;"-"&amp;$F1734,YEAR($B$2:$B$4001)&amp;"-"&amp;$A$2:$A$4001,0,-1)),9)</f>
        <v>9</v>
      </c>
      <c r="H1734" cm="1">
        <f t="array" ref="H1734">IF(OR(AND(G1734=9,H$1&gt;YEAR($N1734))),9,_xlfn.IFNA(INDEX($D$2:$D$4001,_xlfn.XMATCH(H$1&amp;"-"&amp;$F1734,YEAR($B$2:$B$4001)&amp;"-"&amp;$A$2:$A$4001,0,-1)),G1734))</f>
        <v>5</v>
      </c>
      <c r="I1734" cm="1">
        <f t="array" ref="I1734">IF(OR(AND(H1734=9,I$1&gt;YEAR($N1734))),9,_xlfn.IFNA(INDEX($D$2:$D$4001,_xlfn.XMATCH(I$1&amp;"-"&amp;$F1734,YEAR($B$2:$B$4001)&amp;"-"&amp;$A$2:$A$4001,0,-1)),H1734))</f>
        <v>5</v>
      </c>
      <c r="J1734" cm="1">
        <f t="array" ref="J1734">IF(OR(AND(I1734=9,J$1&gt;YEAR($N1734))),9,_xlfn.IFNA(INDEX($D$2:$D$4001,_xlfn.XMATCH(J$1&amp;"-"&amp;$F1734,YEAR($B$2:$B$4001)&amp;"-"&amp;$A$2:$A$4001,0,-1)),I1734))</f>
        <v>5</v>
      </c>
      <c r="K1734" cm="1">
        <f t="array" ref="K1734">IF(OR(AND(J1734=9,K$1&gt;YEAR($N1734))),9,_xlfn.IFNA(INDEX($D$2:$D$4001,_xlfn.XMATCH(K$1&amp;"-"&amp;$F1734,YEAR($B$2:$B$4001)&amp;"-"&amp;$A$2:$A$4001,0,-1)),J1734))</f>
        <v>0</v>
      </c>
      <c r="L1734" cm="1">
        <f t="array" ref="L1734">IF(OR(AND(K1734=9,L$1&gt;YEAR($N1734))),9,_xlfn.IFNA(INDEX($D$2:$D$4001,_xlfn.XMATCH(L$1&amp;"-"&amp;$F1734,YEAR($B$2:$B$4001)&amp;"-"&amp;$A$2:$A$4001,0,-1)),K1734))</f>
        <v>0</v>
      </c>
      <c r="M1734" cm="1">
        <f t="array" ref="M1734">IF(OR(AND(L1734=9,M$1&gt;YEAR($N1734))),9,_xlfn.IFNA(INDEX($D$2:$D$4001,_xlfn.XMATCH(M$1&amp;"-"&amp;$F1734,YEAR($B$2:$B$4001)&amp;"-"&amp;$A$2:$A$4001,0,-1)),L1734))</f>
        <v>0</v>
      </c>
      <c r="N1734" s="1">
        <f t="shared" si="27"/>
        <v>36881</v>
      </c>
    </row>
    <row r="1735" spans="1:14" x14ac:dyDescent="0.35">
      <c r="A1735">
        <v>822</v>
      </c>
      <c r="B1735" s="2">
        <v>37620</v>
      </c>
      <c r="C1735">
        <v>0</v>
      </c>
      <c r="D1735">
        <v>0</v>
      </c>
      <c r="F1735">
        <v>1734</v>
      </c>
      <c r="G1735" cm="1">
        <f t="array" ref="G1735">_xlfn.IFNA(INDEX($D$2:$D$4001,_xlfn.XMATCH(G$1&amp;"-"&amp;$F1735,YEAR($B$2:$B$4001)&amp;"-"&amp;$A$2:$A$4001,0,-1)),9)</f>
        <v>9</v>
      </c>
      <c r="H1735" cm="1">
        <f t="array" ref="H1735">IF(OR(AND(G1735=9,H$1&gt;YEAR($N1735))),9,_xlfn.IFNA(INDEX($D$2:$D$4001,_xlfn.XMATCH(H$1&amp;"-"&amp;$F1735,YEAR($B$2:$B$4001)&amp;"-"&amp;$A$2:$A$4001,0,-1)),G1735))</f>
        <v>4</v>
      </c>
      <c r="I1735" cm="1">
        <f t="array" ref="I1735">IF(OR(AND(H1735=9,I$1&gt;YEAR($N1735))),9,_xlfn.IFNA(INDEX($D$2:$D$4001,_xlfn.XMATCH(I$1&amp;"-"&amp;$F1735,YEAR($B$2:$B$4001)&amp;"-"&amp;$A$2:$A$4001,0,-1)),H1735))</f>
        <v>4</v>
      </c>
      <c r="J1735" cm="1">
        <f t="array" ref="J1735">IF(OR(AND(I1735=9,J$1&gt;YEAR($N1735))),9,_xlfn.IFNA(INDEX($D$2:$D$4001,_xlfn.XMATCH(J$1&amp;"-"&amp;$F1735,YEAR($B$2:$B$4001)&amp;"-"&amp;$A$2:$A$4001,0,-1)),I1735))</f>
        <v>4</v>
      </c>
      <c r="K1735" cm="1">
        <f t="array" ref="K1735">IF(OR(AND(J1735=9,K$1&gt;YEAR($N1735))),9,_xlfn.IFNA(INDEX($D$2:$D$4001,_xlfn.XMATCH(K$1&amp;"-"&amp;$F1735,YEAR($B$2:$B$4001)&amp;"-"&amp;$A$2:$A$4001,0,-1)),J1735))</f>
        <v>4</v>
      </c>
      <c r="L1735" cm="1">
        <f t="array" ref="L1735">IF(OR(AND(K1735=9,L$1&gt;YEAR($N1735))),9,_xlfn.IFNA(INDEX($D$2:$D$4001,_xlfn.XMATCH(L$1&amp;"-"&amp;$F1735,YEAR($B$2:$B$4001)&amp;"-"&amp;$A$2:$A$4001,0,-1)),K1735))</f>
        <v>4</v>
      </c>
      <c r="M1735" cm="1">
        <f t="array" ref="M1735">IF(OR(AND(L1735=9,M$1&gt;YEAR($N1735))),9,_xlfn.IFNA(INDEX($D$2:$D$4001,_xlfn.XMATCH(M$1&amp;"-"&amp;$F1735,YEAR($B$2:$B$4001)&amp;"-"&amp;$A$2:$A$4001,0,-1)),L1735))</f>
        <v>4</v>
      </c>
      <c r="N1735" s="1">
        <f t="shared" si="27"/>
        <v>36829</v>
      </c>
    </row>
    <row r="1736" spans="1:14" x14ac:dyDescent="0.35">
      <c r="A1736">
        <v>823</v>
      </c>
      <c r="B1736" s="2">
        <v>36301</v>
      </c>
      <c r="C1736">
        <v>0</v>
      </c>
      <c r="D1736">
        <v>0</v>
      </c>
      <c r="F1736">
        <v>1735</v>
      </c>
      <c r="G1736" cm="1">
        <f t="array" ref="G1736">_xlfn.IFNA(INDEX($D$2:$D$4001,_xlfn.XMATCH(G$1&amp;"-"&amp;$F1736,YEAR($B$2:$B$4001)&amp;"-"&amp;$A$2:$A$4001,0,-1)),9)</f>
        <v>7</v>
      </c>
      <c r="H1736" cm="1">
        <f t="array" ref="H1736">IF(OR(AND(G1736=9,H$1&gt;YEAR($N1736))),9,_xlfn.IFNA(INDEX($D$2:$D$4001,_xlfn.XMATCH(H$1&amp;"-"&amp;$F1736,YEAR($B$2:$B$4001)&amp;"-"&amp;$A$2:$A$4001,0,-1)),G1736))</f>
        <v>0</v>
      </c>
      <c r="I1736" cm="1">
        <f t="array" ref="I1736">IF(OR(AND(H1736=9,I$1&gt;YEAR($N1736))),9,_xlfn.IFNA(INDEX($D$2:$D$4001,_xlfn.XMATCH(I$1&amp;"-"&amp;$F1736,YEAR($B$2:$B$4001)&amp;"-"&amp;$A$2:$A$4001,0,-1)),H1736))</f>
        <v>0</v>
      </c>
      <c r="J1736" cm="1">
        <f t="array" ref="J1736">IF(OR(AND(I1736=9,J$1&gt;YEAR($N1736))),9,_xlfn.IFNA(INDEX($D$2:$D$4001,_xlfn.XMATCH(J$1&amp;"-"&amp;$F1736,YEAR($B$2:$B$4001)&amp;"-"&amp;$A$2:$A$4001,0,-1)),I1736))</f>
        <v>6</v>
      </c>
      <c r="K1736" cm="1">
        <f t="array" ref="K1736">IF(OR(AND(J1736=9,K$1&gt;YEAR($N1736))),9,_xlfn.IFNA(INDEX($D$2:$D$4001,_xlfn.XMATCH(K$1&amp;"-"&amp;$F1736,YEAR($B$2:$B$4001)&amp;"-"&amp;$A$2:$A$4001,0,-1)),J1736))</f>
        <v>6</v>
      </c>
      <c r="L1736" cm="1">
        <f t="array" ref="L1736">IF(OR(AND(K1736=9,L$1&gt;YEAR($N1736))),9,_xlfn.IFNA(INDEX($D$2:$D$4001,_xlfn.XMATCH(L$1&amp;"-"&amp;$F1736,YEAR($B$2:$B$4001)&amp;"-"&amp;$A$2:$A$4001,0,-1)),K1736))</f>
        <v>6</v>
      </c>
      <c r="M1736" cm="1">
        <f t="array" ref="M1736">IF(OR(AND(L1736=9,M$1&gt;YEAR($N1736))),9,_xlfn.IFNA(INDEX($D$2:$D$4001,_xlfn.XMATCH(M$1&amp;"-"&amp;$F1736,YEAR($B$2:$B$4001)&amp;"-"&amp;$A$2:$A$4001,0,-1)),L1736))</f>
        <v>6</v>
      </c>
      <c r="N1736" s="1">
        <f t="shared" si="27"/>
        <v>36524</v>
      </c>
    </row>
    <row r="1737" spans="1:14" x14ac:dyDescent="0.35">
      <c r="A1737">
        <v>824</v>
      </c>
      <c r="B1737" s="2">
        <v>36676</v>
      </c>
      <c r="C1737">
        <v>3</v>
      </c>
      <c r="D1737">
        <v>3</v>
      </c>
      <c r="F1737">
        <v>1736</v>
      </c>
      <c r="G1737" cm="1">
        <f t="array" ref="G1737">_xlfn.IFNA(INDEX($D$2:$D$4001,_xlfn.XMATCH(G$1&amp;"-"&amp;$F1737,YEAR($B$2:$B$4001)&amp;"-"&amp;$A$2:$A$4001,0,-1)),9)</f>
        <v>2</v>
      </c>
      <c r="H1737" cm="1">
        <f t="array" ref="H1737">IF(OR(AND(G1737=9,H$1&gt;YEAR($N1737))),9,_xlfn.IFNA(INDEX($D$2:$D$4001,_xlfn.XMATCH(H$1&amp;"-"&amp;$F1737,YEAR($B$2:$B$4001)&amp;"-"&amp;$A$2:$A$4001,0,-1)),G1737))</f>
        <v>2</v>
      </c>
      <c r="I1737" cm="1">
        <f t="array" ref="I1737">IF(OR(AND(H1737=9,I$1&gt;YEAR($N1737))),9,_xlfn.IFNA(INDEX($D$2:$D$4001,_xlfn.XMATCH(I$1&amp;"-"&amp;$F1737,YEAR($B$2:$B$4001)&amp;"-"&amp;$A$2:$A$4001,0,-1)),H1737))</f>
        <v>2</v>
      </c>
      <c r="J1737" cm="1">
        <f t="array" ref="J1737">IF(OR(AND(I1737=9,J$1&gt;YEAR($N1737))),9,_xlfn.IFNA(INDEX($D$2:$D$4001,_xlfn.XMATCH(J$1&amp;"-"&amp;$F1737,YEAR($B$2:$B$4001)&amp;"-"&amp;$A$2:$A$4001,0,-1)),I1737))</f>
        <v>1</v>
      </c>
      <c r="K1737" cm="1">
        <f t="array" ref="K1737">IF(OR(AND(J1737=9,K$1&gt;YEAR($N1737))),9,_xlfn.IFNA(INDEX($D$2:$D$4001,_xlfn.XMATCH(K$1&amp;"-"&amp;$F1737,YEAR($B$2:$B$4001)&amp;"-"&amp;$A$2:$A$4001,0,-1)),J1737))</f>
        <v>1</v>
      </c>
      <c r="L1737" cm="1">
        <f t="array" ref="L1737">IF(OR(AND(K1737=9,L$1&gt;YEAR($N1737))),9,_xlfn.IFNA(INDEX($D$2:$D$4001,_xlfn.XMATCH(L$1&amp;"-"&amp;$F1737,YEAR($B$2:$B$4001)&amp;"-"&amp;$A$2:$A$4001,0,-1)),K1737))</f>
        <v>1</v>
      </c>
      <c r="M1737" cm="1">
        <f t="array" ref="M1737">IF(OR(AND(L1737=9,M$1&gt;YEAR($N1737))),9,_xlfn.IFNA(INDEX($D$2:$D$4001,_xlfn.XMATCH(M$1&amp;"-"&amp;$F1737,YEAR($B$2:$B$4001)&amp;"-"&amp;$A$2:$A$4001,0,-1)),L1737))</f>
        <v>1</v>
      </c>
      <c r="N1737" s="1">
        <f t="shared" si="27"/>
        <v>36310</v>
      </c>
    </row>
    <row r="1738" spans="1:14" x14ac:dyDescent="0.35">
      <c r="A1738">
        <v>824</v>
      </c>
      <c r="B1738" s="2">
        <v>37620</v>
      </c>
      <c r="C1738">
        <v>2</v>
      </c>
      <c r="D1738">
        <v>2</v>
      </c>
      <c r="F1738">
        <v>1737</v>
      </c>
      <c r="G1738" cm="1">
        <f t="array" ref="G1738">_xlfn.IFNA(INDEX($D$2:$D$4001,_xlfn.XMATCH(G$1&amp;"-"&amp;$F1738,YEAR($B$2:$B$4001)&amp;"-"&amp;$A$2:$A$4001,0,-1)),9)</f>
        <v>2</v>
      </c>
      <c r="H1738" cm="1">
        <f t="array" ref="H1738">IF(OR(AND(G1738=9,H$1&gt;YEAR($N1738))),9,_xlfn.IFNA(INDEX($D$2:$D$4001,_xlfn.XMATCH(H$1&amp;"-"&amp;$F1738,YEAR($B$2:$B$4001)&amp;"-"&amp;$A$2:$A$4001,0,-1)),G1738))</f>
        <v>2</v>
      </c>
      <c r="I1738" cm="1">
        <f t="array" ref="I1738">IF(OR(AND(H1738=9,I$1&gt;YEAR($N1738))),9,_xlfn.IFNA(INDEX($D$2:$D$4001,_xlfn.XMATCH(I$1&amp;"-"&amp;$F1738,YEAR($B$2:$B$4001)&amp;"-"&amp;$A$2:$A$4001,0,-1)),H1738))</f>
        <v>2</v>
      </c>
      <c r="J1738" cm="1">
        <f t="array" ref="J1738">IF(OR(AND(I1738=9,J$1&gt;YEAR($N1738))),9,_xlfn.IFNA(INDEX($D$2:$D$4001,_xlfn.XMATCH(J$1&amp;"-"&amp;$F1738,YEAR($B$2:$B$4001)&amp;"-"&amp;$A$2:$A$4001,0,-1)),I1738))</f>
        <v>2</v>
      </c>
      <c r="K1738" cm="1">
        <f t="array" ref="K1738">IF(OR(AND(J1738=9,K$1&gt;YEAR($N1738))),9,_xlfn.IFNA(INDEX($D$2:$D$4001,_xlfn.XMATCH(K$1&amp;"-"&amp;$F1738,YEAR($B$2:$B$4001)&amp;"-"&amp;$A$2:$A$4001,0,-1)),J1738))</f>
        <v>2</v>
      </c>
      <c r="L1738" cm="1">
        <f t="array" ref="L1738">IF(OR(AND(K1738=9,L$1&gt;YEAR($N1738))),9,_xlfn.IFNA(INDEX($D$2:$D$4001,_xlfn.XMATCH(L$1&amp;"-"&amp;$F1738,YEAR($B$2:$B$4001)&amp;"-"&amp;$A$2:$A$4001,0,-1)),K1738))</f>
        <v>2</v>
      </c>
      <c r="M1738" cm="1">
        <f t="array" ref="M1738">IF(OR(AND(L1738=9,M$1&gt;YEAR($N1738))),9,_xlfn.IFNA(INDEX($D$2:$D$4001,_xlfn.XMATCH(M$1&amp;"-"&amp;$F1738,YEAR($B$2:$B$4001)&amp;"-"&amp;$A$2:$A$4001,0,-1)),L1738))</f>
        <v>2</v>
      </c>
      <c r="N1738" s="1">
        <f t="shared" si="27"/>
        <v>36365</v>
      </c>
    </row>
    <row r="1739" spans="1:14" x14ac:dyDescent="0.35">
      <c r="A1739">
        <v>825</v>
      </c>
      <c r="B1739" s="2">
        <v>36676</v>
      </c>
      <c r="C1739">
        <v>5</v>
      </c>
      <c r="D1739">
        <v>5</v>
      </c>
      <c r="F1739">
        <v>1738</v>
      </c>
      <c r="G1739" cm="1">
        <f t="array" ref="G1739">_xlfn.IFNA(INDEX($D$2:$D$4001,_xlfn.XMATCH(G$1&amp;"-"&amp;$F1739,YEAR($B$2:$B$4001)&amp;"-"&amp;$A$2:$A$4001,0,-1)),9)</f>
        <v>9</v>
      </c>
      <c r="H1739" cm="1">
        <f t="array" ref="H1739">IF(OR(AND(G1739=9,H$1&gt;YEAR($N1739))),9,_xlfn.IFNA(INDEX($D$2:$D$4001,_xlfn.XMATCH(H$1&amp;"-"&amp;$F1739,YEAR($B$2:$B$4001)&amp;"-"&amp;$A$2:$A$4001,0,-1)),G1739))</f>
        <v>9</v>
      </c>
      <c r="I1739" cm="1">
        <f t="array" ref="I1739">IF(OR(AND(H1739=9,I$1&gt;YEAR($N1739))),9,_xlfn.IFNA(INDEX($D$2:$D$4001,_xlfn.XMATCH(I$1&amp;"-"&amp;$F1739,YEAR($B$2:$B$4001)&amp;"-"&amp;$A$2:$A$4001,0,-1)),H1739))</f>
        <v>2</v>
      </c>
      <c r="J1739" cm="1">
        <f t="array" ref="J1739">IF(OR(AND(I1739=9,J$1&gt;YEAR($N1739))),9,_xlfn.IFNA(INDEX($D$2:$D$4001,_xlfn.XMATCH(J$1&amp;"-"&amp;$F1739,YEAR($B$2:$B$4001)&amp;"-"&amp;$A$2:$A$4001,0,-1)),I1739))</f>
        <v>2</v>
      </c>
      <c r="K1739" cm="1">
        <f t="array" ref="K1739">IF(OR(AND(J1739=9,K$1&gt;YEAR($N1739))),9,_xlfn.IFNA(INDEX($D$2:$D$4001,_xlfn.XMATCH(K$1&amp;"-"&amp;$F1739,YEAR($B$2:$B$4001)&amp;"-"&amp;$A$2:$A$4001,0,-1)),J1739))</f>
        <v>2</v>
      </c>
      <c r="L1739" cm="1">
        <f t="array" ref="L1739">IF(OR(AND(K1739=9,L$1&gt;YEAR($N1739))),9,_xlfn.IFNA(INDEX($D$2:$D$4001,_xlfn.XMATCH(L$1&amp;"-"&amp;$F1739,YEAR($B$2:$B$4001)&amp;"-"&amp;$A$2:$A$4001,0,-1)),K1739))</f>
        <v>2</v>
      </c>
      <c r="M1739" cm="1">
        <f t="array" ref="M1739">IF(OR(AND(L1739=9,M$1&gt;YEAR($N1739))),9,_xlfn.IFNA(INDEX($D$2:$D$4001,_xlfn.XMATCH(M$1&amp;"-"&amp;$F1739,YEAR($B$2:$B$4001)&amp;"-"&amp;$A$2:$A$4001,0,-1)),L1739))</f>
        <v>2</v>
      </c>
      <c r="N1739" s="1">
        <f t="shared" si="27"/>
        <v>37255</v>
      </c>
    </row>
    <row r="1740" spans="1:14" x14ac:dyDescent="0.35">
      <c r="A1740">
        <v>825</v>
      </c>
      <c r="B1740" s="2">
        <v>37185</v>
      </c>
      <c r="C1740">
        <v>6</v>
      </c>
      <c r="D1740">
        <v>6</v>
      </c>
      <c r="F1740">
        <v>1739</v>
      </c>
      <c r="G1740" cm="1">
        <f t="array" ref="G1740">_xlfn.IFNA(INDEX($D$2:$D$4001,_xlfn.XMATCH(G$1&amp;"-"&amp;$F1740,YEAR($B$2:$B$4001)&amp;"-"&amp;$A$2:$A$4001,0,-1)),9)</f>
        <v>9</v>
      </c>
      <c r="H1740" cm="1">
        <f t="array" ref="H1740">IF(OR(AND(G1740=9,H$1&gt;YEAR($N1740))),9,_xlfn.IFNA(INDEX($D$2:$D$4001,_xlfn.XMATCH(H$1&amp;"-"&amp;$F1740,YEAR($B$2:$B$4001)&amp;"-"&amp;$A$2:$A$4001,0,-1)),G1740))</f>
        <v>9</v>
      </c>
      <c r="I1740" cm="1">
        <f t="array" ref="I1740">IF(OR(AND(H1740=9,I$1&gt;YEAR($N1740))),9,_xlfn.IFNA(INDEX($D$2:$D$4001,_xlfn.XMATCH(I$1&amp;"-"&amp;$F1740,YEAR($B$2:$B$4001)&amp;"-"&amp;$A$2:$A$4001,0,-1)),H1740))</f>
        <v>0</v>
      </c>
      <c r="J1740" cm="1">
        <f t="array" ref="J1740">IF(OR(AND(I1740=9,J$1&gt;YEAR($N1740))),9,_xlfn.IFNA(INDEX($D$2:$D$4001,_xlfn.XMATCH(J$1&amp;"-"&amp;$F1740,YEAR($B$2:$B$4001)&amp;"-"&amp;$A$2:$A$4001,0,-1)),I1740))</f>
        <v>0</v>
      </c>
      <c r="K1740" cm="1">
        <f t="array" ref="K1740">IF(OR(AND(J1740=9,K$1&gt;YEAR($N1740))),9,_xlfn.IFNA(INDEX($D$2:$D$4001,_xlfn.XMATCH(K$1&amp;"-"&amp;$F1740,YEAR($B$2:$B$4001)&amp;"-"&amp;$A$2:$A$4001,0,-1)),J1740))</f>
        <v>0</v>
      </c>
      <c r="L1740" cm="1">
        <f t="array" ref="L1740">IF(OR(AND(K1740=9,L$1&gt;YEAR($N1740))),9,_xlfn.IFNA(INDEX($D$2:$D$4001,_xlfn.XMATCH(L$1&amp;"-"&amp;$F1740,YEAR($B$2:$B$4001)&amp;"-"&amp;$A$2:$A$4001,0,-1)),K1740))</f>
        <v>0</v>
      </c>
      <c r="M1740" cm="1">
        <f t="array" ref="M1740">IF(OR(AND(L1740=9,M$1&gt;YEAR($N1740))),9,_xlfn.IFNA(INDEX($D$2:$D$4001,_xlfn.XMATCH(M$1&amp;"-"&amp;$F1740,YEAR($B$2:$B$4001)&amp;"-"&amp;$A$2:$A$4001,0,-1)),L1740))</f>
        <v>0</v>
      </c>
      <c r="N1740" s="1">
        <f t="shared" si="27"/>
        <v>37072</v>
      </c>
    </row>
    <row r="1741" spans="1:14" x14ac:dyDescent="0.35">
      <c r="A1741">
        <v>825</v>
      </c>
      <c r="B1741" s="2">
        <v>37194</v>
      </c>
      <c r="C1741">
        <v>6</v>
      </c>
      <c r="D1741">
        <v>6</v>
      </c>
      <c r="F1741">
        <v>1740</v>
      </c>
      <c r="G1741" cm="1">
        <f t="array" ref="G1741">_xlfn.IFNA(INDEX($D$2:$D$4001,_xlfn.XMATCH(G$1&amp;"-"&amp;$F1741,YEAR($B$2:$B$4001)&amp;"-"&amp;$A$2:$A$4001,0,-1)),9)</f>
        <v>9</v>
      </c>
      <c r="H1741" cm="1">
        <f t="array" ref="H1741">IF(OR(AND(G1741=9,H$1&gt;YEAR($N1741))),9,_xlfn.IFNA(INDEX($D$2:$D$4001,_xlfn.XMATCH(H$1&amp;"-"&amp;$F1741,YEAR($B$2:$B$4001)&amp;"-"&amp;$A$2:$A$4001,0,-1)),G1741))</f>
        <v>9</v>
      </c>
      <c r="I1741" cm="1">
        <f t="array" ref="I1741">IF(OR(AND(H1741=9,I$1&gt;YEAR($N1741))),9,_xlfn.IFNA(INDEX($D$2:$D$4001,_xlfn.XMATCH(I$1&amp;"-"&amp;$F1741,YEAR($B$2:$B$4001)&amp;"-"&amp;$A$2:$A$4001,0,-1)),H1741))</f>
        <v>9</v>
      </c>
      <c r="J1741" cm="1">
        <f t="array" ref="J1741">IF(OR(AND(I1741=9,J$1&gt;YEAR($N1741))),9,_xlfn.IFNA(INDEX($D$2:$D$4001,_xlfn.XMATCH(J$1&amp;"-"&amp;$F1741,YEAR($B$2:$B$4001)&amp;"-"&amp;$A$2:$A$4001,0,-1)),I1741))</f>
        <v>9</v>
      </c>
      <c r="K1741" cm="1">
        <f t="array" ref="K1741">IF(OR(AND(J1741=9,K$1&gt;YEAR($N1741))),9,_xlfn.IFNA(INDEX($D$2:$D$4001,_xlfn.XMATCH(K$1&amp;"-"&amp;$F1741,YEAR($B$2:$B$4001)&amp;"-"&amp;$A$2:$A$4001,0,-1)),J1741))</f>
        <v>9</v>
      </c>
      <c r="L1741" cm="1">
        <f t="array" ref="L1741">IF(OR(AND(K1741=9,L$1&gt;YEAR($N1741))),9,_xlfn.IFNA(INDEX($D$2:$D$4001,_xlfn.XMATCH(L$1&amp;"-"&amp;$F1741,YEAR($B$2:$B$4001)&amp;"-"&amp;$A$2:$A$4001,0,-1)),K1741))</f>
        <v>4</v>
      </c>
      <c r="M1741" cm="1">
        <f t="array" ref="M1741">IF(OR(AND(L1741=9,M$1&gt;YEAR($N1741))),9,_xlfn.IFNA(INDEX($D$2:$D$4001,_xlfn.XMATCH(M$1&amp;"-"&amp;$F1741,YEAR($B$2:$B$4001)&amp;"-"&amp;$A$2:$A$4001,0,-1)),L1741))</f>
        <v>4</v>
      </c>
      <c r="N1741" s="1">
        <f t="shared" si="27"/>
        <v>38351</v>
      </c>
    </row>
    <row r="1742" spans="1:14" x14ac:dyDescent="0.35">
      <c r="A1742">
        <v>826</v>
      </c>
      <c r="B1742" s="2">
        <v>37032</v>
      </c>
      <c r="C1742">
        <v>5</v>
      </c>
      <c r="D1742">
        <v>5</v>
      </c>
      <c r="F1742">
        <v>1741</v>
      </c>
      <c r="G1742" cm="1">
        <f t="array" ref="G1742">_xlfn.IFNA(INDEX($D$2:$D$4001,_xlfn.XMATCH(G$1&amp;"-"&amp;$F1742,YEAR($B$2:$B$4001)&amp;"-"&amp;$A$2:$A$4001,0,-1)),9)</f>
        <v>9</v>
      </c>
      <c r="H1742" cm="1">
        <f t="array" ref="H1742">IF(OR(AND(G1742=9,H$1&gt;YEAR($N1742))),9,_xlfn.IFNA(INDEX($D$2:$D$4001,_xlfn.XMATCH(H$1&amp;"-"&amp;$F1742,YEAR($B$2:$B$4001)&amp;"-"&amp;$A$2:$A$4001,0,-1)),G1742))</f>
        <v>9</v>
      </c>
      <c r="I1742" cm="1">
        <f t="array" ref="I1742">IF(OR(AND(H1742=9,I$1&gt;YEAR($N1742))),9,_xlfn.IFNA(INDEX($D$2:$D$4001,_xlfn.XMATCH(I$1&amp;"-"&amp;$F1742,YEAR($B$2:$B$4001)&amp;"-"&amp;$A$2:$A$4001,0,-1)),H1742))</f>
        <v>9</v>
      </c>
      <c r="J1742" cm="1">
        <f t="array" ref="J1742">IF(OR(AND(I1742=9,J$1&gt;YEAR($N1742))),9,_xlfn.IFNA(INDEX($D$2:$D$4001,_xlfn.XMATCH(J$1&amp;"-"&amp;$F1742,YEAR($B$2:$B$4001)&amp;"-"&amp;$A$2:$A$4001,0,-1)),I1742))</f>
        <v>3</v>
      </c>
      <c r="K1742" cm="1">
        <f t="array" ref="K1742">IF(OR(AND(J1742=9,K$1&gt;YEAR($N1742))),9,_xlfn.IFNA(INDEX($D$2:$D$4001,_xlfn.XMATCH(K$1&amp;"-"&amp;$F1742,YEAR($B$2:$B$4001)&amp;"-"&amp;$A$2:$A$4001,0,-1)),J1742))</f>
        <v>4</v>
      </c>
      <c r="L1742" cm="1">
        <f t="array" ref="L1742">IF(OR(AND(K1742=9,L$1&gt;YEAR($N1742))),9,_xlfn.IFNA(INDEX($D$2:$D$4001,_xlfn.XMATCH(L$1&amp;"-"&amp;$F1742,YEAR($B$2:$B$4001)&amp;"-"&amp;$A$2:$A$4001,0,-1)),K1742))</f>
        <v>4</v>
      </c>
      <c r="M1742" cm="1">
        <f t="array" ref="M1742">IF(OR(AND(L1742=9,M$1&gt;YEAR($N1742))),9,_xlfn.IFNA(INDEX($D$2:$D$4001,_xlfn.XMATCH(M$1&amp;"-"&amp;$F1742,YEAR($B$2:$B$4001)&amp;"-"&amp;$A$2:$A$4001,0,-1)),L1742))</f>
        <v>4</v>
      </c>
      <c r="N1742" s="1">
        <f t="shared" si="27"/>
        <v>37489</v>
      </c>
    </row>
    <row r="1743" spans="1:14" x14ac:dyDescent="0.35">
      <c r="A1743">
        <v>826</v>
      </c>
      <c r="B1743" s="2">
        <v>37620</v>
      </c>
      <c r="C1743">
        <v>6</v>
      </c>
      <c r="D1743">
        <v>6</v>
      </c>
      <c r="F1743">
        <v>1742</v>
      </c>
      <c r="G1743" cm="1">
        <f t="array" ref="G1743">_xlfn.IFNA(INDEX($D$2:$D$4001,_xlfn.XMATCH(G$1&amp;"-"&amp;$F1743,YEAR($B$2:$B$4001)&amp;"-"&amp;$A$2:$A$4001,0,-1)),9)</f>
        <v>9</v>
      </c>
      <c r="H1743" cm="1">
        <f t="array" ref="H1743">IF(OR(AND(G1743=9,H$1&gt;YEAR($N1743))),9,_xlfn.IFNA(INDEX($D$2:$D$4001,_xlfn.XMATCH(H$1&amp;"-"&amp;$F1743,YEAR($B$2:$B$4001)&amp;"-"&amp;$A$2:$A$4001,0,-1)),G1743))</f>
        <v>9</v>
      </c>
      <c r="I1743" cm="1">
        <f t="array" ref="I1743">IF(OR(AND(H1743=9,I$1&gt;YEAR($N1743))),9,_xlfn.IFNA(INDEX($D$2:$D$4001,_xlfn.XMATCH(I$1&amp;"-"&amp;$F1743,YEAR($B$2:$B$4001)&amp;"-"&amp;$A$2:$A$4001,0,-1)),H1743))</f>
        <v>3</v>
      </c>
      <c r="J1743" cm="1">
        <f t="array" ref="J1743">IF(OR(AND(I1743=9,J$1&gt;YEAR($N1743))),9,_xlfn.IFNA(INDEX($D$2:$D$4001,_xlfn.XMATCH(J$1&amp;"-"&amp;$F1743,YEAR($B$2:$B$4001)&amp;"-"&amp;$A$2:$A$4001,0,-1)),I1743))</f>
        <v>4</v>
      </c>
      <c r="K1743" cm="1">
        <f t="array" ref="K1743">IF(OR(AND(J1743=9,K$1&gt;YEAR($N1743))),9,_xlfn.IFNA(INDEX($D$2:$D$4001,_xlfn.XMATCH(K$1&amp;"-"&amp;$F1743,YEAR($B$2:$B$4001)&amp;"-"&amp;$A$2:$A$4001,0,-1)),J1743))</f>
        <v>4</v>
      </c>
      <c r="L1743" cm="1">
        <f t="array" ref="L1743">IF(OR(AND(K1743=9,L$1&gt;YEAR($N1743))),9,_xlfn.IFNA(INDEX($D$2:$D$4001,_xlfn.XMATCH(L$1&amp;"-"&amp;$F1743,YEAR($B$2:$B$4001)&amp;"-"&amp;$A$2:$A$4001,0,-1)),K1743))</f>
        <v>5</v>
      </c>
      <c r="M1743" cm="1">
        <f t="array" ref="M1743">IF(OR(AND(L1743=9,M$1&gt;YEAR($N1743))),9,_xlfn.IFNA(INDEX($D$2:$D$4001,_xlfn.XMATCH(M$1&amp;"-"&amp;$F1743,YEAR($B$2:$B$4001)&amp;"-"&amp;$A$2:$A$4001,0,-1)),L1743))</f>
        <v>5</v>
      </c>
      <c r="N1743" s="1">
        <f t="shared" si="27"/>
        <v>37164</v>
      </c>
    </row>
    <row r="1744" spans="1:14" x14ac:dyDescent="0.35">
      <c r="A1744">
        <v>826</v>
      </c>
      <c r="B1744" s="2">
        <v>37771</v>
      </c>
      <c r="C1744">
        <v>0</v>
      </c>
      <c r="D1744">
        <v>0</v>
      </c>
      <c r="F1744">
        <v>1743</v>
      </c>
      <c r="G1744" cm="1">
        <f t="array" ref="G1744">_xlfn.IFNA(INDEX($D$2:$D$4001,_xlfn.XMATCH(G$1&amp;"-"&amp;$F1744,YEAR($B$2:$B$4001)&amp;"-"&amp;$A$2:$A$4001,0,-1)),9)</f>
        <v>9</v>
      </c>
      <c r="H1744" cm="1">
        <f t="array" ref="H1744">IF(OR(AND(G1744=9,H$1&gt;YEAR($N1744))),9,_xlfn.IFNA(INDEX($D$2:$D$4001,_xlfn.XMATCH(H$1&amp;"-"&amp;$F1744,YEAR($B$2:$B$4001)&amp;"-"&amp;$A$2:$A$4001,0,-1)),G1744))</f>
        <v>9</v>
      </c>
      <c r="I1744" cm="1">
        <f t="array" ref="I1744">IF(OR(AND(H1744=9,I$1&gt;YEAR($N1744))),9,_xlfn.IFNA(INDEX($D$2:$D$4001,_xlfn.XMATCH(I$1&amp;"-"&amp;$F1744,YEAR($B$2:$B$4001)&amp;"-"&amp;$A$2:$A$4001,0,-1)),H1744))</f>
        <v>9</v>
      </c>
      <c r="J1744" cm="1">
        <f t="array" ref="J1744">IF(OR(AND(I1744=9,J$1&gt;YEAR($N1744))),9,_xlfn.IFNA(INDEX($D$2:$D$4001,_xlfn.XMATCH(J$1&amp;"-"&amp;$F1744,YEAR($B$2:$B$4001)&amp;"-"&amp;$A$2:$A$4001,0,-1)),I1744))</f>
        <v>9</v>
      </c>
      <c r="K1744" cm="1">
        <f t="array" ref="K1744">IF(OR(AND(J1744=9,K$1&gt;YEAR($N1744))),9,_xlfn.IFNA(INDEX($D$2:$D$4001,_xlfn.XMATCH(K$1&amp;"-"&amp;$F1744,YEAR($B$2:$B$4001)&amp;"-"&amp;$A$2:$A$4001,0,-1)),J1744))</f>
        <v>0</v>
      </c>
      <c r="L1744" cm="1">
        <f t="array" ref="L1744">IF(OR(AND(K1744=9,L$1&gt;YEAR($N1744))),9,_xlfn.IFNA(INDEX($D$2:$D$4001,_xlfn.XMATCH(L$1&amp;"-"&amp;$F1744,YEAR($B$2:$B$4001)&amp;"-"&amp;$A$2:$A$4001,0,-1)),K1744))</f>
        <v>0</v>
      </c>
      <c r="M1744" cm="1">
        <f t="array" ref="M1744">IF(OR(AND(L1744=9,M$1&gt;YEAR($N1744))),9,_xlfn.IFNA(INDEX($D$2:$D$4001,_xlfn.XMATCH(M$1&amp;"-"&amp;$F1744,YEAR($B$2:$B$4001)&amp;"-"&amp;$A$2:$A$4001,0,-1)),L1744))</f>
        <v>0</v>
      </c>
      <c r="N1744" s="1">
        <f t="shared" si="27"/>
        <v>37769</v>
      </c>
    </row>
    <row r="1745" spans="1:14" x14ac:dyDescent="0.35">
      <c r="A1745">
        <v>826</v>
      </c>
      <c r="B1745" s="2">
        <v>37955</v>
      </c>
      <c r="C1745">
        <v>7</v>
      </c>
      <c r="D1745">
        <v>7</v>
      </c>
      <c r="F1745">
        <v>1744</v>
      </c>
      <c r="G1745" cm="1">
        <f t="array" ref="G1745">_xlfn.IFNA(INDEX($D$2:$D$4001,_xlfn.XMATCH(G$1&amp;"-"&amp;$F1745,YEAR($B$2:$B$4001)&amp;"-"&amp;$A$2:$A$4001,0,-1)),9)</f>
        <v>3</v>
      </c>
      <c r="H1745" cm="1">
        <f t="array" ref="H1745">IF(OR(AND(G1745=9,H$1&gt;YEAR($N1745))),9,_xlfn.IFNA(INDEX($D$2:$D$4001,_xlfn.XMATCH(H$1&amp;"-"&amp;$F1745,YEAR($B$2:$B$4001)&amp;"-"&amp;$A$2:$A$4001,0,-1)),G1745))</f>
        <v>3</v>
      </c>
      <c r="I1745" cm="1">
        <f t="array" ref="I1745">IF(OR(AND(H1745=9,I$1&gt;YEAR($N1745))),9,_xlfn.IFNA(INDEX($D$2:$D$4001,_xlfn.XMATCH(I$1&amp;"-"&amp;$F1745,YEAR($B$2:$B$4001)&amp;"-"&amp;$A$2:$A$4001,0,-1)),H1745))</f>
        <v>3</v>
      </c>
      <c r="J1745" cm="1">
        <f t="array" ref="J1745">IF(OR(AND(I1745=9,J$1&gt;YEAR($N1745))),9,_xlfn.IFNA(INDEX($D$2:$D$4001,_xlfn.XMATCH(J$1&amp;"-"&amp;$F1745,YEAR($B$2:$B$4001)&amp;"-"&amp;$A$2:$A$4001,0,-1)),I1745))</f>
        <v>3</v>
      </c>
      <c r="K1745" cm="1">
        <f t="array" ref="K1745">IF(OR(AND(J1745=9,K$1&gt;YEAR($N1745))),9,_xlfn.IFNA(INDEX($D$2:$D$4001,_xlfn.XMATCH(K$1&amp;"-"&amp;$F1745,YEAR($B$2:$B$4001)&amp;"-"&amp;$A$2:$A$4001,0,-1)),J1745))</f>
        <v>3</v>
      </c>
      <c r="L1745" cm="1">
        <f t="array" ref="L1745">IF(OR(AND(K1745=9,L$1&gt;YEAR($N1745))),9,_xlfn.IFNA(INDEX($D$2:$D$4001,_xlfn.XMATCH(L$1&amp;"-"&amp;$F1745,YEAR($B$2:$B$4001)&amp;"-"&amp;$A$2:$A$4001,0,-1)),K1745))</f>
        <v>3</v>
      </c>
      <c r="M1745" cm="1">
        <f t="array" ref="M1745">IF(OR(AND(L1745=9,M$1&gt;YEAR($N1745))),9,_xlfn.IFNA(INDEX($D$2:$D$4001,_xlfn.XMATCH(M$1&amp;"-"&amp;$F1745,YEAR($B$2:$B$4001)&amp;"-"&amp;$A$2:$A$4001,0,-1)),L1745))</f>
        <v>3</v>
      </c>
      <c r="N1745" s="1">
        <f t="shared" si="27"/>
        <v>36402</v>
      </c>
    </row>
    <row r="1746" spans="1:14" x14ac:dyDescent="0.35">
      <c r="A1746">
        <v>826</v>
      </c>
      <c r="B1746" s="2">
        <v>37955</v>
      </c>
      <c r="C1746">
        <v>7</v>
      </c>
      <c r="D1746">
        <v>7</v>
      </c>
      <c r="F1746">
        <v>1745</v>
      </c>
      <c r="G1746" cm="1">
        <f t="array" ref="G1746">_xlfn.IFNA(INDEX($D$2:$D$4001,_xlfn.XMATCH(G$1&amp;"-"&amp;$F1746,YEAR($B$2:$B$4001)&amp;"-"&amp;$A$2:$A$4001,0,-1)),9)</f>
        <v>3</v>
      </c>
      <c r="H1746" cm="1">
        <f t="array" ref="H1746">IF(OR(AND(G1746=9,H$1&gt;YEAR($N1746))),9,_xlfn.IFNA(INDEX($D$2:$D$4001,_xlfn.XMATCH(H$1&amp;"-"&amp;$F1746,YEAR($B$2:$B$4001)&amp;"-"&amp;$A$2:$A$4001,0,-1)),G1746))</f>
        <v>3</v>
      </c>
      <c r="I1746" cm="1">
        <f t="array" ref="I1746">IF(OR(AND(H1746=9,I$1&gt;YEAR($N1746))),9,_xlfn.IFNA(INDEX($D$2:$D$4001,_xlfn.XMATCH(I$1&amp;"-"&amp;$F1746,YEAR($B$2:$B$4001)&amp;"-"&amp;$A$2:$A$4001,0,-1)),H1746))</f>
        <v>4</v>
      </c>
      <c r="J1746" cm="1">
        <f t="array" ref="J1746">IF(OR(AND(I1746=9,J$1&gt;YEAR($N1746))),9,_xlfn.IFNA(INDEX($D$2:$D$4001,_xlfn.XMATCH(J$1&amp;"-"&amp;$F1746,YEAR($B$2:$B$4001)&amp;"-"&amp;$A$2:$A$4001,0,-1)),I1746))</f>
        <v>4</v>
      </c>
      <c r="K1746" cm="1">
        <f t="array" ref="K1746">IF(OR(AND(J1746=9,K$1&gt;YEAR($N1746))),9,_xlfn.IFNA(INDEX($D$2:$D$4001,_xlfn.XMATCH(K$1&amp;"-"&amp;$F1746,YEAR($B$2:$B$4001)&amp;"-"&amp;$A$2:$A$4001,0,-1)),J1746))</f>
        <v>4</v>
      </c>
      <c r="L1746" cm="1">
        <f t="array" ref="L1746">IF(OR(AND(K1746=9,L$1&gt;YEAR($N1746))),9,_xlfn.IFNA(INDEX($D$2:$D$4001,_xlfn.XMATCH(L$1&amp;"-"&amp;$F1746,YEAR($B$2:$B$4001)&amp;"-"&amp;$A$2:$A$4001,0,-1)),K1746))</f>
        <v>4</v>
      </c>
      <c r="M1746" cm="1">
        <f t="array" ref="M1746">IF(OR(AND(L1746=9,M$1&gt;YEAR($N1746))),9,_xlfn.IFNA(INDEX($D$2:$D$4001,_xlfn.XMATCH(M$1&amp;"-"&amp;$F1746,YEAR($B$2:$B$4001)&amp;"-"&amp;$A$2:$A$4001,0,-1)),L1746))</f>
        <v>4</v>
      </c>
      <c r="N1746" s="1">
        <f t="shared" si="27"/>
        <v>36402</v>
      </c>
    </row>
    <row r="1747" spans="1:14" x14ac:dyDescent="0.35">
      <c r="A1747">
        <v>827</v>
      </c>
      <c r="B1747" s="2">
        <v>36820</v>
      </c>
      <c r="C1747">
        <v>3</v>
      </c>
      <c r="D1747">
        <v>3</v>
      </c>
      <c r="F1747">
        <v>1746</v>
      </c>
      <c r="G1747" cm="1">
        <f t="array" ref="G1747">_xlfn.IFNA(INDEX($D$2:$D$4001,_xlfn.XMATCH(G$1&amp;"-"&amp;$F1747,YEAR($B$2:$B$4001)&amp;"-"&amp;$A$2:$A$4001,0,-1)),9)</f>
        <v>9</v>
      </c>
      <c r="H1747" cm="1">
        <f t="array" ref="H1747">IF(OR(AND(G1747=9,H$1&gt;YEAR($N1747))),9,_xlfn.IFNA(INDEX($D$2:$D$4001,_xlfn.XMATCH(H$1&amp;"-"&amp;$F1747,YEAR($B$2:$B$4001)&amp;"-"&amp;$A$2:$A$4001,0,-1)),G1747))</f>
        <v>3</v>
      </c>
      <c r="I1747" cm="1">
        <f t="array" ref="I1747">IF(OR(AND(H1747=9,I$1&gt;YEAR($N1747))),9,_xlfn.IFNA(INDEX($D$2:$D$4001,_xlfn.XMATCH(I$1&amp;"-"&amp;$F1747,YEAR($B$2:$B$4001)&amp;"-"&amp;$A$2:$A$4001,0,-1)),H1747))</f>
        <v>3</v>
      </c>
      <c r="J1747" cm="1">
        <f t="array" ref="J1747">IF(OR(AND(I1747=9,J$1&gt;YEAR($N1747))),9,_xlfn.IFNA(INDEX($D$2:$D$4001,_xlfn.XMATCH(J$1&amp;"-"&amp;$F1747,YEAR($B$2:$B$4001)&amp;"-"&amp;$A$2:$A$4001,0,-1)),I1747))</f>
        <v>3</v>
      </c>
      <c r="K1747" cm="1">
        <f t="array" ref="K1747">IF(OR(AND(J1747=9,K$1&gt;YEAR($N1747))),9,_xlfn.IFNA(INDEX($D$2:$D$4001,_xlfn.XMATCH(K$1&amp;"-"&amp;$F1747,YEAR($B$2:$B$4001)&amp;"-"&amp;$A$2:$A$4001,0,-1)),J1747))</f>
        <v>4</v>
      </c>
      <c r="L1747" cm="1">
        <f t="array" ref="L1747">IF(OR(AND(K1747=9,L$1&gt;YEAR($N1747))),9,_xlfn.IFNA(INDEX($D$2:$D$4001,_xlfn.XMATCH(L$1&amp;"-"&amp;$F1747,YEAR($B$2:$B$4001)&amp;"-"&amp;$A$2:$A$4001,0,-1)),K1747))</f>
        <v>4</v>
      </c>
      <c r="M1747" cm="1">
        <f t="array" ref="M1747">IF(OR(AND(L1747=9,M$1&gt;YEAR($N1747))),9,_xlfn.IFNA(INDEX($D$2:$D$4001,_xlfn.XMATCH(M$1&amp;"-"&amp;$F1747,YEAR($B$2:$B$4001)&amp;"-"&amp;$A$2:$A$4001,0,-1)),L1747))</f>
        <v>4</v>
      </c>
      <c r="N1747" s="1">
        <f t="shared" si="27"/>
        <v>36860</v>
      </c>
    </row>
    <row r="1748" spans="1:14" x14ac:dyDescent="0.35">
      <c r="A1748">
        <v>827</v>
      </c>
      <c r="B1748" s="2">
        <v>38625</v>
      </c>
      <c r="C1748">
        <v>3</v>
      </c>
      <c r="D1748">
        <v>3</v>
      </c>
      <c r="F1748">
        <v>1747</v>
      </c>
      <c r="G1748" cm="1">
        <f t="array" ref="G1748">_xlfn.IFNA(INDEX($D$2:$D$4001,_xlfn.XMATCH(G$1&amp;"-"&amp;$F1748,YEAR($B$2:$B$4001)&amp;"-"&amp;$A$2:$A$4001,0,-1)),9)</f>
        <v>6</v>
      </c>
      <c r="H1748" cm="1">
        <f t="array" ref="H1748">IF(OR(AND(G1748=9,H$1&gt;YEAR($N1748))),9,_xlfn.IFNA(INDEX($D$2:$D$4001,_xlfn.XMATCH(H$1&amp;"-"&amp;$F1748,YEAR($B$2:$B$4001)&amp;"-"&amp;$A$2:$A$4001,0,-1)),G1748))</f>
        <v>6</v>
      </c>
      <c r="I1748" cm="1">
        <f t="array" ref="I1748">IF(OR(AND(H1748=9,I$1&gt;YEAR($N1748))),9,_xlfn.IFNA(INDEX($D$2:$D$4001,_xlfn.XMATCH(I$1&amp;"-"&amp;$F1748,YEAR($B$2:$B$4001)&amp;"-"&amp;$A$2:$A$4001,0,-1)),H1748))</f>
        <v>6</v>
      </c>
      <c r="J1748" cm="1">
        <f t="array" ref="J1748">IF(OR(AND(I1748=9,J$1&gt;YEAR($N1748))),9,_xlfn.IFNA(INDEX($D$2:$D$4001,_xlfn.XMATCH(J$1&amp;"-"&amp;$F1748,YEAR($B$2:$B$4001)&amp;"-"&amp;$A$2:$A$4001,0,-1)),I1748))</f>
        <v>6</v>
      </c>
      <c r="K1748" cm="1">
        <f t="array" ref="K1748">IF(OR(AND(J1748=9,K$1&gt;YEAR($N1748))),9,_xlfn.IFNA(INDEX($D$2:$D$4001,_xlfn.XMATCH(K$1&amp;"-"&amp;$F1748,YEAR($B$2:$B$4001)&amp;"-"&amp;$A$2:$A$4001,0,-1)),J1748))</f>
        <v>0</v>
      </c>
      <c r="L1748" cm="1">
        <f t="array" ref="L1748">IF(OR(AND(K1748=9,L$1&gt;YEAR($N1748))),9,_xlfn.IFNA(INDEX($D$2:$D$4001,_xlfn.XMATCH(L$1&amp;"-"&amp;$F1748,YEAR($B$2:$B$4001)&amp;"-"&amp;$A$2:$A$4001,0,-1)),K1748))</f>
        <v>0</v>
      </c>
      <c r="M1748" cm="1">
        <f t="array" ref="M1748">IF(OR(AND(L1748=9,M$1&gt;YEAR($N1748))),9,_xlfn.IFNA(INDEX($D$2:$D$4001,_xlfn.XMATCH(M$1&amp;"-"&amp;$F1748,YEAR($B$2:$B$4001)&amp;"-"&amp;$A$2:$A$4001,0,-1)),L1748))</f>
        <v>0</v>
      </c>
      <c r="N1748" s="1">
        <f t="shared" si="27"/>
        <v>36310</v>
      </c>
    </row>
    <row r="1749" spans="1:14" x14ac:dyDescent="0.35">
      <c r="A1749">
        <v>828</v>
      </c>
      <c r="B1749" s="2">
        <v>36332</v>
      </c>
      <c r="C1749">
        <v>5</v>
      </c>
      <c r="D1749">
        <v>5</v>
      </c>
      <c r="F1749">
        <v>1748</v>
      </c>
      <c r="G1749" cm="1">
        <f t="array" ref="G1749">_xlfn.IFNA(INDEX($D$2:$D$4001,_xlfn.XMATCH(G$1&amp;"-"&amp;$F1749,YEAR($B$2:$B$4001)&amp;"-"&amp;$A$2:$A$4001,0,-1)),9)</f>
        <v>4</v>
      </c>
      <c r="H1749" cm="1">
        <f t="array" ref="H1749">IF(OR(AND(G1749=9,H$1&gt;YEAR($N1749))),9,_xlfn.IFNA(INDEX($D$2:$D$4001,_xlfn.XMATCH(H$1&amp;"-"&amp;$F1749,YEAR($B$2:$B$4001)&amp;"-"&amp;$A$2:$A$4001,0,-1)),G1749))</f>
        <v>4</v>
      </c>
      <c r="I1749" cm="1">
        <f t="array" ref="I1749">IF(OR(AND(H1749=9,I$1&gt;YEAR($N1749))),9,_xlfn.IFNA(INDEX($D$2:$D$4001,_xlfn.XMATCH(I$1&amp;"-"&amp;$F1749,YEAR($B$2:$B$4001)&amp;"-"&amp;$A$2:$A$4001,0,-1)),H1749))</f>
        <v>4</v>
      </c>
      <c r="J1749" cm="1">
        <f t="array" ref="J1749">IF(OR(AND(I1749=9,J$1&gt;YEAR($N1749))),9,_xlfn.IFNA(INDEX($D$2:$D$4001,_xlfn.XMATCH(J$1&amp;"-"&amp;$F1749,YEAR($B$2:$B$4001)&amp;"-"&amp;$A$2:$A$4001,0,-1)),I1749))</f>
        <v>4</v>
      </c>
      <c r="K1749" cm="1">
        <f t="array" ref="K1749">IF(OR(AND(J1749=9,K$1&gt;YEAR($N1749))),9,_xlfn.IFNA(INDEX($D$2:$D$4001,_xlfn.XMATCH(K$1&amp;"-"&amp;$F1749,YEAR($B$2:$B$4001)&amp;"-"&amp;$A$2:$A$4001,0,-1)),J1749))</f>
        <v>4</v>
      </c>
      <c r="L1749" cm="1">
        <f t="array" ref="L1749">IF(OR(AND(K1749=9,L$1&gt;YEAR($N1749))),9,_xlfn.IFNA(INDEX($D$2:$D$4001,_xlfn.XMATCH(L$1&amp;"-"&amp;$F1749,YEAR($B$2:$B$4001)&amp;"-"&amp;$A$2:$A$4001,0,-1)),K1749))</f>
        <v>4</v>
      </c>
      <c r="M1749" cm="1">
        <f t="array" ref="M1749">IF(OR(AND(L1749=9,M$1&gt;YEAR($N1749))),9,_xlfn.IFNA(INDEX($D$2:$D$4001,_xlfn.XMATCH(M$1&amp;"-"&amp;$F1749,YEAR($B$2:$B$4001)&amp;"-"&amp;$A$2:$A$4001,0,-1)),L1749))</f>
        <v>4</v>
      </c>
      <c r="N1749" s="1">
        <f t="shared" si="27"/>
        <v>36463</v>
      </c>
    </row>
    <row r="1750" spans="1:14" x14ac:dyDescent="0.35">
      <c r="A1750">
        <v>828</v>
      </c>
      <c r="B1750" s="2">
        <v>37066</v>
      </c>
      <c r="C1750">
        <v>0</v>
      </c>
      <c r="D1750">
        <v>0</v>
      </c>
      <c r="F1750">
        <v>1749</v>
      </c>
      <c r="G1750" cm="1">
        <f t="array" ref="G1750">_xlfn.IFNA(INDEX($D$2:$D$4001,_xlfn.XMATCH(G$1&amp;"-"&amp;$F1750,YEAR($B$2:$B$4001)&amp;"-"&amp;$A$2:$A$4001,0,-1)),9)</f>
        <v>9</v>
      </c>
      <c r="H1750" cm="1">
        <f t="array" ref="H1750">IF(OR(AND(G1750=9,H$1&gt;YEAR($N1750))),9,_xlfn.IFNA(INDEX($D$2:$D$4001,_xlfn.XMATCH(H$1&amp;"-"&amp;$F1750,YEAR($B$2:$B$4001)&amp;"-"&amp;$A$2:$A$4001,0,-1)),G1750))</f>
        <v>9</v>
      </c>
      <c r="I1750" cm="1">
        <f t="array" ref="I1750">IF(OR(AND(H1750=9,I$1&gt;YEAR($N1750))),9,_xlfn.IFNA(INDEX($D$2:$D$4001,_xlfn.XMATCH(I$1&amp;"-"&amp;$F1750,YEAR($B$2:$B$4001)&amp;"-"&amp;$A$2:$A$4001,0,-1)),H1750))</f>
        <v>4</v>
      </c>
      <c r="J1750" cm="1">
        <f t="array" ref="J1750">IF(OR(AND(I1750=9,J$1&gt;YEAR($N1750))),9,_xlfn.IFNA(INDEX($D$2:$D$4001,_xlfn.XMATCH(J$1&amp;"-"&amp;$F1750,YEAR($B$2:$B$4001)&amp;"-"&amp;$A$2:$A$4001,0,-1)),I1750))</f>
        <v>5</v>
      </c>
      <c r="K1750" cm="1">
        <f t="array" ref="K1750">IF(OR(AND(J1750=9,K$1&gt;YEAR($N1750))),9,_xlfn.IFNA(INDEX($D$2:$D$4001,_xlfn.XMATCH(K$1&amp;"-"&amp;$F1750,YEAR($B$2:$B$4001)&amp;"-"&amp;$A$2:$A$4001,0,-1)),J1750))</f>
        <v>5</v>
      </c>
      <c r="L1750" cm="1">
        <f t="array" ref="L1750">IF(OR(AND(K1750=9,L$1&gt;YEAR($N1750))),9,_xlfn.IFNA(INDEX($D$2:$D$4001,_xlfn.XMATCH(L$1&amp;"-"&amp;$F1750,YEAR($B$2:$B$4001)&amp;"-"&amp;$A$2:$A$4001,0,-1)),K1750))</f>
        <v>5</v>
      </c>
      <c r="M1750" cm="1">
        <f t="array" ref="M1750">IF(OR(AND(L1750=9,M$1&gt;YEAR($N1750))),9,_xlfn.IFNA(INDEX($D$2:$D$4001,_xlfn.XMATCH(M$1&amp;"-"&amp;$F1750,YEAR($B$2:$B$4001)&amp;"-"&amp;$A$2:$A$4001,0,-1)),L1750))</f>
        <v>4</v>
      </c>
      <c r="N1750" s="1">
        <f t="shared" si="27"/>
        <v>37032</v>
      </c>
    </row>
    <row r="1751" spans="1:14" x14ac:dyDescent="0.35">
      <c r="A1751">
        <v>828</v>
      </c>
      <c r="B1751" s="2">
        <v>37255</v>
      </c>
      <c r="C1751">
        <v>4</v>
      </c>
      <c r="D1751">
        <v>4</v>
      </c>
      <c r="F1751">
        <v>1750</v>
      </c>
      <c r="G1751" cm="1">
        <f t="array" ref="G1751">_xlfn.IFNA(INDEX($D$2:$D$4001,_xlfn.XMATCH(G$1&amp;"-"&amp;$F1751,YEAR($B$2:$B$4001)&amp;"-"&amp;$A$2:$A$4001,0,-1)),9)</f>
        <v>4</v>
      </c>
      <c r="H1751" cm="1">
        <f t="array" ref="H1751">IF(OR(AND(G1751=9,H$1&gt;YEAR($N1751))),9,_xlfn.IFNA(INDEX($D$2:$D$4001,_xlfn.XMATCH(H$1&amp;"-"&amp;$F1751,YEAR($B$2:$B$4001)&amp;"-"&amp;$A$2:$A$4001,0,-1)),G1751))</f>
        <v>4</v>
      </c>
      <c r="I1751" cm="1">
        <f t="array" ref="I1751">IF(OR(AND(H1751=9,I$1&gt;YEAR($N1751))),9,_xlfn.IFNA(INDEX($D$2:$D$4001,_xlfn.XMATCH(I$1&amp;"-"&amp;$F1751,YEAR($B$2:$B$4001)&amp;"-"&amp;$A$2:$A$4001,0,-1)),H1751))</f>
        <v>4</v>
      </c>
      <c r="J1751" cm="1">
        <f t="array" ref="J1751">IF(OR(AND(I1751=9,J$1&gt;YEAR($N1751))),9,_xlfn.IFNA(INDEX($D$2:$D$4001,_xlfn.XMATCH(J$1&amp;"-"&amp;$F1751,YEAR($B$2:$B$4001)&amp;"-"&amp;$A$2:$A$4001,0,-1)),I1751))</f>
        <v>5</v>
      </c>
      <c r="K1751" cm="1">
        <f t="array" ref="K1751">IF(OR(AND(J1751=9,K$1&gt;YEAR($N1751))),9,_xlfn.IFNA(INDEX($D$2:$D$4001,_xlfn.XMATCH(K$1&amp;"-"&amp;$F1751,YEAR($B$2:$B$4001)&amp;"-"&amp;$A$2:$A$4001,0,-1)),J1751))</f>
        <v>6</v>
      </c>
      <c r="L1751" cm="1">
        <f t="array" ref="L1751">IF(OR(AND(K1751=9,L$1&gt;YEAR($N1751))),9,_xlfn.IFNA(INDEX($D$2:$D$4001,_xlfn.XMATCH(L$1&amp;"-"&amp;$F1751,YEAR($B$2:$B$4001)&amp;"-"&amp;$A$2:$A$4001,0,-1)),K1751))</f>
        <v>6</v>
      </c>
      <c r="M1751" cm="1">
        <f t="array" ref="M1751">IF(OR(AND(L1751=9,M$1&gt;YEAR($N1751))),9,_xlfn.IFNA(INDEX($D$2:$D$4001,_xlfn.XMATCH(M$1&amp;"-"&amp;$F1751,YEAR($B$2:$B$4001)&amp;"-"&amp;$A$2:$A$4001,0,-1)),L1751))</f>
        <v>6</v>
      </c>
      <c r="N1751" s="1">
        <f t="shared" si="27"/>
        <v>36524</v>
      </c>
    </row>
    <row r="1752" spans="1:14" x14ac:dyDescent="0.35">
      <c r="A1752">
        <v>829</v>
      </c>
      <c r="B1752" s="2">
        <v>37133</v>
      </c>
      <c r="C1752">
        <v>0</v>
      </c>
      <c r="D1752">
        <v>0</v>
      </c>
      <c r="F1752">
        <v>1751</v>
      </c>
      <c r="G1752" cm="1">
        <f t="array" ref="G1752">_xlfn.IFNA(INDEX($D$2:$D$4001,_xlfn.XMATCH(G$1&amp;"-"&amp;$F1752,YEAR($B$2:$B$4001)&amp;"-"&amp;$A$2:$A$4001,0,-1)),9)</f>
        <v>9</v>
      </c>
      <c r="H1752" cm="1">
        <f t="array" ref="H1752">IF(OR(AND(G1752=9,H$1&gt;YEAR($N1752))),9,_xlfn.IFNA(INDEX($D$2:$D$4001,_xlfn.XMATCH(H$1&amp;"-"&amp;$F1752,YEAR($B$2:$B$4001)&amp;"-"&amp;$A$2:$A$4001,0,-1)),G1752))</f>
        <v>9</v>
      </c>
      <c r="I1752" cm="1">
        <f t="array" ref="I1752">IF(OR(AND(H1752=9,I$1&gt;YEAR($N1752))),9,_xlfn.IFNA(INDEX($D$2:$D$4001,_xlfn.XMATCH(I$1&amp;"-"&amp;$F1752,YEAR($B$2:$B$4001)&amp;"-"&amp;$A$2:$A$4001,0,-1)),H1752))</f>
        <v>9</v>
      </c>
      <c r="J1752" cm="1">
        <f t="array" ref="J1752">IF(OR(AND(I1752=9,J$1&gt;YEAR($N1752))),9,_xlfn.IFNA(INDEX($D$2:$D$4001,_xlfn.XMATCH(J$1&amp;"-"&amp;$F1752,YEAR($B$2:$B$4001)&amp;"-"&amp;$A$2:$A$4001,0,-1)),I1752))</f>
        <v>9</v>
      </c>
      <c r="K1752" cm="1">
        <f t="array" ref="K1752">IF(OR(AND(J1752=9,K$1&gt;YEAR($N1752))),9,_xlfn.IFNA(INDEX($D$2:$D$4001,_xlfn.XMATCH(K$1&amp;"-"&amp;$F1752,YEAR($B$2:$B$4001)&amp;"-"&amp;$A$2:$A$4001,0,-1)),J1752))</f>
        <v>0</v>
      </c>
      <c r="L1752" cm="1">
        <f t="array" ref="L1752">IF(OR(AND(K1752=9,L$1&gt;YEAR($N1752))),9,_xlfn.IFNA(INDEX($D$2:$D$4001,_xlfn.XMATCH(L$1&amp;"-"&amp;$F1752,YEAR($B$2:$B$4001)&amp;"-"&amp;$A$2:$A$4001,0,-1)),K1752))</f>
        <v>0</v>
      </c>
      <c r="M1752" cm="1">
        <f t="array" ref="M1752">IF(OR(AND(L1752=9,M$1&gt;YEAR($N1752))),9,_xlfn.IFNA(INDEX($D$2:$D$4001,_xlfn.XMATCH(M$1&amp;"-"&amp;$F1752,YEAR($B$2:$B$4001)&amp;"-"&amp;$A$2:$A$4001,0,-1)),L1752))</f>
        <v>0</v>
      </c>
      <c r="N1752" s="1">
        <f t="shared" si="27"/>
        <v>37762</v>
      </c>
    </row>
    <row r="1753" spans="1:14" x14ac:dyDescent="0.35">
      <c r="A1753">
        <v>830</v>
      </c>
      <c r="B1753" s="2">
        <v>36759</v>
      </c>
      <c r="C1753">
        <v>4</v>
      </c>
      <c r="D1753">
        <v>4</v>
      </c>
      <c r="F1753">
        <v>1752</v>
      </c>
      <c r="G1753" cm="1">
        <f t="array" ref="G1753">_xlfn.IFNA(INDEX($D$2:$D$4001,_xlfn.XMATCH(G$1&amp;"-"&amp;$F1753,YEAR($B$2:$B$4001)&amp;"-"&amp;$A$2:$A$4001,0,-1)),9)</f>
        <v>5</v>
      </c>
      <c r="H1753" cm="1">
        <f t="array" ref="H1753">IF(OR(AND(G1753=9,H$1&gt;YEAR($N1753))),9,_xlfn.IFNA(INDEX($D$2:$D$4001,_xlfn.XMATCH(H$1&amp;"-"&amp;$F1753,YEAR($B$2:$B$4001)&amp;"-"&amp;$A$2:$A$4001,0,-1)),G1753))</f>
        <v>5</v>
      </c>
      <c r="I1753" cm="1">
        <f t="array" ref="I1753">IF(OR(AND(H1753=9,I$1&gt;YEAR($N1753))),9,_xlfn.IFNA(INDEX($D$2:$D$4001,_xlfn.XMATCH(I$1&amp;"-"&amp;$F1753,YEAR($B$2:$B$4001)&amp;"-"&amp;$A$2:$A$4001,0,-1)),H1753))</f>
        <v>5</v>
      </c>
      <c r="J1753" cm="1">
        <f t="array" ref="J1753">IF(OR(AND(I1753=9,J$1&gt;YEAR($N1753))),9,_xlfn.IFNA(INDEX($D$2:$D$4001,_xlfn.XMATCH(J$1&amp;"-"&amp;$F1753,YEAR($B$2:$B$4001)&amp;"-"&amp;$A$2:$A$4001,0,-1)),I1753))</f>
        <v>6</v>
      </c>
      <c r="K1753" cm="1">
        <f t="array" ref="K1753">IF(OR(AND(J1753=9,K$1&gt;YEAR($N1753))),9,_xlfn.IFNA(INDEX($D$2:$D$4001,_xlfn.XMATCH(K$1&amp;"-"&amp;$F1753,YEAR($B$2:$B$4001)&amp;"-"&amp;$A$2:$A$4001,0,-1)),J1753))</f>
        <v>6</v>
      </c>
      <c r="L1753" cm="1">
        <f t="array" ref="L1753">IF(OR(AND(K1753=9,L$1&gt;YEAR($N1753))),9,_xlfn.IFNA(INDEX($D$2:$D$4001,_xlfn.XMATCH(L$1&amp;"-"&amp;$F1753,YEAR($B$2:$B$4001)&amp;"-"&amp;$A$2:$A$4001,0,-1)),K1753))</f>
        <v>6</v>
      </c>
      <c r="M1753" cm="1">
        <f t="array" ref="M1753">IF(OR(AND(L1753=9,M$1&gt;YEAR($N1753))),9,_xlfn.IFNA(INDEX($D$2:$D$4001,_xlfn.XMATCH(M$1&amp;"-"&amp;$F1753,YEAR($B$2:$B$4001)&amp;"-"&amp;$A$2:$A$4001,0,-1)),L1753))</f>
        <v>6</v>
      </c>
      <c r="N1753" s="1">
        <f t="shared" si="27"/>
        <v>36524</v>
      </c>
    </row>
    <row r="1754" spans="1:14" x14ac:dyDescent="0.35">
      <c r="A1754">
        <v>830</v>
      </c>
      <c r="B1754" s="2">
        <v>37489</v>
      </c>
      <c r="C1754">
        <v>5</v>
      </c>
      <c r="D1754">
        <v>5</v>
      </c>
      <c r="F1754">
        <v>1753</v>
      </c>
      <c r="G1754" cm="1">
        <f t="array" ref="G1754">_xlfn.IFNA(INDEX($D$2:$D$4001,_xlfn.XMATCH(G$1&amp;"-"&amp;$F1754,YEAR($B$2:$B$4001)&amp;"-"&amp;$A$2:$A$4001,0,-1)),9)</f>
        <v>9</v>
      </c>
      <c r="H1754" cm="1">
        <f t="array" ref="H1754">IF(OR(AND(G1754=9,H$1&gt;YEAR($N1754))),9,_xlfn.IFNA(INDEX($D$2:$D$4001,_xlfn.XMATCH(H$1&amp;"-"&amp;$F1754,YEAR($B$2:$B$4001)&amp;"-"&amp;$A$2:$A$4001,0,-1)),G1754))</f>
        <v>9</v>
      </c>
      <c r="I1754" cm="1">
        <f t="array" ref="I1754">IF(OR(AND(H1754=9,I$1&gt;YEAR($N1754))),9,_xlfn.IFNA(INDEX($D$2:$D$4001,_xlfn.XMATCH(I$1&amp;"-"&amp;$F1754,YEAR($B$2:$B$4001)&amp;"-"&amp;$A$2:$A$4001,0,-1)),H1754))</f>
        <v>2</v>
      </c>
      <c r="J1754" cm="1">
        <f t="array" ref="J1754">IF(OR(AND(I1754=9,J$1&gt;YEAR($N1754))),9,_xlfn.IFNA(INDEX($D$2:$D$4001,_xlfn.XMATCH(J$1&amp;"-"&amp;$F1754,YEAR($B$2:$B$4001)&amp;"-"&amp;$A$2:$A$4001,0,-1)),I1754))</f>
        <v>2</v>
      </c>
      <c r="K1754" cm="1">
        <f t="array" ref="K1754">IF(OR(AND(J1754=9,K$1&gt;YEAR($N1754))),9,_xlfn.IFNA(INDEX($D$2:$D$4001,_xlfn.XMATCH(K$1&amp;"-"&amp;$F1754,YEAR($B$2:$B$4001)&amp;"-"&amp;$A$2:$A$4001,0,-1)),J1754))</f>
        <v>2</v>
      </c>
      <c r="L1754" cm="1">
        <f t="array" ref="L1754">IF(OR(AND(K1754=9,L$1&gt;YEAR($N1754))),9,_xlfn.IFNA(INDEX($D$2:$D$4001,_xlfn.XMATCH(L$1&amp;"-"&amp;$F1754,YEAR($B$2:$B$4001)&amp;"-"&amp;$A$2:$A$4001,0,-1)),K1754))</f>
        <v>2</v>
      </c>
      <c r="M1754" cm="1">
        <f t="array" ref="M1754">IF(OR(AND(L1754=9,M$1&gt;YEAR($N1754))),9,_xlfn.IFNA(INDEX($D$2:$D$4001,_xlfn.XMATCH(M$1&amp;"-"&amp;$F1754,YEAR($B$2:$B$4001)&amp;"-"&amp;$A$2:$A$4001,0,-1)),L1754))</f>
        <v>2</v>
      </c>
      <c r="N1754" s="1">
        <f t="shared" si="27"/>
        <v>37041</v>
      </c>
    </row>
    <row r="1755" spans="1:14" x14ac:dyDescent="0.35">
      <c r="A1755">
        <v>830</v>
      </c>
      <c r="B1755" s="2">
        <v>37520</v>
      </c>
      <c r="C1755">
        <v>5</v>
      </c>
      <c r="D1755">
        <v>5</v>
      </c>
      <c r="F1755">
        <v>1754</v>
      </c>
      <c r="G1755" cm="1">
        <f t="array" ref="G1755">_xlfn.IFNA(INDEX($D$2:$D$4001,_xlfn.XMATCH(G$1&amp;"-"&amp;$F1755,YEAR($B$2:$B$4001)&amp;"-"&amp;$A$2:$A$4001,0,-1)),9)</f>
        <v>9</v>
      </c>
      <c r="H1755" cm="1">
        <f t="array" ref="H1755">IF(OR(AND(G1755=9,H$1&gt;YEAR($N1755))),9,_xlfn.IFNA(INDEX($D$2:$D$4001,_xlfn.XMATCH(H$1&amp;"-"&amp;$F1755,YEAR($B$2:$B$4001)&amp;"-"&amp;$A$2:$A$4001,0,-1)),G1755))</f>
        <v>3</v>
      </c>
      <c r="I1755" cm="1">
        <f t="array" ref="I1755">IF(OR(AND(H1755=9,I$1&gt;YEAR($N1755))),9,_xlfn.IFNA(INDEX($D$2:$D$4001,_xlfn.XMATCH(I$1&amp;"-"&amp;$F1755,YEAR($B$2:$B$4001)&amp;"-"&amp;$A$2:$A$4001,0,-1)),H1755))</f>
        <v>3</v>
      </c>
      <c r="J1755" cm="1">
        <f t="array" ref="J1755">IF(OR(AND(I1755=9,J$1&gt;YEAR($N1755))),9,_xlfn.IFNA(INDEX($D$2:$D$4001,_xlfn.XMATCH(J$1&amp;"-"&amp;$F1755,YEAR($B$2:$B$4001)&amp;"-"&amp;$A$2:$A$4001,0,-1)),I1755))</f>
        <v>3</v>
      </c>
      <c r="K1755" cm="1">
        <f t="array" ref="K1755">IF(OR(AND(J1755=9,K$1&gt;YEAR($N1755))),9,_xlfn.IFNA(INDEX($D$2:$D$4001,_xlfn.XMATCH(K$1&amp;"-"&amp;$F1755,YEAR($B$2:$B$4001)&amp;"-"&amp;$A$2:$A$4001,0,-1)),J1755))</f>
        <v>3</v>
      </c>
      <c r="L1755" cm="1">
        <f t="array" ref="L1755">IF(OR(AND(K1755=9,L$1&gt;YEAR($N1755))),9,_xlfn.IFNA(INDEX($D$2:$D$4001,_xlfn.XMATCH(L$1&amp;"-"&amp;$F1755,YEAR($B$2:$B$4001)&amp;"-"&amp;$A$2:$A$4001,0,-1)),K1755))</f>
        <v>3</v>
      </c>
      <c r="M1755" cm="1">
        <f t="array" ref="M1755">IF(OR(AND(L1755=9,M$1&gt;YEAR($N1755))),9,_xlfn.IFNA(INDEX($D$2:$D$4001,_xlfn.XMATCH(M$1&amp;"-"&amp;$F1755,YEAR($B$2:$B$4001)&amp;"-"&amp;$A$2:$A$4001,0,-1)),L1755))</f>
        <v>3</v>
      </c>
      <c r="N1755" s="1">
        <f t="shared" si="27"/>
        <v>36820</v>
      </c>
    </row>
    <row r="1756" spans="1:14" x14ac:dyDescent="0.35">
      <c r="A1756">
        <v>830</v>
      </c>
      <c r="B1756" s="2">
        <v>37771</v>
      </c>
      <c r="C1756">
        <v>6</v>
      </c>
      <c r="D1756">
        <v>6</v>
      </c>
      <c r="F1756">
        <v>1755</v>
      </c>
      <c r="G1756" cm="1">
        <f t="array" ref="G1756">_xlfn.IFNA(INDEX($D$2:$D$4001,_xlfn.XMATCH(G$1&amp;"-"&amp;$F1756,YEAR($B$2:$B$4001)&amp;"-"&amp;$A$2:$A$4001,0,-1)),9)</f>
        <v>9</v>
      </c>
      <c r="H1756" cm="1">
        <f t="array" ref="H1756">IF(OR(AND(G1756=9,H$1&gt;YEAR($N1756))),9,_xlfn.IFNA(INDEX($D$2:$D$4001,_xlfn.XMATCH(H$1&amp;"-"&amp;$F1756,YEAR($B$2:$B$4001)&amp;"-"&amp;$A$2:$A$4001,0,-1)),G1756))</f>
        <v>9</v>
      </c>
      <c r="I1756" cm="1">
        <f t="array" ref="I1756">IF(OR(AND(H1756=9,I$1&gt;YEAR($N1756))),9,_xlfn.IFNA(INDEX($D$2:$D$4001,_xlfn.XMATCH(I$1&amp;"-"&amp;$F1756,YEAR($B$2:$B$4001)&amp;"-"&amp;$A$2:$A$4001,0,-1)),H1756))</f>
        <v>2</v>
      </c>
      <c r="J1756" cm="1">
        <f t="array" ref="J1756">IF(OR(AND(I1756=9,J$1&gt;YEAR($N1756))),9,_xlfn.IFNA(INDEX($D$2:$D$4001,_xlfn.XMATCH(J$1&amp;"-"&amp;$F1756,YEAR($B$2:$B$4001)&amp;"-"&amp;$A$2:$A$4001,0,-1)),I1756))</f>
        <v>2</v>
      </c>
      <c r="K1756" cm="1">
        <f t="array" ref="K1756">IF(OR(AND(J1756=9,K$1&gt;YEAR($N1756))),9,_xlfn.IFNA(INDEX($D$2:$D$4001,_xlfn.XMATCH(K$1&amp;"-"&amp;$F1756,YEAR($B$2:$B$4001)&amp;"-"&amp;$A$2:$A$4001,0,-1)),J1756))</f>
        <v>2</v>
      </c>
      <c r="L1756" cm="1">
        <f t="array" ref="L1756">IF(OR(AND(K1756=9,L$1&gt;YEAR($N1756))),9,_xlfn.IFNA(INDEX($D$2:$D$4001,_xlfn.XMATCH(L$1&amp;"-"&amp;$F1756,YEAR($B$2:$B$4001)&amp;"-"&amp;$A$2:$A$4001,0,-1)),K1756))</f>
        <v>2</v>
      </c>
      <c r="M1756" cm="1">
        <f t="array" ref="M1756">IF(OR(AND(L1756=9,M$1&gt;YEAR($N1756))),9,_xlfn.IFNA(INDEX($D$2:$D$4001,_xlfn.XMATCH(M$1&amp;"-"&amp;$F1756,YEAR($B$2:$B$4001)&amp;"-"&amp;$A$2:$A$4001,0,-1)),L1756))</f>
        <v>2</v>
      </c>
      <c r="N1756" s="1">
        <f t="shared" si="27"/>
        <v>37124</v>
      </c>
    </row>
    <row r="1757" spans="1:14" x14ac:dyDescent="0.35">
      <c r="A1757">
        <v>831</v>
      </c>
      <c r="B1757" s="2">
        <v>36667</v>
      </c>
      <c r="C1757">
        <v>3</v>
      </c>
      <c r="D1757">
        <v>3</v>
      </c>
      <c r="F1757">
        <v>1756</v>
      </c>
      <c r="G1757" cm="1">
        <f t="array" ref="G1757">_xlfn.IFNA(INDEX($D$2:$D$4001,_xlfn.XMATCH(G$1&amp;"-"&amp;$F1757,YEAR($B$2:$B$4001)&amp;"-"&amp;$A$2:$A$4001,0,-1)),9)</f>
        <v>5</v>
      </c>
      <c r="H1757" cm="1">
        <f t="array" ref="H1757">IF(OR(AND(G1757=9,H$1&gt;YEAR($N1757))),9,_xlfn.IFNA(INDEX($D$2:$D$4001,_xlfn.XMATCH(H$1&amp;"-"&amp;$F1757,YEAR($B$2:$B$4001)&amp;"-"&amp;$A$2:$A$4001,0,-1)),G1757))</f>
        <v>5</v>
      </c>
      <c r="I1757" cm="1">
        <f t="array" ref="I1757">IF(OR(AND(H1757=9,I$1&gt;YEAR($N1757))),9,_xlfn.IFNA(INDEX($D$2:$D$4001,_xlfn.XMATCH(I$1&amp;"-"&amp;$F1757,YEAR($B$2:$B$4001)&amp;"-"&amp;$A$2:$A$4001,0,-1)),H1757))</f>
        <v>4</v>
      </c>
      <c r="J1757" cm="1">
        <f t="array" ref="J1757">IF(OR(AND(I1757=9,J$1&gt;YEAR($N1757))),9,_xlfn.IFNA(INDEX($D$2:$D$4001,_xlfn.XMATCH(J$1&amp;"-"&amp;$F1757,YEAR($B$2:$B$4001)&amp;"-"&amp;$A$2:$A$4001,0,-1)),I1757))</f>
        <v>4</v>
      </c>
      <c r="K1757" cm="1">
        <f t="array" ref="K1757">IF(OR(AND(J1757=9,K$1&gt;YEAR($N1757))),9,_xlfn.IFNA(INDEX($D$2:$D$4001,_xlfn.XMATCH(K$1&amp;"-"&amp;$F1757,YEAR($B$2:$B$4001)&amp;"-"&amp;$A$2:$A$4001,0,-1)),J1757))</f>
        <v>4</v>
      </c>
      <c r="L1757" cm="1">
        <f t="array" ref="L1757">IF(OR(AND(K1757=9,L$1&gt;YEAR($N1757))),9,_xlfn.IFNA(INDEX($D$2:$D$4001,_xlfn.XMATCH(L$1&amp;"-"&amp;$F1757,YEAR($B$2:$B$4001)&amp;"-"&amp;$A$2:$A$4001,0,-1)),K1757))</f>
        <v>4</v>
      </c>
      <c r="M1757" cm="1">
        <f t="array" ref="M1757">IF(OR(AND(L1757=9,M$1&gt;YEAR($N1757))),9,_xlfn.IFNA(INDEX($D$2:$D$4001,_xlfn.XMATCH(M$1&amp;"-"&amp;$F1757,YEAR($B$2:$B$4001)&amp;"-"&amp;$A$2:$A$4001,0,-1)),L1757))</f>
        <v>4</v>
      </c>
      <c r="N1757" s="1">
        <f t="shared" si="27"/>
        <v>36341</v>
      </c>
    </row>
    <row r="1758" spans="1:14" x14ac:dyDescent="0.35">
      <c r="A1758">
        <v>831</v>
      </c>
      <c r="B1758" s="2">
        <v>37406</v>
      </c>
      <c r="C1758">
        <v>3</v>
      </c>
      <c r="D1758">
        <v>3</v>
      </c>
      <c r="F1758">
        <v>1757</v>
      </c>
      <c r="G1758" cm="1">
        <f t="array" ref="G1758">_xlfn.IFNA(INDEX($D$2:$D$4001,_xlfn.XMATCH(G$1&amp;"-"&amp;$F1758,YEAR($B$2:$B$4001)&amp;"-"&amp;$A$2:$A$4001,0,-1)),9)</f>
        <v>9</v>
      </c>
      <c r="H1758" cm="1">
        <f t="array" ref="H1758">IF(OR(AND(G1758=9,H$1&gt;YEAR($N1758))),9,_xlfn.IFNA(INDEX($D$2:$D$4001,_xlfn.XMATCH(H$1&amp;"-"&amp;$F1758,YEAR($B$2:$B$4001)&amp;"-"&amp;$A$2:$A$4001,0,-1)),G1758))</f>
        <v>9</v>
      </c>
      <c r="I1758" cm="1">
        <f t="array" ref="I1758">IF(OR(AND(H1758=9,I$1&gt;YEAR($N1758))),9,_xlfn.IFNA(INDEX($D$2:$D$4001,_xlfn.XMATCH(I$1&amp;"-"&amp;$F1758,YEAR($B$2:$B$4001)&amp;"-"&amp;$A$2:$A$4001,0,-1)),H1758))</f>
        <v>2</v>
      </c>
      <c r="J1758" cm="1">
        <f t="array" ref="J1758">IF(OR(AND(I1758=9,J$1&gt;YEAR($N1758))),9,_xlfn.IFNA(INDEX($D$2:$D$4001,_xlfn.XMATCH(J$1&amp;"-"&amp;$F1758,YEAR($B$2:$B$4001)&amp;"-"&amp;$A$2:$A$4001,0,-1)),I1758))</f>
        <v>2</v>
      </c>
      <c r="K1758" cm="1">
        <f t="array" ref="K1758">IF(OR(AND(J1758=9,K$1&gt;YEAR($N1758))),9,_xlfn.IFNA(INDEX($D$2:$D$4001,_xlfn.XMATCH(K$1&amp;"-"&amp;$F1758,YEAR($B$2:$B$4001)&amp;"-"&amp;$A$2:$A$4001,0,-1)),J1758))</f>
        <v>0</v>
      </c>
      <c r="L1758" cm="1">
        <f t="array" ref="L1758">IF(OR(AND(K1758=9,L$1&gt;YEAR($N1758))),9,_xlfn.IFNA(INDEX($D$2:$D$4001,_xlfn.XMATCH(L$1&amp;"-"&amp;$F1758,YEAR($B$2:$B$4001)&amp;"-"&amp;$A$2:$A$4001,0,-1)),K1758))</f>
        <v>3</v>
      </c>
      <c r="M1758" cm="1">
        <f t="array" ref="M1758">IF(OR(AND(L1758=9,M$1&gt;YEAR($N1758))),9,_xlfn.IFNA(INDEX($D$2:$D$4001,_xlfn.XMATCH(M$1&amp;"-"&amp;$F1758,YEAR($B$2:$B$4001)&amp;"-"&amp;$A$2:$A$4001,0,-1)),L1758))</f>
        <v>3</v>
      </c>
      <c r="N1758" s="1">
        <f t="shared" si="27"/>
        <v>37194</v>
      </c>
    </row>
    <row r="1759" spans="1:14" x14ac:dyDescent="0.35">
      <c r="A1759">
        <v>832</v>
      </c>
      <c r="B1759" s="2">
        <v>36393</v>
      </c>
      <c r="C1759">
        <v>5</v>
      </c>
      <c r="D1759">
        <v>5</v>
      </c>
      <c r="F1759">
        <v>1758</v>
      </c>
      <c r="G1759" cm="1">
        <f t="array" ref="G1759">_xlfn.IFNA(INDEX($D$2:$D$4001,_xlfn.XMATCH(G$1&amp;"-"&amp;$F1759,YEAR($B$2:$B$4001)&amp;"-"&amp;$A$2:$A$4001,0,-1)),9)</f>
        <v>9</v>
      </c>
      <c r="H1759" cm="1">
        <f t="array" ref="H1759">IF(OR(AND(G1759=9,H$1&gt;YEAR($N1759))),9,_xlfn.IFNA(INDEX($D$2:$D$4001,_xlfn.XMATCH(H$1&amp;"-"&amp;$F1759,YEAR($B$2:$B$4001)&amp;"-"&amp;$A$2:$A$4001,0,-1)),G1759))</f>
        <v>9</v>
      </c>
      <c r="I1759" cm="1">
        <f t="array" ref="I1759">IF(OR(AND(H1759=9,I$1&gt;YEAR($N1759))),9,_xlfn.IFNA(INDEX($D$2:$D$4001,_xlfn.XMATCH(I$1&amp;"-"&amp;$F1759,YEAR($B$2:$B$4001)&amp;"-"&amp;$A$2:$A$4001,0,-1)),H1759))</f>
        <v>9</v>
      </c>
      <c r="J1759" cm="1">
        <f t="array" ref="J1759">IF(OR(AND(I1759=9,J$1&gt;YEAR($N1759))),9,_xlfn.IFNA(INDEX($D$2:$D$4001,_xlfn.XMATCH(J$1&amp;"-"&amp;$F1759,YEAR($B$2:$B$4001)&amp;"-"&amp;$A$2:$A$4001,0,-1)),I1759))</f>
        <v>4</v>
      </c>
      <c r="K1759" cm="1">
        <f t="array" ref="K1759">IF(OR(AND(J1759=9,K$1&gt;YEAR($N1759))),9,_xlfn.IFNA(INDEX($D$2:$D$4001,_xlfn.XMATCH(K$1&amp;"-"&amp;$F1759,YEAR($B$2:$B$4001)&amp;"-"&amp;$A$2:$A$4001,0,-1)),J1759))</f>
        <v>4</v>
      </c>
      <c r="L1759" cm="1">
        <f t="array" ref="L1759">IF(OR(AND(K1759=9,L$1&gt;YEAR($N1759))),9,_xlfn.IFNA(INDEX($D$2:$D$4001,_xlfn.XMATCH(L$1&amp;"-"&amp;$F1759,YEAR($B$2:$B$4001)&amp;"-"&amp;$A$2:$A$4001,0,-1)),K1759))</f>
        <v>4</v>
      </c>
      <c r="M1759" cm="1">
        <f t="array" ref="M1759">IF(OR(AND(L1759=9,M$1&gt;YEAR($N1759))),9,_xlfn.IFNA(INDEX($D$2:$D$4001,_xlfn.XMATCH(M$1&amp;"-"&amp;$F1759,YEAR($B$2:$B$4001)&amp;"-"&amp;$A$2:$A$4001,0,-1)),L1759))</f>
        <v>4</v>
      </c>
      <c r="N1759" s="1">
        <f t="shared" si="27"/>
        <v>37613</v>
      </c>
    </row>
    <row r="1760" spans="1:14" x14ac:dyDescent="0.35">
      <c r="A1760">
        <v>833</v>
      </c>
      <c r="B1760" s="2">
        <v>37397</v>
      </c>
      <c r="C1760">
        <v>4</v>
      </c>
      <c r="D1760">
        <v>4</v>
      </c>
      <c r="F1760">
        <v>1759</v>
      </c>
      <c r="G1760" cm="1">
        <f t="array" ref="G1760">_xlfn.IFNA(INDEX($D$2:$D$4001,_xlfn.XMATCH(G$1&amp;"-"&amp;$F1760,YEAR($B$2:$B$4001)&amp;"-"&amp;$A$2:$A$4001,0,-1)),9)</f>
        <v>9</v>
      </c>
      <c r="H1760" cm="1">
        <f t="array" ref="H1760">IF(OR(AND(G1760=9,H$1&gt;YEAR($N1760))),9,_xlfn.IFNA(INDEX($D$2:$D$4001,_xlfn.XMATCH(H$1&amp;"-"&amp;$F1760,YEAR($B$2:$B$4001)&amp;"-"&amp;$A$2:$A$4001,0,-1)),G1760))</f>
        <v>3</v>
      </c>
      <c r="I1760" cm="1">
        <f t="array" ref="I1760">IF(OR(AND(H1760=9,I$1&gt;YEAR($N1760))),9,_xlfn.IFNA(INDEX($D$2:$D$4001,_xlfn.XMATCH(I$1&amp;"-"&amp;$F1760,YEAR($B$2:$B$4001)&amp;"-"&amp;$A$2:$A$4001,0,-1)),H1760))</f>
        <v>3</v>
      </c>
      <c r="J1760" cm="1">
        <f t="array" ref="J1760">IF(OR(AND(I1760=9,J$1&gt;YEAR($N1760))),9,_xlfn.IFNA(INDEX($D$2:$D$4001,_xlfn.XMATCH(J$1&amp;"-"&amp;$F1760,YEAR($B$2:$B$4001)&amp;"-"&amp;$A$2:$A$4001,0,-1)),I1760))</f>
        <v>3</v>
      </c>
      <c r="K1760" cm="1">
        <f t="array" ref="K1760">IF(OR(AND(J1760=9,K$1&gt;YEAR($N1760))),9,_xlfn.IFNA(INDEX($D$2:$D$4001,_xlfn.XMATCH(K$1&amp;"-"&amp;$F1760,YEAR($B$2:$B$4001)&amp;"-"&amp;$A$2:$A$4001,0,-1)),J1760))</f>
        <v>3</v>
      </c>
      <c r="L1760" cm="1">
        <f t="array" ref="L1760">IF(OR(AND(K1760=9,L$1&gt;YEAR($N1760))),9,_xlfn.IFNA(INDEX($D$2:$D$4001,_xlfn.XMATCH(L$1&amp;"-"&amp;$F1760,YEAR($B$2:$B$4001)&amp;"-"&amp;$A$2:$A$4001,0,-1)),K1760))</f>
        <v>3</v>
      </c>
      <c r="M1760" cm="1">
        <f t="array" ref="M1760">IF(OR(AND(L1760=9,M$1&gt;YEAR($N1760))),9,_xlfn.IFNA(INDEX($D$2:$D$4001,_xlfn.XMATCH(M$1&amp;"-"&amp;$F1760,YEAR($B$2:$B$4001)&amp;"-"&amp;$A$2:$A$4001,0,-1)),L1760))</f>
        <v>3</v>
      </c>
      <c r="N1760" s="1">
        <f t="shared" si="27"/>
        <v>36667</v>
      </c>
    </row>
    <row r="1761" spans="1:14" x14ac:dyDescent="0.35">
      <c r="A1761">
        <v>833</v>
      </c>
      <c r="B1761" s="2">
        <v>37406</v>
      </c>
      <c r="C1761">
        <v>4</v>
      </c>
      <c r="D1761">
        <v>4</v>
      </c>
      <c r="F1761">
        <v>1760</v>
      </c>
      <c r="G1761" cm="1">
        <f t="array" ref="G1761">_xlfn.IFNA(INDEX($D$2:$D$4001,_xlfn.XMATCH(G$1&amp;"-"&amp;$F1761,YEAR($B$2:$B$4001)&amp;"-"&amp;$A$2:$A$4001,0,-1)),9)</f>
        <v>9</v>
      </c>
      <c r="H1761" cm="1">
        <f t="array" ref="H1761">IF(OR(AND(G1761=9,H$1&gt;YEAR($N1761))),9,_xlfn.IFNA(INDEX($D$2:$D$4001,_xlfn.XMATCH(H$1&amp;"-"&amp;$F1761,YEAR($B$2:$B$4001)&amp;"-"&amp;$A$2:$A$4001,0,-1)),G1761))</f>
        <v>9</v>
      </c>
      <c r="I1761" cm="1">
        <f t="array" ref="I1761">IF(OR(AND(H1761=9,I$1&gt;YEAR($N1761))),9,_xlfn.IFNA(INDEX($D$2:$D$4001,_xlfn.XMATCH(I$1&amp;"-"&amp;$F1761,YEAR($B$2:$B$4001)&amp;"-"&amp;$A$2:$A$4001,0,-1)),H1761))</f>
        <v>9</v>
      </c>
      <c r="J1761" cm="1">
        <f t="array" ref="J1761">IF(OR(AND(I1761=9,J$1&gt;YEAR($N1761))),9,_xlfn.IFNA(INDEX($D$2:$D$4001,_xlfn.XMATCH(J$1&amp;"-"&amp;$F1761,YEAR($B$2:$B$4001)&amp;"-"&amp;$A$2:$A$4001,0,-1)),I1761))</f>
        <v>4</v>
      </c>
      <c r="K1761" cm="1">
        <f t="array" ref="K1761">IF(OR(AND(J1761=9,K$1&gt;YEAR($N1761))),9,_xlfn.IFNA(INDEX($D$2:$D$4001,_xlfn.XMATCH(K$1&amp;"-"&amp;$F1761,YEAR($B$2:$B$4001)&amp;"-"&amp;$A$2:$A$4001,0,-1)),J1761))</f>
        <v>4</v>
      </c>
      <c r="L1761" cm="1">
        <f t="array" ref="L1761">IF(OR(AND(K1761=9,L$1&gt;YEAR($N1761))),9,_xlfn.IFNA(INDEX($D$2:$D$4001,_xlfn.XMATCH(L$1&amp;"-"&amp;$F1761,YEAR($B$2:$B$4001)&amp;"-"&amp;$A$2:$A$4001,0,-1)),K1761))</f>
        <v>4</v>
      </c>
      <c r="M1761" cm="1">
        <f t="array" ref="M1761">IF(OR(AND(L1761=9,M$1&gt;YEAR($N1761))),9,_xlfn.IFNA(INDEX($D$2:$D$4001,_xlfn.XMATCH(M$1&amp;"-"&amp;$F1761,YEAR($B$2:$B$4001)&amp;"-"&amp;$A$2:$A$4001,0,-1)),L1761))</f>
        <v>4</v>
      </c>
      <c r="N1761" s="1">
        <f t="shared" si="27"/>
        <v>37397</v>
      </c>
    </row>
    <row r="1762" spans="1:14" x14ac:dyDescent="0.35">
      <c r="A1762">
        <v>833</v>
      </c>
      <c r="B1762" s="2">
        <v>37620</v>
      </c>
      <c r="C1762">
        <v>5</v>
      </c>
      <c r="D1762">
        <v>5</v>
      </c>
      <c r="F1762">
        <v>1761</v>
      </c>
      <c r="G1762" cm="1">
        <f t="array" ref="G1762">_xlfn.IFNA(INDEX($D$2:$D$4001,_xlfn.XMATCH(G$1&amp;"-"&amp;$F1762,YEAR($B$2:$B$4001)&amp;"-"&amp;$A$2:$A$4001,0,-1)),9)</f>
        <v>9</v>
      </c>
      <c r="H1762" cm="1">
        <f t="array" ref="H1762">IF(OR(AND(G1762=9,H$1&gt;YEAR($N1762))),9,_xlfn.IFNA(INDEX($D$2:$D$4001,_xlfn.XMATCH(H$1&amp;"-"&amp;$F1762,YEAR($B$2:$B$4001)&amp;"-"&amp;$A$2:$A$4001,0,-1)),G1762))</f>
        <v>9</v>
      </c>
      <c r="I1762" cm="1">
        <f t="array" ref="I1762">IF(OR(AND(H1762=9,I$1&gt;YEAR($N1762))),9,_xlfn.IFNA(INDEX($D$2:$D$4001,_xlfn.XMATCH(I$1&amp;"-"&amp;$F1762,YEAR($B$2:$B$4001)&amp;"-"&amp;$A$2:$A$4001,0,-1)),H1762))</f>
        <v>9</v>
      </c>
      <c r="J1762" cm="1">
        <f t="array" ref="J1762">IF(OR(AND(I1762=9,J$1&gt;YEAR($N1762))),9,_xlfn.IFNA(INDEX($D$2:$D$4001,_xlfn.XMATCH(J$1&amp;"-"&amp;$F1762,YEAR($B$2:$B$4001)&amp;"-"&amp;$A$2:$A$4001,0,-1)),I1762))</f>
        <v>5</v>
      </c>
      <c r="K1762" cm="1">
        <f t="array" ref="K1762">IF(OR(AND(J1762=9,K$1&gt;YEAR($N1762))),9,_xlfn.IFNA(INDEX($D$2:$D$4001,_xlfn.XMATCH(K$1&amp;"-"&amp;$F1762,YEAR($B$2:$B$4001)&amp;"-"&amp;$A$2:$A$4001,0,-1)),J1762))</f>
        <v>6</v>
      </c>
      <c r="L1762" cm="1">
        <f t="array" ref="L1762">IF(OR(AND(K1762=9,L$1&gt;YEAR($N1762))),9,_xlfn.IFNA(INDEX($D$2:$D$4001,_xlfn.XMATCH(L$1&amp;"-"&amp;$F1762,YEAR($B$2:$B$4001)&amp;"-"&amp;$A$2:$A$4001,0,-1)),K1762))</f>
        <v>6</v>
      </c>
      <c r="M1762" cm="1">
        <f t="array" ref="M1762">IF(OR(AND(L1762=9,M$1&gt;YEAR($N1762))),9,_xlfn.IFNA(INDEX($D$2:$D$4001,_xlfn.XMATCH(M$1&amp;"-"&amp;$F1762,YEAR($B$2:$B$4001)&amp;"-"&amp;$A$2:$A$4001,0,-1)),L1762))</f>
        <v>6</v>
      </c>
      <c r="N1762" s="1">
        <f t="shared" si="27"/>
        <v>37581</v>
      </c>
    </row>
    <row r="1763" spans="1:14" x14ac:dyDescent="0.35">
      <c r="A1763">
        <v>833</v>
      </c>
      <c r="B1763" s="2">
        <v>37762</v>
      </c>
      <c r="C1763">
        <v>6</v>
      </c>
      <c r="D1763">
        <v>6</v>
      </c>
      <c r="F1763">
        <v>1762</v>
      </c>
      <c r="G1763" cm="1">
        <f t="array" ref="G1763">_xlfn.IFNA(INDEX($D$2:$D$4001,_xlfn.XMATCH(G$1&amp;"-"&amp;$F1763,YEAR($B$2:$B$4001)&amp;"-"&amp;$A$2:$A$4001,0,-1)),9)</f>
        <v>9</v>
      </c>
      <c r="H1763" cm="1">
        <f t="array" ref="H1763">IF(OR(AND(G1763=9,H$1&gt;YEAR($N1763))),9,_xlfn.IFNA(INDEX($D$2:$D$4001,_xlfn.XMATCH(H$1&amp;"-"&amp;$F1763,YEAR($B$2:$B$4001)&amp;"-"&amp;$A$2:$A$4001,0,-1)),G1763))</f>
        <v>3</v>
      </c>
      <c r="I1763" cm="1">
        <f t="array" ref="I1763">IF(OR(AND(H1763=9,I$1&gt;YEAR($N1763))),9,_xlfn.IFNA(INDEX($D$2:$D$4001,_xlfn.XMATCH(I$1&amp;"-"&amp;$F1763,YEAR($B$2:$B$4001)&amp;"-"&amp;$A$2:$A$4001,0,-1)),H1763))</f>
        <v>3</v>
      </c>
      <c r="J1763" cm="1">
        <f t="array" ref="J1763">IF(OR(AND(I1763=9,J$1&gt;YEAR($N1763))),9,_xlfn.IFNA(INDEX($D$2:$D$4001,_xlfn.XMATCH(J$1&amp;"-"&amp;$F1763,YEAR($B$2:$B$4001)&amp;"-"&amp;$A$2:$A$4001,0,-1)),I1763))</f>
        <v>3</v>
      </c>
      <c r="K1763" cm="1">
        <f t="array" ref="K1763">IF(OR(AND(J1763=9,K$1&gt;YEAR($N1763))),9,_xlfn.IFNA(INDEX($D$2:$D$4001,_xlfn.XMATCH(K$1&amp;"-"&amp;$F1763,YEAR($B$2:$B$4001)&amp;"-"&amp;$A$2:$A$4001,0,-1)),J1763))</f>
        <v>3</v>
      </c>
      <c r="L1763" cm="1">
        <f t="array" ref="L1763">IF(OR(AND(K1763=9,L$1&gt;YEAR($N1763))),9,_xlfn.IFNA(INDEX($D$2:$D$4001,_xlfn.XMATCH(L$1&amp;"-"&amp;$F1763,YEAR($B$2:$B$4001)&amp;"-"&amp;$A$2:$A$4001,0,-1)),K1763))</f>
        <v>3</v>
      </c>
      <c r="M1763" cm="1">
        <f t="array" ref="M1763">IF(OR(AND(L1763=9,M$1&gt;YEAR($N1763))),9,_xlfn.IFNA(INDEX($D$2:$D$4001,_xlfn.XMATCH(M$1&amp;"-"&amp;$F1763,YEAR($B$2:$B$4001)&amp;"-"&amp;$A$2:$A$4001,0,-1)),L1763))</f>
        <v>3</v>
      </c>
      <c r="N1763" s="1">
        <f t="shared" si="27"/>
        <v>36851</v>
      </c>
    </row>
    <row r="1764" spans="1:14" x14ac:dyDescent="0.35">
      <c r="A1764">
        <v>833</v>
      </c>
      <c r="B1764" s="2">
        <v>37771</v>
      </c>
      <c r="C1764">
        <v>7</v>
      </c>
      <c r="D1764">
        <v>7</v>
      </c>
      <c r="F1764">
        <v>1763</v>
      </c>
      <c r="G1764" cm="1">
        <f t="array" ref="G1764">_xlfn.IFNA(INDEX($D$2:$D$4001,_xlfn.XMATCH(G$1&amp;"-"&amp;$F1764,YEAR($B$2:$B$4001)&amp;"-"&amp;$A$2:$A$4001,0,-1)),9)</f>
        <v>9</v>
      </c>
      <c r="H1764" cm="1">
        <f t="array" ref="H1764">IF(OR(AND(G1764=9,H$1&gt;YEAR($N1764))),9,_xlfn.IFNA(INDEX($D$2:$D$4001,_xlfn.XMATCH(H$1&amp;"-"&amp;$F1764,YEAR($B$2:$B$4001)&amp;"-"&amp;$A$2:$A$4001,0,-1)),G1764))</f>
        <v>9</v>
      </c>
      <c r="I1764" cm="1">
        <f t="array" ref="I1764">IF(OR(AND(H1764=9,I$1&gt;YEAR($N1764))),9,_xlfn.IFNA(INDEX($D$2:$D$4001,_xlfn.XMATCH(I$1&amp;"-"&amp;$F1764,YEAR($B$2:$B$4001)&amp;"-"&amp;$A$2:$A$4001,0,-1)),H1764))</f>
        <v>9</v>
      </c>
      <c r="J1764" cm="1">
        <f t="array" ref="J1764">IF(OR(AND(I1764=9,J$1&gt;YEAR($N1764))),9,_xlfn.IFNA(INDEX($D$2:$D$4001,_xlfn.XMATCH(J$1&amp;"-"&amp;$F1764,YEAR($B$2:$B$4001)&amp;"-"&amp;$A$2:$A$4001,0,-1)),I1764))</f>
        <v>5</v>
      </c>
      <c r="K1764" cm="1">
        <f t="array" ref="K1764">IF(OR(AND(J1764=9,K$1&gt;YEAR($N1764))),9,_xlfn.IFNA(INDEX($D$2:$D$4001,_xlfn.XMATCH(K$1&amp;"-"&amp;$F1764,YEAR($B$2:$B$4001)&amp;"-"&amp;$A$2:$A$4001,0,-1)),J1764))</f>
        <v>5</v>
      </c>
      <c r="L1764" cm="1">
        <f t="array" ref="L1764">IF(OR(AND(K1764=9,L$1&gt;YEAR($N1764))),9,_xlfn.IFNA(INDEX($D$2:$D$4001,_xlfn.XMATCH(L$1&amp;"-"&amp;$F1764,YEAR($B$2:$B$4001)&amp;"-"&amp;$A$2:$A$4001,0,-1)),K1764))</f>
        <v>5</v>
      </c>
      <c r="M1764" cm="1">
        <f t="array" ref="M1764">IF(OR(AND(L1764=9,M$1&gt;YEAR($N1764))),9,_xlfn.IFNA(INDEX($D$2:$D$4001,_xlfn.XMATCH(M$1&amp;"-"&amp;$F1764,YEAR($B$2:$B$4001)&amp;"-"&amp;$A$2:$A$4001,0,-1)),L1764))</f>
        <v>5</v>
      </c>
      <c r="N1764" s="1">
        <f t="shared" si="27"/>
        <v>37550</v>
      </c>
    </row>
    <row r="1765" spans="1:14" x14ac:dyDescent="0.35">
      <c r="A1765">
        <v>833</v>
      </c>
      <c r="B1765" s="2">
        <v>37771</v>
      </c>
      <c r="C1765">
        <v>0</v>
      </c>
      <c r="D1765">
        <v>0</v>
      </c>
      <c r="F1765">
        <v>1764</v>
      </c>
      <c r="G1765" cm="1">
        <f t="array" ref="G1765">_xlfn.IFNA(INDEX($D$2:$D$4001,_xlfn.XMATCH(G$1&amp;"-"&amp;$F1765,YEAR($B$2:$B$4001)&amp;"-"&amp;$A$2:$A$4001,0,-1)),9)</f>
        <v>9</v>
      </c>
      <c r="H1765" cm="1">
        <f t="array" ref="H1765">IF(OR(AND(G1765=9,H$1&gt;YEAR($N1765))),9,_xlfn.IFNA(INDEX($D$2:$D$4001,_xlfn.XMATCH(H$1&amp;"-"&amp;$F1765,YEAR($B$2:$B$4001)&amp;"-"&amp;$A$2:$A$4001,0,-1)),G1765))</f>
        <v>9</v>
      </c>
      <c r="I1765" cm="1">
        <f t="array" ref="I1765">IF(OR(AND(H1765=9,I$1&gt;YEAR($N1765))),9,_xlfn.IFNA(INDEX($D$2:$D$4001,_xlfn.XMATCH(I$1&amp;"-"&amp;$F1765,YEAR($B$2:$B$4001)&amp;"-"&amp;$A$2:$A$4001,0,-1)),H1765))</f>
        <v>9</v>
      </c>
      <c r="J1765" cm="1">
        <f t="array" ref="J1765">IF(OR(AND(I1765=9,J$1&gt;YEAR($N1765))),9,_xlfn.IFNA(INDEX($D$2:$D$4001,_xlfn.XMATCH(J$1&amp;"-"&amp;$F1765,YEAR($B$2:$B$4001)&amp;"-"&amp;$A$2:$A$4001,0,-1)),I1765))</f>
        <v>4</v>
      </c>
      <c r="K1765" cm="1">
        <f t="array" ref="K1765">IF(OR(AND(J1765=9,K$1&gt;YEAR($N1765))),9,_xlfn.IFNA(INDEX($D$2:$D$4001,_xlfn.XMATCH(K$1&amp;"-"&amp;$F1765,YEAR($B$2:$B$4001)&amp;"-"&amp;$A$2:$A$4001,0,-1)),J1765))</f>
        <v>4</v>
      </c>
      <c r="L1765" cm="1">
        <f t="array" ref="L1765">IF(OR(AND(K1765=9,L$1&gt;YEAR($N1765))),9,_xlfn.IFNA(INDEX($D$2:$D$4001,_xlfn.XMATCH(L$1&amp;"-"&amp;$F1765,YEAR($B$2:$B$4001)&amp;"-"&amp;$A$2:$A$4001,0,-1)),K1765))</f>
        <v>4</v>
      </c>
      <c r="M1765" cm="1">
        <f t="array" ref="M1765">IF(OR(AND(L1765=9,M$1&gt;YEAR($N1765))),9,_xlfn.IFNA(INDEX($D$2:$D$4001,_xlfn.XMATCH(M$1&amp;"-"&amp;$F1765,YEAR($B$2:$B$4001)&amp;"-"&amp;$A$2:$A$4001,0,-1)),L1765))</f>
        <v>4</v>
      </c>
      <c r="N1765" s="1">
        <f t="shared" si="27"/>
        <v>37620</v>
      </c>
    </row>
    <row r="1766" spans="1:14" x14ac:dyDescent="0.35">
      <c r="A1766">
        <v>834</v>
      </c>
      <c r="B1766" s="2">
        <v>36667</v>
      </c>
      <c r="C1766">
        <v>3</v>
      </c>
      <c r="D1766">
        <v>3</v>
      </c>
      <c r="F1766">
        <v>1765</v>
      </c>
      <c r="G1766" cm="1">
        <f t="array" ref="G1766">_xlfn.IFNA(INDEX($D$2:$D$4001,_xlfn.XMATCH(G$1&amp;"-"&amp;$F1766,YEAR($B$2:$B$4001)&amp;"-"&amp;$A$2:$A$4001,0,-1)),9)</f>
        <v>6</v>
      </c>
      <c r="H1766" cm="1">
        <f t="array" ref="H1766">IF(OR(AND(G1766=9,H$1&gt;YEAR($N1766))),9,_xlfn.IFNA(INDEX($D$2:$D$4001,_xlfn.XMATCH(H$1&amp;"-"&amp;$F1766,YEAR($B$2:$B$4001)&amp;"-"&amp;$A$2:$A$4001,0,-1)),G1766))</f>
        <v>0</v>
      </c>
      <c r="I1766" cm="1">
        <f t="array" ref="I1766">IF(OR(AND(H1766=9,I$1&gt;YEAR($N1766))),9,_xlfn.IFNA(INDEX($D$2:$D$4001,_xlfn.XMATCH(I$1&amp;"-"&amp;$F1766,YEAR($B$2:$B$4001)&amp;"-"&amp;$A$2:$A$4001,0,-1)),H1766))</f>
        <v>0</v>
      </c>
      <c r="J1766" cm="1">
        <f t="array" ref="J1766">IF(OR(AND(I1766=9,J$1&gt;YEAR($N1766))),9,_xlfn.IFNA(INDEX($D$2:$D$4001,_xlfn.XMATCH(J$1&amp;"-"&amp;$F1766,YEAR($B$2:$B$4001)&amp;"-"&amp;$A$2:$A$4001,0,-1)),I1766))</f>
        <v>0</v>
      </c>
      <c r="K1766" cm="1">
        <f t="array" ref="K1766">IF(OR(AND(J1766=9,K$1&gt;YEAR($N1766))),9,_xlfn.IFNA(INDEX($D$2:$D$4001,_xlfn.XMATCH(K$1&amp;"-"&amp;$F1766,YEAR($B$2:$B$4001)&amp;"-"&amp;$A$2:$A$4001,0,-1)),J1766))</f>
        <v>0</v>
      </c>
      <c r="L1766" cm="1">
        <f t="array" ref="L1766">IF(OR(AND(K1766=9,L$1&gt;YEAR($N1766))),9,_xlfn.IFNA(INDEX($D$2:$D$4001,_xlfn.XMATCH(L$1&amp;"-"&amp;$F1766,YEAR($B$2:$B$4001)&amp;"-"&amp;$A$2:$A$4001,0,-1)),K1766))</f>
        <v>0</v>
      </c>
      <c r="M1766" cm="1">
        <f t="array" ref="M1766">IF(OR(AND(L1766=9,M$1&gt;YEAR($N1766))),9,_xlfn.IFNA(INDEX($D$2:$D$4001,_xlfn.XMATCH(M$1&amp;"-"&amp;$F1766,YEAR($B$2:$B$4001)&amp;"-"&amp;$A$2:$A$4001,0,-1)),L1766))</f>
        <v>0</v>
      </c>
      <c r="N1766" s="1">
        <f t="shared" si="27"/>
        <v>36524</v>
      </c>
    </row>
    <row r="1767" spans="1:14" x14ac:dyDescent="0.35">
      <c r="A1767">
        <v>834</v>
      </c>
      <c r="B1767" s="2">
        <v>37397</v>
      </c>
      <c r="C1767">
        <v>3</v>
      </c>
      <c r="D1767">
        <v>3</v>
      </c>
      <c r="F1767">
        <v>1766</v>
      </c>
      <c r="G1767" cm="1">
        <f t="array" ref="G1767">_xlfn.IFNA(INDEX($D$2:$D$4001,_xlfn.XMATCH(G$1&amp;"-"&amp;$F1767,YEAR($B$2:$B$4001)&amp;"-"&amp;$A$2:$A$4001,0,-1)),9)</f>
        <v>3</v>
      </c>
      <c r="H1767" cm="1">
        <f t="array" ref="H1767">IF(OR(AND(G1767=9,H$1&gt;YEAR($N1767))),9,_xlfn.IFNA(INDEX($D$2:$D$4001,_xlfn.XMATCH(H$1&amp;"-"&amp;$F1767,YEAR($B$2:$B$4001)&amp;"-"&amp;$A$2:$A$4001,0,-1)),G1767))</f>
        <v>3</v>
      </c>
      <c r="I1767" cm="1">
        <f t="array" ref="I1767">IF(OR(AND(H1767=9,I$1&gt;YEAR($N1767))),9,_xlfn.IFNA(INDEX($D$2:$D$4001,_xlfn.XMATCH(I$1&amp;"-"&amp;$F1767,YEAR($B$2:$B$4001)&amp;"-"&amp;$A$2:$A$4001,0,-1)),H1767))</f>
        <v>3</v>
      </c>
      <c r="J1767" cm="1">
        <f t="array" ref="J1767">IF(OR(AND(I1767=9,J$1&gt;YEAR($N1767))),9,_xlfn.IFNA(INDEX($D$2:$D$4001,_xlfn.XMATCH(J$1&amp;"-"&amp;$F1767,YEAR($B$2:$B$4001)&amp;"-"&amp;$A$2:$A$4001,0,-1)),I1767))</f>
        <v>3</v>
      </c>
      <c r="K1767" cm="1">
        <f t="array" ref="K1767">IF(OR(AND(J1767=9,K$1&gt;YEAR($N1767))),9,_xlfn.IFNA(INDEX($D$2:$D$4001,_xlfn.XMATCH(K$1&amp;"-"&amp;$F1767,YEAR($B$2:$B$4001)&amp;"-"&amp;$A$2:$A$4001,0,-1)),J1767))</f>
        <v>3</v>
      </c>
      <c r="L1767" cm="1">
        <f t="array" ref="L1767">IF(OR(AND(K1767=9,L$1&gt;YEAR($N1767))),9,_xlfn.IFNA(INDEX($D$2:$D$4001,_xlfn.XMATCH(L$1&amp;"-"&amp;$F1767,YEAR($B$2:$B$4001)&amp;"-"&amp;$A$2:$A$4001,0,-1)),K1767))</f>
        <v>3</v>
      </c>
      <c r="M1767" cm="1">
        <f t="array" ref="M1767">IF(OR(AND(L1767=9,M$1&gt;YEAR($N1767))),9,_xlfn.IFNA(INDEX($D$2:$D$4001,_xlfn.XMATCH(M$1&amp;"-"&amp;$F1767,YEAR($B$2:$B$4001)&amp;"-"&amp;$A$2:$A$4001,0,-1)),L1767))</f>
        <v>3</v>
      </c>
      <c r="N1767" s="1">
        <f t="shared" si="27"/>
        <v>36301</v>
      </c>
    </row>
    <row r="1768" spans="1:14" x14ac:dyDescent="0.35">
      <c r="A1768">
        <v>835</v>
      </c>
      <c r="B1768" s="2">
        <v>36301</v>
      </c>
      <c r="C1768">
        <v>4</v>
      </c>
      <c r="D1768">
        <v>4</v>
      </c>
      <c r="F1768">
        <v>1767</v>
      </c>
      <c r="G1768" cm="1">
        <f t="array" ref="G1768">_xlfn.IFNA(INDEX($D$2:$D$4001,_xlfn.XMATCH(G$1&amp;"-"&amp;$F1768,YEAR($B$2:$B$4001)&amp;"-"&amp;$A$2:$A$4001,0,-1)),9)</f>
        <v>9</v>
      </c>
      <c r="H1768" cm="1">
        <f t="array" ref="H1768">IF(OR(AND(G1768=9,H$1&gt;YEAR($N1768))),9,_xlfn.IFNA(INDEX($D$2:$D$4001,_xlfn.XMATCH(H$1&amp;"-"&amp;$F1768,YEAR($B$2:$B$4001)&amp;"-"&amp;$A$2:$A$4001,0,-1)),G1768))</f>
        <v>4</v>
      </c>
      <c r="I1768" cm="1">
        <f t="array" ref="I1768">IF(OR(AND(H1768=9,I$1&gt;YEAR($N1768))),9,_xlfn.IFNA(INDEX($D$2:$D$4001,_xlfn.XMATCH(I$1&amp;"-"&amp;$F1768,YEAR($B$2:$B$4001)&amp;"-"&amp;$A$2:$A$4001,0,-1)),H1768))</f>
        <v>4</v>
      </c>
      <c r="J1768" cm="1">
        <f t="array" ref="J1768">IF(OR(AND(I1768=9,J$1&gt;YEAR($N1768))),9,_xlfn.IFNA(INDEX($D$2:$D$4001,_xlfn.XMATCH(J$1&amp;"-"&amp;$F1768,YEAR($B$2:$B$4001)&amp;"-"&amp;$A$2:$A$4001,0,-1)),I1768))</f>
        <v>4</v>
      </c>
      <c r="K1768" cm="1">
        <f t="array" ref="K1768">IF(OR(AND(J1768=9,K$1&gt;YEAR($N1768))),9,_xlfn.IFNA(INDEX($D$2:$D$4001,_xlfn.XMATCH(K$1&amp;"-"&amp;$F1768,YEAR($B$2:$B$4001)&amp;"-"&amp;$A$2:$A$4001,0,-1)),J1768))</f>
        <v>4</v>
      </c>
      <c r="L1768" cm="1">
        <f t="array" ref="L1768">IF(OR(AND(K1768=9,L$1&gt;YEAR($N1768))),9,_xlfn.IFNA(INDEX($D$2:$D$4001,_xlfn.XMATCH(L$1&amp;"-"&amp;$F1768,YEAR($B$2:$B$4001)&amp;"-"&amp;$A$2:$A$4001,0,-1)),K1768))</f>
        <v>4</v>
      </c>
      <c r="M1768" cm="1">
        <f t="array" ref="M1768">IF(OR(AND(L1768=9,M$1&gt;YEAR($N1768))),9,_xlfn.IFNA(INDEX($D$2:$D$4001,_xlfn.XMATCH(M$1&amp;"-"&amp;$F1768,YEAR($B$2:$B$4001)&amp;"-"&amp;$A$2:$A$4001,0,-1)),L1768))</f>
        <v>4</v>
      </c>
      <c r="N1768" s="1">
        <f t="shared" si="27"/>
        <v>36829</v>
      </c>
    </row>
    <row r="1769" spans="1:14" x14ac:dyDescent="0.35">
      <c r="A1769">
        <v>836</v>
      </c>
      <c r="B1769" s="2">
        <v>38160</v>
      </c>
      <c r="C1769">
        <v>2</v>
      </c>
      <c r="D1769">
        <v>2</v>
      </c>
      <c r="F1769">
        <v>1768</v>
      </c>
      <c r="G1769" cm="1">
        <f t="array" ref="G1769">_xlfn.IFNA(INDEX($D$2:$D$4001,_xlfn.XMATCH(G$1&amp;"-"&amp;$F1769,YEAR($B$2:$B$4001)&amp;"-"&amp;$A$2:$A$4001,0,-1)),9)</f>
        <v>0</v>
      </c>
      <c r="H1769" cm="1">
        <f t="array" ref="H1769">IF(OR(AND(G1769=9,H$1&gt;YEAR($N1769))),9,_xlfn.IFNA(INDEX($D$2:$D$4001,_xlfn.XMATCH(H$1&amp;"-"&amp;$F1769,YEAR($B$2:$B$4001)&amp;"-"&amp;$A$2:$A$4001,0,-1)),G1769))</f>
        <v>0</v>
      </c>
      <c r="I1769" cm="1">
        <f t="array" ref="I1769">IF(OR(AND(H1769=9,I$1&gt;YEAR($N1769))),9,_xlfn.IFNA(INDEX($D$2:$D$4001,_xlfn.XMATCH(I$1&amp;"-"&amp;$F1769,YEAR($B$2:$B$4001)&amp;"-"&amp;$A$2:$A$4001,0,-1)),H1769))</f>
        <v>0</v>
      </c>
      <c r="J1769" cm="1">
        <f t="array" ref="J1769">IF(OR(AND(I1769=9,J$1&gt;YEAR($N1769))),9,_xlfn.IFNA(INDEX($D$2:$D$4001,_xlfn.XMATCH(J$1&amp;"-"&amp;$F1769,YEAR($B$2:$B$4001)&amp;"-"&amp;$A$2:$A$4001,0,-1)),I1769))</f>
        <v>0</v>
      </c>
      <c r="K1769" cm="1">
        <f t="array" ref="K1769">IF(OR(AND(J1769=9,K$1&gt;YEAR($N1769))),9,_xlfn.IFNA(INDEX($D$2:$D$4001,_xlfn.XMATCH(K$1&amp;"-"&amp;$F1769,YEAR($B$2:$B$4001)&amp;"-"&amp;$A$2:$A$4001,0,-1)),J1769))</f>
        <v>0</v>
      </c>
      <c r="L1769" cm="1">
        <f t="array" ref="L1769">IF(OR(AND(K1769=9,L$1&gt;YEAR($N1769))),9,_xlfn.IFNA(INDEX($D$2:$D$4001,_xlfn.XMATCH(L$1&amp;"-"&amp;$F1769,YEAR($B$2:$B$4001)&amp;"-"&amp;$A$2:$A$4001,0,-1)),K1769))</f>
        <v>0</v>
      </c>
      <c r="M1769" cm="1">
        <f t="array" ref="M1769">IF(OR(AND(L1769=9,M$1&gt;YEAR($N1769))),9,_xlfn.IFNA(INDEX($D$2:$D$4001,_xlfn.XMATCH(M$1&amp;"-"&amp;$F1769,YEAR($B$2:$B$4001)&amp;"-"&amp;$A$2:$A$4001,0,-1)),L1769))</f>
        <v>0</v>
      </c>
      <c r="N1769" s="1">
        <f t="shared" si="27"/>
        <v>36494</v>
      </c>
    </row>
    <row r="1770" spans="1:14" x14ac:dyDescent="0.35">
      <c r="A1770">
        <v>836</v>
      </c>
      <c r="B1770" s="2">
        <v>38351</v>
      </c>
      <c r="C1770">
        <v>0</v>
      </c>
      <c r="D1770">
        <v>0</v>
      </c>
      <c r="F1770">
        <v>1769</v>
      </c>
      <c r="G1770" cm="1">
        <f t="array" ref="G1770">_xlfn.IFNA(INDEX($D$2:$D$4001,_xlfn.XMATCH(G$1&amp;"-"&amp;$F1770,YEAR($B$2:$B$4001)&amp;"-"&amp;$A$2:$A$4001,0,-1)),9)</f>
        <v>9</v>
      </c>
      <c r="H1770" cm="1">
        <f t="array" ref="H1770">IF(OR(AND(G1770=9,H$1&gt;YEAR($N1770))),9,_xlfn.IFNA(INDEX($D$2:$D$4001,_xlfn.XMATCH(H$1&amp;"-"&amp;$F1770,YEAR($B$2:$B$4001)&amp;"-"&amp;$A$2:$A$4001,0,-1)),G1770))</f>
        <v>9</v>
      </c>
      <c r="I1770" cm="1">
        <f t="array" ref="I1770">IF(OR(AND(H1770=9,I$1&gt;YEAR($N1770))),9,_xlfn.IFNA(INDEX($D$2:$D$4001,_xlfn.XMATCH(I$1&amp;"-"&amp;$F1770,YEAR($B$2:$B$4001)&amp;"-"&amp;$A$2:$A$4001,0,-1)),H1770))</f>
        <v>9</v>
      </c>
      <c r="J1770" cm="1">
        <f t="array" ref="J1770">IF(OR(AND(I1770=9,J$1&gt;YEAR($N1770))),9,_xlfn.IFNA(INDEX($D$2:$D$4001,_xlfn.XMATCH(J$1&amp;"-"&amp;$F1770,YEAR($B$2:$B$4001)&amp;"-"&amp;$A$2:$A$4001,0,-1)),I1770))</f>
        <v>9</v>
      </c>
      <c r="K1770" cm="1">
        <f t="array" ref="K1770">IF(OR(AND(J1770=9,K$1&gt;YEAR($N1770))),9,_xlfn.IFNA(INDEX($D$2:$D$4001,_xlfn.XMATCH(K$1&amp;"-"&amp;$F1770,YEAR($B$2:$B$4001)&amp;"-"&amp;$A$2:$A$4001,0,-1)),J1770))</f>
        <v>5</v>
      </c>
      <c r="L1770" cm="1">
        <f t="array" ref="L1770">IF(OR(AND(K1770=9,L$1&gt;YEAR($N1770))),9,_xlfn.IFNA(INDEX($D$2:$D$4001,_xlfn.XMATCH(L$1&amp;"-"&amp;$F1770,YEAR($B$2:$B$4001)&amp;"-"&amp;$A$2:$A$4001,0,-1)),K1770))</f>
        <v>5</v>
      </c>
      <c r="M1770" cm="1">
        <f t="array" ref="M1770">IF(OR(AND(L1770=9,M$1&gt;YEAR($N1770))),9,_xlfn.IFNA(INDEX($D$2:$D$4001,_xlfn.XMATCH(M$1&amp;"-"&amp;$F1770,YEAR($B$2:$B$4001)&amp;"-"&amp;$A$2:$A$4001,0,-1)),L1770))</f>
        <v>5</v>
      </c>
      <c r="N1770" s="1">
        <f t="shared" si="27"/>
        <v>37854</v>
      </c>
    </row>
    <row r="1771" spans="1:14" x14ac:dyDescent="0.35">
      <c r="A1771">
        <v>837</v>
      </c>
      <c r="B1771" s="2">
        <v>36336</v>
      </c>
      <c r="C1771">
        <v>4</v>
      </c>
      <c r="D1771">
        <v>4</v>
      </c>
      <c r="F1771">
        <v>1770</v>
      </c>
      <c r="G1771" cm="1">
        <f t="array" ref="G1771">_xlfn.IFNA(INDEX($D$2:$D$4001,_xlfn.XMATCH(G$1&amp;"-"&amp;$F1771,YEAR($B$2:$B$4001)&amp;"-"&amp;$A$2:$A$4001,0,-1)),9)</f>
        <v>9</v>
      </c>
      <c r="H1771" cm="1">
        <f t="array" ref="H1771">IF(OR(AND(G1771=9,H$1&gt;YEAR($N1771))),9,_xlfn.IFNA(INDEX($D$2:$D$4001,_xlfn.XMATCH(H$1&amp;"-"&amp;$F1771,YEAR($B$2:$B$4001)&amp;"-"&amp;$A$2:$A$4001,0,-1)),G1771))</f>
        <v>9</v>
      </c>
      <c r="I1771" cm="1">
        <f t="array" ref="I1771">IF(OR(AND(H1771=9,I$1&gt;YEAR($N1771))),9,_xlfn.IFNA(INDEX($D$2:$D$4001,_xlfn.XMATCH(I$1&amp;"-"&amp;$F1771,YEAR($B$2:$B$4001)&amp;"-"&amp;$A$2:$A$4001,0,-1)),H1771))</f>
        <v>4</v>
      </c>
      <c r="J1771" cm="1">
        <f t="array" ref="J1771">IF(OR(AND(I1771=9,J$1&gt;YEAR($N1771))),9,_xlfn.IFNA(INDEX($D$2:$D$4001,_xlfn.XMATCH(J$1&amp;"-"&amp;$F1771,YEAR($B$2:$B$4001)&amp;"-"&amp;$A$2:$A$4001,0,-1)),I1771))</f>
        <v>4</v>
      </c>
      <c r="K1771" cm="1">
        <f t="array" ref="K1771">IF(OR(AND(J1771=9,K$1&gt;YEAR($N1771))),9,_xlfn.IFNA(INDEX($D$2:$D$4001,_xlfn.XMATCH(K$1&amp;"-"&amp;$F1771,YEAR($B$2:$B$4001)&amp;"-"&amp;$A$2:$A$4001,0,-1)),J1771))</f>
        <v>4</v>
      </c>
      <c r="L1771" cm="1">
        <f t="array" ref="L1771">IF(OR(AND(K1771=9,L$1&gt;YEAR($N1771))),9,_xlfn.IFNA(INDEX($D$2:$D$4001,_xlfn.XMATCH(L$1&amp;"-"&amp;$F1771,YEAR($B$2:$B$4001)&amp;"-"&amp;$A$2:$A$4001,0,-1)),K1771))</f>
        <v>4</v>
      </c>
      <c r="M1771" cm="1">
        <f t="array" ref="M1771">IF(OR(AND(L1771=9,M$1&gt;YEAR($N1771))),9,_xlfn.IFNA(INDEX($D$2:$D$4001,_xlfn.XMATCH(M$1&amp;"-"&amp;$F1771,YEAR($B$2:$B$4001)&amp;"-"&amp;$A$2:$A$4001,0,-1)),L1771))</f>
        <v>4</v>
      </c>
      <c r="N1771" s="1">
        <f t="shared" si="27"/>
        <v>37225</v>
      </c>
    </row>
    <row r="1772" spans="1:14" x14ac:dyDescent="0.35">
      <c r="A1772">
        <v>837</v>
      </c>
      <c r="B1772" s="2">
        <v>36667</v>
      </c>
      <c r="C1772">
        <v>4</v>
      </c>
      <c r="D1772">
        <v>4</v>
      </c>
      <c r="F1772">
        <v>1771</v>
      </c>
      <c r="G1772" cm="1">
        <f t="array" ref="G1772">_xlfn.IFNA(INDEX($D$2:$D$4001,_xlfn.XMATCH(G$1&amp;"-"&amp;$F1772,YEAR($B$2:$B$4001)&amp;"-"&amp;$A$2:$A$4001,0,-1)),9)</f>
        <v>9</v>
      </c>
      <c r="H1772" cm="1">
        <f t="array" ref="H1772">IF(OR(AND(G1772=9,H$1&gt;YEAR($N1772))),9,_xlfn.IFNA(INDEX($D$2:$D$4001,_xlfn.XMATCH(H$1&amp;"-"&amp;$F1772,YEAR($B$2:$B$4001)&amp;"-"&amp;$A$2:$A$4001,0,-1)),G1772))</f>
        <v>3</v>
      </c>
      <c r="I1772" cm="1">
        <f t="array" ref="I1772">IF(OR(AND(H1772=9,I$1&gt;YEAR($N1772))),9,_xlfn.IFNA(INDEX($D$2:$D$4001,_xlfn.XMATCH(I$1&amp;"-"&amp;$F1772,YEAR($B$2:$B$4001)&amp;"-"&amp;$A$2:$A$4001,0,-1)),H1772))</f>
        <v>3</v>
      </c>
      <c r="J1772" cm="1">
        <f t="array" ref="J1772">IF(OR(AND(I1772=9,J$1&gt;YEAR($N1772))),9,_xlfn.IFNA(INDEX($D$2:$D$4001,_xlfn.XMATCH(J$1&amp;"-"&amp;$F1772,YEAR($B$2:$B$4001)&amp;"-"&amp;$A$2:$A$4001,0,-1)),I1772))</f>
        <v>3</v>
      </c>
      <c r="K1772" cm="1">
        <f t="array" ref="K1772">IF(OR(AND(J1772=9,K$1&gt;YEAR($N1772))),9,_xlfn.IFNA(INDEX($D$2:$D$4001,_xlfn.XMATCH(K$1&amp;"-"&amp;$F1772,YEAR($B$2:$B$4001)&amp;"-"&amp;$A$2:$A$4001,0,-1)),J1772))</f>
        <v>3</v>
      </c>
      <c r="L1772" cm="1">
        <f t="array" ref="L1772">IF(OR(AND(K1772=9,L$1&gt;YEAR($N1772))),9,_xlfn.IFNA(INDEX($D$2:$D$4001,_xlfn.XMATCH(L$1&amp;"-"&amp;$F1772,YEAR($B$2:$B$4001)&amp;"-"&amp;$A$2:$A$4001,0,-1)),K1772))</f>
        <v>3</v>
      </c>
      <c r="M1772" cm="1">
        <f t="array" ref="M1772">IF(OR(AND(L1772=9,M$1&gt;YEAR($N1772))),9,_xlfn.IFNA(INDEX($D$2:$D$4001,_xlfn.XMATCH(M$1&amp;"-"&amp;$F1772,YEAR($B$2:$B$4001)&amp;"-"&amp;$A$2:$A$4001,0,-1)),L1772))</f>
        <v>3</v>
      </c>
      <c r="N1772" s="1">
        <f t="shared" si="27"/>
        <v>36676</v>
      </c>
    </row>
    <row r="1773" spans="1:14" x14ac:dyDescent="0.35">
      <c r="A1773">
        <v>837</v>
      </c>
      <c r="B1773" s="2">
        <v>38493</v>
      </c>
      <c r="C1773">
        <v>4</v>
      </c>
      <c r="D1773">
        <v>4</v>
      </c>
      <c r="F1773">
        <v>1772</v>
      </c>
      <c r="G1773" cm="1">
        <f t="array" ref="G1773">_xlfn.IFNA(INDEX($D$2:$D$4001,_xlfn.XMATCH(G$1&amp;"-"&amp;$F1773,YEAR($B$2:$B$4001)&amp;"-"&amp;$A$2:$A$4001,0,-1)),9)</f>
        <v>9</v>
      </c>
      <c r="H1773" cm="1">
        <f t="array" ref="H1773">IF(OR(AND(G1773=9,H$1&gt;YEAR($N1773))),9,_xlfn.IFNA(INDEX($D$2:$D$4001,_xlfn.XMATCH(H$1&amp;"-"&amp;$F1773,YEAR($B$2:$B$4001)&amp;"-"&amp;$A$2:$A$4001,0,-1)),G1773))</f>
        <v>9</v>
      </c>
      <c r="I1773" cm="1">
        <f t="array" ref="I1773">IF(OR(AND(H1773=9,I$1&gt;YEAR($N1773))),9,_xlfn.IFNA(INDEX($D$2:$D$4001,_xlfn.XMATCH(I$1&amp;"-"&amp;$F1773,YEAR($B$2:$B$4001)&amp;"-"&amp;$A$2:$A$4001,0,-1)),H1773))</f>
        <v>9</v>
      </c>
      <c r="J1773" cm="1">
        <f t="array" ref="J1773">IF(OR(AND(I1773=9,J$1&gt;YEAR($N1773))),9,_xlfn.IFNA(INDEX($D$2:$D$4001,_xlfn.XMATCH(J$1&amp;"-"&amp;$F1773,YEAR($B$2:$B$4001)&amp;"-"&amp;$A$2:$A$4001,0,-1)),I1773))</f>
        <v>9</v>
      </c>
      <c r="K1773" cm="1">
        <f t="array" ref="K1773">IF(OR(AND(J1773=9,K$1&gt;YEAR($N1773))),9,_xlfn.IFNA(INDEX($D$2:$D$4001,_xlfn.XMATCH(K$1&amp;"-"&amp;$F1773,YEAR($B$2:$B$4001)&amp;"-"&amp;$A$2:$A$4001,0,-1)),J1773))</f>
        <v>9</v>
      </c>
      <c r="L1773" cm="1">
        <f t="array" ref="L1773">IF(OR(AND(K1773=9,L$1&gt;YEAR($N1773))),9,_xlfn.IFNA(INDEX($D$2:$D$4001,_xlfn.XMATCH(L$1&amp;"-"&amp;$F1773,YEAR($B$2:$B$4001)&amp;"-"&amp;$A$2:$A$4001,0,-1)),K1773))</f>
        <v>4</v>
      </c>
      <c r="M1773" cm="1">
        <f t="array" ref="M1773">IF(OR(AND(L1773=9,M$1&gt;YEAR($N1773))),9,_xlfn.IFNA(INDEX($D$2:$D$4001,_xlfn.XMATCH(M$1&amp;"-"&amp;$F1773,YEAR($B$2:$B$4001)&amp;"-"&amp;$A$2:$A$4001,0,-1)),L1773))</f>
        <v>4</v>
      </c>
      <c r="N1773" s="1">
        <f t="shared" si="27"/>
        <v>38351</v>
      </c>
    </row>
    <row r="1774" spans="1:14" x14ac:dyDescent="0.35">
      <c r="A1774">
        <v>838</v>
      </c>
      <c r="B1774" s="2">
        <v>36332</v>
      </c>
      <c r="C1774">
        <v>6</v>
      </c>
      <c r="D1774">
        <v>6</v>
      </c>
      <c r="F1774">
        <v>1773</v>
      </c>
      <c r="G1774" cm="1">
        <f t="array" ref="G1774">_xlfn.IFNA(INDEX($D$2:$D$4001,_xlfn.XMATCH(G$1&amp;"-"&amp;$F1774,YEAR($B$2:$B$4001)&amp;"-"&amp;$A$2:$A$4001,0,-1)),9)</f>
        <v>9</v>
      </c>
      <c r="H1774" cm="1">
        <f t="array" ref="H1774">IF(OR(AND(G1774=9,H$1&gt;YEAR($N1774))),9,_xlfn.IFNA(INDEX($D$2:$D$4001,_xlfn.XMATCH(H$1&amp;"-"&amp;$F1774,YEAR($B$2:$B$4001)&amp;"-"&amp;$A$2:$A$4001,0,-1)),G1774))</f>
        <v>9</v>
      </c>
      <c r="I1774" cm="1">
        <f t="array" ref="I1774">IF(OR(AND(H1774=9,I$1&gt;YEAR($N1774))),9,_xlfn.IFNA(INDEX($D$2:$D$4001,_xlfn.XMATCH(I$1&amp;"-"&amp;$F1774,YEAR($B$2:$B$4001)&amp;"-"&amp;$A$2:$A$4001,0,-1)),H1774))</f>
        <v>4</v>
      </c>
      <c r="J1774" cm="1">
        <f t="array" ref="J1774">IF(OR(AND(I1774=9,J$1&gt;YEAR($N1774))),9,_xlfn.IFNA(INDEX($D$2:$D$4001,_xlfn.XMATCH(J$1&amp;"-"&amp;$F1774,YEAR($B$2:$B$4001)&amp;"-"&amp;$A$2:$A$4001,0,-1)),I1774))</f>
        <v>4</v>
      </c>
      <c r="K1774" cm="1">
        <f t="array" ref="K1774">IF(OR(AND(J1774=9,K$1&gt;YEAR($N1774))),9,_xlfn.IFNA(INDEX($D$2:$D$4001,_xlfn.XMATCH(K$1&amp;"-"&amp;$F1774,YEAR($B$2:$B$4001)&amp;"-"&amp;$A$2:$A$4001,0,-1)),J1774))</f>
        <v>4</v>
      </c>
      <c r="L1774" cm="1">
        <f t="array" ref="L1774">IF(OR(AND(K1774=9,L$1&gt;YEAR($N1774))),9,_xlfn.IFNA(INDEX($D$2:$D$4001,_xlfn.XMATCH(L$1&amp;"-"&amp;$F1774,YEAR($B$2:$B$4001)&amp;"-"&amp;$A$2:$A$4001,0,-1)),K1774))</f>
        <v>4</v>
      </c>
      <c r="M1774" cm="1">
        <f t="array" ref="M1774">IF(OR(AND(L1774=9,M$1&gt;YEAR($N1774))),9,_xlfn.IFNA(INDEX($D$2:$D$4001,_xlfn.XMATCH(M$1&amp;"-"&amp;$F1774,YEAR($B$2:$B$4001)&amp;"-"&amp;$A$2:$A$4001,0,-1)),L1774))</f>
        <v>4</v>
      </c>
      <c r="N1774" s="1">
        <f t="shared" si="27"/>
        <v>37032</v>
      </c>
    </row>
    <row r="1775" spans="1:14" x14ac:dyDescent="0.35">
      <c r="A1775">
        <v>838</v>
      </c>
      <c r="B1775" s="2">
        <v>37032</v>
      </c>
      <c r="C1775">
        <v>5</v>
      </c>
      <c r="D1775">
        <v>5</v>
      </c>
      <c r="F1775">
        <v>1774</v>
      </c>
      <c r="G1775" cm="1">
        <f t="array" ref="G1775">_xlfn.IFNA(INDEX($D$2:$D$4001,_xlfn.XMATCH(G$1&amp;"-"&amp;$F1775,YEAR($B$2:$B$4001)&amp;"-"&amp;$A$2:$A$4001,0,-1)),9)</f>
        <v>4</v>
      </c>
      <c r="H1775" cm="1">
        <f t="array" ref="H1775">IF(OR(AND(G1775=9,H$1&gt;YEAR($N1775))),9,_xlfn.IFNA(INDEX($D$2:$D$4001,_xlfn.XMATCH(H$1&amp;"-"&amp;$F1775,YEAR($B$2:$B$4001)&amp;"-"&amp;$A$2:$A$4001,0,-1)),G1775))</f>
        <v>3</v>
      </c>
      <c r="I1775" cm="1">
        <f t="array" ref="I1775">IF(OR(AND(H1775=9,I$1&gt;YEAR($N1775))),9,_xlfn.IFNA(INDEX($D$2:$D$4001,_xlfn.XMATCH(I$1&amp;"-"&amp;$F1775,YEAR($B$2:$B$4001)&amp;"-"&amp;$A$2:$A$4001,0,-1)),H1775))</f>
        <v>3</v>
      </c>
      <c r="J1775" cm="1">
        <f t="array" ref="J1775">IF(OR(AND(I1775=9,J$1&gt;YEAR($N1775))),9,_xlfn.IFNA(INDEX($D$2:$D$4001,_xlfn.XMATCH(J$1&amp;"-"&amp;$F1775,YEAR($B$2:$B$4001)&amp;"-"&amp;$A$2:$A$4001,0,-1)),I1775))</f>
        <v>3</v>
      </c>
      <c r="K1775" cm="1">
        <f t="array" ref="K1775">IF(OR(AND(J1775=9,K$1&gt;YEAR($N1775))),9,_xlfn.IFNA(INDEX($D$2:$D$4001,_xlfn.XMATCH(K$1&amp;"-"&amp;$F1775,YEAR($B$2:$B$4001)&amp;"-"&amp;$A$2:$A$4001,0,-1)),J1775))</f>
        <v>3</v>
      </c>
      <c r="L1775" cm="1">
        <f t="array" ref="L1775">IF(OR(AND(K1775=9,L$1&gt;YEAR($N1775))),9,_xlfn.IFNA(INDEX($D$2:$D$4001,_xlfn.XMATCH(L$1&amp;"-"&amp;$F1775,YEAR($B$2:$B$4001)&amp;"-"&amp;$A$2:$A$4001,0,-1)),K1775))</f>
        <v>0</v>
      </c>
      <c r="M1775" cm="1">
        <f t="array" ref="M1775">IF(OR(AND(L1775=9,M$1&gt;YEAR($N1775))),9,_xlfn.IFNA(INDEX($D$2:$D$4001,_xlfn.XMATCH(M$1&amp;"-"&amp;$F1775,YEAR($B$2:$B$4001)&amp;"-"&amp;$A$2:$A$4001,0,-1)),L1775))</f>
        <v>0</v>
      </c>
      <c r="N1775" s="1">
        <f t="shared" si="27"/>
        <v>36494</v>
      </c>
    </row>
    <row r="1776" spans="1:14" x14ac:dyDescent="0.35">
      <c r="A1776">
        <v>839</v>
      </c>
      <c r="B1776" s="2">
        <v>36332</v>
      </c>
      <c r="C1776">
        <v>3</v>
      </c>
      <c r="D1776">
        <v>3</v>
      </c>
      <c r="F1776">
        <v>1775</v>
      </c>
      <c r="G1776" cm="1">
        <f t="array" ref="G1776">_xlfn.IFNA(INDEX($D$2:$D$4001,_xlfn.XMATCH(G$1&amp;"-"&amp;$F1776,YEAR($B$2:$B$4001)&amp;"-"&amp;$A$2:$A$4001,0,-1)),9)</f>
        <v>4</v>
      </c>
      <c r="H1776" cm="1">
        <f t="array" ref="H1776">IF(OR(AND(G1776=9,H$1&gt;YEAR($N1776))),9,_xlfn.IFNA(INDEX($D$2:$D$4001,_xlfn.XMATCH(H$1&amp;"-"&amp;$F1776,YEAR($B$2:$B$4001)&amp;"-"&amp;$A$2:$A$4001,0,-1)),G1776))</f>
        <v>3</v>
      </c>
      <c r="I1776" cm="1">
        <f t="array" ref="I1776">IF(OR(AND(H1776=9,I$1&gt;YEAR($N1776))),9,_xlfn.IFNA(INDEX($D$2:$D$4001,_xlfn.XMATCH(I$1&amp;"-"&amp;$F1776,YEAR($B$2:$B$4001)&amp;"-"&amp;$A$2:$A$4001,0,-1)),H1776))</f>
        <v>3</v>
      </c>
      <c r="J1776" cm="1">
        <f t="array" ref="J1776">IF(OR(AND(I1776=9,J$1&gt;YEAR($N1776))),9,_xlfn.IFNA(INDEX($D$2:$D$4001,_xlfn.XMATCH(J$1&amp;"-"&amp;$F1776,YEAR($B$2:$B$4001)&amp;"-"&amp;$A$2:$A$4001,0,-1)),I1776))</f>
        <v>3</v>
      </c>
      <c r="K1776" cm="1">
        <f t="array" ref="K1776">IF(OR(AND(J1776=9,K$1&gt;YEAR($N1776))),9,_xlfn.IFNA(INDEX($D$2:$D$4001,_xlfn.XMATCH(K$1&amp;"-"&amp;$F1776,YEAR($B$2:$B$4001)&amp;"-"&amp;$A$2:$A$4001,0,-1)),J1776))</f>
        <v>3</v>
      </c>
      <c r="L1776" cm="1">
        <f t="array" ref="L1776">IF(OR(AND(K1776=9,L$1&gt;YEAR($N1776))),9,_xlfn.IFNA(INDEX($D$2:$D$4001,_xlfn.XMATCH(L$1&amp;"-"&amp;$F1776,YEAR($B$2:$B$4001)&amp;"-"&amp;$A$2:$A$4001,0,-1)),K1776))</f>
        <v>0</v>
      </c>
      <c r="M1776" cm="1">
        <f t="array" ref="M1776">IF(OR(AND(L1776=9,M$1&gt;YEAR($N1776))),9,_xlfn.IFNA(INDEX($D$2:$D$4001,_xlfn.XMATCH(M$1&amp;"-"&amp;$F1776,YEAR($B$2:$B$4001)&amp;"-"&amp;$A$2:$A$4001,0,-1)),L1776))</f>
        <v>0</v>
      </c>
      <c r="N1776" s="1">
        <f t="shared" si="27"/>
        <v>36371</v>
      </c>
    </row>
    <row r="1777" spans="1:14" x14ac:dyDescent="0.35">
      <c r="A1777">
        <v>839</v>
      </c>
      <c r="B1777" s="2">
        <v>37032</v>
      </c>
      <c r="C1777">
        <v>3</v>
      </c>
      <c r="D1777">
        <v>3</v>
      </c>
      <c r="F1777">
        <v>1776</v>
      </c>
      <c r="G1777" cm="1">
        <f t="array" ref="G1777">_xlfn.IFNA(INDEX($D$2:$D$4001,_xlfn.XMATCH(G$1&amp;"-"&amp;$F1777,YEAR($B$2:$B$4001)&amp;"-"&amp;$A$2:$A$4001,0,-1)),9)</f>
        <v>6</v>
      </c>
      <c r="H1777" cm="1">
        <f t="array" ref="H1777">IF(OR(AND(G1777=9,H$1&gt;YEAR($N1777))),9,_xlfn.IFNA(INDEX($D$2:$D$4001,_xlfn.XMATCH(H$1&amp;"-"&amp;$F1777,YEAR($B$2:$B$4001)&amp;"-"&amp;$A$2:$A$4001,0,-1)),G1777))</f>
        <v>0</v>
      </c>
      <c r="I1777" cm="1">
        <f t="array" ref="I1777">IF(OR(AND(H1777=9,I$1&gt;YEAR($N1777))),9,_xlfn.IFNA(INDEX($D$2:$D$4001,_xlfn.XMATCH(I$1&amp;"-"&amp;$F1777,YEAR($B$2:$B$4001)&amp;"-"&amp;$A$2:$A$4001,0,-1)),H1777))</f>
        <v>7</v>
      </c>
      <c r="J1777" cm="1">
        <f t="array" ref="J1777">IF(OR(AND(I1777=9,J$1&gt;YEAR($N1777))),9,_xlfn.IFNA(INDEX($D$2:$D$4001,_xlfn.XMATCH(J$1&amp;"-"&amp;$F1777,YEAR($B$2:$B$4001)&amp;"-"&amp;$A$2:$A$4001,0,-1)),I1777))</f>
        <v>8</v>
      </c>
      <c r="K1777" cm="1">
        <f t="array" ref="K1777">IF(OR(AND(J1777=9,K$1&gt;YEAR($N1777))),9,_xlfn.IFNA(INDEX($D$2:$D$4001,_xlfn.XMATCH(K$1&amp;"-"&amp;$F1777,YEAR($B$2:$B$4001)&amp;"-"&amp;$A$2:$A$4001,0,-1)),J1777))</f>
        <v>8</v>
      </c>
      <c r="L1777" cm="1">
        <f t="array" ref="L1777">IF(OR(AND(K1777=9,L$1&gt;YEAR($N1777))),9,_xlfn.IFNA(INDEX($D$2:$D$4001,_xlfn.XMATCH(L$1&amp;"-"&amp;$F1777,YEAR($B$2:$B$4001)&amp;"-"&amp;$A$2:$A$4001,0,-1)),K1777))</f>
        <v>8</v>
      </c>
      <c r="M1777" cm="1">
        <f t="array" ref="M1777">IF(OR(AND(L1777=9,M$1&gt;YEAR($N1777))),9,_xlfn.IFNA(INDEX($D$2:$D$4001,_xlfn.XMATCH(M$1&amp;"-"&amp;$F1777,YEAR($B$2:$B$4001)&amp;"-"&amp;$A$2:$A$4001,0,-1)),L1777))</f>
        <v>8</v>
      </c>
      <c r="N1777" s="1">
        <f t="shared" si="27"/>
        <v>36424</v>
      </c>
    </row>
    <row r="1778" spans="1:14" x14ac:dyDescent="0.35">
      <c r="A1778">
        <v>839</v>
      </c>
      <c r="B1778" s="2">
        <v>37041</v>
      </c>
      <c r="C1778">
        <v>3</v>
      </c>
      <c r="D1778">
        <v>3</v>
      </c>
      <c r="F1778">
        <v>1777</v>
      </c>
      <c r="G1778" cm="1">
        <f t="array" ref="G1778">_xlfn.IFNA(INDEX($D$2:$D$4001,_xlfn.XMATCH(G$1&amp;"-"&amp;$F1778,YEAR($B$2:$B$4001)&amp;"-"&amp;$A$2:$A$4001,0,-1)),9)</f>
        <v>9</v>
      </c>
      <c r="H1778" cm="1">
        <f t="array" ref="H1778">IF(OR(AND(G1778=9,H$1&gt;YEAR($N1778))),9,_xlfn.IFNA(INDEX($D$2:$D$4001,_xlfn.XMATCH(H$1&amp;"-"&amp;$F1778,YEAR($B$2:$B$4001)&amp;"-"&amp;$A$2:$A$4001,0,-1)),G1778))</f>
        <v>9</v>
      </c>
      <c r="I1778" cm="1">
        <f t="array" ref="I1778">IF(OR(AND(H1778=9,I$1&gt;YEAR($N1778))),9,_xlfn.IFNA(INDEX($D$2:$D$4001,_xlfn.XMATCH(I$1&amp;"-"&amp;$F1778,YEAR($B$2:$B$4001)&amp;"-"&amp;$A$2:$A$4001,0,-1)),H1778))</f>
        <v>9</v>
      </c>
      <c r="J1778" cm="1">
        <f t="array" ref="J1778">IF(OR(AND(I1778=9,J$1&gt;YEAR($N1778))),9,_xlfn.IFNA(INDEX($D$2:$D$4001,_xlfn.XMATCH(J$1&amp;"-"&amp;$F1778,YEAR($B$2:$B$4001)&amp;"-"&amp;$A$2:$A$4001,0,-1)),I1778))</f>
        <v>9</v>
      </c>
      <c r="K1778" cm="1">
        <f t="array" ref="K1778">IF(OR(AND(J1778=9,K$1&gt;YEAR($N1778))),9,_xlfn.IFNA(INDEX($D$2:$D$4001,_xlfn.XMATCH(K$1&amp;"-"&amp;$F1778,YEAR($B$2:$B$4001)&amp;"-"&amp;$A$2:$A$4001,0,-1)),J1778))</f>
        <v>0</v>
      </c>
      <c r="L1778" cm="1">
        <f t="array" ref="L1778">IF(OR(AND(K1778=9,L$1&gt;YEAR($N1778))),9,_xlfn.IFNA(INDEX($D$2:$D$4001,_xlfn.XMATCH(L$1&amp;"-"&amp;$F1778,YEAR($B$2:$B$4001)&amp;"-"&amp;$A$2:$A$4001,0,-1)),K1778))</f>
        <v>0</v>
      </c>
      <c r="M1778" cm="1">
        <f t="array" ref="M1778">IF(OR(AND(L1778=9,M$1&gt;YEAR($N1778))),9,_xlfn.IFNA(INDEX($D$2:$D$4001,_xlfn.XMATCH(M$1&amp;"-"&amp;$F1778,YEAR($B$2:$B$4001)&amp;"-"&amp;$A$2:$A$4001,0,-1)),L1778))</f>
        <v>0</v>
      </c>
      <c r="N1778" s="1">
        <f t="shared" si="27"/>
        <v>37824</v>
      </c>
    </row>
    <row r="1779" spans="1:14" x14ac:dyDescent="0.35">
      <c r="A1779">
        <v>839</v>
      </c>
      <c r="B1779" s="2">
        <v>37397</v>
      </c>
      <c r="C1779">
        <v>4</v>
      </c>
      <c r="D1779">
        <v>4</v>
      </c>
      <c r="F1779">
        <v>1778</v>
      </c>
      <c r="G1779" cm="1">
        <f t="array" ref="G1779">_xlfn.IFNA(INDEX($D$2:$D$4001,_xlfn.XMATCH(G$1&amp;"-"&amp;$F1779,YEAR($B$2:$B$4001)&amp;"-"&amp;$A$2:$A$4001,0,-1)),9)</f>
        <v>3</v>
      </c>
      <c r="H1779" cm="1">
        <f t="array" ref="H1779">IF(OR(AND(G1779=9,H$1&gt;YEAR($N1779))),9,_xlfn.IFNA(INDEX($D$2:$D$4001,_xlfn.XMATCH(H$1&amp;"-"&amp;$F1779,YEAR($B$2:$B$4001)&amp;"-"&amp;$A$2:$A$4001,0,-1)),G1779))</f>
        <v>0</v>
      </c>
      <c r="I1779" cm="1">
        <f t="array" ref="I1779">IF(OR(AND(H1779=9,I$1&gt;YEAR($N1779))),9,_xlfn.IFNA(INDEX($D$2:$D$4001,_xlfn.XMATCH(I$1&amp;"-"&amp;$F1779,YEAR($B$2:$B$4001)&amp;"-"&amp;$A$2:$A$4001,0,-1)),H1779))</f>
        <v>0</v>
      </c>
      <c r="J1779" cm="1">
        <f t="array" ref="J1779">IF(OR(AND(I1779=9,J$1&gt;YEAR($N1779))),9,_xlfn.IFNA(INDEX($D$2:$D$4001,_xlfn.XMATCH(J$1&amp;"-"&amp;$F1779,YEAR($B$2:$B$4001)&amp;"-"&amp;$A$2:$A$4001,0,-1)),I1779))</f>
        <v>0</v>
      </c>
      <c r="K1779" cm="1">
        <f t="array" ref="K1779">IF(OR(AND(J1779=9,K$1&gt;YEAR($N1779))),9,_xlfn.IFNA(INDEX($D$2:$D$4001,_xlfn.XMATCH(K$1&amp;"-"&amp;$F1779,YEAR($B$2:$B$4001)&amp;"-"&amp;$A$2:$A$4001,0,-1)),J1779))</f>
        <v>0</v>
      </c>
      <c r="L1779" cm="1">
        <f t="array" ref="L1779">IF(OR(AND(K1779=9,L$1&gt;YEAR($N1779))),9,_xlfn.IFNA(INDEX($D$2:$D$4001,_xlfn.XMATCH(L$1&amp;"-"&amp;$F1779,YEAR($B$2:$B$4001)&amp;"-"&amp;$A$2:$A$4001,0,-1)),K1779))</f>
        <v>0</v>
      </c>
      <c r="M1779" cm="1">
        <f t="array" ref="M1779">IF(OR(AND(L1779=9,M$1&gt;YEAR($N1779))),9,_xlfn.IFNA(INDEX($D$2:$D$4001,_xlfn.XMATCH(M$1&amp;"-"&amp;$F1779,YEAR($B$2:$B$4001)&amp;"-"&amp;$A$2:$A$4001,0,-1)),L1779))</f>
        <v>0</v>
      </c>
      <c r="N1779" s="1">
        <f t="shared" si="27"/>
        <v>36310</v>
      </c>
    </row>
    <row r="1780" spans="1:14" x14ac:dyDescent="0.35">
      <c r="A1780">
        <v>839</v>
      </c>
      <c r="B1780" s="2">
        <v>37985</v>
      </c>
      <c r="C1780">
        <v>4</v>
      </c>
      <c r="D1780">
        <v>4</v>
      </c>
      <c r="F1780">
        <v>1779</v>
      </c>
      <c r="G1780" cm="1">
        <f t="array" ref="G1780">_xlfn.IFNA(INDEX($D$2:$D$4001,_xlfn.XMATCH(G$1&amp;"-"&amp;$F1780,YEAR($B$2:$B$4001)&amp;"-"&amp;$A$2:$A$4001,0,-1)),9)</f>
        <v>9</v>
      </c>
      <c r="H1780" cm="1">
        <f t="array" ref="H1780">IF(OR(AND(G1780=9,H$1&gt;YEAR($N1780))),9,_xlfn.IFNA(INDEX($D$2:$D$4001,_xlfn.XMATCH(H$1&amp;"-"&amp;$F1780,YEAR($B$2:$B$4001)&amp;"-"&amp;$A$2:$A$4001,0,-1)),G1780))</f>
        <v>5</v>
      </c>
      <c r="I1780" cm="1">
        <f t="array" ref="I1780">IF(OR(AND(H1780=9,I$1&gt;YEAR($N1780))),9,_xlfn.IFNA(INDEX($D$2:$D$4001,_xlfn.XMATCH(I$1&amp;"-"&amp;$F1780,YEAR($B$2:$B$4001)&amp;"-"&amp;$A$2:$A$4001,0,-1)),H1780))</f>
        <v>4</v>
      </c>
      <c r="J1780" cm="1">
        <f t="array" ref="J1780">IF(OR(AND(I1780=9,J$1&gt;YEAR($N1780))),9,_xlfn.IFNA(INDEX($D$2:$D$4001,_xlfn.XMATCH(J$1&amp;"-"&amp;$F1780,YEAR($B$2:$B$4001)&amp;"-"&amp;$A$2:$A$4001,0,-1)),I1780))</f>
        <v>4</v>
      </c>
      <c r="K1780" cm="1">
        <f t="array" ref="K1780">IF(OR(AND(J1780=9,K$1&gt;YEAR($N1780))),9,_xlfn.IFNA(INDEX($D$2:$D$4001,_xlfn.XMATCH(K$1&amp;"-"&amp;$F1780,YEAR($B$2:$B$4001)&amp;"-"&amp;$A$2:$A$4001,0,-1)),J1780))</f>
        <v>4</v>
      </c>
      <c r="L1780" cm="1">
        <f t="array" ref="L1780">IF(OR(AND(K1780=9,L$1&gt;YEAR($N1780))),9,_xlfn.IFNA(INDEX($D$2:$D$4001,_xlfn.XMATCH(L$1&amp;"-"&amp;$F1780,YEAR($B$2:$B$4001)&amp;"-"&amp;$A$2:$A$4001,0,-1)),K1780))</f>
        <v>4</v>
      </c>
      <c r="M1780" cm="1">
        <f t="array" ref="M1780">IF(OR(AND(L1780=9,M$1&gt;YEAR($N1780))),9,_xlfn.IFNA(INDEX($D$2:$D$4001,_xlfn.XMATCH(M$1&amp;"-"&amp;$F1780,YEAR($B$2:$B$4001)&amp;"-"&amp;$A$2:$A$4001,0,-1)),L1780))</f>
        <v>4</v>
      </c>
      <c r="N1780" s="1">
        <f t="shared" si="27"/>
        <v>36890</v>
      </c>
    </row>
    <row r="1781" spans="1:14" x14ac:dyDescent="0.35">
      <c r="A1781">
        <v>839</v>
      </c>
      <c r="B1781" s="2">
        <v>38159</v>
      </c>
      <c r="C1781">
        <v>0</v>
      </c>
      <c r="D1781">
        <v>0</v>
      </c>
      <c r="F1781">
        <v>1780</v>
      </c>
      <c r="G1781" cm="1">
        <f t="array" ref="G1781">_xlfn.IFNA(INDEX($D$2:$D$4001,_xlfn.XMATCH(G$1&amp;"-"&amp;$F1781,YEAR($B$2:$B$4001)&amp;"-"&amp;$A$2:$A$4001,0,-1)),9)</f>
        <v>4</v>
      </c>
      <c r="H1781" cm="1">
        <f t="array" ref="H1781">IF(OR(AND(G1781=9,H$1&gt;YEAR($N1781))),9,_xlfn.IFNA(INDEX($D$2:$D$4001,_xlfn.XMATCH(H$1&amp;"-"&amp;$F1781,YEAR($B$2:$B$4001)&amp;"-"&amp;$A$2:$A$4001,0,-1)),G1781))</f>
        <v>4</v>
      </c>
      <c r="I1781" cm="1">
        <f t="array" ref="I1781">IF(OR(AND(H1781=9,I$1&gt;YEAR($N1781))),9,_xlfn.IFNA(INDEX($D$2:$D$4001,_xlfn.XMATCH(I$1&amp;"-"&amp;$F1781,YEAR($B$2:$B$4001)&amp;"-"&amp;$A$2:$A$4001,0,-1)),H1781))</f>
        <v>4</v>
      </c>
      <c r="J1781" cm="1">
        <f t="array" ref="J1781">IF(OR(AND(I1781=9,J$1&gt;YEAR($N1781))),9,_xlfn.IFNA(INDEX($D$2:$D$4001,_xlfn.XMATCH(J$1&amp;"-"&amp;$F1781,YEAR($B$2:$B$4001)&amp;"-"&amp;$A$2:$A$4001,0,-1)),I1781))</f>
        <v>4</v>
      </c>
      <c r="K1781" cm="1">
        <f t="array" ref="K1781">IF(OR(AND(J1781=9,K$1&gt;YEAR($N1781))),9,_xlfn.IFNA(INDEX($D$2:$D$4001,_xlfn.XMATCH(K$1&amp;"-"&amp;$F1781,YEAR($B$2:$B$4001)&amp;"-"&amp;$A$2:$A$4001,0,-1)),J1781))</f>
        <v>4</v>
      </c>
      <c r="L1781" cm="1">
        <f t="array" ref="L1781">IF(OR(AND(K1781=9,L$1&gt;YEAR($N1781))),9,_xlfn.IFNA(INDEX($D$2:$D$4001,_xlfn.XMATCH(L$1&amp;"-"&amp;$F1781,YEAR($B$2:$B$4001)&amp;"-"&amp;$A$2:$A$4001,0,-1)),K1781))</f>
        <v>4</v>
      </c>
      <c r="M1781" cm="1">
        <f t="array" ref="M1781">IF(OR(AND(L1781=9,M$1&gt;YEAR($N1781))),9,_xlfn.IFNA(INDEX($D$2:$D$4001,_xlfn.XMATCH(M$1&amp;"-"&amp;$F1781,YEAR($B$2:$B$4001)&amp;"-"&amp;$A$2:$A$4001,0,-1)),L1781))</f>
        <v>0</v>
      </c>
      <c r="N1781" s="1">
        <f t="shared" si="27"/>
        <v>36524</v>
      </c>
    </row>
    <row r="1782" spans="1:14" x14ac:dyDescent="0.35">
      <c r="A1782">
        <v>840</v>
      </c>
      <c r="B1782" s="2">
        <v>36310</v>
      </c>
      <c r="C1782">
        <v>4</v>
      </c>
      <c r="D1782">
        <v>4</v>
      </c>
      <c r="F1782">
        <v>1781</v>
      </c>
      <c r="G1782" cm="1">
        <f t="array" ref="G1782">_xlfn.IFNA(INDEX($D$2:$D$4001,_xlfn.XMATCH(G$1&amp;"-"&amp;$F1782,YEAR($B$2:$B$4001)&amp;"-"&amp;$A$2:$A$4001,0,-1)),9)</f>
        <v>9</v>
      </c>
      <c r="H1782" cm="1">
        <f t="array" ref="H1782">IF(OR(AND(G1782=9,H$1&gt;YEAR($N1782))),9,_xlfn.IFNA(INDEX($D$2:$D$4001,_xlfn.XMATCH(H$1&amp;"-"&amp;$F1782,YEAR($B$2:$B$4001)&amp;"-"&amp;$A$2:$A$4001,0,-1)),G1782))</f>
        <v>6</v>
      </c>
      <c r="I1782" cm="1">
        <f t="array" ref="I1782">IF(OR(AND(H1782=9,I$1&gt;YEAR($N1782))),9,_xlfn.IFNA(INDEX($D$2:$D$4001,_xlfn.XMATCH(I$1&amp;"-"&amp;$F1782,YEAR($B$2:$B$4001)&amp;"-"&amp;$A$2:$A$4001,0,-1)),H1782))</f>
        <v>6</v>
      </c>
      <c r="J1782" cm="1">
        <f t="array" ref="J1782">IF(OR(AND(I1782=9,J$1&gt;YEAR($N1782))),9,_xlfn.IFNA(INDEX($D$2:$D$4001,_xlfn.XMATCH(J$1&amp;"-"&amp;$F1782,YEAR($B$2:$B$4001)&amp;"-"&amp;$A$2:$A$4001,0,-1)),I1782))</f>
        <v>6</v>
      </c>
      <c r="K1782" cm="1">
        <f t="array" ref="K1782">IF(OR(AND(J1782=9,K$1&gt;YEAR($N1782))),9,_xlfn.IFNA(INDEX($D$2:$D$4001,_xlfn.XMATCH(K$1&amp;"-"&amp;$F1782,YEAR($B$2:$B$4001)&amp;"-"&amp;$A$2:$A$4001,0,-1)),J1782))</f>
        <v>6</v>
      </c>
      <c r="L1782" cm="1">
        <f t="array" ref="L1782">IF(OR(AND(K1782=9,L$1&gt;YEAR($N1782))),9,_xlfn.IFNA(INDEX($D$2:$D$4001,_xlfn.XMATCH(L$1&amp;"-"&amp;$F1782,YEAR($B$2:$B$4001)&amp;"-"&amp;$A$2:$A$4001,0,-1)),K1782))</f>
        <v>6</v>
      </c>
      <c r="M1782" cm="1">
        <f t="array" ref="M1782">IF(OR(AND(L1782=9,M$1&gt;YEAR($N1782))),9,_xlfn.IFNA(INDEX($D$2:$D$4001,_xlfn.XMATCH(M$1&amp;"-"&amp;$F1782,YEAR($B$2:$B$4001)&amp;"-"&amp;$A$2:$A$4001,0,-1)),L1782))</f>
        <v>6</v>
      </c>
      <c r="N1782" s="1">
        <f t="shared" si="27"/>
        <v>36698</v>
      </c>
    </row>
    <row r="1783" spans="1:14" x14ac:dyDescent="0.35">
      <c r="A1783">
        <v>840</v>
      </c>
      <c r="B1783" s="2">
        <v>36829</v>
      </c>
      <c r="C1783">
        <v>5</v>
      </c>
      <c r="D1783">
        <v>5</v>
      </c>
      <c r="F1783">
        <v>1782</v>
      </c>
      <c r="G1783" cm="1">
        <f t="array" ref="G1783">_xlfn.IFNA(INDEX($D$2:$D$4001,_xlfn.XMATCH(G$1&amp;"-"&amp;$F1783,YEAR($B$2:$B$4001)&amp;"-"&amp;$A$2:$A$4001,0,-1)),9)</f>
        <v>9</v>
      </c>
      <c r="H1783" cm="1">
        <f t="array" ref="H1783">IF(OR(AND(G1783=9,H$1&gt;YEAR($N1783))),9,_xlfn.IFNA(INDEX($D$2:$D$4001,_xlfn.XMATCH(H$1&amp;"-"&amp;$F1783,YEAR($B$2:$B$4001)&amp;"-"&amp;$A$2:$A$4001,0,-1)),G1783))</f>
        <v>9</v>
      </c>
      <c r="I1783" cm="1">
        <f t="array" ref="I1783">IF(OR(AND(H1783=9,I$1&gt;YEAR($N1783))),9,_xlfn.IFNA(INDEX($D$2:$D$4001,_xlfn.XMATCH(I$1&amp;"-"&amp;$F1783,YEAR($B$2:$B$4001)&amp;"-"&amp;$A$2:$A$4001,0,-1)),H1783))</f>
        <v>9</v>
      </c>
      <c r="J1783" cm="1">
        <f t="array" ref="J1783">IF(OR(AND(I1783=9,J$1&gt;YEAR($N1783))),9,_xlfn.IFNA(INDEX($D$2:$D$4001,_xlfn.XMATCH(J$1&amp;"-"&amp;$F1783,YEAR($B$2:$B$4001)&amp;"-"&amp;$A$2:$A$4001,0,-1)),I1783))</f>
        <v>9</v>
      </c>
      <c r="K1783" cm="1">
        <f t="array" ref="K1783">IF(OR(AND(J1783=9,K$1&gt;YEAR($N1783))),9,_xlfn.IFNA(INDEX($D$2:$D$4001,_xlfn.XMATCH(K$1&amp;"-"&amp;$F1783,YEAR($B$2:$B$4001)&amp;"-"&amp;$A$2:$A$4001,0,-1)),J1783))</f>
        <v>9</v>
      </c>
      <c r="L1783" cm="1">
        <f t="array" ref="L1783">IF(OR(AND(K1783=9,L$1&gt;YEAR($N1783))),9,_xlfn.IFNA(INDEX($D$2:$D$4001,_xlfn.XMATCH(L$1&amp;"-"&amp;$F1783,YEAR($B$2:$B$4001)&amp;"-"&amp;$A$2:$A$4001,0,-1)),K1783))</f>
        <v>3</v>
      </c>
      <c r="M1783" cm="1">
        <f t="array" ref="M1783">IF(OR(AND(L1783=9,M$1&gt;YEAR($N1783))),9,_xlfn.IFNA(INDEX($D$2:$D$4001,_xlfn.XMATCH(M$1&amp;"-"&amp;$F1783,YEAR($B$2:$B$4001)&amp;"-"&amp;$A$2:$A$4001,0,-1)),L1783))</f>
        <v>3</v>
      </c>
      <c r="N1783" s="1">
        <f t="shared" si="27"/>
        <v>38342</v>
      </c>
    </row>
    <row r="1784" spans="1:14" x14ac:dyDescent="0.35">
      <c r="A1784">
        <v>840</v>
      </c>
      <c r="B1784" s="2">
        <v>36886</v>
      </c>
      <c r="C1784">
        <v>6</v>
      </c>
      <c r="D1784">
        <v>6</v>
      </c>
      <c r="F1784">
        <v>1783</v>
      </c>
      <c r="G1784" cm="1">
        <f t="array" ref="G1784">_xlfn.IFNA(INDEX($D$2:$D$4001,_xlfn.XMATCH(G$1&amp;"-"&amp;$F1784,YEAR($B$2:$B$4001)&amp;"-"&amp;$A$2:$A$4001,0,-1)),9)</f>
        <v>9</v>
      </c>
      <c r="H1784" cm="1">
        <f t="array" ref="H1784">IF(OR(AND(G1784=9,H$1&gt;YEAR($N1784))),9,_xlfn.IFNA(INDEX($D$2:$D$4001,_xlfn.XMATCH(H$1&amp;"-"&amp;$F1784,YEAR($B$2:$B$4001)&amp;"-"&amp;$A$2:$A$4001,0,-1)),G1784))</f>
        <v>9</v>
      </c>
      <c r="I1784" cm="1">
        <f t="array" ref="I1784">IF(OR(AND(H1784=9,I$1&gt;YEAR($N1784))),9,_xlfn.IFNA(INDEX($D$2:$D$4001,_xlfn.XMATCH(I$1&amp;"-"&amp;$F1784,YEAR($B$2:$B$4001)&amp;"-"&amp;$A$2:$A$4001,0,-1)),H1784))</f>
        <v>9</v>
      </c>
      <c r="J1784" cm="1">
        <f t="array" ref="J1784">IF(OR(AND(I1784=9,J$1&gt;YEAR($N1784))),9,_xlfn.IFNA(INDEX($D$2:$D$4001,_xlfn.XMATCH(J$1&amp;"-"&amp;$F1784,YEAR($B$2:$B$4001)&amp;"-"&amp;$A$2:$A$4001,0,-1)),I1784))</f>
        <v>3</v>
      </c>
      <c r="K1784" cm="1">
        <f t="array" ref="K1784">IF(OR(AND(J1784=9,K$1&gt;YEAR($N1784))),9,_xlfn.IFNA(INDEX($D$2:$D$4001,_xlfn.XMATCH(K$1&amp;"-"&amp;$F1784,YEAR($B$2:$B$4001)&amp;"-"&amp;$A$2:$A$4001,0,-1)),J1784))</f>
        <v>3</v>
      </c>
      <c r="L1784" cm="1">
        <f t="array" ref="L1784">IF(OR(AND(K1784=9,L$1&gt;YEAR($N1784))),9,_xlfn.IFNA(INDEX($D$2:$D$4001,_xlfn.XMATCH(L$1&amp;"-"&amp;$F1784,YEAR($B$2:$B$4001)&amp;"-"&amp;$A$2:$A$4001,0,-1)),K1784))</f>
        <v>3</v>
      </c>
      <c r="M1784" cm="1">
        <f t="array" ref="M1784">IF(OR(AND(L1784=9,M$1&gt;YEAR($N1784))),9,_xlfn.IFNA(INDEX($D$2:$D$4001,_xlfn.XMATCH(M$1&amp;"-"&amp;$F1784,YEAR($B$2:$B$4001)&amp;"-"&amp;$A$2:$A$4001,0,-1)),L1784))</f>
        <v>3</v>
      </c>
      <c r="N1784" s="1">
        <f t="shared" si="27"/>
        <v>37397</v>
      </c>
    </row>
    <row r="1785" spans="1:14" x14ac:dyDescent="0.35">
      <c r="A1785">
        <v>840</v>
      </c>
      <c r="B1785" s="2">
        <v>36890</v>
      </c>
      <c r="C1785">
        <v>5</v>
      </c>
      <c r="D1785">
        <v>5</v>
      </c>
      <c r="F1785">
        <v>1784</v>
      </c>
      <c r="G1785" cm="1">
        <f t="array" ref="G1785">_xlfn.IFNA(INDEX($D$2:$D$4001,_xlfn.XMATCH(G$1&amp;"-"&amp;$F1785,YEAR($B$2:$B$4001)&amp;"-"&amp;$A$2:$A$4001,0,-1)),9)</f>
        <v>9</v>
      </c>
      <c r="H1785" cm="1">
        <f t="array" ref="H1785">IF(OR(AND(G1785=9,H$1&gt;YEAR($N1785))),9,_xlfn.IFNA(INDEX($D$2:$D$4001,_xlfn.XMATCH(H$1&amp;"-"&amp;$F1785,YEAR($B$2:$B$4001)&amp;"-"&amp;$A$2:$A$4001,0,-1)),G1785))</f>
        <v>9</v>
      </c>
      <c r="I1785" cm="1">
        <f t="array" ref="I1785">IF(OR(AND(H1785=9,I$1&gt;YEAR($N1785))),9,_xlfn.IFNA(INDEX($D$2:$D$4001,_xlfn.XMATCH(I$1&amp;"-"&amp;$F1785,YEAR($B$2:$B$4001)&amp;"-"&amp;$A$2:$A$4001,0,-1)),H1785))</f>
        <v>9</v>
      </c>
      <c r="J1785" cm="1">
        <f t="array" ref="J1785">IF(OR(AND(I1785=9,J$1&gt;YEAR($N1785))),9,_xlfn.IFNA(INDEX($D$2:$D$4001,_xlfn.XMATCH(J$1&amp;"-"&amp;$F1785,YEAR($B$2:$B$4001)&amp;"-"&amp;$A$2:$A$4001,0,-1)),I1785))</f>
        <v>9</v>
      </c>
      <c r="K1785" cm="1">
        <f t="array" ref="K1785">IF(OR(AND(J1785=9,K$1&gt;YEAR($N1785))),9,_xlfn.IFNA(INDEX($D$2:$D$4001,_xlfn.XMATCH(K$1&amp;"-"&amp;$F1785,YEAR($B$2:$B$4001)&amp;"-"&amp;$A$2:$A$4001,0,-1)),J1785))</f>
        <v>0</v>
      </c>
      <c r="L1785" cm="1">
        <f t="array" ref="L1785">IF(OR(AND(K1785=9,L$1&gt;YEAR($N1785))),9,_xlfn.IFNA(INDEX($D$2:$D$4001,_xlfn.XMATCH(L$1&amp;"-"&amp;$F1785,YEAR($B$2:$B$4001)&amp;"-"&amp;$A$2:$A$4001,0,-1)),K1785))</f>
        <v>0</v>
      </c>
      <c r="M1785" cm="1">
        <f t="array" ref="M1785">IF(OR(AND(L1785=9,M$1&gt;YEAR($N1785))),9,_xlfn.IFNA(INDEX($D$2:$D$4001,_xlfn.XMATCH(M$1&amp;"-"&amp;$F1785,YEAR($B$2:$B$4001)&amp;"-"&amp;$A$2:$A$4001,0,-1)),L1785))</f>
        <v>0</v>
      </c>
      <c r="N1785" s="1">
        <f t="shared" si="27"/>
        <v>37823</v>
      </c>
    </row>
    <row r="1786" spans="1:14" x14ac:dyDescent="0.35">
      <c r="A1786">
        <v>840</v>
      </c>
      <c r="B1786" s="2">
        <v>37620</v>
      </c>
      <c r="C1786">
        <v>7</v>
      </c>
      <c r="D1786">
        <v>7</v>
      </c>
      <c r="F1786">
        <v>1785</v>
      </c>
      <c r="G1786" cm="1">
        <f t="array" ref="G1786">_xlfn.IFNA(INDEX($D$2:$D$4001,_xlfn.XMATCH(G$1&amp;"-"&amp;$F1786,YEAR($B$2:$B$4001)&amp;"-"&amp;$A$2:$A$4001,0,-1)),9)</f>
        <v>9</v>
      </c>
      <c r="H1786" cm="1">
        <f t="array" ref="H1786">IF(OR(AND(G1786=9,H$1&gt;YEAR($N1786))),9,_xlfn.IFNA(INDEX($D$2:$D$4001,_xlfn.XMATCH(H$1&amp;"-"&amp;$F1786,YEAR($B$2:$B$4001)&amp;"-"&amp;$A$2:$A$4001,0,-1)),G1786))</f>
        <v>9</v>
      </c>
      <c r="I1786" cm="1">
        <f t="array" ref="I1786">IF(OR(AND(H1786=9,I$1&gt;YEAR($N1786))),9,_xlfn.IFNA(INDEX($D$2:$D$4001,_xlfn.XMATCH(I$1&amp;"-"&amp;$F1786,YEAR($B$2:$B$4001)&amp;"-"&amp;$A$2:$A$4001,0,-1)),H1786))</f>
        <v>4</v>
      </c>
      <c r="J1786" cm="1">
        <f t="array" ref="J1786">IF(OR(AND(I1786=9,J$1&gt;YEAR($N1786))),9,_xlfn.IFNA(INDEX($D$2:$D$4001,_xlfn.XMATCH(J$1&amp;"-"&amp;$F1786,YEAR($B$2:$B$4001)&amp;"-"&amp;$A$2:$A$4001,0,-1)),I1786))</f>
        <v>4</v>
      </c>
      <c r="K1786" cm="1">
        <f t="array" ref="K1786">IF(OR(AND(J1786=9,K$1&gt;YEAR($N1786))),9,_xlfn.IFNA(INDEX($D$2:$D$4001,_xlfn.XMATCH(K$1&amp;"-"&amp;$F1786,YEAR($B$2:$B$4001)&amp;"-"&amp;$A$2:$A$4001,0,-1)),J1786))</f>
        <v>4</v>
      </c>
      <c r="L1786" cm="1">
        <f t="array" ref="L1786">IF(OR(AND(K1786=9,L$1&gt;YEAR($N1786))),9,_xlfn.IFNA(INDEX($D$2:$D$4001,_xlfn.XMATCH(L$1&amp;"-"&amp;$F1786,YEAR($B$2:$B$4001)&amp;"-"&amp;$A$2:$A$4001,0,-1)),K1786))</f>
        <v>4</v>
      </c>
      <c r="M1786" cm="1">
        <f t="array" ref="M1786">IF(OR(AND(L1786=9,M$1&gt;YEAR($N1786))),9,_xlfn.IFNA(INDEX($D$2:$D$4001,_xlfn.XMATCH(M$1&amp;"-"&amp;$F1786,YEAR($B$2:$B$4001)&amp;"-"&amp;$A$2:$A$4001,0,-1)),L1786))</f>
        <v>4</v>
      </c>
      <c r="N1786" s="1">
        <f t="shared" si="27"/>
        <v>37255</v>
      </c>
    </row>
    <row r="1787" spans="1:14" x14ac:dyDescent="0.35">
      <c r="A1787">
        <v>841</v>
      </c>
      <c r="B1787" s="2">
        <v>37072</v>
      </c>
      <c r="C1787">
        <v>5</v>
      </c>
      <c r="D1787">
        <v>5</v>
      </c>
      <c r="F1787">
        <v>1786</v>
      </c>
      <c r="G1787" cm="1">
        <f t="array" ref="G1787">_xlfn.IFNA(INDEX($D$2:$D$4001,_xlfn.XMATCH(G$1&amp;"-"&amp;$F1787,YEAR($B$2:$B$4001)&amp;"-"&amp;$A$2:$A$4001,0,-1)),9)</f>
        <v>9</v>
      </c>
      <c r="H1787" cm="1">
        <f t="array" ref="H1787">IF(OR(AND(G1787=9,H$1&gt;YEAR($N1787))),9,_xlfn.IFNA(INDEX($D$2:$D$4001,_xlfn.XMATCH(H$1&amp;"-"&amp;$F1787,YEAR($B$2:$B$4001)&amp;"-"&amp;$A$2:$A$4001,0,-1)),G1787))</f>
        <v>9</v>
      </c>
      <c r="I1787" cm="1">
        <f t="array" ref="I1787">IF(OR(AND(H1787=9,I$1&gt;YEAR($N1787))),9,_xlfn.IFNA(INDEX($D$2:$D$4001,_xlfn.XMATCH(I$1&amp;"-"&amp;$F1787,YEAR($B$2:$B$4001)&amp;"-"&amp;$A$2:$A$4001,0,-1)),H1787))</f>
        <v>9</v>
      </c>
      <c r="J1787" cm="1">
        <f t="array" ref="J1787">IF(OR(AND(I1787=9,J$1&gt;YEAR($N1787))),9,_xlfn.IFNA(INDEX($D$2:$D$4001,_xlfn.XMATCH(J$1&amp;"-"&amp;$F1787,YEAR($B$2:$B$4001)&amp;"-"&amp;$A$2:$A$4001,0,-1)),I1787))</f>
        <v>6</v>
      </c>
      <c r="K1787" cm="1">
        <f t="array" ref="K1787">IF(OR(AND(J1787=9,K$1&gt;YEAR($N1787))),9,_xlfn.IFNA(INDEX($D$2:$D$4001,_xlfn.XMATCH(K$1&amp;"-"&amp;$F1787,YEAR($B$2:$B$4001)&amp;"-"&amp;$A$2:$A$4001,0,-1)),J1787))</f>
        <v>6</v>
      </c>
      <c r="L1787" cm="1">
        <f t="array" ref="L1787">IF(OR(AND(K1787=9,L$1&gt;YEAR($N1787))),9,_xlfn.IFNA(INDEX($D$2:$D$4001,_xlfn.XMATCH(L$1&amp;"-"&amp;$F1787,YEAR($B$2:$B$4001)&amp;"-"&amp;$A$2:$A$4001,0,-1)),K1787))</f>
        <v>4</v>
      </c>
      <c r="M1787" cm="1">
        <f t="array" ref="M1787">IF(OR(AND(L1787=9,M$1&gt;YEAR($N1787))),9,_xlfn.IFNA(INDEX($D$2:$D$4001,_xlfn.XMATCH(M$1&amp;"-"&amp;$F1787,YEAR($B$2:$B$4001)&amp;"-"&amp;$A$2:$A$4001,0,-1)),L1787))</f>
        <v>4</v>
      </c>
      <c r="N1787" s="1">
        <f t="shared" si="27"/>
        <v>37406</v>
      </c>
    </row>
    <row r="1788" spans="1:14" x14ac:dyDescent="0.35">
      <c r="A1788">
        <v>841</v>
      </c>
      <c r="B1788" s="2">
        <v>37255</v>
      </c>
      <c r="C1788">
        <v>5</v>
      </c>
      <c r="D1788">
        <v>5</v>
      </c>
      <c r="F1788">
        <v>1787</v>
      </c>
      <c r="G1788" cm="1">
        <f t="array" ref="G1788">_xlfn.IFNA(INDEX($D$2:$D$4001,_xlfn.XMATCH(G$1&amp;"-"&amp;$F1788,YEAR($B$2:$B$4001)&amp;"-"&amp;$A$2:$A$4001,0,-1)),9)</f>
        <v>3</v>
      </c>
      <c r="H1788" cm="1">
        <f t="array" ref="H1788">IF(OR(AND(G1788=9,H$1&gt;YEAR($N1788))),9,_xlfn.IFNA(INDEX($D$2:$D$4001,_xlfn.XMATCH(H$1&amp;"-"&amp;$F1788,YEAR($B$2:$B$4001)&amp;"-"&amp;$A$2:$A$4001,0,-1)),G1788))</f>
        <v>3</v>
      </c>
      <c r="I1788" cm="1">
        <f t="array" ref="I1788">IF(OR(AND(H1788=9,I$1&gt;YEAR($N1788))),9,_xlfn.IFNA(INDEX($D$2:$D$4001,_xlfn.XMATCH(I$1&amp;"-"&amp;$F1788,YEAR($B$2:$B$4001)&amp;"-"&amp;$A$2:$A$4001,0,-1)),H1788))</f>
        <v>3</v>
      </c>
      <c r="J1788" cm="1">
        <f t="array" ref="J1788">IF(OR(AND(I1788=9,J$1&gt;YEAR($N1788))),9,_xlfn.IFNA(INDEX($D$2:$D$4001,_xlfn.XMATCH(J$1&amp;"-"&amp;$F1788,YEAR($B$2:$B$4001)&amp;"-"&amp;$A$2:$A$4001,0,-1)),I1788))</f>
        <v>4</v>
      </c>
      <c r="K1788" cm="1">
        <f t="array" ref="K1788">IF(OR(AND(J1788=9,K$1&gt;YEAR($N1788))),9,_xlfn.IFNA(INDEX($D$2:$D$4001,_xlfn.XMATCH(K$1&amp;"-"&amp;$F1788,YEAR($B$2:$B$4001)&amp;"-"&amp;$A$2:$A$4001,0,-1)),J1788))</f>
        <v>4</v>
      </c>
      <c r="L1788" cm="1">
        <f t="array" ref="L1788">IF(OR(AND(K1788=9,L$1&gt;YEAR($N1788))),9,_xlfn.IFNA(INDEX($D$2:$D$4001,_xlfn.XMATCH(L$1&amp;"-"&amp;$F1788,YEAR($B$2:$B$4001)&amp;"-"&amp;$A$2:$A$4001,0,-1)),K1788))</f>
        <v>4</v>
      </c>
      <c r="M1788" cm="1">
        <f t="array" ref="M1788">IF(OR(AND(L1788=9,M$1&gt;YEAR($N1788))),9,_xlfn.IFNA(INDEX($D$2:$D$4001,_xlfn.XMATCH(M$1&amp;"-"&amp;$F1788,YEAR($B$2:$B$4001)&amp;"-"&amp;$A$2:$A$4001,0,-1)),L1788))</f>
        <v>4</v>
      </c>
      <c r="N1788" s="1">
        <f t="shared" si="27"/>
        <v>36524</v>
      </c>
    </row>
    <row r="1789" spans="1:14" x14ac:dyDescent="0.35">
      <c r="A1789">
        <v>841</v>
      </c>
      <c r="B1789" s="2">
        <v>37520</v>
      </c>
      <c r="C1789">
        <v>6</v>
      </c>
      <c r="D1789">
        <v>6</v>
      </c>
      <c r="F1789">
        <v>1788</v>
      </c>
      <c r="G1789" cm="1">
        <f t="array" ref="G1789">_xlfn.IFNA(INDEX($D$2:$D$4001,_xlfn.XMATCH(G$1&amp;"-"&amp;$F1789,YEAR($B$2:$B$4001)&amp;"-"&amp;$A$2:$A$4001,0,-1)),9)</f>
        <v>9</v>
      </c>
      <c r="H1789" cm="1">
        <f t="array" ref="H1789">IF(OR(AND(G1789=9,H$1&gt;YEAR($N1789))),9,_xlfn.IFNA(INDEX($D$2:$D$4001,_xlfn.XMATCH(H$1&amp;"-"&amp;$F1789,YEAR($B$2:$B$4001)&amp;"-"&amp;$A$2:$A$4001,0,-1)),G1789))</f>
        <v>9</v>
      </c>
      <c r="I1789" cm="1">
        <f t="array" ref="I1789">IF(OR(AND(H1789=9,I$1&gt;YEAR($N1789))),9,_xlfn.IFNA(INDEX($D$2:$D$4001,_xlfn.XMATCH(I$1&amp;"-"&amp;$F1789,YEAR($B$2:$B$4001)&amp;"-"&amp;$A$2:$A$4001,0,-1)),H1789))</f>
        <v>3</v>
      </c>
      <c r="J1789" cm="1">
        <f t="array" ref="J1789">IF(OR(AND(I1789=9,J$1&gt;YEAR($N1789))),9,_xlfn.IFNA(INDEX($D$2:$D$4001,_xlfn.XMATCH(J$1&amp;"-"&amp;$F1789,YEAR($B$2:$B$4001)&amp;"-"&amp;$A$2:$A$4001,0,-1)),I1789))</f>
        <v>3</v>
      </c>
      <c r="K1789" cm="1">
        <f t="array" ref="K1789">IF(OR(AND(J1789=9,K$1&gt;YEAR($N1789))),9,_xlfn.IFNA(INDEX($D$2:$D$4001,_xlfn.XMATCH(K$1&amp;"-"&amp;$F1789,YEAR($B$2:$B$4001)&amp;"-"&amp;$A$2:$A$4001,0,-1)),J1789))</f>
        <v>3</v>
      </c>
      <c r="L1789" cm="1">
        <f t="array" ref="L1789">IF(OR(AND(K1789=9,L$1&gt;YEAR($N1789))),9,_xlfn.IFNA(INDEX($D$2:$D$4001,_xlfn.XMATCH(L$1&amp;"-"&amp;$F1789,YEAR($B$2:$B$4001)&amp;"-"&amp;$A$2:$A$4001,0,-1)),K1789))</f>
        <v>3</v>
      </c>
      <c r="M1789" cm="1">
        <f t="array" ref="M1789">IF(OR(AND(L1789=9,M$1&gt;YEAR($N1789))),9,_xlfn.IFNA(INDEX($D$2:$D$4001,_xlfn.XMATCH(M$1&amp;"-"&amp;$F1789,YEAR($B$2:$B$4001)&amp;"-"&amp;$A$2:$A$4001,0,-1)),L1789))</f>
        <v>3</v>
      </c>
      <c r="N1789" s="1">
        <f t="shared" si="27"/>
        <v>37133</v>
      </c>
    </row>
    <row r="1790" spans="1:14" x14ac:dyDescent="0.35">
      <c r="A1790">
        <v>841</v>
      </c>
      <c r="B1790" s="2">
        <v>38493</v>
      </c>
      <c r="C1790">
        <v>5</v>
      </c>
      <c r="D1790">
        <v>5</v>
      </c>
      <c r="F1790">
        <v>1789</v>
      </c>
      <c r="G1790" cm="1">
        <f t="array" ref="G1790">_xlfn.IFNA(INDEX($D$2:$D$4001,_xlfn.XMATCH(G$1&amp;"-"&amp;$F1790,YEAR($B$2:$B$4001)&amp;"-"&amp;$A$2:$A$4001,0,-1)),9)</f>
        <v>9</v>
      </c>
      <c r="H1790" cm="1">
        <f t="array" ref="H1790">IF(OR(AND(G1790=9,H$1&gt;YEAR($N1790))),9,_xlfn.IFNA(INDEX($D$2:$D$4001,_xlfn.XMATCH(H$1&amp;"-"&amp;$F1790,YEAR($B$2:$B$4001)&amp;"-"&amp;$A$2:$A$4001,0,-1)),G1790))</f>
        <v>9</v>
      </c>
      <c r="I1790" cm="1">
        <f t="array" ref="I1790">IF(OR(AND(H1790=9,I$1&gt;YEAR($N1790))),9,_xlfn.IFNA(INDEX($D$2:$D$4001,_xlfn.XMATCH(I$1&amp;"-"&amp;$F1790,YEAR($B$2:$B$4001)&amp;"-"&amp;$A$2:$A$4001,0,-1)),H1790))</f>
        <v>4</v>
      </c>
      <c r="J1790" cm="1">
        <f t="array" ref="J1790">IF(OR(AND(I1790=9,J$1&gt;YEAR($N1790))),9,_xlfn.IFNA(INDEX($D$2:$D$4001,_xlfn.XMATCH(J$1&amp;"-"&amp;$F1790,YEAR($B$2:$B$4001)&amp;"-"&amp;$A$2:$A$4001,0,-1)),I1790))</f>
        <v>4</v>
      </c>
      <c r="K1790" cm="1">
        <f t="array" ref="K1790">IF(OR(AND(J1790=9,K$1&gt;YEAR($N1790))),9,_xlfn.IFNA(INDEX($D$2:$D$4001,_xlfn.XMATCH(K$1&amp;"-"&amp;$F1790,YEAR($B$2:$B$4001)&amp;"-"&amp;$A$2:$A$4001,0,-1)),J1790))</f>
        <v>4</v>
      </c>
      <c r="L1790" cm="1">
        <f t="array" ref="L1790">IF(OR(AND(K1790=9,L$1&gt;YEAR($N1790))),9,_xlfn.IFNA(INDEX($D$2:$D$4001,_xlfn.XMATCH(L$1&amp;"-"&amp;$F1790,YEAR($B$2:$B$4001)&amp;"-"&amp;$A$2:$A$4001,0,-1)),K1790))</f>
        <v>3</v>
      </c>
      <c r="M1790" cm="1">
        <f t="array" ref="M1790">IF(OR(AND(L1790=9,M$1&gt;YEAR($N1790))),9,_xlfn.IFNA(INDEX($D$2:$D$4001,_xlfn.XMATCH(M$1&amp;"-"&amp;$F1790,YEAR($B$2:$B$4001)&amp;"-"&amp;$A$2:$A$4001,0,-1)),L1790))</f>
        <v>3</v>
      </c>
      <c r="N1790" s="1">
        <f t="shared" si="27"/>
        <v>37041</v>
      </c>
    </row>
    <row r="1791" spans="1:14" x14ac:dyDescent="0.35">
      <c r="A1791">
        <v>842</v>
      </c>
      <c r="B1791" s="2">
        <v>38281</v>
      </c>
      <c r="C1791">
        <v>3</v>
      </c>
      <c r="D1791">
        <v>3</v>
      </c>
      <c r="F1791">
        <v>1790</v>
      </c>
      <c r="G1791" cm="1">
        <f t="array" ref="G1791">_xlfn.IFNA(INDEX($D$2:$D$4001,_xlfn.XMATCH(G$1&amp;"-"&amp;$F1791,YEAR($B$2:$B$4001)&amp;"-"&amp;$A$2:$A$4001,0,-1)),9)</f>
        <v>3</v>
      </c>
      <c r="H1791" cm="1">
        <f t="array" ref="H1791">IF(OR(AND(G1791=9,H$1&gt;YEAR($N1791))),9,_xlfn.IFNA(INDEX($D$2:$D$4001,_xlfn.XMATCH(H$1&amp;"-"&amp;$F1791,YEAR($B$2:$B$4001)&amp;"-"&amp;$A$2:$A$4001,0,-1)),G1791))</f>
        <v>3</v>
      </c>
      <c r="I1791" cm="1">
        <f t="array" ref="I1791">IF(OR(AND(H1791=9,I$1&gt;YEAR($N1791))),9,_xlfn.IFNA(INDEX($D$2:$D$4001,_xlfn.XMATCH(I$1&amp;"-"&amp;$F1791,YEAR($B$2:$B$4001)&amp;"-"&amp;$A$2:$A$4001,0,-1)),H1791))</f>
        <v>3</v>
      </c>
      <c r="J1791" cm="1">
        <f t="array" ref="J1791">IF(OR(AND(I1791=9,J$1&gt;YEAR($N1791))),9,_xlfn.IFNA(INDEX($D$2:$D$4001,_xlfn.XMATCH(J$1&amp;"-"&amp;$F1791,YEAR($B$2:$B$4001)&amp;"-"&amp;$A$2:$A$4001,0,-1)),I1791))</f>
        <v>3</v>
      </c>
      <c r="K1791" cm="1">
        <f t="array" ref="K1791">IF(OR(AND(J1791=9,K$1&gt;YEAR($N1791))),9,_xlfn.IFNA(INDEX($D$2:$D$4001,_xlfn.XMATCH(K$1&amp;"-"&amp;$F1791,YEAR($B$2:$B$4001)&amp;"-"&amp;$A$2:$A$4001,0,-1)),J1791))</f>
        <v>3</v>
      </c>
      <c r="L1791" cm="1">
        <f t="array" ref="L1791">IF(OR(AND(K1791=9,L$1&gt;YEAR($N1791))),9,_xlfn.IFNA(INDEX($D$2:$D$4001,_xlfn.XMATCH(L$1&amp;"-"&amp;$F1791,YEAR($B$2:$B$4001)&amp;"-"&amp;$A$2:$A$4001,0,-1)),K1791))</f>
        <v>3</v>
      </c>
      <c r="M1791" cm="1">
        <f t="array" ref="M1791">IF(OR(AND(L1791=9,M$1&gt;YEAR($N1791))),9,_xlfn.IFNA(INDEX($D$2:$D$4001,_xlfn.XMATCH(M$1&amp;"-"&amp;$F1791,YEAR($B$2:$B$4001)&amp;"-"&amp;$A$2:$A$4001,0,-1)),L1791))</f>
        <v>3</v>
      </c>
      <c r="N1791" s="1">
        <f t="shared" si="27"/>
        <v>36301</v>
      </c>
    </row>
    <row r="1792" spans="1:14" x14ac:dyDescent="0.35">
      <c r="A1792">
        <v>843</v>
      </c>
      <c r="B1792" s="2">
        <v>37620</v>
      </c>
      <c r="C1792">
        <v>3</v>
      </c>
      <c r="D1792">
        <v>3</v>
      </c>
      <c r="F1792">
        <v>1791</v>
      </c>
      <c r="G1792" cm="1">
        <f t="array" ref="G1792">_xlfn.IFNA(INDEX($D$2:$D$4001,_xlfn.XMATCH(G$1&amp;"-"&amp;$F1792,YEAR($B$2:$B$4001)&amp;"-"&amp;$A$2:$A$4001,0,-1)),9)</f>
        <v>7</v>
      </c>
      <c r="H1792" cm="1">
        <f t="array" ref="H1792">IF(OR(AND(G1792=9,H$1&gt;YEAR($N1792))),9,_xlfn.IFNA(INDEX($D$2:$D$4001,_xlfn.XMATCH(H$1&amp;"-"&amp;$F1792,YEAR($B$2:$B$4001)&amp;"-"&amp;$A$2:$A$4001,0,-1)),G1792))</f>
        <v>7</v>
      </c>
      <c r="I1792" cm="1">
        <f t="array" ref="I1792">IF(OR(AND(H1792=9,I$1&gt;YEAR($N1792))),9,_xlfn.IFNA(INDEX($D$2:$D$4001,_xlfn.XMATCH(I$1&amp;"-"&amp;$F1792,YEAR($B$2:$B$4001)&amp;"-"&amp;$A$2:$A$4001,0,-1)),H1792))</f>
        <v>0</v>
      </c>
      <c r="J1792" cm="1">
        <f t="array" ref="J1792">IF(OR(AND(I1792=9,J$1&gt;YEAR($N1792))),9,_xlfn.IFNA(INDEX($D$2:$D$4001,_xlfn.XMATCH(J$1&amp;"-"&amp;$F1792,YEAR($B$2:$B$4001)&amp;"-"&amp;$A$2:$A$4001,0,-1)),I1792))</f>
        <v>0</v>
      </c>
      <c r="K1792" cm="1">
        <f t="array" ref="K1792">IF(OR(AND(J1792=9,K$1&gt;YEAR($N1792))),9,_xlfn.IFNA(INDEX($D$2:$D$4001,_xlfn.XMATCH(K$1&amp;"-"&amp;$F1792,YEAR($B$2:$B$4001)&amp;"-"&amp;$A$2:$A$4001,0,-1)),J1792))</f>
        <v>0</v>
      </c>
      <c r="L1792" cm="1">
        <f t="array" ref="L1792">IF(OR(AND(K1792=9,L$1&gt;YEAR($N1792))),9,_xlfn.IFNA(INDEX($D$2:$D$4001,_xlfn.XMATCH(L$1&amp;"-"&amp;$F1792,YEAR($B$2:$B$4001)&amp;"-"&amp;$A$2:$A$4001,0,-1)),K1792))</f>
        <v>0</v>
      </c>
      <c r="M1792" cm="1">
        <f t="array" ref="M1792">IF(OR(AND(L1792=9,M$1&gt;YEAR($N1792))),9,_xlfn.IFNA(INDEX($D$2:$D$4001,_xlfn.XMATCH(M$1&amp;"-"&amp;$F1792,YEAR($B$2:$B$4001)&amp;"-"&amp;$A$2:$A$4001,0,-1)),L1792))</f>
        <v>0</v>
      </c>
      <c r="N1792" s="1">
        <f t="shared" si="27"/>
        <v>36301</v>
      </c>
    </row>
    <row r="1793" spans="1:14" x14ac:dyDescent="0.35">
      <c r="A1793">
        <v>843</v>
      </c>
      <c r="B1793" s="2">
        <v>38351</v>
      </c>
      <c r="C1793">
        <v>2</v>
      </c>
      <c r="D1793">
        <v>2</v>
      </c>
      <c r="F1793">
        <v>1792</v>
      </c>
      <c r="G1793" cm="1">
        <f t="array" ref="G1793">_xlfn.IFNA(INDEX($D$2:$D$4001,_xlfn.XMATCH(G$1&amp;"-"&amp;$F1793,YEAR($B$2:$B$4001)&amp;"-"&amp;$A$2:$A$4001,0,-1)),9)</f>
        <v>9</v>
      </c>
      <c r="H1793" cm="1">
        <f t="array" ref="H1793">IF(OR(AND(G1793=9,H$1&gt;YEAR($N1793))),9,_xlfn.IFNA(INDEX($D$2:$D$4001,_xlfn.XMATCH(H$1&amp;"-"&amp;$F1793,YEAR($B$2:$B$4001)&amp;"-"&amp;$A$2:$A$4001,0,-1)),G1793))</f>
        <v>3</v>
      </c>
      <c r="I1793" cm="1">
        <f t="array" ref="I1793">IF(OR(AND(H1793=9,I$1&gt;YEAR($N1793))),9,_xlfn.IFNA(INDEX($D$2:$D$4001,_xlfn.XMATCH(I$1&amp;"-"&amp;$F1793,YEAR($B$2:$B$4001)&amp;"-"&amp;$A$2:$A$4001,0,-1)),H1793))</f>
        <v>4</v>
      </c>
      <c r="J1793" cm="1">
        <f t="array" ref="J1793">IF(OR(AND(I1793=9,J$1&gt;YEAR($N1793))),9,_xlfn.IFNA(INDEX($D$2:$D$4001,_xlfn.XMATCH(J$1&amp;"-"&amp;$F1793,YEAR($B$2:$B$4001)&amp;"-"&amp;$A$2:$A$4001,0,-1)),I1793))</f>
        <v>4</v>
      </c>
      <c r="K1793" cm="1">
        <f t="array" ref="K1793">IF(OR(AND(J1793=9,K$1&gt;YEAR($N1793))),9,_xlfn.IFNA(INDEX($D$2:$D$4001,_xlfn.XMATCH(K$1&amp;"-"&amp;$F1793,YEAR($B$2:$B$4001)&amp;"-"&amp;$A$2:$A$4001,0,-1)),J1793))</f>
        <v>4</v>
      </c>
      <c r="L1793" cm="1">
        <f t="array" ref="L1793">IF(OR(AND(K1793=9,L$1&gt;YEAR($N1793))),9,_xlfn.IFNA(INDEX($D$2:$D$4001,_xlfn.XMATCH(L$1&amp;"-"&amp;$F1793,YEAR($B$2:$B$4001)&amp;"-"&amp;$A$2:$A$4001,0,-1)),K1793))</f>
        <v>5</v>
      </c>
      <c r="M1793" cm="1">
        <f t="array" ref="M1793">IF(OR(AND(L1793=9,M$1&gt;YEAR($N1793))),9,_xlfn.IFNA(INDEX($D$2:$D$4001,_xlfn.XMATCH(M$1&amp;"-"&amp;$F1793,YEAR($B$2:$B$4001)&amp;"-"&amp;$A$2:$A$4001,0,-1)),L1793))</f>
        <v>5</v>
      </c>
      <c r="N1793" s="1">
        <f t="shared" si="27"/>
        <v>36768</v>
      </c>
    </row>
    <row r="1794" spans="1:14" x14ac:dyDescent="0.35">
      <c r="A1794">
        <v>844</v>
      </c>
      <c r="B1794" s="2">
        <v>37072</v>
      </c>
      <c r="C1794">
        <v>3</v>
      </c>
      <c r="D1794">
        <v>3</v>
      </c>
      <c r="F1794">
        <v>1793</v>
      </c>
      <c r="G1794" cm="1">
        <f t="array" ref="G1794">_xlfn.IFNA(INDEX($D$2:$D$4001,_xlfn.XMATCH(G$1&amp;"-"&amp;$F1794,YEAR($B$2:$B$4001)&amp;"-"&amp;$A$2:$A$4001,0,-1)),9)</f>
        <v>9</v>
      </c>
      <c r="H1794" cm="1">
        <f t="array" ref="H1794">IF(OR(AND(G1794=9,H$1&gt;YEAR($N1794))),9,_xlfn.IFNA(INDEX($D$2:$D$4001,_xlfn.XMATCH(H$1&amp;"-"&amp;$F1794,YEAR($B$2:$B$4001)&amp;"-"&amp;$A$2:$A$4001,0,-1)),G1794))</f>
        <v>9</v>
      </c>
      <c r="I1794" cm="1">
        <f t="array" ref="I1794">IF(OR(AND(H1794=9,I$1&gt;YEAR($N1794))),9,_xlfn.IFNA(INDEX($D$2:$D$4001,_xlfn.XMATCH(I$1&amp;"-"&amp;$F1794,YEAR($B$2:$B$4001)&amp;"-"&amp;$A$2:$A$4001,0,-1)),H1794))</f>
        <v>9</v>
      </c>
      <c r="J1794" cm="1">
        <f t="array" ref="J1794">IF(OR(AND(I1794=9,J$1&gt;YEAR($N1794))),9,_xlfn.IFNA(INDEX($D$2:$D$4001,_xlfn.XMATCH(J$1&amp;"-"&amp;$F1794,YEAR($B$2:$B$4001)&amp;"-"&amp;$A$2:$A$4001,0,-1)),I1794))</f>
        <v>9</v>
      </c>
      <c r="K1794" cm="1">
        <f t="array" ref="K1794">IF(OR(AND(J1794=9,K$1&gt;YEAR($N1794))),9,_xlfn.IFNA(INDEX($D$2:$D$4001,_xlfn.XMATCH(K$1&amp;"-"&amp;$F1794,YEAR($B$2:$B$4001)&amp;"-"&amp;$A$2:$A$4001,0,-1)),J1794))</f>
        <v>1</v>
      </c>
      <c r="L1794" cm="1">
        <f t="array" ref="L1794">IF(OR(AND(K1794=9,L$1&gt;YEAR($N1794))),9,_xlfn.IFNA(INDEX($D$2:$D$4001,_xlfn.XMATCH(L$1&amp;"-"&amp;$F1794,YEAR($B$2:$B$4001)&amp;"-"&amp;$A$2:$A$4001,0,-1)),K1794))</f>
        <v>1</v>
      </c>
      <c r="M1794" cm="1">
        <f t="array" ref="M1794">IF(OR(AND(L1794=9,M$1&gt;YEAR($N1794))),9,_xlfn.IFNA(INDEX($D$2:$D$4001,_xlfn.XMATCH(M$1&amp;"-"&amp;$F1794,YEAR($B$2:$B$4001)&amp;"-"&amp;$A$2:$A$4001,0,-1)),L1794))</f>
        <v>1</v>
      </c>
      <c r="N1794" s="1">
        <f t="shared" si="27"/>
        <v>37771</v>
      </c>
    </row>
    <row r="1795" spans="1:14" x14ac:dyDescent="0.35">
      <c r="A1795">
        <v>844</v>
      </c>
      <c r="B1795" s="2">
        <v>37771</v>
      </c>
      <c r="C1795">
        <v>4</v>
      </c>
      <c r="D1795">
        <v>4</v>
      </c>
      <c r="F1795">
        <v>1794</v>
      </c>
      <c r="G1795" cm="1">
        <f t="array" ref="G1795">_xlfn.IFNA(INDEX($D$2:$D$4001,_xlfn.XMATCH(G$1&amp;"-"&amp;$F1795,YEAR($B$2:$B$4001)&amp;"-"&amp;$A$2:$A$4001,0,-1)),9)</f>
        <v>9</v>
      </c>
      <c r="H1795" cm="1">
        <f t="array" ref="H1795">IF(OR(AND(G1795=9,H$1&gt;YEAR($N1795))),9,_xlfn.IFNA(INDEX($D$2:$D$4001,_xlfn.XMATCH(H$1&amp;"-"&amp;$F1795,YEAR($B$2:$B$4001)&amp;"-"&amp;$A$2:$A$4001,0,-1)),G1795))</f>
        <v>9</v>
      </c>
      <c r="I1795" cm="1">
        <f t="array" ref="I1795">IF(OR(AND(H1795=9,I$1&gt;YEAR($N1795))),9,_xlfn.IFNA(INDEX($D$2:$D$4001,_xlfn.XMATCH(I$1&amp;"-"&amp;$F1795,YEAR($B$2:$B$4001)&amp;"-"&amp;$A$2:$A$4001,0,-1)),H1795))</f>
        <v>9</v>
      </c>
      <c r="J1795" cm="1">
        <f t="array" ref="J1795">IF(OR(AND(I1795=9,J$1&gt;YEAR($N1795))),9,_xlfn.IFNA(INDEX($D$2:$D$4001,_xlfn.XMATCH(J$1&amp;"-"&amp;$F1795,YEAR($B$2:$B$4001)&amp;"-"&amp;$A$2:$A$4001,0,-1)),I1795))</f>
        <v>9</v>
      </c>
      <c r="K1795" cm="1">
        <f t="array" ref="K1795">IF(OR(AND(J1795=9,K$1&gt;YEAR($N1795))),9,_xlfn.IFNA(INDEX($D$2:$D$4001,_xlfn.XMATCH(K$1&amp;"-"&amp;$F1795,YEAR($B$2:$B$4001)&amp;"-"&amp;$A$2:$A$4001,0,-1)),J1795))</f>
        <v>1</v>
      </c>
      <c r="L1795" cm="1">
        <f t="array" ref="L1795">IF(OR(AND(K1795=9,L$1&gt;YEAR($N1795))),9,_xlfn.IFNA(INDEX($D$2:$D$4001,_xlfn.XMATCH(L$1&amp;"-"&amp;$F1795,YEAR($B$2:$B$4001)&amp;"-"&amp;$A$2:$A$4001,0,-1)),K1795))</f>
        <v>1</v>
      </c>
      <c r="M1795" cm="1">
        <f t="array" ref="M1795">IF(OR(AND(L1795=9,M$1&gt;YEAR($N1795))),9,_xlfn.IFNA(INDEX($D$2:$D$4001,_xlfn.XMATCH(M$1&amp;"-"&amp;$F1795,YEAR($B$2:$B$4001)&amp;"-"&amp;$A$2:$A$4001,0,-1)),L1795))</f>
        <v>1</v>
      </c>
      <c r="N1795" s="1">
        <f t="shared" ref="N1795:N1830" si="28">_xlfn.MINIFS($B$2:$B$4001,$A$2:$A$4001,F1795)</f>
        <v>37766</v>
      </c>
    </row>
    <row r="1796" spans="1:14" x14ac:dyDescent="0.35">
      <c r="A1796">
        <v>844</v>
      </c>
      <c r="B1796" s="2">
        <v>38351</v>
      </c>
      <c r="C1796">
        <v>4</v>
      </c>
      <c r="D1796">
        <v>4</v>
      </c>
      <c r="F1796">
        <v>1795</v>
      </c>
      <c r="G1796" cm="1">
        <f t="array" ref="G1796">_xlfn.IFNA(INDEX($D$2:$D$4001,_xlfn.XMATCH(G$1&amp;"-"&amp;$F1796,YEAR($B$2:$B$4001)&amp;"-"&amp;$A$2:$A$4001,0,-1)),9)</f>
        <v>9</v>
      </c>
      <c r="H1796" cm="1">
        <f t="array" ref="H1796">IF(OR(AND(G1796=9,H$1&gt;YEAR($N1796))),9,_xlfn.IFNA(INDEX($D$2:$D$4001,_xlfn.XMATCH(H$1&amp;"-"&amp;$F1796,YEAR($B$2:$B$4001)&amp;"-"&amp;$A$2:$A$4001,0,-1)),G1796))</f>
        <v>9</v>
      </c>
      <c r="I1796" cm="1">
        <f t="array" ref="I1796">IF(OR(AND(H1796=9,I$1&gt;YEAR($N1796))),9,_xlfn.IFNA(INDEX($D$2:$D$4001,_xlfn.XMATCH(I$1&amp;"-"&amp;$F1796,YEAR($B$2:$B$4001)&amp;"-"&amp;$A$2:$A$4001,0,-1)),H1796))</f>
        <v>9</v>
      </c>
      <c r="J1796" cm="1">
        <f t="array" ref="J1796">IF(OR(AND(I1796=9,J$1&gt;YEAR($N1796))),9,_xlfn.IFNA(INDEX($D$2:$D$4001,_xlfn.XMATCH(J$1&amp;"-"&amp;$F1796,YEAR($B$2:$B$4001)&amp;"-"&amp;$A$2:$A$4001,0,-1)),I1796))</f>
        <v>9</v>
      </c>
      <c r="K1796" cm="1">
        <f t="array" ref="K1796">IF(OR(AND(J1796=9,K$1&gt;YEAR($N1796))),9,_xlfn.IFNA(INDEX($D$2:$D$4001,_xlfn.XMATCH(K$1&amp;"-"&amp;$F1796,YEAR($B$2:$B$4001)&amp;"-"&amp;$A$2:$A$4001,0,-1)),J1796))</f>
        <v>1</v>
      </c>
      <c r="L1796" cm="1">
        <f t="array" ref="L1796">IF(OR(AND(K1796=9,L$1&gt;YEAR($N1796))),9,_xlfn.IFNA(INDEX($D$2:$D$4001,_xlfn.XMATCH(L$1&amp;"-"&amp;$F1796,YEAR($B$2:$B$4001)&amp;"-"&amp;$A$2:$A$4001,0,-1)),K1796))</f>
        <v>1</v>
      </c>
      <c r="M1796" cm="1">
        <f t="array" ref="M1796">IF(OR(AND(L1796=9,M$1&gt;YEAR($N1796))),9,_xlfn.IFNA(INDEX($D$2:$D$4001,_xlfn.XMATCH(M$1&amp;"-"&amp;$F1796,YEAR($B$2:$B$4001)&amp;"-"&amp;$A$2:$A$4001,0,-1)),L1796))</f>
        <v>1</v>
      </c>
      <c r="N1796" s="1">
        <f t="shared" si="28"/>
        <v>37771</v>
      </c>
    </row>
    <row r="1797" spans="1:14" x14ac:dyDescent="0.35">
      <c r="A1797">
        <v>845</v>
      </c>
      <c r="B1797" s="2">
        <v>37406</v>
      </c>
      <c r="C1797">
        <v>3</v>
      </c>
      <c r="D1797">
        <v>3</v>
      </c>
      <c r="F1797">
        <v>1796</v>
      </c>
      <c r="G1797" cm="1">
        <f t="array" ref="G1797">_xlfn.IFNA(INDEX($D$2:$D$4001,_xlfn.XMATCH(G$1&amp;"-"&amp;$F1797,YEAR($B$2:$B$4001)&amp;"-"&amp;$A$2:$A$4001,0,-1)),9)</f>
        <v>9</v>
      </c>
      <c r="H1797" cm="1">
        <f t="array" ref="H1797">IF(OR(AND(G1797=9,H$1&gt;YEAR($N1797))),9,_xlfn.IFNA(INDEX($D$2:$D$4001,_xlfn.XMATCH(H$1&amp;"-"&amp;$F1797,YEAR($B$2:$B$4001)&amp;"-"&amp;$A$2:$A$4001,0,-1)),G1797))</f>
        <v>9</v>
      </c>
      <c r="I1797" cm="1">
        <f t="array" ref="I1797">IF(OR(AND(H1797=9,I$1&gt;YEAR($N1797))),9,_xlfn.IFNA(INDEX($D$2:$D$4001,_xlfn.XMATCH(I$1&amp;"-"&amp;$F1797,YEAR($B$2:$B$4001)&amp;"-"&amp;$A$2:$A$4001,0,-1)),H1797))</f>
        <v>2</v>
      </c>
      <c r="J1797" cm="1">
        <f t="array" ref="J1797">IF(OR(AND(I1797=9,J$1&gt;YEAR($N1797))),9,_xlfn.IFNA(INDEX($D$2:$D$4001,_xlfn.XMATCH(J$1&amp;"-"&amp;$F1797,YEAR($B$2:$B$4001)&amp;"-"&amp;$A$2:$A$4001,0,-1)),I1797))</f>
        <v>2</v>
      </c>
      <c r="K1797" cm="1">
        <f t="array" ref="K1797">IF(OR(AND(J1797=9,K$1&gt;YEAR($N1797))),9,_xlfn.IFNA(INDEX($D$2:$D$4001,_xlfn.XMATCH(K$1&amp;"-"&amp;$F1797,YEAR($B$2:$B$4001)&amp;"-"&amp;$A$2:$A$4001,0,-1)),J1797))</f>
        <v>2</v>
      </c>
      <c r="L1797" cm="1">
        <f t="array" ref="L1797">IF(OR(AND(K1797=9,L$1&gt;YEAR($N1797))),9,_xlfn.IFNA(INDEX($D$2:$D$4001,_xlfn.XMATCH(L$1&amp;"-"&amp;$F1797,YEAR($B$2:$B$4001)&amp;"-"&amp;$A$2:$A$4001,0,-1)),K1797))</f>
        <v>0</v>
      </c>
      <c r="M1797" cm="1">
        <f t="array" ref="M1797">IF(OR(AND(L1797=9,M$1&gt;YEAR($N1797))),9,_xlfn.IFNA(INDEX($D$2:$D$4001,_xlfn.XMATCH(M$1&amp;"-"&amp;$F1797,YEAR($B$2:$B$4001)&amp;"-"&amp;$A$2:$A$4001,0,-1)),L1797))</f>
        <v>0</v>
      </c>
      <c r="N1797" s="1">
        <f t="shared" si="28"/>
        <v>37255</v>
      </c>
    </row>
    <row r="1798" spans="1:14" x14ac:dyDescent="0.35">
      <c r="A1798">
        <v>846</v>
      </c>
      <c r="B1798" s="2">
        <v>37406</v>
      </c>
      <c r="C1798">
        <v>4</v>
      </c>
      <c r="D1798">
        <v>4</v>
      </c>
      <c r="F1798">
        <v>1797</v>
      </c>
      <c r="G1798" cm="1">
        <f t="array" ref="G1798">_xlfn.IFNA(INDEX($D$2:$D$4001,_xlfn.XMATCH(G$1&amp;"-"&amp;$F1798,YEAR($B$2:$B$4001)&amp;"-"&amp;$A$2:$A$4001,0,-1)),9)</f>
        <v>3</v>
      </c>
      <c r="H1798" cm="1">
        <f t="array" ref="H1798">IF(OR(AND(G1798=9,H$1&gt;YEAR($N1798))),9,_xlfn.IFNA(INDEX($D$2:$D$4001,_xlfn.XMATCH(H$1&amp;"-"&amp;$F1798,YEAR($B$2:$B$4001)&amp;"-"&amp;$A$2:$A$4001,0,-1)),G1798))</f>
        <v>3</v>
      </c>
      <c r="I1798" cm="1">
        <f t="array" ref="I1798">IF(OR(AND(H1798=9,I$1&gt;YEAR($N1798))),9,_xlfn.IFNA(INDEX($D$2:$D$4001,_xlfn.XMATCH(I$1&amp;"-"&amp;$F1798,YEAR($B$2:$B$4001)&amp;"-"&amp;$A$2:$A$4001,0,-1)),H1798))</f>
        <v>3</v>
      </c>
      <c r="J1798" cm="1">
        <f t="array" ref="J1798">IF(OR(AND(I1798=9,J$1&gt;YEAR($N1798))),9,_xlfn.IFNA(INDEX($D$2:$D$4001,_xlfn.XMATCH(J$1&amp;"-"&amp;$F1798,YEAR($B$2:$B$4001)&amp;"-"&amp;$A$2:$A$4001,0,-1)),I1798))</f>
        <v>2</v>
      </c>
      <c r="K1798" cm="1">
        <f t="array" ref="K1798">IF(OR(AND(J1798=9,K$1&gt;YEAR($N1798))),9,_xlfn.IFNA(INDEX($D$2:$D$4001,_xlfn.XMATCH(K$1&amp;"-"&amp;$F1798,YEAR($B$2:$B$4001)&amp;"-"&amp;$A$2:$A$4001,0,-1)),J1798))</f>
        <v>0</v>
      </c>
      <c r="L1798" cm="1">
        <f t="array" ref="L1798">IF(OR(AND(K1798=9,L$1&gt;YEAR($N1798))),9,_xlfn.IFNA(INDEX($D$2:$D$4001,_xlfn.XMATCH(L$1&amp;"-"&amp;$F1798,YEAR($B$2:$B$4001)&amp;"-"&amp;$A$2:$A$4001,0,-1)),K1798))</f>
        <v>0</v>
      </c>
      <c r="M1798" cm="1">
        <f t="array" ref="M1798">IF(OR(AND(L1798=9,M$1&gt;YEAR($N1798))),9,_xlfn.IFNA(INDEX($D$2:$D$4001,_xlfn.XMATCH(M$1&amp;"-"&amp;$F1798,YEAR($B$2:$B$4001)&amp;"-"&amp;$A$2:$A$4001,0,-1)),L1798))</f>
        <v>0</v>
      </c>
      <c r="N1798" s="1">
        <f t="shared" si="28"/>
        <v>36524</v>
      </c>
    </row>
    <row r="1799" spans="1:14" x14ac:dyDescent="0.35">
      <c r="A1799">
        <v>847</v>
      </c>
      <c r="B1799" s="2">
        <v>36667</v>
      </c>
      <c r="C1799">
        <v>3</v>
      </c>
      <c r="D1799">
        <v>3</v>
      </c>
      <c r="F1799">
        <v>1798</v>
      </c>
      <c r="G1799" cm="1">
        <f t="array" ref="G1799">_xlfn.IFNA(INDEX($D$2:$D$4001,_xlfn.XMATCH(G$1&amp;"-"&amp;$F1799,YEAR($B$2:$B$4001)&amp;"-"&amp;$A$2:$A$4001,0,-1)),9)</f>
        <v>9</v>
      </c>
      <c r="H1799" cm="1">
        <f t="array" ref="H1799">IF(OR(AND(G1799=9,H$1&gt;YEAR($N1799))),9,_xlfn.IFNA(INDEX($D$2:$D$4001,_xlfn.XMATCH(H$1&amp;"-"&amp;$F1799,YEAR($B$2:$B$4001)&amp;"-"&amp;$A$2:$A$4001,0,-1)),G1799))</f>
        <v>9</v>
      </c>
      <c r="I1799" cm="1">
        <f t="array" ref="I1799">IF(OR(AND(H1799=9,I$1&gt;YEAR($N1799))),9,_xlfn.IFNA(INDEX($D$2:$D$4001,_xlfn.XMATCH(I$1&amp;"-"&amp;$F1799,YEAR($B$2:$B$4001)&amp;"-"&amp;$A$2:$A$4001,0,-1)),H1799))</f>
        <v>9</v>
      </c>
      <c r="J1799" cm="1">
        <f t="array" ref="J1799">IF(OR(AND(I1799=9,J$1&gt;YEAR($N1799))),9,_xlfn.IFNA(INDEX($D$2:$D$4001,_xlfn.XMATCH(J$1&amp;"-"&amp;$F1799,YEAR($B$2:$B$4001)&amp;"-"&amp;$A$2:$A$4001,0,-1)),I1799))</f>
        <v>9</v>
      </c>
      <c r="K1799" cm="1">
        <f t="array" ref="K1799">IF(OR(AND(J1799=9,K$1&gt;YEAR($N1799))),9,_xlfn.IFNA(INDEX($D$2:$D$4001,_xlfn.XMATCH(K$1&amp;"-"&amp;$F1799,YEAR($B$2:$B$4001)&amp;"-"&amp;$A$2:$A$4001,0,-1)),J1799))</f>
        <v>9</v>
      </c>
      <c r="L1799" cm="1">
        <f t="array" ref="L1799">IF(OR(AND(K1799=9,L$1&gt;YEAR($N1799))),9,_xlfn.IFNA(INDEX($D$2:$D$4001,_xlfn.XMATCH(L$1&amp;"-"&amp;$F1799,YEAR($B$2:$B$4001)&amp;"-"&amp;$A$2:$A$4001,0,-1)),K1799))</f>
        <v>9</v>
      </c>
      <c r="M1799" cm="1">
        <f t="array" ref="M1799">IF(OR(AND(L1799=9,M$1&gt;YEAR($N1799))),9,_xlfn.IFNA(INDEX($D$2:$D$4001,_xlfn.XMATCH(M$1&amp;"-"&amp;$F1799,YEAR($B$2:$B$4001)&amp;"-"&amp;$A$2:$A$4001,0,-1)),L1799))</f>
        <v>2</v>
      </c>
      <c r="N1799" s="1">
        <f t="shared" si="28"/>
        <v>38502</v>
      </c>
    </row>
    <row r="1800" spans="1:14" x14ac:dyDescent="0.35">
      <c r="A1800">
        <v>847</v>
      </c>
      <c r="B1800" s="2">
        <v>37620</v>
      </c>
      <c r="C1800">
        <v>4</v>
      </c>
      <c r="D1800">
        <v>4</v>
      </c>
      <c r="F1800">
        <v>1799</v>
      </c>
      <c r="G1800" cm="1">
        <f t="array" ref="G1800">_xlfn.IFNA(INDEX($D$2:$D$4001,_xlfn.XMATCH(G$1&amp;"-"&amp;$F1800,YEAR($B$2:$B$4001)&amp;"-"&amp;$A$2:$A$4001,0,-1)),9)</f>
        <v>9</v>
      </c>
      <c r="H1800" cm="1">
        <f t="array" ref="H1800">IF(OR(AND(G1800=9,H$1&gt;YEAR($N1800))),9,_xlfn.IFNA(INDEX($D$2:$D$4001,_xlfn.XMATCH(H$1&amp;"-"&amp;$F1800,YEAR($B$2:$B$4001)&amp;"-"&amp;$A$2:$A$4001,0,-1)),G1800))</f>
        <v>9</v>
      </c>
      <c r="I1800" cm="1">
        <f t="array" ref="I1800">IF(OR(AND(H1800=9,I$1&gt;YEAR($N1800))),9,_xlfn.IFNA(INDEX($D$2:$D$4001,_xlfn.XMATCH(I$1&amp;"-"&amp;$F1800,YEAR($B$2:$B$4001)&amp;"-"&amp;$A$2:$A$4001,0,-1)),H1800))</f>
        <v>7</v>
      </c>
      <c r="J1800" cm="1">
        <f t="array" ref="J1800">IF(OR(AND(I1800=9,J$1&gt;YEAR($N1800))),9,_xlfn.IFNA(INDEX($D$2:$D$4001,_xlfn.XMATCH(J$1&amp;"-"&amp;$F1800,YEAR($B$2:$B$4001)&amp;"-"&amp;$A$2:$A$4001,0,-1)),I1800))</f>
        <v>7</v>
      </c>
      <c r="K1800" cm="1">
        <f t="array" ref="K1800">IF(OR(AND(J1800=9,K$1&gt;YEAR($N1800))),9,_xlfn.IFNA(INDEX($D$2:$D$4001,_xlfn.XMATCH(K$1&amp;"-"&amp;$F1800,YEAR($B$2:$B$4001)&amp;"-"&amp;$A$2:$A$4001,0,-1)),J1800))</f>
        <v>0</v>
      </c>
      <c r="L1800" cm="1">
        <f t="array" ref="L1800">IF(OR(AND(K1800=9,L$1&gt;YEAR($N1800))),9,_xlfn.IFNA(INDEX($D$2:$D$4001,_xlfn.XMATCH(L$1&amp;"-"&amp;$F1800,YEAR($B$2:$B$4001)&amp;"-"&amp;$A$2:$A$4001,0,-1)),K1800))</f>
        <v>0</v>
      </c>
      <c r="M1800" cm="1">
        <f t="array" ref="M1800">IF(OR(AND(L1800=9,M$1&gt;YEAR($N1800))),9,_xlfn.IFNA(INDEX($D$2:$D$4001,_xlfn.XMATCH(M$1&amp;"-"&amp;$F1800,YEAR($B$2:$B$4001)&amp;"-"&amp;$A$2:$A$4001,0,-1)),L1800))</f>
        <v>0</v>
      </c>
      <c r="N1800" s="1">
        <f t="shared" si="28"/>
        <v>37039</v>
      </c>
    </row>
    <row r="1801" spans="1:14" x14ac:dyDescent="0.35">
      <c r="A1801">
        <v>847</v>
      </c>
      <c r="B1801" s="2">
        <v>38493</v>
      </c>
      <c r="C1801">
        <v>0</v>
      </c>
      <c r="D1801">
        <v>0</v>
      </c>
      <c r="F1801">
        <v>1800</v>
      </c>
      <c r="G1801" cm="1">
        <f t="array" ref="G1801">_xlfn.IFNA(INDEX($D$2:$D$4001,_xlfn.XMATCH(G$1&amp;"-"&amp;$F1801,YEAR($B$2:$B$4001)&amp;"-"&amp;$A$2:$A$4001,0,-1)),9)</f>
        <v>3</v>
      </c>
      <c r="H1801" cm="1">
        <f t="array" ref="H1801">IF(OR(AND(G1801=9,H$1&gt;YEAR($N1801))),9,_xlfn.IFNA(INDEX($D$2:$D$4001,_xlfn.XMATCH(H$1&amp;"-"&amp;$F1801,YEAR($B$2:$B$4001)&amp;"-"&amp;$A$2:$A$4001,0,-1)),G1801))</f>
        <v>3</v>
      </c>
      <c r="I1801" cm="1">
        <f t="array" ref="I1801">IF(OR(AND(H1801=9,I$1&gt;YEAR($N1801))),9,_xlfn.IFNA(INDEX($D$2:$D$4001,_xlfn.XMATCH(I$1&amp;"-"&amp;$F1801,YEAR($B$2:$B$4001)&amp;"-"&amp;$A$2:$A$4001,0,-1)),H1801))</f>
        <v>3</v>
      </c>
      <c r="J1801" cm="1">
        <f t="array" ref="J1801">IF(OR(AND(I1801=9,J$1&gt;YEAR($N1801))),9,_xlfn.IFNA(INDEX($D$2:$D$4001,_xlfn.XMATCH(J$1&amp;"-"&amp;$F1801,YEAR($B$2:$B$4001)&amp;"-"&amp;$A$2:$A$4001,0,-1)),I1801))</f>
        <v>3</v>
      </c>
      <c r="K1801" cm="1">
        <f t="array" ref="K1801">IF(OR(AND(J1801=9,K$1&gt;YEAR($N1801))),9,_xlfn.IFNA(INDEX($D$2:$D$4001,_xlfn.XMATCH(K$1&amp;"-"&amp;$F1801,YEAR($B$2:$B$4001)&amp;"-"&amp;$A$2:$A$4001,0,-1)),J1801))</f>
        <v>3</v>
      </c>
      <c r="L1801" cm="1">
        <f t="array" ref="L1801">IF(OR(AND(K1801=9,L$1&gt;YEAR($N1801))),9,_xlfn.IFNA(INDEX($D$2:$D$4001,_xlfn.XMATCH(L$1&amp;"-"&amp;$F1801,YEAR($B$2:$B$4001)&amp;"-"&amp;$A$2:$A$4001,0,-1)),K1801))</f>
        <v>3</v>
      </c>
      <c r="M1801" cm="1">
        <f t="array" ref="M1801">IF(OR(AND(L1801=9,M$1&gt;YEAR($N1801))),9,_xlfn.IFNA(INDEX($D$2:$D$4001,_xlfn.XMATCH(M$1&amp;"-"&amp;$F1801,YEAR($B$2:$B$4001)&amp;"-"&amp;$A$2:$A$4001,0,-1)),L1801))</f>
        <v>3</v>
      </c>
      <c r="N1801" s="1">
        <f t="shared" si="28"/>
        <v>36310</v>
      </c>
    </row>
    <row r="1802" spans="1:14" x14ac:dyDescent="0.35">
      <c r="A1802">
        <v>848</v>
      </c>
      <c r="B1802" s="2">
        <v>36890</v>
      </c>
      <c r="C1802">
        <v>3</v>
      </c>
      <c r="D1802">
        <v>3</v>
      </c>
      <c r="F1802">
        <v>1801</v>
      </c>
      <c r="G1802" cm="1">
        <f t="array" ref="G1802">_xlfn.IFNA(INDEX($D$2:$D$4001,_xlfn.XMATCH(G$1&amp;"-"&amp;$F1802,YEAR($B$2:$B$4001)&amp;"-"&amp;$A$2:$A$4001,0,-1)),9)</f>
        <v>9</v>
      </c>
      <c r="H1802" cm="1">
        <f t="array" ref="H1802">IF(OR(AND(G1802=9,H$1&gt;YEAR($N1802))),9,_xlfn.IFNA(INDEX($D$2:$D$4001,_xlfn.XMATCH(H$1&amp;"-"&amp;$F1802,YEAR($B$2:$B$4001)&amp;"-"&amp;$A$2:$A$4001,0,-1)),G1802))</f>
        <v>9</v>
      </c>
      <c r="I1802" cm="1">
        <f t="array" ref="I1802">IF(OR(AND(H1802=9,I$1&gt;YEAR($N1802))),9,_xlfn.IFNA(INDEX($D$2:$D$4001,_xlfn.XMATCH(I$1&amp;"-"&amp;$F1802,YEAR($B$2:$B$4001)&amp;"-"&amp;$A$2:$A$4001,0,-1)),H1802))</f>
        <v>9</v>
      </c>
      <c r="J1802" cm="1">
        <f t="array" ref="J1802">IF(OR(AND(I1802=9,J$1&gt;YEAR($N1802))),9,_xlfn.IFNA(INDEX($D$2:$D$4001,_xlfn.XMATCH(J$1&amp;"-"&amp;$F1802,YEAR($B$2:$B$4001)&amp;"-"&amp;$A$2:$A$4001,0,-1)),I1802))</f>
        <v>9</v>
      </c>
      <c r="K1802" cm="1">
        <f t="array" ref="K1802">IF(OR(AND(J1802=9,K$1&gt;YEAR($N1802))),9,_xlfn.IFNA(INDEX($D$2:$D$4001,_xlfn.XMATCH(K$1&amp;"-"&amp;$F1802,YEAR($B$2:$B$4001)&amp;"-"&amp;$A$2:$A$4001,0,-1)),J1802))</f>
        <v>9</v>
      </c>
      <c r="L1802" cm="1">
        <f t="array" ref="L1802">IF(OR(AND(K1802=9,L$1&gt;YEAR($N1802))),9,_xlfn.IFNA(INDEX($D$2:$D$4001,_xlfn.XMATCH(L$1&amp;"-"&amp;$F1802,YEAR($B$2:$B$4001)&amp;"-"&amp;$A$2:$A$4001,0,-1)),K1802))</f>
        <v>3</v>
      </c>
      <c r="M1802" cm="1">
        <f t="array" ref="M1802">IF(OR(AND(L1802=9,M$1&gt;YEAR($N1802))),9,_xlfn.IFNA(INDEX($D$2:$D$4001,_xlfn.XMATCH(M$1&amp;"-"&amp;$F1802,YEAR($B$2:$B$4001)&amp;"-"&amp;$A$2:$A$4001,0,-1)),L1802))</f>
        <v>3</v>
      </c>
      <c r="N1802" s="1">
        <f t="shared" si="28"/>
        <v>38128</v>
      </c>
    </row>
    <row r="1803" spans="1:14" x14ac:dyDescent="0.35">
      <c r="A1803">
        <v>848</v>
      </c>
      <c r="B1803" s="2">
        <v>37620</v>
      </c>
      <c r="C1803">
        <v>3</v>
      </c>
      <c r="D1803">
        <v>3</v>
      </c>
      <c r="F1803">
        <v>1802</v>
      </c>
      <c r="G1803" cm="1">
        <f t="array" ref="G1803">_xlfn.IFNA(INDEX($D$2:$D$4001,_xlfn.XMATCH(G$1&amp;"-"&amp;$F1803,YEAR($B$2:$B$4001)&amp;"-"&amp;$A$2:$A$4001,0,-1)),9)</f>
        <v>9</v>
      </c>
      <c r="H1803" cm="1">
        <f t="array" ref="H1803">IF(OR(AND(G1803=9,H$1&gt;YEAR($N1803))),9,_xlfn.IFNA(INDEX($D$2:$D$4001,_xlfn.XMATCH(H$1&amp;"-"&amp;$F1803,YEAR($B$2:$B$4001)&amp;"-"&amp;$A$2:$A$4001,0,-1)),G1803))</f>
        <v>9</v>
      </c>
      <c r="I1803" cm="1">
        <f t="array" ref="I1803">IF(OR(AND(H1803=9,I$1&gt;YEAR($N1803))),9,_xlfn.IFNA(INDEX($D$2:$D$4001,_xlfn.XMATCH(I$1&amp;"-"&amp;$F1803,YEAR($B$2:$B$4001)&amp;"-"&amp;$A$2:$A$4001,0,-1)),H1803))</f>
        <v>9</v>
      </c>
      <c r="J1803" cm="1">
        <f t="array" ref="J1803">IF(OR(AND(I1803=9,J$1&gt;YEAR($N1803))),9,_xlfn.IFNA(INDEX($D$2:$D$4001,_xlfn.XMATCH(J$1&amp;"-"&amp;$F1803,YEAR($B$2:$B$4001)&amp;"-"&amp;$A$2:$A$4001,0,-1)),I1803))</f>
        <v>6</v>
      </c>
      <c r="K1803" cm="1">
        <f t="array" ref="K1803">IF(OR(AND(J1803=9,K$1&gt;YEAR($N1803))),9,_xlfn.IFNA(INDEX($D$2:$D$4001,_xlfn.XMATCH(K$1&amp;"-"&amp;$F1803,YEAR($B$2:$B$4001)&amp;"-"&amp;$A$2:$A$4001,0,-1)),J1803))</f>
        <v>6</v>
      </c>
      <c r="L1803" cm="1">
        <f t="array" ref="L1803">IF(OR(AND(K1803=9,L$1&gt;YEAR($N1803))),9,_xlfn.IFNA(INDEX($D$2:$D$4001,_xlfn.XMATCH(L$1&amp;"-"&amp;$F1803,YEAR($B$2:$B$4001)&amp;"-"&amp;$A$2:$A$4001,0,-1)),K1803))</f>
        <v>6</v>
      </c>
      <c r="M1803" cm="1">
        <f t="array" ref="M1803">IF(OR(AND(L1803=9,M$1&gt;YEAR($N1803))),9,_xlfn.IFNA(INDEX($D$2:$D$4001,_xlfn.XMATCH(M$1&amp;"-"&amp;$F1803,YEAR($B$2:$B$4001)&amp;"-"&amp;$A$2:$A$4001,0,-1)),L1803))</f>
        <v>6</v>
      </c>
      <c r="N1803" s="1">
        <f t="shared" si="28"/>
        <v>37406</v>
      </c>
    </row>
    <row r="1804" spans="1:14" x14ac:dyDescent="0.35">
      <c r="A1804">
        <v>848</v>
      </c>
      <c r="B1804" s="2">
        <v>38502</v>
      </c>
      <c r="C1804">
        <v>0</v>
      </c>
      <c r="D1804">
        <v>0</v>
      </c>
      <c r="F1804">
        <v>1803</v>
      </c>
      <c r="G1804" cm="1">
        <f t="array" ref="G1804">_xlfn.IFNA(INDEX($D$2:$D$4001,_xlfn.XMATCH(G$1&amp;"-"&amp;$F1804,YEAR($B$2:$B$4001)&amp;"-"&amp;$A$2:$A$4001,0,-1)),9)</f>
        <v>6</v>
      </c>
      <c r="H1804" cm="1">
        <f t="array" ref="H1804">IF(OR(AND(G1804=9,H$1&gt;YEAR($N1804))),9,_xlfn.IFNA(INDEX($D$2:$D$4001,_xlfn.XMATCH(H$1&amp;"-"&amp;$F1804,YEAR($B$2:$B$4001)&amp;"-"&amp;$A$2:$A$4001,0,-1)),G1804))</f>
        <v>6</v>
      </c>
      <c r="I1804" cm="1">
        <f t="array" ref="I1804">IF(OR(AND(H1804=9,I$1&gt;YEAR($N1804))),9,_xlfn.IFNA(INDEX($D$2:$D$4001,_xlfn.XMATCH(I$1&amp;"-"&amp;$F1804,YEAR($B$2:$B$4001)&amp;"-"&amp;$A$2:$A$4001,0,-1)),H1804))</f>
        <v>6</v>
      </c>
      <c r="J1804" cm="1">
        <f t="array" ref="J1804">IF(OR(AND(I1804=9,J$1&gt;YEAR($N1804))),9,_xlfn.IFNA(INDEX($D$2:$D$4001,_xlfn.XMATCH(J$1&amp;"-"&amp;$F1804,YEAR($B$2:$B$4001)&amp;"-"&amp;$A$2:$A$4001,0,-1)),I1804))</f>
        <v>6</v>
      </c>
      <c r="K1804" cm="1">
        <f t="array" ref="K1804">IF(OR(AND(J1804=9,K$1&gt;YEAR($N1804))),9,_xlfn.IFNA(INDEX($D$2:$D$4001,_xlfn.XMATCH(K$1&amp;"-"&amp;$F1804,YEAR($B$2:$B$4001)&amp;"-"&amp;$A$2:$A$4001,0,-1)),J1804))</f>
        <v>7</v>
      </c>
      <c r="L1804" cm="1">
        <f t="array" ref="L1804">IF(OR(AND(K1804=9,L$1&gt;YEAR($N1804))),9,_xlfn.IFNA(INDEX($D$2:$D$4001,_xlfn.XMATCH(L$1&amp;"-"&amp;$F1804,YEAR($B$2:$B$4001)&amp;"-"&amp;$A$2:$A$4001,0,-1)),K1804))</f>
        <v>7</v>
      </c>
      <c r="M1804" cm="1">
        <f t="array" ref="M1804">IF(OR(AND(L1804=9,M$1&gt;YEAR($N1804))),9,_xlfn.IFNA(INDEX($D$2:$D$4001,_xlfn.XMATCH(M$1&amp;"-"&amp;$F1804,YEAR($B$2:$B$4001)&amp;"-"&amp;$A$2:$A$4001,0,-1)),L1804))</f>
        <v>7</v>
      </c>
      <c r="N1804" s="1">
        <f t="shared" si="28"/>
        <v>36332</v>
      </c>
    </row>
    <row r="1805" spans="1:14" x14ac:dyDescent="0.35">
      <c r="A1805">
        <v>849</v>
      </c>
      <c r="B1805" s="2">
        <v>36768</v>
      </c>
      <c r="C1805">
        <v>2</v>
      </c>
      <c r="D1805">
        <v>2</v>
      </c>
      <c r="F1805">
        <v>1804</v>
      </c>
      <c r="G1805" cm="1">
        <f t="array" ref="G1805">_xlfn.IFNA(INDEX($D$2:$D$4001,_xlfn.XMATCH(G$1&amp;"-"&amp;$F1805,YEAR($B$2:$B$4001)&amp;"-"&amp;$A$2:$A$4001,0,-1)),9)</f>
        <v>9</v>
      </c>
      <c r="H1805" cm="1">
        <f t="array" ref="H1805">IF(OR(AND(G1805=9,H$1&gt;YEAR($N1805))),9,_xlfn.IFNA(INDEX($D$2:$D$4001,_xlfn.XMATCH(H$1&amp;"-"&amp;$F1805,YEAR($B$2:$B$4001)&amp;"-"&amp;$A$2:$A$4001,0,-1)),G1805))</f>
        <v>9</v>
      </c>
      <c r="I1805" cm="1">
        <f t="array" ref="I1805">IF(OR(AND(H1805=9,I$1&gt;YEAR($N1805))),9,_xlfn.IFNA(INDEX($D$2:$D$4001,_xlfn.XMATCH(I$1&amp;"-"&amp;$F1805,YEAR($B$2:$B$4001)&amp;"-"&amp;$A$2:$A$4001,0,-1)),H1805))</f>
        <v>9</v>
      </c>
      <c r="J1805" cm="1">
        <f t="array" ref="J1805">IF(OR(AND(I1805=9,J$1&gt;YEAR($N1805))),9,_xlfn.IFNA(INDEX($D$2:$D$4001,_xlfn.XMATCH(J$1&amp;"-"&amp;$F1805,YEAR($B$2:$B$4001)&amp;"-"&amp;$A$2:$A$4001,0,-1)),I1805))</f>
        <v>6</v>
      </c>
      <c r="K1805" cm="1">
        <f t="array" ref="K1805">IF(OR(AND(J1805=9,K$1&gt;YEAR($N1805))),9,_xlfn.IFNA(INDEX($D$2:$D$4001,_xlfn.XMATCH(K$1&amp;"-"&amp;$F1805,YEAR($B$2:$B$4001)&amp;"-"&amp;$A$2:$A$4001,0,-1)),J1805))</f>
        <v>6</v>
      </c>
      <c r="L1805" cm="1">
        <f t="array" ref="L1805">IF(OR(AND(K1805=9,L$1&gt;YEAR($N1805))),9,_xlfn.IFNA(INDEX($D$2:$D$4001,_xlfn.XMATCH(L$1&amp;"-"&amp;$F1805,YEAR($B$2:$B$4001)&amp;"-"&amp;$A$2:$A$4001,0,-1)),K1805))</f>
        <v>5</v>
      </c>
      <c r="M1805" cm="1">
        <f t="array" ref="M1805">IF(OR(AND(L1805=9,M$1&gt;YEAR($N1805))),9,_xlfn.IFNA(INDEX($D$2:$D$4001,_xlfn.XMATCH(M$1&amp;"-"&amp;$F1805,YEAR($B$2:$B$4001)&amp;"-"&amp;$A$2:$A$4001,0,-1)),L1805))</f>
        <v>5</v>
      </c>
      <c r="N1805" s="1">
        <f t="shared" si="28"/>
        <v>37397</v>
      </c>
    </row>
    <row r="1806" spans="1:14" x14ac:dyDescent="0.35">
      <c r="A1806">
        <v>849</v>
      </c>
      <c r="B1806" s="2">
        <v>37406</v>
      </c>
      <c r="C1806">
        <v>3</v>
      </c>
      <c r="D1806">
        <v>3</v>
      </c>
      <c r="F1806">
        <v>1805</v>
      </c>
      <c r="G1806" cm="1">
        <f t="array" ref="G1806">_xlfn.IFNA(INDEX($D$2:$D$4001,_xlfn.XMATCH(G$1&amp;"-"&amp;$F1806,YEAR($B$2:$B$4001)&amp;"-"&amp;$A$2:$A$4001,0,-1)),9)</f>
        <v>9</v>
      </c>
      <c r="H1806" cm="1">
        <f t="array" ref="H1806">IF(OR(AND(G1806=9,H$1&gt;YEAR($N1806))),9,_xlfn.IFNA(INDEX($D$2:$D$4001,_xlfn.XMATCH(H$1&amp;"-"&amp;$F1806,YEAR($B$2:$B$4001)&amp;"-"&amp;$A$2:$A$4001,0,-1)),G1806))</f>
        <v>6</v>
      </c>
      <c r="I1806" cm="1">
        <f t="array" ref="I1806">IF(OR(AND(H1806=9,I$1&gt;YEAR($N1806))),9,_xlfn.IFNA(INDEX($D$2:$D$4001,_xlfn.XMATCH(I$1&amp;"-"&amp;$F1806,YEAR($B$2:$B$4001)&amp;"-"&amp;$A$2:$A$4001,0,-1)),H1806))</f>
        <v>6</v>
      </c>
      <c r="J1806" cm="1">
        <f t="array" ref="J1806">IF(OR(AND(I1806=9,J$1&gt;YEAR($N1806))),9,_xlfn.IFNA(INDEX($D$2:$D$4001,_xlfn.XMATCH(J$1&amp;"-"&amp;$F1806,YEAR($B$2:$B$4001)&amp;"-"&amp;$A$2:$A$4001,0,-1)),I1806))</f>
        <v>7</v>
      </c>
      <c r="K1806" cm="1">
        <f t="array" ref="K1806">IF(OR(AND(J1806=9,K$1&gt;YEAR($N1806))),9,_xlfn.IFNA(INDEX($D$2:$D$4001,_xlfn.XMATCH(K$1&amp;"-"&amp;$F1806,YEAR($B$2:$B$4001)&amp;"-"&amp;$A$2:$A$4001,0,-1)),J1806))</f>
        <v>8</v>
      </c>
      <c r="L1806" cm="1">
        <f t="array" ref="L1806">IF(OR(AND(K1806=9,L$1&gt;YEAR($N1806))),9,_xlfn.IFNA(INDEX($D$2:$D$4001,_xlfn.XMATCH(L$1&amp;"-"&amp;$F1806,YEAR($B$2:$B$4001)&amp;"-"&amp;$A$2:$A$4001,0,-1)),K1806))</f>
        <v>8</v>
      </c>
      <c r="M1806" cm="1">
        <f t="array" ref="M1806">IF(OR(AND(L1806=9,M$1&gt;YEAR($N1806))),9,_xlfn.IFNA(INDEX($D$2:$D$4001,_xlfn.XMATCH(M$1&amp;"-"&amp;$F1806,YEAR($B$2:$B$4001)&amp;"-"&amp;$A$2:$A$4001,0,-1)),L1806))</f>
        <v>8</v>
      </c>
      <c r="N1806" s="1">
        <f t="shared" si="28"/>
        <v>36676</v>
      </c>
    </row>
    <row r="1807" spans="1:14" x14ac:dyDescent="0.35">
      <c r="A1807">
        <v>850</v>
      </c>
      <c r="B1807" s="2">
        <v>36829</v>
      </c>
      <c r="C1807">
        <v>2</v>
      </c>
      <c r="D1807">
        <v>2</v>
      </c>
      <c r="F1807">
        <v>1806</v>
      </c>
      <c r="G1807" cm="1">
        <f t="array" ref="G1807">_xlfn.IFNA(INDEX($D$2:$D$4001,_xlfn.XMATCH(G$1&amp;"-"&amp;$F1807,YEAR($B$2:$B$4001)&amp;"-"&amp;$A$2:$A$4001,0,-1)),9)</f>
        <v>4</v>
      </c>
      <c r="H1807" cm="1">
        <f t="array" ref="H1807">IF(OR(AND(G1807=9,H$1&gt;YEAR($N1807))),9,_xlfn.IFNA(INDEX($D$2:$D$4001,_xlfn.XMATCH(H$1&amp;"-"&amp;$F1807,YEAR($B$2:$B$4001)&amp;"-"&amp;$A$2:$A$4001,0,-1)),G1807))</f>
        <v>4</v>
      </c>
      <c r="I1807" cm="1">
        <f t="array" ref="I1807">IF(OR(AND(H1807=9,I$1&gt;YEAR($N1807))),9,_xlfn.IFNA(INDEX($D$2:$D$4001,_xlfn.XMATCH(I$1&amp;"-"&amp;$F1807,YEAR($B$2:$B$4001)&amp;"-"&amp;$A$2:$A$4001,0,-1)),H1807))</f>
        <v>4</v>
      </c>
      <c r="J1807" cm="1">
        <f t="array" ref="J1807">IF(OR(AND(I1807=9,J$1&gt;YEAR($N1807))),9,_xlfn.IFNA(INDEX($D$2:$D$4001,_xlfn.XMATCH(J$1&amp;"-"&amp;$F1807,YEAR($B$2:$B$4001)&amp;"-"&amp;$A$2:$A$4001,0,-1)),I1807))</f>
        <v>4</v>
      </c>
      <c r="K1807" cm="1">
        <f t="array" ref="K1807">IF(OR(AND(J1807=9,K$1&gt;YEAR($N1807))),9,_xlfn.IFNA(INDEX($D$2:$D$4001,_xlfn.XMATCH(K$1&amp;"-"&amp;$F1807,YEAR($B$2:$B$4001)&amp;"-"&amp;$A$2:$A$4001,0,-1)),J1807))</f>
        <v>4</v>
      </c>
      <c r="L1807" cm="1">
        <f t="array" ref="L1807">IF(OR(AND(K1807=9,L$1&gt;YEAR($N1807))),9,_xlfn.IFNA(INDEX($D$2:$D$4001,_xlfn.XMATCH(L$1&amp;"-"&amp;$F1807,YEAR($B$2:$B$4001)&amp;"-"&amp;$A$2:$A$4001,0,-1)),K1807))</f>
        <v>4</v>
      </c>
      <c r="M1807" cm="1">
        <f t="array" ref="M1807">IF(OR(AND(L1807=9,M$1&gt;YEAR($N1807))),9,_xlfn.IFNA(INDEX($D$2:$D$4001,_xlfn.XMATCH(M$1&amp;"-"&amp;$F1807,YEAR($B$2:$B$4001)&amp;"-"&amp;$A$2:$A$4001,0,-1)),L1807))</f>
        <v>4</v>
      </c>
      <c r="N1807" s="1">
        <f t="shared" si="28"/>
        <v>36524</v>
      </c>
    </row>
    <row r="1808" spans="1:14" x14ac:dyDescent="0.35">
      <c r="A1808">
        <v>850</v>
      </c>
      <c r="B1808" s="2">
        <v>37620</v>
      </c>
      <c r="C1808">
        <v>3</v>
      </c>
      <c r="D1808">
        <v>3</v>
      </c>
      <c r="F1808">
        <v>1807</v>
      </c>
      <c r="G1808" cm="1">
        <f t="array" ref="G1808">_xlfn.IFNA(INDEX($D$2:$D$4001,_xlfn.XMATCH(G$1&amp;"-"&amp;$F1808,YEAR($B$2:$B$4001)&amp;"-"&amp;$A$2:$A$4001,0,-1)),9)</f>
        <v>9</v>
      </c>
      <c r="H1808" cm="1">
        <f t="array" ref="H1808">IF(OR(AND(G1808=9,H$1&gt;YEAR($N1808))),9,_xlfn.IFNA(INDEX($D$2:$D$4001,_xlfn.XMATCH(H$1&amp;"-"&amp;$F1808,YEAR($B$2:$B$4001)&amp;"-"&amp;$A$2:$A$4001,0,-1)),G1808))</f>
        <v>7</v>
      </c>
      <c r="I1808" cm="1">
        <f t="array" ref="I1808">IF(OR(AND(H1808=9,I$1&gt;YEAR($N1808))),9,_xlfn.IFNA(INDEX($D$2:$D$4001,_xlfn.XMATCH(I$1&amp;"-"&amp;$F1808,YEAR($B$2:$B$4001)&amp;"-"&amp;$A$2:$A$4001,0,-1)),H1808))</f>
        <v>7</v>
      </c>
      <c r="J1808" cm="1">
        <f t="array" ref="J1808">IF(OR(AND(I1808=9,J$1&gt;YEAR($N1808))),9,_xlfn.IFNA(INDEX($D$2:$D$4001,_xlfn.XMATCH(J$1&amp;"-"&amp;$F1808,YEAR($B$2:$B$4001)&amp;"-"&amp;$A$2:$A$4001,0,-1)),I1808))</f>
        <v>7</v>
      </c>
      <c r="K1808" cm="1">
        <f t="array" ref="K1808">IF(OR(AND(J1808=9,K$1&gt;YEAR($N1808))),9,_xlfn.IFNA(INDEX($D$2:$D$4001,_xlfn.XMATCH(K$1&amp;"-"&amp;$F1808,YEAR($B$2:$B$4001)&amp;"-"&amp;$A$2:$A$4001,0,-1)),J1808))</f>
        <v>7</v>
      </c>
      <c r="L1808" cm="1">
        <f t="array" ref="L1808">IF(OR(AND(K1808=9,L$1&gt;YEAR($N1808))),9,_xlfn.IFNA(INDEX($D$2:$D$4001,_xlfn.XMATCH(L$1&amp;"-"&amp;$F1808,YEAR($B$2:$B$4001)&amp;"-"&amp;$A$2:$A$4001,0,-1)),K1808))</f>
        <v>7</v>
      </c>
      <c r="M1808" cm="1">
        <f t="array" ref="M1808">IF(OR(AND(L1808=9,M$1&gt;YEAR($N1808))),9,_xlfn.IFNA(INDEX($D$2:$D$4001,_xlfn.XMATCH(M$1&amp;"-"&amp;$F1808,YEAR($B$2:$B$4001)&amp;"-"&amp;$A$2:$A$4001,0,-1)),L1808))</f>
        <v>7</v>
      </c>
      <c r="N1808" s="1">
        <f t="shared" si="28"/>
        <v>36676</v>
      </c>
    </row>
    <row r="1809" spans="1:14" x14ac:dyDescent="0.35">
      <c r="A1809">
        <v>851</v>
      </c>
      <c r="B1809" s="2">
        <v>36890</v>
      </c>
      <c r="C1809">
        <v>2</v>
      </c>
      <c r="D1809">
        <v>2</v>
      </c>
      <c r="F1809">
        <v>1808</v>
      </c>
      <c r="G1809" cm="1">
        <f t="array" ref="G1809">_xlfn.IFNA(INDEX($D$2:$D$4001,_xlfn.XMATCH(G$1&amp;"-"&amp;$F1809,YEAR($B$2:$B$4001)&amp;"-"&amp;$A$2:$A$4001,0,-1)),9)</f>
        <v>9</v>
      </c>
      <c r="H1809" cm="1">
        <f t="array" ref="H1809">IF(OR(AND(G1809=9,H$1&gt;YEAR($N1809))),9,_xlfn.IFNA(INDEX($D$2:$D$4001,_xlfn.XMATCH(H$1&amp;"-"&amp;$F1809,YEAR($B$2:$B$4001)&amp;"-"&amp;$A$2:$A$4001,0,-1)),G1809))</f>
        <v>0</v>
      </c>
      <c r="I1809" cm="1">
        <f t="array" ref="I1809">IF(OR(AND(H1809=9,I$1&gt;YEAR($N1809))),9,_xlfn.IFNA(INDEX($D$2:$D$4001,_xlfn.XMATCH(I$1&amp;"-"&amp;$F1809,YEAR($B$2:$B$4001)&amp;"-"&amp;$A$2:$A$4001,0,-1)),H1809))</f>
        <v>0</v>
      </c>
      <c r="J1809" cm="1">
        <f t="array" ref="J1809">IF(OR(AND(I1809=9,J$1&gt;YEAR($N1809))),9,_xlfn.IFNA(INDEX($D$2:$D$4001,_xlfn.XMATCH(J$1&amp;"-"&amp;$F1809,YEAR($B$2:$B$4001)&amp;"-"&amp;$A$2:$A$4001,0,-1)),I1809))</f>
        <v>0</v>
      </c>
      <c r="K1809" cm="1">
        <f t="array" ref="K1809">IF(OR(AND(J1809=9,K$1&gt;YEAR($N1809))),9,_xlfn.IFNA(INDEX($D$2:$D$4001,_xlfn.XMATCH(K$1&amp;"-"&amp;$F1809,YEAR($B$2:$B$4001)&amp;"-"&amp;$A$2:$A$4001,0,-1)),J1809))</f>
        <v>0</v>
      </c>
      <c r="L1809" cm="1">
        <f t="array" ref="L1809">IF(OR(AND(K1809=9,L$1&gt;YEAR($N1809))),9,_xlfn.IFNA(INDEX($D$2:$D$4001,_xlfn.XMATCH(L$1&amp;"-"&amp;$F1809,YEAR($B$2:$B$4001)&amp;"-"&amp;$A$2:$A$4001,0,-1)),K1809))</f>
        <v>6</v>
      </c>
      <c r="M1809" cm="1">
        <f t="array" ref="M1809">IF(OR(AND(L1809=9,M$1&gt;YEAR($N1809))),9,_xlfn.IFNA(INDEX($D$2:$D$4001,_xlfn.XMATCH(M$1&amp;"-"&amp;$F1809,YEAR($B$2:$B$4001)&amp;"-"&amp;$A$2:$A$4001,0,-1)),L1809))</f>
        <v>6</v>
      </c>
      <c r="N1809" s="1">
        <f t="shared" si="28"/>
        <v>36667</v>
      </c>
    </row>
    <row r="1810" spans="1:14" x14ac:dyDescent="0.35">
      <c r="A1810">
        <v>851</v>
      </c>
      <c r="B1810" s="2">
        <v>37620</v>
      </c>
      <c r="C1810">
        <v>3</v>
      </c>
      <c r="D1810">
        <v>3</v>
      </c>
      <c r="F1810">
        <v>1809</v>
      </c>
      <c r="G1810" cm="1">
        <f t="array" ref="G1810">_xlfn.IFNA(INDEX($D$2:$D$4001,_xlfn.XMATCH(G$1&amp;"-"&amp;$F1810,YEAR($B$2:$B$4001)&amp;"-"&amp;$A$2:$A$4001,0,-1)),9)</f>
        <v>9</v>
      </c>
      <c r="H1810" cm="1">
        <f t="array" ref="H1810">IF(OR(AND(G1810=9,H$1&gt;YEAR($N1810))),9,_xlfn.IFNA(INDEX($D$2:$D$4001,_xlfn.XMATCH(H$1&amp;"-"&amp;$F1810,YEAR($B$2:$B$4001)&amp;"-"&amp;$A$2:$A$4001,0,-1)),G1810))</f>
        <v>9</v>
      </c>
      <c r="I1810" cm="1">
        <f t="array" ref="I1810">IF(OR(AND(H1810=9,I$1&gt;YEAR($N1810))),9,_xlfn.IFNA(INDEX($D$2:$D$4001,_xlfn.XMATCH(I$1&amp;"-"&amp;$F1810,YEAR($B$2:$B$4001)&amp;"-"&amp;$A$2:$A$4001,0,-1)),H1810))</f>
        <v>9</v>
      </c>
      <c r="J1810" cm="1">
        <f t="array" ref="J1810">IF(OR(AND(I1810=9,J$1&gt;YEAR($N1810))),9,_xlfn.IFNA(INDEX($D$2:$D$4001,_xlfn.XMATCH(J$1&amp;"-"&amp;$F1810,YEAR($B$2:$B$4001)&amp;"-"&amp;$A$2:$A$4001,0,-1)),I1810))</f>
        <v>6</v>
      </c>
      <c r="K1810" cm="1">
        <f t="array" ref="K1810">IF(OR(AND(J1810=9,K$1&gt;YEAR($N1810))),9,_xlfn.IFNA(INDEX($D$2:$D$4001,_xlfn.XMATCH(K$1&amp;"-"&amp;$F1810,YEAR($B$2:$B$4001)&amp;"-"&amp;$A$2:$A$4001,0,-1)),J1810))</f>
        <v>7</v>
      </c>
      <c r="L1810" cm="1">
        <f t="array" ref="L1810">IF(OR(AND(K1810=9,L$1&gt;YEAR($N1810))),9,_xlfn.IFNA(INDEX($D$2:$D$4001,_xlfn.XMATCH(L$1&amp;"-"&amp;$F1810,YEAR($B$2:$B$4001)&amp;"-"&amp;$A$2:$A$4001,0,-1)),K1810))</f>
        <v>7</v>
      </c>
      <c r="M1810" cm="1">
        <f t="array" ref="M1810">IF(OR(AND(L1810=9,M$1&gt;YEAR($N1810))),9,_xlfn.IFNA(INDEX($D$2:$D$4001,_xlfn.XMATCH(M$1&amp;"-"&amp;$F1810,YEAR($B$2:$B$4001)&amp;"-"&amp;$A$2:$A$4001,0,-1)),L1810))</f>
        <v>7</v>
      </c>
      <c r="N1810" s="1">
        <f t="shared" si="28"/>
        <v>37590</v>
      </c>
    </row>
    <row r="1811" spans="1:14" x14ac:dyDescent="0.35">
      <c r="A1811">
        <v>851</v>
      </c>
      <c r="B1811" s="2">
        <v>38281</v>
      </c>
      <c r="C1811">
        <v>3</v>
      </c>
      <c r="D1811">
        <v>3</v>
      </c>
      <c r="F1811">
        <v>1810</v>
      </c>
      <c r="G1811" cm="1">
        <f t="array" ref="G1811">_xlfn.IFNA(INDEX($D$2:$D$4001,_xlfn.XMATCH(G$1&amp;"-"&amp;$F1811,YEAR($B$2:$B$4001)&amp;"-"&amp;$A$2:$A$4001,0,-1)),9)</f>
        <v>5</v>
      </c>
      <c r="H1811" cm="1">
        <f t="array" ref="H1811">IF(OR(AND(G1811=9,H$1&gt;YEAR($N1811))),9,_xlfn.IFNA(INDEX($D$2:$D$4001,_xlfn.XMATCH(H$1&amp;"-"&amp;$F1811,YEAR($B$2:$B$4001)&amp;"-"&amp;$A$2:$A$4001,0,-1)),G1811))</f>
        <v>5</v>
      </c>
      <c r="I1811" cm="1">
        <f t="array" ref="I1811">IF(OR(AND(H1811=9,I$1&gt;YEAR($N1811))),9,_xlfn.IFNA(INDEX($D$2:$D$4001,_xlfn.XMATCH(I$1&amp;"-"&amp;$F1811,YEAR($B$2:$B$4001)&amp;"-"&amp;$A$2:$A$4001,0,-1)),H1811))</f>
        <v>5</v>
      </c>
      <c r="J1811" cm="1">
        <f t="array" ref="J1811">IF(OR(AND(I1811=9,J$1&gt;YEAR($N1811))),9,_xlfn.IFNA(INDEX($D$2:$D$4001,_xlfn.XMATCH(J$1&amp;"-"&amp;$F1811,YEAR($B$2:$B$4001)&amp;"-"&amp;$A$2:$A$4001,0,-1)),I1811))</f>
        <v>6</v>
      </c>
      <c r="K1811" cm="1">
        <f t="array" ref="K1811">IF(OR(AND(J1811=9,K$1&gt;YEAR($N1811))),9,_xlfn.IFNA(INDEX($D$2:$D$4001,_xlfn.XMATCH(K$1&amp;"-"&amp;$F1811,YEAR($B$2:$B$4001)&amp;"-"&amp;$A$2:$A$4001,0,-1)),J1811))</f>
        <v>6</v>
      </c>
      <c r="L1811" cm="1">
        <f t="array" ref="L1811">IF(OR(AND(K1811=9,L$1&gt;YEAR($N1811))),9,_xlfn.IFNA(INDEX($D$2:$D$4001,_xlfn.XMATCH(L$1&amp;"-"&amp;$F1811,YEAR($B$2:$B$4001)&amp;"-"&amp;$A$2:$A$4001,0,-1)),K1811))</f>
        <v>5</v>
      </c>
      <c r="M1811" cm="1">
        <f t="array" ref="M1811">IF(OR(AND(L1811=9,M$1&gt;YEAR($N1811))),9,_xlfn.IFNA(INDEX($D$2:$D$4001,_xlfn.XMATCH(M$1&amp;"-"&amp;$F1811,YEAR($B$2:$B$4001)&amp;"-"&amp;$A$2:$A$4001,0,-1)),L1811))</f>
        <v>5</v>
      </c>
      <c r="N1811" s="1">
        <f t="shared" si="28"/>
        <v>36301</v>
      </c>
    </row>
    <row r="1812" spans="1:14" x14ac:dyDescent="0.35">
      <c r="A1812">
        <v>852</v>
      </c>
      <c r="B1812" s="2">
        <v>37397</v>
      </c>
      <c r="C1812">
        <v>4</v>
      </c>
      <c r="D1812">
        <v>4</v>
      </c>
      <c r="F1812">
        <v>1811</v>
      </c>
      <c r="G1812" cm="1">
        <f t="array" ref="G1812">_xlfn.IFNA(INDEX($D$2:$D$4001,_xlfn.XMATCH(G$1&amp;"-"&amp;$F1812,YEAR($B$2:$B$4001)&amp;"-"&amp;$A$2:$A$4001,0,-1)),9)</f>
        <v>9</v>
      </c>
      <c r="H1812" cm="1">
        <f t="array" ref="H1812">IF(OR(AND(G1812=9,H$1&gt;YEAR($N1812))),9,_xlfn.IFNA(INDEX($D$2:$D$4001,_xlfn.XMATCH(H$1&amp;"-"&amp;$F1812,YEAR($B$2:$B$4001)&amp;"-"&amp;$A$2:$A$4001,0,-1)),G1812))</f>
        <v>0</v>
      </c>
      <c r="I1812" cm="1">
        <f t="array" ref="I1812">IF(OR(AND(H1812=9,I$1&gt;YEAR($N1812))),9,_xlfn.IFNA(INDEX($D$2:$D$4001,_xlfn.XMATCH(I$1&amp;"-"&amp;$F1812,YEAR($B$2:$B$4001)&amp;"-"&amp;$A$2:$A$4001,0,-1)),H1812))</f>
        <v>0</v>
      </c>
      <c r="J1812" cm="1">
        <f t="array" ref="J1812">IF(OR(AND(I1812=9,J$1&gt;YEAR($N1812))),9,_xlfn.IFNA(INDEX($D$2:$D$4001,_xlfn.XMATCH(J$1&amp;"-"&amp;$F1812,YEAR($B$2:$B$4001)&amp;"-"&amp;$A$2:$A$4001,0,-1)),I1812))</f>
        <v>0</v>
      </c>
      <c r="K1812" cm="1">
        <f t="array" ref="K1812">IF(OR(AND(J1812=9,K$1&gt;YEAR($N1812))),9,_xlfn.IFNA(INDEX($D$2:$D$4001,_xlfn.XMATCH(K$1&amp;"-"&amp;$F1812,YEAR($B$2:$B$4001)&amp;"-"&amp;$A$2:$A$4001,0,-1)),J1812))</f>
        <v>0</v>
      </c>
      <c r="L1812" cm="1">
        <f t="array" ref="L1812">IF(OR(AND(K1812=9,L$1&gt;YEAR($N1812))),9,_xlfn.IFNA(INDEX($D$2:$D$4001,_xlfn.XMATCH(L$1&amp;"-"&amp;$F1812,YEAR($B$2:$B$4001)&amp;"-"&amp;$A$2:$A$4001,0,-1)),K1812))</f>
        <v>0</v>
      </c>
      <c r="M1812" cm="1">
        <f t="array" ref="M1812">IF(OR(AND(L1812=9,M$1&gt;YEAR($N1812))),9,_xlfn.IFNA(INDEX($D$2:$D$4001,_xlfn.XMATCH(M$1&amp;"-"&amp;$F1812,YEAR($B$2:$B$4001)&amp;"-"&amp;$A$2:$A$4001,0,-1)),L1812))</f>
        <v>0</v>
      </c>
      <c r="N1812" s="1">
        <f t="shared" si="28"/>
        <v>36667</v>
      </c>
    </row>
    <row r="1813" spans="1:14" x14ac:dyDescent="0.35">
      <c r="A1813">
        <v>852</v>
      </c>
      <c r="B1813" s="2">
        <v>37620</v>
      </c>
      <c r="C1813">
        <v>4</v>
      </c>
      <c r="D1813">
        <v>4</v>
      </c>
      <c r="F1813">
        <v>1812</v>
      </c>
      <c r="G1813" cm="1">
        <f t="array" ref="G1813">_xlfn.IFNA(INDEX($D$2:$D$4001,_xlfn.XMATCH(G$1&amp;"-"&amp;$F1813,YEAR($B$2:$B$4001)&amp;"-"&amp;$A$2:$A$4001,0,-1)),9)</f>
        <v>6</v>
      </c>
      <c r="H1813" cm="1">
        <f t="array" ref="H1813">IF(OR(AND(G1813=9,H$1&gt;YEAR($N1813))),9,_xlfn.IFNA(INDEX($D$2:$D$4001,_xlfn.XMATCH(H$1&amp;"-"&amp;$F1813,YEAR($B$2:$B$4001)&amp;"-"&amp;$A$2:$A$4001,0,-1)),G1813))</f>
        <v>6</v>
      </c>
      <c r="I1813" cm="1">
        <f t="array" ref="I1813">IF(OR(AND(H1813=9,I$1&gt;YEAR($N1813))),9,_xlfn.IFNA(INDEX($D$2:$D$4001,_xlfn.XMATCH(I$1&amp;"-"&amp;$F1813,YEAR($B$2:$B$4001)&amp;"-"&amp;$A$2:$A$4001,0,-1)),H1813))</f>
        <v>6</v>
      </c>
      <c r="J1813" cm="1">
        <f t="array" ref="J1813">IF(OR(AND(I1813=9,J$1&gt;YEAR($N1813))),9,_xlfn.IFNA(INDEX($D$2:$D$4001,_xlfn.XMATCH(J$1&amp;"-"&amp;$F1813,YEAR($B$2:$B$4001)&amp;"-"&amp;$A$2:$A$4001,0,-1)),I1813))</f>
        <v>0</v>
      </c>
      <c r="K1813" cm="1">
        <f t="array" ref="K1813">IF(OR(AND(J1813=9,K$1&gt;YEAR($N1813))),9,_xlfn.IFNA(INDEX($D$2:$D$4001,_xlfn.XMATCH(K$1&amp;"-"&amp;$F1813,YEAR($B$2:$B$4001)&amp;"-"&amp;$A$2:$A$4001,0,-1)),J1813))</f>
        <v>0</v>
      </c>
      <c r="L1813" cm="1">
        <f t="array" ref="L1813">IF(OR(AND(K1813=9,L$1&gt;YEAR($N1813))),9,_xlfn.IFNA(INDEX($D$2:$D$4001,_xlfn.XMATCH(L$1&amp;"-"&amp;$F1813,YEAR($B$2:$B$4001)&amp;"-"&amp;$A$2:$A$4001,0,-1)),K1813))</f>
        <v>0</v>
      </c>
      <c r="M1813" cm="1">
        <f t="array" ref="M1813">IF(OR(AND(L1813=9,M$1&gt;YEAR($N1813))),9,_xlfn.IFNA(INDEX($D$2:$D$4001,_xlfn.XMATCH(M$1&amp;"-"&amp;$F1813,YEAR($B$2:$B$4001)&amp;"-"&amp;$A$2:$A$4001,0,-1)),L1813))</f>
        <v>0</v>
      </c>
      <c r="N1813" s="1">
        <f t="shared" si="28"/>
        <v>36362</v>
      </c>
    </row>
    <row r="1814" spans="1:14" x14ac:dyDescent="0.35">
      <c r="A1814">
        <v>853</v>
      </c>
      <c r="B1814" s="2">
        <v>37041</v>
      </c>
      <c r="C1814">
        <v>3</v>
      </c>
      <c r="D1814">
        <v>3</v>
      </c>
      <c r="F1814">
        <v>1813</v>
      </c>
      <c r="G1814" cm="1">
        <f t="array" ref="G1814">_xlfn.IFNA(INDEX($D$2:$D$4001,_xlfn.XMATCH(G$1&amp;"-"&amp;$F1814,YEAR($B$2:$B$4001)&amp;"-"&amp;$A$2:$A$4001,0,-1)),9)</f>
        <v>9</v>
      </c>
      <c r="H1814" cm="1">
        <f t="array" ref="H1814">IF(OR(AND(G1814=9,H$1&gt;YEAR($N1814))),9,_xlfn.IFNA(INDEX($D$2:$D$4001,_xlfn.XMATCH(H$1&amp;"-"&amp;$F1814,YEAR($B$2:$B$4001)&amp;"-"&amp;$A$2:$A$4001,0,-1)),G1814))</f>
        <v>9</v>
      </c>
      <c r="I1814" cm="1">
        <f t="array" ref="I1814">IF(OR(AND(H1814=9,I$1&gt;YEAR($N1814))),9,_xlfn.IFNA(INDEX($D$2:$D$4001,_xlfn.XMATCH(I$1&amp;"-"&amp;$F1814,YEAR($B$2:$B$4001)&amp;"-"&amp;$A$2:$A$4001,0,-1)),H1814))</f>
        <v>9</v>
      </c>
      <c r="J1814" cm="1">
        <f t="array" ref="J1814">IF(OR(AND(I1814=9,J$1&gt;YEAR($N1814))),9,_xlfn.IFNA(INDEX($D$2:$D$4001,_xlfn.XMATCH(J$1&amp;"-"&amp;$F1814,YEAR($B$2:$B$4001)&amp;"-"&amp;$A$2:$A$4001,0,-1)),I1814))</f>
        <v>3</v>
      </c>
      <c r="K1814" cm="1">
        <f t="array" ref="K1814">IF(OR(AND(J1814=9,K$1&gt;YEAR($N1814))),9,_xlfn.IFNA(INDEX($D$2:$D$4001,_xlfn.XMATCH(K$1&amp;"-"&amp;$F1814,YEAR($B$2:$B$4001)&amp;"-"&amp;$A$2:$A$4001,0,-1)),J1814))</f>
        <v>3</v>
      </c>
      <c r="L1814" cm="1">
        <f t="array" ref="L1814">IF(OR(AND(K1814=9,L$1&gt;YEAR($N1814))),9,_xlfn.IFNA(INDEX($D$2:$D$4001,_xlfn.XMATCH(L$1&amp;"-"&amp;$F1814,YEAR($B$2:$B$4001)&amp;"-"&amp;$A$2:$A$4001,0,-1)),K1814))</f>
        <v>3</v>
      </c>
      <c r="M1814" cm="1">
        <f t="array" ref="M1814">IF(OR(AND(L1814=9,M$1&gt;YEAR($N1814))),9,_xlfn.IFNA(INDEX($D$2:$D$4001,_xlfn.XMATCH(M$1&amp;"-"&amp;$F1814,YEAR($B$2:$B$4001)&amp;"-"&amp;$A$2:$A$4001,0,-1)),L1814))</f>
        <v>3</v>
      </c>
      <c r="N1814" s="1">
        <f t="shared" si="28"/>
        <v>37620</v>
      </c>
    </row>
    <row r="1815" spans="1:14" x14ac:dyDescent="0.35">
      <c r="A1815">
        <v>854</v>
      </c>
      <c r="B1815" s="2">
        <v>37255</v>
      </c>
      <c r="C1815">
        <v>4</v>
      </c>
      <c r="D1815">
        <v>4</v>
      </c>
      <c r="F1815">
        <v>1814</v>
      </c>
      <c r="G1815" cm="1">
        <f t="array" ref="G1815">_xlfn.IFNA(INDEX($D$2:$D$4001,_xlfn.XMATCH(G$1&amp;"-"&amp;$F1815,YEAR($B$2:$B$4001)&amp;"-"&amp;$A$2:$A$4001,0,-1)),9)</f>
        <v>9</v>
      </c>
      <c r="H1815" cm="1">
        <f t="array" ref="H1815">IF(OR(AND(G1815=9,H$1&gt;YEAR($N1815))),9,_xlfn.IFNA(INDEX($D$2:$D$4001,_xlfn.XMATCH(H$1&amp;"-"&amp;$F1815,YEAR($B$2:$B$4001)&amp;"-"&amp;$A$2:$A$4001,0,-1)),G1815))</f>
        <v>2</v>
      </c>
      <c r="I1815" cm="1">
        <f t="array" ref="I1815">IF(OR(AND(H1815=9,I$1&gt;YEAR($N1815))),9,_xlfn.IFNA(INDEX($D$2:$D$4001,_xlfn.XMATCH(I$1&amp;"-"&amp;$F1815,YEAR($B$2:$B$4001)&amp;"-"&amp;$A$2:$A$4001,0,-1)),H1815))</f>
        <v>2</v>
      </c>
      <c r="J1815" cm="1">
        <f t="array" ref="J1815">IF(OR(AND(I1815=9,J$1&gt;YEAR($N1815))),9,_xlfn.IFNA(INDEX($D$2:$D$4001,_xlfn.XMATCH(J$1&amp;"-"&amp;$F1815,YEAR($B$2:$B$4001)&amp;"-"&amp;$A$2:$A$4001,0,-1)),I1815))</f>
        <v>2</v>
      </c>
      <c r="K1815" cm="1">
        <f t="array" ref="K1815">IF(OR(AND(J1815=9,K$1&gt;YEAR($N1815))),9,_xlfn.IFNA(INDEX($D$2:$D$4001,_xlfn.XMATCH(K$1&amp;"-"&amp;$F1815,YEAR($B$2:$B$4001)&amp;"-"&amp;$A$2:$A$4001,0,-1)),J1815))</f>
        <v>2</v>
      </c>
      <c r="L1815" cm="1">
        <f t="array" ref="L1815">IF(OR(AND(K1815=9,L$1&gt;YEAR($N1815))),9,_xlfn.IFNA(INDEX($D$2:$D$4001,_xlfn.XMATCH(L$1&amp;"-"&amp;$F1815,YEAR($B$2:$B$4001)&amp;"-"&amp;$A$2:$A$4001,0,-1)),K1815))</f>
        <v>2</v>
      </c>
      <c r="M1815" cm="1">
        <f t="array" ref="M1815">IF(OR(AND(L1815=9,M$1&gt;YEAR($N1815))),9,_xlfn.IFNA(INDEX($D$2:$D$4001,_xlfn.XMATCH(M$1&amp;"-"&amp;$F1815,YEAR($B$2:$B$4001)&amp;"-"&amp;$A$2:$A$4001,0,-1)),L1815))</f>
        <v>2</v>
      </c>
      <c r="N1815" s="1">
        <f t="shared" si="28"/>
        <v>36820</v>
      </c>
    </row>
    <row r="1816" spans="1:14" x14ac:dyDescent="0.35">
      <c r="A1816">
        <v>854</v>
      </c>
      <c r="B1816" s="2">
        <v>37397</v>
      </c>
      <c r="C1816">
        <v>5</v>
      </c>
      <c r="D1816">
        <v>5</v>
      </c>
      <c r="F1816">
        <v>1815</v>
      </c>
      <c r="G1816" cm="1">
        <f t="array" ref="G1816">_xlfn.IFNA(INDEX($D$2:$D$4001,_xlfn.XMATCH(G$1&amp;"-"&amp;$F1816,YEAR($B$2:$B$4001)&amp;"-"&amp;$A$2:$A$4001,0,-1)),9)</f>
        <v>9</v>
      </c>
      <c r="H1816" cm="1">
        <f t="array" ref="H1816">IF(OR(AND(G1816=9,H$1&gt;YEAR($N1816))),9,_xlfn.IFNA(INDEX($D$2:$D$4001,_xlfn.XMATCH(H$1&amp;"-"&amp;$F1816,YEAR($B$2:$B$4001)&amp;"-"&amp;$A$2:$A$4001,0,-1)),G1816))</f>
        <v>9</v>
      </c>
      <c r="I1816" cm="1">
        <f t="array" ref="I1816">IF(OR(AND(H1816=9,I$1&gt;YEAR($N1816))),9,_xlfn.IFNA(INDEX($D$2:$D$4001,_xlfn.XMATCH(I$1&amp;"-"&amp;$F1816,YEAR($B$2:$B$4001)&amp;"-"&amp;$A$2:$A$4001,0,-1)),H1816))</f>
        <v>9</v>
      </c>
      <c r="J1816" cm="1">
        <f t="array" ref="J1816">IF(OR(AND(I1816=9,J$1&gt;YEAR($N1816))),9,_xlfn.IFNA(INDEX($D$2:$D$4001,_xlfn.XMATCH(J$1&amp;"-"&amp;$F1816,YEAR($B$2:$B$4001)&amp;"-"&amp;$A$2:$A$4001,0,-1)),I1816))</f>
        <v>3</v>
      </c>
      <c r="K1816" cm="1">
        <f t="array" ref="K1816">IF(OR(AND(J1816=9,K$1&gt;YEAR($N1816))),9,_xlfn.IFNA(INDEX($D$2:$D$4001,_xlfn.XMATCH(K$1&amp;"-"&amp;$F1816,YEAR($B$2:$B$4001)&amp;"-"&amp;$A$2:$A$4001,0,-1)),J1816))</f>
        <v>3</v>
      </c>
      <c r="L1816" cm="1">
        <f t="array" ref="L1816">IF(OR(AND(K1816=9,L$1&gt;YEAR($N1816))),9,_xlfn.IFNA(INDEX($D$2:$D$4001,_xlfn.XMATCH(L$1&amp;"-"&amp;$F1816,YEAR($B$2:$B$4001)&amp;"-"&amp;$A$2:$A$4001,0,-1)),K1816))</f>
        <v>3</v>
      </c>
      <c r="M1816" cm="1">
        <f t="array" ref="M1816">IF(OR(AND(L1816=9,M$1&gt;YEAR($N1816))),9,_xlfn.IFNA(INDEX($D$2:$D$4001,_xlfn.XMATCH(M$1&amp;"-"&amp;$F1816,YEAR($B$2:$B$4001)&amp;"-"&amp;$A$2:$A$4001,0,-1)),L1816))</f>
        <v>3</v>
      </c>
      <c r="N1816" s="1">
        <f t="shared" si="28"/>
        <v>37620</v>
      </c>
    </row>
    <row r="1817" spans="1:14" x14ac:dyDescent="0.35">
      <c r="A1817">
        <v>854</v>
      </c>
      <c r="B1817" s="2">
        <v>37406</v>
      </c>
      <c r="C1817">
        <v>5</v>
      </c>
      <c r="D1817">
        <v>5</v>
      </c>
      <c r="F1817">
        <v>1816</v>
      </c>
      <c r="G1817" cm="1">
        <f t="array" ref="G1817">_xlfn.IFNA(INDEX($D$2:$D$4001,_xlfn.XMATCH(G$1&amp;"-"&amp;$F1817,YEAR($B$2:$B$4001)&amp;"-"&amp;$A$2:$A$4001,0,-1)),9)</f>
        <v>9</v>
      </c>
      <c r="H1817" cm="1">
        <f t="array" ref="H1817">IF(OR(AND(G1817=9,H$1&gt;YEAR($N1817))),9,_xlfn.IFNA(INDEX($D$2:$D$4001,_xlfn.XMATCH(H$1&amp;"-"&amp;$F1817,YEAR($B$2:$B$4001)&amp;"-"&amp;$A$2:$A$4001,0,-1)),G1817))</f>
        <v>9</v>
      </c>
      <c r="I1817" cm="1">
        <f t="array" ref="I1817">IF(OR(AND(H1817=9,I$1&gt;YEAR($N1817))),9,_xlfn.IFNA(INDEX($D$2:$D$4001,_xlfn.XMATCH(I$1&amp;"-"&amp;$F1817,YEAR($B$2:$B$4001)&amp;"-"&amp;$A$2:$A$4001,0,-1)),H1817))</f>
        <v>5</v>
      </c>
      <c r="J1817" cm="1">
        <f t="array" ref="J1817">IF(OR(AND(I1817=9,J$1&gt;YEAR($N1817))),9,_xlfn.IFNA(INDEX($D$2:$D$4001,_xlfn.XMATCH(J$1&amp;"-"&amp;$F1817,YEAR($B$2:$B$4001)&amp;"-"&amp;$A$2:$A$4001,0,-1)),I1817))</f>
        <v>5</v>
      </c>
      <c r="K1817" cm="1">
        <f t="array" ref="K1817">IF(OR(AND(J1817=9,K$1&gt;YEAR($N1817))),9,_xlfn.IFNA(INDEX($D$2:$D$4001,_xlfn.XMATCH(K$1&amp;"-"&amp;$F1817,YEAR($B$2:$B$4001)&amp;"-"&amp;$A$2:$A$4001,0,-1)),J1817))</f>
        <v>5</v>
      </c>
      <c r="L1817" cm="1">
        <f t="array" ref="L1817">IF(OR(AND(K1817=9,L$1&gt;YEAR($N1817))),9,_xlfn.IFNA(INDEX($D$2:$D$4001,_xlfn.XMATCH(L$1&amp;"-"&amp;$F1817,YEAR($B$2:$B$4001)&amp;"-"&amp;$A$2:$A$4001,0,-1)),K1817))</f>
        <v>5</v>
      </c>
      <c r="M1817" cm="1">
        <f t="array" ref="M1817">IF(OR(AND(L1817=9,M$1&gt;YEAR($N1817))),9,_xlfn.IFNA(INDEX($D$2:$D$4001,_xlfn.XMATCH(M$1&amp;"-"&amp;$F1817,YEAR($B$2:$B$4001)&amp;"-"&amp;$A$2:$A$4001,0,-1)),L1817))</f>
        <v>5</v>
      </c>
      <c r="N1817" s="1">
        <f t="shared" si="28"/>
        <v>37185</v>
      </c>
    </row>
    <row r="1818" spans="1:14" x14ac:dyDescent="0.35">
      <c r="A1818">
        <v>854</v>
      </c>
      <c r="B1818" s="2">
        <v>38137</v>
      </c>
      <c r="C1818">
        <v>5</v>
      </c>
      <c r="D1818">
        <v>5</v>
      </c>
      <c r="F1818">
        <v>1817</v>
      </c>
      <c r="G1818" cm="1">
        <f t="array" ref="G1818">_xlfn.IFNA(INDEX($D$2:$D$4001,_xlfn.XMATCH(G$1&amp;"-"&amp;$F1818,YEAR($B$2:$B$4001)&amp;"-"&amp;$A$2:$A$4001,0,-1)),9)</f>
        <v>9</v>
      </c>
      <c r="H1818" cm="1">
        <f t="array" ref="H1818">IF(OR(AND(G1818=9,H$1&gt;YEAR($N1818))),9,_xlfn.IFNA(INDEX($D$2:$D$4001,_xlfn.XMATCH(H$1&amp;"-"&amp;$F1818,YEAR($B$2:$B$4001)&amp;"-"&amp;$A$2:$A$4001,0,-1)),G1818))</f>
        <v>0</v>
      </c>
      <c r="I1818" cm="1">
        <f t="array" ref="I1818">IF(OR(AND(H1818=9,I$1&gt;YEAR($N1818))),9,_xlfn.IFNA(INDEX($D$2:$D$4001,_xlfn.XMATCH(I$1&amp;"-"&amp;$F1818,YEAR($B$2:$B$4001)&amp;"-"&amp;$A$2:$A$4001,0,-1)),H1818))</f>
        <v>0</v>
      </c>
      <c r="J1818" cm="1">
        <f t="array" ref="J1818">IF(OR(AND(I1818=9,J$1&gt;YEAR($N1818))),9,_xlfn.IFNA(INDEX($D$2:$D$4001,_xlfn.XMATCH(J$1&amp;"-"&amp;$F1818,YEAR($B$2:$B$4001)&amp;"-"&amp;$A$2:$A$4001,0,-1)),I1818))</f>
        <v>0</v>
      </c>
      <c r="K1818" cm="1">
        <f t="array" ref="K1818">IF(OR(AND(J1818=9,K$1&gt;YEAR($N1818))),9,_xlfn.IFNA(INDEX($D$2:$D$4001,_xlfn.XMATCH(K$1&amp;"-"&amp;$F1818,YEAR($B$2:$B$4001)&amp;"-"&amp;$A$2:$A$4001,0,-1)),J1818))</f>
        <v>0</v>
      </c>
      <c r="L1818" cm="1">
        <f t="array" ref="L1818">IF(OR(AND(K1818=9,L$1&gt;YEAR($N1818))),9,_xlfn.IFNA(INDEX($D$2:$D$4001,_xlfn.XMATCH(L$1&amp;"-"&amp;$F1818,YEAR($B$2:$B$4001)&amp;"-"&amp;$A$2:$A$4001,0,-1)),K1818))</f>
        <v>0</v>
      </c>
      <c r="M1818" cm="1">
        <f t="array" ref="M1818">IF(OR(AND(L1818=9,M$1&gt;YEAR($N1818))),9,_xlfn.IFNA(INDEX($D$2:$D$4001,_xlfn.XMATCH(M$1&amp;"-"&amp;$F1818,YEAR($B$2:$B$4001)&amp;"-"&amp;$A$2:$A$4001,0,-1)),L1818))</f>
        <v>0</v>
      </c>
      <c r="N1818" s="1">
        <f t="shared" si="28"/>
        <v>36728</v>
      </c>
    </row>
    <row r="1819" spans="1:14" x14ac:dyDescent="0.35">
      <c r="A1819">
        <v>854</v>
      </c>
      <c r="B1819" s="2">
        <v>38251</v>
      </c>
      <c r="C1819">
        <v>5</v>
      </c>
      <c r="D1819">
        <v>5</v>
      </c>
      <c r="F1819">
        <v>1818</v>
      </c>
      <c r="G1819" cm="1">
        <f t="array" ref="G1819">_xlfn.IFNA(INDEX($D$2:$D$4001,_xlfn.XMATCH(G$1&amp;"-"&amp;$F1819,YEAR($B$2:$B$4001)&amp;"-"&amp;$A$2:$A$4001,0,-1)),9)</f>
        <v>9</v>
      </c>
      <c r="H1819" cm="1">
        <f t="array" ref="H1819">IF(OR(AND(G1819=9,H$1&gt;YEAR($N1819))),9,_xlfn.IFNA(INDEX($D$2:$D$4001,_xlfn.XMATCH(H$1&amp;"-"&amp;$F1819,YEAR($B$2:$B$4001)&amp;"-"&amp;$A$2:$A$4001,0,-1)),G1819))</f>
        <v>9</v>
      </c>
      <c r="I1819" cm="1">
        <f t="array" ref="I1819">IF(OR(AND(H1819=9,I$1&gt;YEAR($N1819))),9,_xlfn.IFNA(INDEX($D$2:$D$4001,_xlfn.XMATCH(I$1&amp;"-"&amp;$F1819,YEAR($B$2:$B$4001)&amp;"-"&amp;$A$2:$A$4001,0,-1)),H1819))</f>
        <v>9</v>
      </c>
      <c r="J1819" cm="1">
        <f t="array" ref="J1819">IF(OR(AND(I1819=9,J$1&gt;YEAR($N1819))),9,_xlfn.IFNA(INDEX($D$2:$D$4001,_xlfn.XMATCH(J$1&amp;"-"&amp;$F1819,YEAR($B$2:$B$4001)&amp;"-"&amp;$A$2:$A$4001,0,-1)),I1819))</f>
        <v>2</v>
      </c>
      <c r="K1819" cm="1">
        <f t="array" ref="K1819">IF(OR(AND(J1819=9,K$1&gt;YEAR($N1819))),9,_xlfn.IFNA(INDEX($D$2:$D$4001,_xlfn.XMATCH(K$1&amp;"-"&amp;$F1819,YEAR($B$2:$B$4001)&amp;"-"&amp;$A$2:$A$4001,0,-1)),J1819))</f>
        <v>2</v>
      </c>
      <c r="L1819" cm="1">
        <f t="array" ref="L1819">IF(OR(AND(K1819=9,L$1&gt;YEAR($N1819))),9,_xlfn.IFNA(INDEX($D$2:$D$4001,_xlfn.XMATCH(L$1&amp;"-"&amp;$F1819,YEAR($B$2:$B$4001)&amp;"-"&amp;$A$2:$A$4001,0,-1)),K1819))</f>
        <v>2</v>
      </c>
      <c r="M1819" cm="1">
        <f t="array" ref="M1819">IF(OR(AND(L1819=9,M$1&gt;YEAR($N1819))),9,_xlfn.IFNA(INDEX($D$2:$D$4001,_xlfn.XMATCH(M$1&amp;"-"&amp;$F1819,YEAR($B$2:$B$4001)&amp;"-"&amp;$A$2:$A$4001,0,-1)),L1819))</f>
        <v>2</v>
      </c>
      <c r="N1819" s="1">
        <f t="shared" si="28"/>
        <v>37397</v>
      </c>
    </row>
    <row r="1820" spans="1:14" x14ac:dyDescent="0.35">
      <c r="A1820">
        <v>854</v>
      </c>
      <c r="B1820" s="2">
        <v>38502</v>
      </c>
      <c r="C1820">
        <v>4</v>
      </c>
      <c r="D1820">
        <v>4</v>
      </c>
      <c r="F1820">
        <v>1819</v>
      </c>
      <c r="G1820" cm="1">
        <f t="array" ref="G1820">_xlfn.IFNA(INDEX($D$2:$D$4001,_xlfn.XMATCH(G$1&amp;"-"&amp;$F1820,YEAR($B$2:$B$4001)&amp;"-"&amp;$A$2:$A$4001,0,-1)),9)</f>
        <v>4</v>
      </c>
      <c r="H1820" cm="1">
        <f t="array" ref="H1820">IF(OR(AND(G1820=9,H$1&gt;YEAR($N1820))),9,_xlfn.IFNA(INDEX($D$2:$D$4001,_xlfn.XMATCH(H$1&amp;"-"&amp;$F1820,YEAR($B$2:$B$4001)&amp;"-"&amp;$A$2:$A$4001,0,-1)),G1820))</f>
        <v>4</v>
      </c>
      <c r="I1820" cm="1">
        <f t="array" ref="I1820">IF(OR(AND(H1820=9,I$1&gt;YEAR($N1820))),9,_xlfn.IFNA(INDEX($D$2:$D$4001,_xlfn.XMATCH(I$1&amp;"-"&amp;$F1820,YEAR($B$2:$B$4001)&amp;"-"&amp;$A$2:$A$4001,0,-1)),H1820))</f>
        <v>4</v>
      </c>
      <c r="J1820" cm="1">
        <f t="array" ref="J1820">IF(OR(AND(I1820=9,J$1&gt;YEAR($N1820))),9,_xlfn.IFNA(INDEX($D$2:$D$4001,_xlfn.XMATCH(J$1&amp;"-"&amp;$F1820,YEAR($B$2:$B$4001)&amp;"-"&amp;$A$2:$A$4001,0,-1)),I1820))</f>
        <v>4</v>
      </c>
      <c r="K1820" cm="1">
        <f t="array" ref="K1820">IF(OR(AND(J1820=9,K$1&gt;YEAR($N1820))),9,_xlfn.IFNA(INDEX($D$2:$D$4001,_xlfn.XMATCH(K$1&amp;"-"&amp;$F1820,YEAR($B$2:$B$4001)&amp;"-"&amp;$A$2:$A$4001,0,-1)),J1820))</f>
        <v>4</v>
      </c>
      <c r="L1820" cm="1">
        <f t="array" ref="L1820">IF(OR(AND(K1820=9,L$1&gt;YEAR($N1820))),9,_xlfn.IFNA(INDEX($D$2:$D$4001,_xlfn.XMATCH(L$1&amp;"-"&amp;$F1820,YEAR($B$2:$B$4001)&amp;"-"&amp;$A$2:$A$4001,0,-1)),K1820))</f>
        <v>4</v>
      </c>
      <c r="M1820" cm="1">
        <f t="array" ref="M1820">IF(OR(AND(L1820=9,M$1&gt;YEAR($N1820))),9,_xlfn.IFNA(INDEX($D$2:$D$4001,_xlfn.XMATCH(M$1&amp;"-"&amp;$F1820,YEAR($B$2:$B$4001)&amp;"-"&amp;$A$2:$A$4001,0,-1)),L1820))</f>
        <v>4</v>
      </c>
      <c r="N1820" s="1">
        <f t="shared" si="28"/>
        <v>36301</v>
      </c>
    </row>
    <row r="1821" spans="1:14" x14ac:dyDescent="0.35">
      <c r="A1821">
        <v>855</v>
      </c>
      <c r="B1821" s="2">
        <v>37063</v>
      </c>
      <c r="C1821">
        <v>7</v>
      </c>
      <c r="D1821">
        <v>7</v>
      </c>
      <c r="F1821">
        <v>1820</v>
      </c>
      <c r="G1821" cm="1">
        <f t="array" ref="G1821">_xlfn.IFNA(INDEX($D$2:$D$4001,_xlfn.XMATCH(G$1&amp;"-"&amp;$F1821,YEAR($B$2:$B$4001)&amp;"-"&amp;$A$2:$A$4001,0,-1)),9)</f>
        <v>9</v>
      </c>
      <c r="H1821" cm="1">
        <f t="array" ref="H1821">IF(OR(AND(G1821=9,H$1&gt;YEAR($N1821))),9,_xlfn.IFNA(INDEX($D$2:$D$4001,_xlfn.XMATCH(H$1&amp;"-"&amp;$F1821,YEAR($B$2:$B$4001)&amp;"-"&amp;$A$2:$A$4001,0,-1)),G1821))</f>
        <v>9</v>
      </c>
      <c r="I1821" cm="1">
        <f t="array" ref="I1821">IF(OR(AND(H1821=9,I$1&gt;YEAR($N1821))),9,_xlfn.IFNA(INDEX($D$2:$D$4001,_xlfn.XMATCH(I$1&amp;"-"&amp;$F1821,YEAR($B$2:$B$4001)&amp;"-"&amp;$A$2:$A$4001,0,-1)),H1821))</f>
        <v>0</v>
      </c>
      <c r="J1821" cm="1">
        <f t="array" ref="J1821">IF(OR(AND(I1821=9,J$1&gt;YEAR($N1821))),9,_xlfn.IFNA(INDEX($D$2:$D$4001,_xlfn.XMATCH(J$1&amp;"-"&amp;$F1821,YEAR($B$2:$B$4001)&amp;"-"&amp;$A$2:$A$4001,0,-1)),I1821))</f>
        <v>0</v>
      </c>
      <c r="K1821" cm="1">
        <f t="array" ref="K1821">IF(OR(AND(J1821=9,K$1&gt;YEAR($N1821))),9,_xlfn.IFNA(INDEX($D$2:$D$4001,_xlfn.XMATCH(K$1&amp;"-"&amp;$F1821,YEAR($B$2:$B$4001)&amp;"-"&amp;$A$2:$A$4001,0,-1)),J1821))</f>
        <v>0</v>
      </c>
      <c r="L1821" cm="1">
        <f t="array" ref="L1821">IF(OR(AND(K1821=9,L$1&gt;YEAR($N1821))),9,_xlfn.IFNA(INDEX($D$2:$D$4001,_xlfn.XMATCH(L$1&amp;"-"&amp;$F1821,YEAR($B$2:$B$4001)&amp;"-"&amp;$A$2:$A$4001,0,-1)),K1821))</f>
        <v>0</v>
      </c>
      <c r="M1821" cm="1">
        <f t="array" ref="M1821">IF(OR(AND(L1821=9,M$1&gt;YEAR($N1821))),9,_xlfn.IFNA(INDEX($D$2:$D$4001,_xlfn.XMATCH(M$1&amp;"-"&amp;$F1821,YEAR($B$2:$B$4001)&amp;"-"&amp;$A$2:$A$4001,0,-1)),L1821))</f>
        <v>0</v>
      </c>
      <c r="N1821" s="1">
        <f t="shared" si="28"/>
        <v>37032</v>
      </c>
    </row>
    <row r="1822" spans="1:14" x14ac:dyDescent="0.35">
      <c r="A1822">
        <v>855</v>
      </c>
      <c r="B1822" s="2">
        <v>37590</v>
      </c>
      <c r="C1822">
        <v>0</v>
      </c>
      <c r="D1822">
        <v>0</v>
      </c>
      <c r="F1822">
        <v>1821</v>
      </c>
      <c r="G1822" cm="1">
        <f t="array" ref="G1822">_xlfn.IFNA(INDEX($D$2:$D$4001,_xlfn.XMATCH(G$1&amp;"-"&amp;$F1822,YEAR($B$2:$B$4001)&amp;"-"&amp;$A$2:$A$4001,0,-1)),9)</f>
        <v>9</v>
      </c>
      <c r="H1822" cm="1">
        <f t="array" ref="H1822">IF(OR(AND(G1822=9,H$1&gt;YEAR($N1822))),9,_xlfn.IFNA(INDEX($D$2:$D$4001,_xlfn.XMATCH(H$1&amp;"-"&amp;$F1822,YEAR($B$2:$B$4001)&amp;"-"&amp;$A$2:$A$4001,0,-1)),G1822))</f>
        <v>9</v>
      </c>
      <c r="I1822" cm="1">
        <f t="array" ref="I1822">IF(OR(AND(H1822=9,I$1&gt;YEAR($N1822))),9,_xlfn.IFNA(INDEX($D$2:$D$4001,_xlfn.XMATCH(I$1&amp;"-"&amp;$F1822,YEAR($B$2:$B$4001)&amp;"-"&amp;$A$2:$A$4001,0,-1)),H1822))</f>
        <v>9</v>
      </c>
      <c r="J1822" cm="1">
        <f t="array" ref="J1822">IF(OR(AND(I1822=9,J$1&gt;YEAR($N1822))),9,_xlfn.IFNA(INDEX($D$2:$D$4001,_xlfn.XMATCH(J$1&amp;"-"&amp;$F1822,YEAR($B$2:$B$4001)&amp;"-"&amp;$A$2:$A$4001,0,-1)),I1822))</f>
        <v>9</v>
      </c>
      <c r="K1822" cm="1">
        <f t="array" ref="K1822">IF(OR(AND(J1822=9,K$1&gt;YEAR($N1822))),9,_xlfn.IFNA(INDEX($D$2:$D$4001,_xlfn.XMATCH(K$1&amp;"-"&amp;$F1822,YEAR($B$2:$B$4001)&amp;"-"&amp;$A$2:$A$4001,0,-1)),J1822))</f>
        <v>9</v>
      </c>
      <c r="L1822" cm="1">
        <f t="array" ref="L1822">IF(OR(AND(K1822=9,L$1&gt;YEAR($N1822))),9,_xlfn.IFNA(INDEX($D$2:$D$4001,_xlfn.XMATCH(L$1&amp;"-"&amp;$F1822,YEAR($B$2:$B$4001)&amp;"-"&amp;$A$2:$A$4001,0,-1)),K1822))</f>
        <v>9</v>
      </c>
      <c r="M1822" cm="1">
        <f t="array" ref="M1822">IF(OR(AND(L1822=9,M$1&gt;YEAR($N1822))),9,_xlfn.IFNA(INDEX($D$2:$D$4001,_xlfn.XMATCH(M$1&amp;"-"&amp;$F1822,YEAR($B$2:$B$4001)&amp;"-"&amp;$A$2:$A$4001,0,-1)),L1822))</f>
        <v>5</v>
      </c>
      <c r="N1822" s="1">
        <f t="shared" si="28"/>
        <v>38493</v>
      </c>
    </row>
    <row r="1823" spans="1:14" x14ac:dyDescent="0.35">
      <c r="A1823">
        <v>856</v>
      </c>
      <c r="B1823" s="2">
        <v>36890</v>
      </c>
      <c r="C1823">
        <v>2</v>
      </c>
      <c r="D1823">
        <v>2</v>
      </c>
      <c r="F1823">
        <v>1822</v>
      </c>
      <c r="G1823" cm="1">
        <f t="array" ref="G1823">_xlfn.IFNA(INDEX($D$2:$D$4001,_xlfn.XMATCH(G$1&amp;"-"&amp;$F1823,YEAR($B$2:$B$4001)&amp;"-"&amp;$A$2:$A$4001,0,-1)),9)</f>
        <v>9</v>
      </c>
      <c r="H1823" cm="1">
        <f t="array" ref="H1823">IF(OR(AND(G1823=9,H$1&gt;YEAR($N1823))),9,_xlfn.IFNA(INDEX($D$2:$D$4001,_xlfn.XMATCH(H$1&amp;"-"&amp;$F1823,YEAR($B$2:$B$4001)&amp;"-"&amp;$A$2:$A$4001,0,-1)),G1823))</f>
        <v>4</v>
      </c>
      <c r="I1823" cm="1">
        <f t="array" ref="I1823">IF(OR(AND(H1823=9,I$1&gt;YEAR($N1823))),9,_xlfn.IFNA(INDEX($D$2:$D$4001,_xlfn.XMATCH(I$1&amp;"-"&amp;$F1823,YEAR($B$2:$B$4001)&amp;"-"&amp;$A$2:$A$4001,0,-1)),H1823))</f>
        <v>4</v>
      </c>
      <c r="J1823" cm="1">
        <f t="array" ref="J1823">IF(OR(AND(I1823=9,J$1&gt;YEAR($N1823))),9,_xlfn.IFNA(INDEX($D$2:$D$4001,_xlfn.XMATCH(J$1&amp;"-"&amp;$F1823,YEAR($B$2:$B$4001)&amp;"-"&amp;$A$2:$A$4001,0,-1)),I1823))</f>
        <v>4</v>
      </c>
      <c r="K1823" cm="1">
        <f t="array" ref="K1823">IF(OR(AND(J1823=9,K$1&gt;YEAR($N1823))),9,_xlfn.IFNA(INDEX($D$2:$D$4001,_xlfn.XMATCH(K$1&amp;"-"&amp;$F1823,YEAR($B$2:$B$4001)&amp;"-"&amp;$A$2:$A$4001,0,-1)),J1823))</f>
        <v>4</v>
      </c>
      <c r="L1823" cm="1">
        <f t="array" ref="L1823">IF(OR(AND(K1823=9,L$1&gt;YEAR($N1823))),9,_xlfn.IFNA(INDEX($D$2:$D$4001,_xlfn.XMATCH(L$1&amp;"-"&amp;$F1823,YEAR($B$2:$B$4001)&amp;"-"&amp;$A$2:$A$4001,0,-1)),K1823))</f>
        <v>4</v>
      </c>
      <c r="M1823" cm="1">
        <f t="array" ref="M1823">IF(OR(AND(L1823=9,M$1&gt;YEAR($N1823))),9,_xlfn.IFNA(INDEX($D$2:$D$4001,_xlfn.XMATCH(M$1&amp;"-"&amp;$F1823,YEAR($B$2:$B$4001)&amp;"-"&amp;$A$2:$A$4001,0,-1)),L1823))</f>
        <v>4</v>
      </c>
      <c r="N1823" s="1">
        <f t="shared" si="28"/>
        <v>36890</v>
      </c>
    </row>
    <row r="1824" spans="1:14" x14ac:dyDescent="0.35">
      <c r="A1824">
        <v>856</v>
      </c>
      <c r="B1824" s="2">
        <v>37620</v>
      </c>
      <c r="C1824">
        <v>2</v>
      </c>
      <c r="D1824">
        <v>2</v>
      </c>
      <c r="F1824">
        <v>1823</v>
      </c>
      <c r="G1824" cm="1">
        <f t="array" ref="G1824">_xlfn.IFNA(INDEX($D$2:$D$4001,_xlfn.XMATCH(G$1&amp;"-"&amp;$F1824,YEAR($B$2:$B$4001)&amp;"-"&amp;$A$2:$A$4001,0,-1)),9)</f>
        <v>9</v>
      </c>
      <c r="H1824" cm="1">
        <f t="array" ref="H1824">IF(OR(AND(G1824=9,H$1&gt;YEAR($N1824))),9,_xlfn.IFNA(INDEX($D$2:$D$4001,_xlfn.XMATCH(H$1&amp;"-"&amp;$F1824,YEAR($B$2:$B$4001)&amp;"-"&amp;$A$2:$A$4001,0,-1)),G1824))</f>
        <v>9</v>
      </c>
      <c r="I1824" cm="1">
        <f t="array" ref="I1824">IF(OR(AND(H1824=9,I$1&gt;YEAR($N1824))),9,_xlfn.IFNA(INDEX($D$2:$D$4001,_xlfn.XMATCH(I$1&amp;"-"&amp;$F1824,YEAR($B$2:$B$4001)&amp;"-"&amp;$A$2:$A$4001,0,-1)),H1824))</f>
        <v>9</v>
      </c>
      <c r="J1824" cm="1">
        <f t="array" ref="J1824">IF(OR(AND(I1824=9,J$1&gt;YEAR($N1824))),9,_xlfn.IFNA(INDEX($D$2:$D$4001,_xlfn.XMATCH(J$1&amp;"-"&amp;$F1824,YEAR($B$2:$B$4001)&amp;"-"&amp;$A$2:$A$4001,0,-1)),I1824))</f>
        <v>4</v>
      </c>
      <c r="K1824" cm="1">
        <f t="array" ref="K1824">IF(OR(AND(J1824=9,K$1&gt;YEAR($N1824))),9,_xlfn.IFNA(INDEX($D$2:$D$4001,_xlfn.XMATCH(K$1&amp;"-"&amp;$F1824,YEAR($B$2:$B$4001)&amp;"-"&amp;$A$2:$A$4001,0,-1)),J1824))</f>
        <v>4</v>
      </c>
      <c r="L1824" cm="1">
        <f t="array" ref="L1824">IF(OR(AND(K1824=9,L$1&gt;YEAR($N1824))),9,_xlfn.IFNA(INDEX($D$2:$D$4001,_xlfn.XMATCH(L$1&amp;"-"&amp;$F1824,YEAR($B$2:$B$4001)&amp;"-"&amp;$A$2:$A$4001,0,-1)),K1824))</f>
        <v>4</v>
      </c>
      <c r="M1824" cm="1">
        <f t="array" ref="M1824">IF(OR(AND(L1824=9,M$1&gt;YEAR($N1824))),9,_xlfn.IFNA(INDEX($D$2:$D$4001,_xlfn.XMATCH(M$1&amp;"-"&amp;$F1824,YEAR($B$2:$B$4001)&amp;"-"&amp;$A$2:$A$4001,0,-1)),L1824))</f>
        <v>4</v>
      </c>
      <c r="N1824" s="1">
        <f t="shared" si="28"/>
        <v>37406</v>
      </c>
    </row>
    <row r="1825" spans="1:14" x14ac:dyDescent="0.35">
      <c r="A1825">
        <v>857</v>
      </c>
      <c r="B1825" s="2">
        <v>36301</v>
      </c>
      <c r="C1825">
        <v>0</v>
      </c>
      <c r="D1825">
        <v>0</v>
      </c>
      <c r="F1825">
        <v>1824</v>
      </c>
      <c r="G1825" cm="1">
        <f t="array" ref="G1825">_xlfn.IFNA(INDEX($D$2:$D$4001,_xlfn.XMATCH(G$1&amp;"-"&amp;$F1825,YEAR($B$2:$B$4001)&amp;"-"&amp;$A$2:$A$4001,0,-1)),9)</f>
        <v>9</v>
      </c>
      <c r="H1825" cm="1">
        <f t="array" ref="H1825">IF(OR(AND(G1825=9,H$1&gt;YEAR($N1825))),9,_xlfn.IFNA(INDEX($D$2:$D$4001,_xlfn.XMATCH(H$1&amp;"-"&amp;$F1825,YEAR($B$2:$B$4001)&amp;"-"&amp;$A$2:$A$4001,0,-1)),G1825))</f>
        <v>9</v>
      </c>
      <c r="I1825" cm="1">
        <f t="array" ref="I1825">IF(OR(AND(H1825=9,I$1&gt;YEAR($N1825))),9,_xlfn.IFNA(INDEX($D$2:$D$4001,_xlfn.XMATCH(I$1&amp;"-"&amp;$F1825,YEAR($B$2:$B$4001)&amp;"-"&amp;$A$2:$A$4001,0,-1)),H1825))</f>
        <v>2</v>
      </c>
      <c r="J1825" cm="1">
        <f t="array" ref="J1825">IF(OR(AND(I1825=9,J$1&gt;YEAR($N1825))),9,_xlfn.IFNA(INDEX($D$2:$D$4001,_xlfn.XMATCH(J$1&amp;"-"&amp;$F1825,YEAR($B$2:$B$4001)&amp;"-"&amp;$A$2:$A$4001,0,-1)),I1825))</f>
        <v>2</v>
      </c>
      <c r="K1825" cm="1">
        <f t="array" ref="K1825">IF(OR(AND(J1825=9,K$1&gt;YEAR($N1825))),9,_xlfn.IFNA(INDEX($D$2:$D$4001,_xlfn.XMATCH(K$1&amp;"-"&amp;$F1825,YEAR($B$2:$B$4001)&amp;"-"&amp;$A$2:$A$4001,0,-1)),J1825))</f>
        <v>2</v>
      </c>
      <c r="L1825" cm="1">
        <f t="array" ref="L1825">IF(OR(AND(K1825=9,L$1&gt;YEAR($N1825))),9,_xlfn.IFNA(INDEX($D$2:$D$4001,_xlfn.XMATCH(L$1&amp;"-"&amp;$F1825,YEAR($B$2:$B$4001)&amp;"-"&amp;$A$2:$A$4001,0,-1)),K1825))</f>
        <v>2</v>
      </c>
      <c r="M1825" cm="1">
        <f t="array" ref="M1825">IF(OR(AND(L1825=9,M$1&gt;YEAR($N1825))),9,_xlfn.IFNA(INDEX($D$2:$D$4001,_xlfn.XMATCH(M$1&amp;"-"&amp;$F1825,YEAR($B$2:$B$4001)&amp;"-"&amp;$A$2:$A$4001,0,-1)),L1825))</f>
        <v>2</v>
      </c>
      <c r="N1825" s="1">
        <f t="shared" si="28"/>
        <v>37036</v>
      </c>
    </row>
    <row r="1826" spans="1:14" x14ac:dyDescent="0.35">
      <c r="A1826">
        <v>857</v>
      </c>
      <c r="B1826" s="2">
        <v>36524</v>
      </c>
      <c r="C1826">
        <v>5</v>
      </c>
      <c r="D1826">
        <v>5</v>
      </c>
      <c r="F1826">
        <v>1825</v>
      </c>
      <c r="G1826" cm="1">
        <f t="array" ref="G1826">_xlfn.IFNA(INDEX($D$2:$D$4001,_xlfn.XMATCH(G$1&amp;"-"&amp;$F1826,YEAR($B$2:$B$4001)&amp;"-"&amp;$A$2:$A$4001,0,-1)),9)</f>
        <v>9</v>
      </c>
      <c r="H1826" cm="1">
        <f t="array" ref="H1826">IF(OR(AND(G1826=9,H$1&gt;YEAR($N1826))),9,_xlfn.IFNA(INDEX($D$2:$D$4001,_xlfn.XMATCH(H$1&amp;"-"&amp;$F1826,YEAR($B$2:$B$4001)&amp;"-"&amp;$A$2:$A$4001,0,-1)),G1826))</f>
        <v>9</v>
      </c>
      <c r="I1826" cm="1">
        <f t="array" ref="I1826">IF(OR(AND(H1826=9,I$1&gt;YEAR($N1826))),9,_xlfn.IFNA(INDEX($D$2:$D$4001,_xlfn.XMATCH(I$1&amp;"-"&amp;$F1826,YEAR($B$2:$B$4001)&amp;"-"&amp;$A$2:$A$4001,0,-1)),H1826))</f>
        <v>2</v>
      </c>
      <c r="J1826" cm="1">
        <f t="array" ref="J1826">IF(OR(AND(I1826=9,J$1&gt;YEAR($N1826))),9,_xlfn.IFNA(INDEX($D$2:$D$4001,_xlfn.XMATCH(J$1&amp;"-"&amp;$F1826,YEAR($B$2:$B$4001)&amp;"-"&amp;$A$2:$A$4001,0,-1)),I1826))</f>
        <v>0</v>
      </c>
      <c r="K1826" cm="1">
        <f t="array" ref="K1826">IF(OR(AND(J1826=9,K$1&gt;YEAR($N1826))),9,_xlfn.IFNA(INDEX($D$2:$D$4001,_xlfn.XMATCH(K$1&amp;"-"&amp;$F1826,YEAR($B$2:$B$4001)&amp;"-"&amp;$A$2:$A$4001,0,-1)),J1826))</f>
        <v>0</v>
      </c>
      <c r="L1826" cm="1">
        <f t="array" ref="L1826">IF(OR(AND(K1826=9,L$1&gt;YEAR($N1826))),9,_xlfn.IFNA(INDEX($D$2:$D$4001,_xlfn.XMATCH(L$1&amp;"-"&amp;$F1826,YEAR($B$2:$B$4001)&amp;"-"&amp;$A$2:$A$4001,0,-1)),K1826))</f>
        <v>0</v>
      </c>
      <c r="M1826" cm="1">
        <f t="array" ref="M1826">IF(OR(AND(L1826=9,M$1&gt;YEAR($N1826))),9,_xlfn.IFNA(INDEX($D$2:$D$4001,_xlfn.XMATCH(M$1&amp;"-"&amp;$F1826,YEAR($B$2:$B$4001)&amp;"-"&amp;$A$2:$A$4001,0,-1)),L1826))</f>
        <v>0</v>
      </c>
      <c r="N1826" s="1">
        <f t="shared" si="28"/>
        <v>37063</v>
      </c>
    </row>
    <row r="1827" spans="1:14" x14ac:dyDescent="0.35">
      <c r="A1827">
        <v>857</v>
      </c>
      <c r="B1827" s="2">
        <v>38625</v>
      </c>
      <c r="C1827">
        <v>5</v>
      </c>
      <c r="D1827">
        <v>5</v>
      </c>
      <c r="F1827">
        <v>1826</v>
      </c>
      <c r="G1827" cm="1">
        <f t="array" ref="G1827">_xlfn.IFNA(INDEX($D$2:$D$4001,_xlfn.XMATCH(G$1&amp;"-"&amp;$F1827,YEAR($B$2:$B$4001)&amp;"-"&amp;$A$2:$A$4001,0,-1)),9)</f>
        <v>9</v>
      </c>
      <c r="H1827" cm="1">
        <f t="array" ref="H1827">IF(OR(AND(G1827=9,H$1&gt;YEAR($N1827))),9,_xlfn.IFNA(INDEX($D$2:$D$4001,_xlfn.XMATCH(H$1&amp;"-"&amp;$F1827,YEAR($B$2:$B$4001)&amp;"-"&amp;$A$2:$A$4001,0,-1)),G1827))</f>
        <v>9</v>
      </c>
      <c r="I1827" cm="1">
        <f t="array" ref="I1827">IF(OR(AND(H1827=9,I$1&gt;YEAR($N1827))),9,_xlfn.IFNA(INDEX($D$2:$D$4001,_xlfn.XMATCH(I$1&amp;"-"&amp;$F1827,YEAR($B$2:$B$4001)&amp;"-"&amp;$A$2:$A$4001,0,-1)),H1827))</f>
        <v>9</v>
      </c>
      <c r="J1827" cm="1">
        <f t="array" ref="J1827">IF(OR(AND(I1827=9,J$1&gt;YEAR($N1827))),9,_xlfn.IFNA(INDEX($D$2:$D$4001,_xlfn.XMATCH(J$1&amp;"-"&amp;$F1827,YEAR($B$2:$B$4001)&amp;"-"&amp;$A$2:$A$4001,0,-1)),I1827))</f>
        <v>9</v>
      </c>
      <c r="K1827" cm="1">
        <f t="array" ref="K1827">IF(OR(AND(J1827=9,K$1&gt;YEAR($N1827))),9,_xlfn.IFNA(INDEX($D$2:$D$4001,_xlfn.XMATCH(K$1&amp;"-"&amp;$F1827,YEAR($B$2:$B$4001)&amp;"-"&amp;$A$2:$A$4001,0,-1)),J1827))</f>
        <v>9</v>
      </c>
      <c r="L1827" cm="1">
        <f t="array" ref="L1827">IF(OR(AND(K1827=9,L$1&gt;YEAR($N1827))),9,_xlfn.IFNA(INDEX($D$2:$D$4001,_xlfn.XMATCH(L$1&amp;"-"&amp;$F1827,YEAR($B$2:$B$4001)&amp;"-"&amp;$A$2:$A$4001,0,-1)),K1827))</f>
        <v>9</v>
      </c>
      <c r="M1827" cm="1">
        <f t="array" ref="M1827">IF(OR(AND(L1827=9,M$1&gt;YEAR($N1827))),9,_xlfn.IFNA(INDEX($D$2:$D$4001,_xlfn.XMATCH(M$1&amp;"-"&amp;$F1827,YEAR($B$2:$B$4001)&amp;"-"&amp;$A$2:$A$4001,0,-1)),L1827))</f>
        <v>2</v>
      </c>
      <c r="N1827" s="1">
        <f t="shared" si="28"/>
        <v>38625</v>
      </c>
    </row>
    <row r="1828" spans="1:14" x14ac:dyDescent="0.35">
      <c r="A1828">
        <v>858</v>
      </c>
      <c r="B1828" s="2">
        <v>37406</v>
      </c>
      <c r="C1828">
        <v>3</v>
      </c>
      <c r="D1828">
        <v>3</v>
      </c>
      <c r="F1828">
        <v>1827</v>
      </c>
      <c r="G1828" cm="1">
        <f t="array" ref="G1828">_xlfn.IFNA(INDEX($D$2:$D$4001,_xlfn.XMATCH(G$1&amp;"-"&amp;$F1828,YEAR($B$2:$B$4001)&amp;"-"&amp;$A$2:$A$4001,0,-1)),9)</f>
        <v>9</v>
      </c>
      <c r="H1828" cm="1">
        <f t="array" ref="H1828">IF(OR(AND(G1828=9,H$1&gt;YEAR($N1828))),9,_xlfn.IFNA(INDEX($D$2:$D$4001,_xlfn.XMATCH(H$1&amp;"-"&amp;$F1828,YEAR($B$2:$B$4001)&amp;"-"&amp;$A$2:$A$4001,0,-1)),G1828))</f>
        <v>0</v>
      </c>
      <c r="I1828" cm="1">
        <f t="array" ref="I1828">IF(OR(AND(H1828=9,I$1&gt;YEAR($N1828))),9,_xlfn.IFNA(INDEX($D$2:$D$4001,_xlfn.XMATCH(I$1&amp;"-"&amp;$F1828,YEAR($B$2:$B$4001)&amp;"-"&amp;$A$2:$A$4001,0,-1)),H1828))</f>
        <v>0</v>
      </c>
      <c r="J1828" cm="1">
        <f t="array" ref="J1828">IF(OR(AND(I1828=9,J$1&gt;YEAR($N1828))),9,_xlfn.IFNA(INDEX($D$2:$D$4001,_xlfn.XMATCH(J$1&amp;"-"&amp;$F1828,YEAR($B$2:$B$4001)&amp;"-"&amp;$A$2:$A$4001,0,-1)),I1828))</f>
        <v>0</v>
      </c>
      <c r="K1828" cm="1">
        <f t="array" ref="K1828">IF(OR(AND(J1828=9,K$1&gt;YEAR($N1828))),9,_xlfn.IFNA(INDEX($D$2:$D$4001,_xlfn.XMATCH(K$1&amp;"-"&amp;$F1828,YEAR($B$2:$B$4001)&amp;"-"&amp;$A$2:$A$4001,0,-1)),J1828))</f>
        <v>0</v>
      </c>
      <c r="L1828" cm="1">
        <f t="array" ref="L1828">IF(OR(AND(K1828=9,L$1&gt;YEAR($N1828))),9,_xlfn.IFNA(INDEX($D$2:$D$4001,_xlfn.XMATCH(L$1&amp;"-"&amp;$F1828,YEAR($B$2:$B$4001)&amp;"-"&amp;$A$2:$A$4001,0,-1)),K1828))</f>
        <v>0</v>
      </c>
      <c r="M1828" cm="1">
        <f t="array" ref="M1828">IF(OR(AND(L1828=9,M$1&gt;YEAR($N1828))),9,_xlfn.IFNA(INDEX($D$2:$D$4001,_xlfn.XMATCH(M$1&amp;"-"&amp;$F1828,YEAR($B$2:$B$4001)&amp;"-"&amp;$A$2:$A$4001,0,-1)),L1828))</f>
        <v>0</v>
      </c>
      <c r="N1828" s="1">
        <f t="shared" si="28"/>
        <v>36890</v>
      </c>
    </row>
    <row r="1829" spans="1:14" x14ac:dyDescent="0.35">
      <c r="A1829">
        <v>859</v>
      </c>
      <c r="B1829" s="2">
        <v>36676</v>
      </c>
      <c r="C1829">
        <v>2</v>
      </c>
      <c r="D1829">
        <v>2</v>
      </c>
      <c r="F1829">
        <v>1828</v>
      </c>
      <c r="G1829" cm="1">
        <f t="array" ref="G1829">_xlfn.IFNA(INDEX($D$2:$D$4001,_xlfn.XMATCH(G$1&amp;"-"&amp;$F1829,YEAR($B$2:$B$4001)&amp;"-"&amp;$A$2:$A$4001,0,-1)),9)</f>
        <v>4</v>
      </c>
      <c r="H1829" cm="1">
        <f t="array" ref="H1829">IF(OR(AND(G1829=9,H$1&gt;YEAR($N1829))),9,_xlfn.IFNA(INDEX($D$2:$D$4001,_xlfn.XMATCH(H$1&amp;"-"&amp;$F1829,YEAR($B$2:$B$4001)&amp;"-"&amp;$A$2:$A$4001,0,-1)),G1829))</f>
        <v>0</v>
      </c>
      <c r="I1829" cm="1">
        <f t="array" ref="I1829">IF(OR(AND(H1829=9,I$1&gt;YEAR($N1829))),9,_xlfn.IFNA(INDEX($D$2:$D$4001,_xlfn.XMATCH(I$1&amp;"-"&amp;$F1829,YEAR($B$2:$B$4001)&amp;"-"&amp;$A$2:$A$4001,0,-1)),H1829))</f>
        <v>0</v>
      </c>
      <c r="J1829" cm="1">
        <f t="array" ref="J1829">IF(OR(AND(I1829=9,J$1&gt;YEAR($N1829))),9,_xlfn.IFNA(INDEX($D$2:$D$4001,_xlfn.XMATCH(J$1&amp;"-"&amp;$F1829,YEAR($B$2:$B$4001)&amp;"-"&amp;$A$2:$A$4001,0,-1)),I1829))</f>
        <v>0</v>
      </c>
      <c r="K1829" cm="1">
        <f t="array" ref="K1829">IF(OR(AND(J1829=9,K$1&gt;YEAR($N1829))),9,_xlfn.IFNA(INDEX($D$2:$D$4001,_xlfn.XMATCH(K$1&amp;"-"&amp;$F1829,YEAR($B$2:$B$4001)&amp;"-"&amp;$A$2:$A$4001,0,-1)),J1829))</f>
        <v>0</v>
      </c>
      <c r="L1829" cm="1">
        <f t="array" ref="L1829">IF(OR(AND(K1829=9,L$1&gt;YEAR($N1829))),9,_xlfn.IFNA(INDEX($D$2:$D$4001,_xlfn.XMATCH(L$1&amp;"-"&amp;$F1829,YEAR($B$2:$B$4001)&amp;"-"&amp;$A$2:$A$4001,0,-1)),K1829))</f>
        <v>0</v>
      </c>
      <c r="M1829" cm="1">
        <f t="array" ref="M1829">IF(OR(AND(L1829=9,M$1&gt;YEAR($N1829))),9,_xlfn.IFNA(INDEX($D$2:$D$4001,_xlfn.XMATCH(M$1&amp;"-"&amp;$F1829,YEAR($B$2:$B$4001)&amp;"-"&amp;$A$2:$A$4001,0,-1)),L1829))</f>
        <v>0</v>
      </c>
      <c r="N1829" s="1">
        <f t="shared" si="28"/>
        <v>36454</v>
      </c>
    </row>
    <row r="1830" spans="1:14" x14ac:dyDescent="0.35">
      <c r="A1830">
        <v>859</v>
      </c>
      <c r="B1830" s="2">
        <v>37406</v>
      </c>
      <c r="C1830">
        <v>0</v>
      </c>
      <c r="D1830">
        <v>0</v>
      </c>
      <c r="F1830">
        <v>1829</v>
      </c>
      <c r="G1830" cm="1">
        <f t="array" ref="G1830">_xlfn.IFNA(INDEX($D$2:$D$4001,_xlfn.XMATCH(G$1&amp;"-"&amp;$F1830,YEAR($B$2:$B$4001)&amp;"-"&amp;$A$2:$A$4001,0,-1)),9)</f>
        <v>4</v>
      </c>
      <c r="H1830" cm="1">
        <f t="array" ref="H1830">IF(OR(AND(G1830=9,H$1&gt;YEAR($N1830))),9,_xlfn.IFNA(INDEX($D$2:$D$4001,_xlfn.XMATCH(H$1&amp;"-"&amp;$F1830,YEAR($B$2:$B$4001)&amp;"-"&amp;$A$2:$A$4001,0,-1)),G1830))</f>
        <v>3</v>
      </c>
      <c r="I1830" cm="1">
        <f t="array" ref="I1830">IF(OR(AND(H1830=9,I$1&gt;YEAR($N1830))),9,_xlfn.IFNA(INDEX($D$2:$D$4001,_xlfn.XMATCH(I$1&amp;"-"&amp;$F1830,YEAR($B$2:$B$4001)&amp;"-"&amp;$A$2:$A$4001,0,-1)),H1830))</f>
        <v>3</v>
      </c>
      <c r="J1830" cm="1">
        <f t="array" ref="J1830">IF(OR(AND(I1830=9,J$1&gt;YEAR($N1830))),9,_xlfn.IFNA(INDEX($D$2:$D$4001,_xlfn.XMATCH(J$1&amp;"-"&amp;$F1830,YEAR($B$2:$B$4001)&amp;"-"&amp;$A$2:$A$4001,0,-1)),I1830))</f>
        <v>3</v>
      </c>
      <c r="K1830" cm="1">
        <f t="array" ref="K1830">IF(OR(AND(J1830=9,K$1&gt;YEAR($N1830))),9,_xlfn.IFNA(INDEX($D$2:$D$4001,_xlfn.XMATCH(K$1&amp;"-"&amp;$F1830,YEAR($B$2:$B$4001)&amp;"-"&amp;$A$2:$A$4001,0,-1)),J1830))</f>
        <v>3</v>
      </c>
      <c r="L1830" cm="1">
        <f t="array" ref="L1830">IF(OR(AND(K1830=9,L$1&gt;YEAR($N1830))),9,_xlfn.IFNA(INDEX($D$2:$D$4001,_xlfn.XMATCH(L$1&amp;"-"&amp;$F1830,YEAR($B$2:$B$4001)&amp;"-"&amp;$A$2:$A$4001,0,-1)),K1830))</f>
        <v>3</v>
      </c>
      <c r="M1830" cm="1">
        <f t="array" ref="M1830">IF(OR(AND(L1830=9,M$1&gt;YEAR($N1830))),9,_xlfn.IFNA(INDEX($D$2:$D$4001,_xlfn.XMATCH(M$1&amp;"-"&amp;$F1830,YEAR($B$2:$B$4001)&amp;"-"&amp;$A$2:$A$4001,0,-1)),L1830))</f>
        <v>3</v>
      </c>
      <c r="N1830" s="1">
        <f t="shared" si="28"/>
        <v>36524</v>
      </c>
    </row>
    <row r="1831" spans="1:14" x14ac:dyDescent="0.35">
      <c r="A1831">
        <v>860</v>
      </c>
      <c r="B1831" s="2">
        <v>37225</v>
      </c>
      <c r="C1831">
        <v>4</v>
      </c>
      <c r="D1831">
        <v>4</v>
      </c>
    </row>
    <row r="1832" spans="1:14" x14ac:dyDescent="0.35">
      <c r="A1832">
        <v>860</v>
      </c>
      <c r="B1832" s="2">
        <v>37397</v>
      </c>
      <c r="C1832">
        <v>4</v>
      </c>
      <c r="D1832">
        <v>4</v>
      </c>
    </row>
    <row r="1833" spans="1:14" x14ac:dyDescent="0.35">
      <c r="A1833">
        <v>861</v>
      </c>
      <c r="B1833" s="2">
        <v>37620</v>
      </c>
      <c r="C1833">
        <v>0</v>
      </c>
      <c r="D1833">
        <v>0</v>
      </c>
    </row>
    <row r="1834" spans="1:14" x14ac:dyDescent="0.35">
      <c r="A1834">
        <v>862</v>
      </c>
      <c r="B1834" s="2">
        <v>36332</v>
      </c>
      <c r="C1834">
        <v>3</v>
      </c>
      <c r="D1834">
        <v>3</v>
      </c>
    </row>
    <row r="1835" spans="1:14" x14ac:dyDescent="0.35">
      <c r="A1835">
        <v>862</v>
      </c>
      <c r="B1835" s="2">
        <v>37620</v>
      </c>
      <c r="C1835">
        <v>0</v>
      </c>
      <c r="D1835">
        <v>0</v>
      </c>
    </row>
    <row r="1836" spans="1:14" x14ac:dyDescent="0.35">
      <c r="A1836">
        <v>863</v>
      </c>
      <c r="B1836" s="2">
        <v>36764</v>
      </c>
      <c r="C1836">
        <v>3</v>
      </c>
      <c r="D1836">
        <v>3</v>
      </c>
    </row>
    <row r="1837" spans="1:14" x14ac:dyDescent="0.35">
      <c r="A1837">
        <v>863</v>
      </c>
      <c r="B1837" s="2">
        <v>37762</v>
      </c>
      <c r="C1837">
        <v>3</v>
      </c>
      <c r="D1837">
        <v>3</v>
      </c>
    </row>
    <row r="1838" spans="1:14" x14ac:dyDescent="0.35">
      <c r="A1838">
        <v>864</v>
      </c>
      <c r="B1838" s="2">
        <v>36890</v>
      </c>
      <c r="C1838">
        <v>3</v>
      </c>
      <c r="D1838">
        <v>3</v>
      </c>
    </row>
    <row r="1839" spans="1:14" x14ac:dyDescent="0.35">
      <c r="A1839">
        <v>864</v>
      </c>
      <c r="B1839" s="2">
        <v>37620</v>
      </c>
      <c r="C1839">
        <v>4</v>
      </c>
      <c r="D1839">
        <v>4</v>
      </c>
    </row>
    <row r="1840" spans="1:14" x14ac:dyDescent="0.35">
      <c r="A1840">
        <v>865</v>
      </c>
      <c r="B1840" s="2">
        <v>38312</v>
      </c>
      <c r="C1840">
        <v>4</v>
      </c>
      <c r="D1840">
        <v>4</v>
      </c>
    </row>
    <row r="1841" spans="1:4" x14ac:dyDescent="0.35">
      <c r="A1841">
        <v>865</v>
      </c>
      <c r="B1841" s="2">
        <v>38494</v>
      </c>
      <c r="C1841">
        <v>4</v>
      </c>
      <c r="D1841">
        <v>4</v>
      </c>
    </row>
    <row r="1842" spans="1:4" x14ac:dyDescent="0.35">
      <c r="A1842">
        <v>866</v>
      </c>
      <c r="B1842" s="2">
        <v>37762</v>
      </c>
      <c r="C1842">
        <v>3</v>
      </c>
      <c r="D1842">
        <v>3</v>
      </c>
    </row>
    <row r="1843" spans="1:4" x14ac:dyDescent="0.35">
      <c r="A1843">
        <v>866</v>
      </c>
      <c r="B1843" s="2">
        <v>38351</v>
      </c>
      <c r="C1843">
        <v>4</v>
      </c>
      <c r="D1843">
        <v>4</v>
      </c>
    </row>
    <row r="1844" spans="1:4" x14ac:dyDescent="0.35">
      <c r="A1844">
        <v>866</v>
      </c>
      <c r="B1844" s="2">
        <v>38716</v>
      </c>
      <c r="C1844">
        <v>4</v>
      </c>
      <c r="D1844">
        <v>4</v>
      </c>
    </row>
    <row r="1845" spans="1:4" x14ac:dyDescent="0.35">
      <c r="A1845">
        <v>867</v>
      </c>
      <c r="B1845" s="2">
        <v>36667</v>
      </c>
      <c r="C1845">
        <v>0</v>
      </c>
      <c r="D1845">
        <v>0</v>
      </c>
    </row>
    <row r="1846" spans="1:4" x14ac:dyDescent="0.35">
      <c r="A1846">
        <v>868</v>
      </c>
      <c r="B1846" s="2">
        <v>38198</v>
      </c>
      <c r="C1846">
        <v>4</v>
      </c>
      <c r="D1846">
        <v>4</v>
      </c>
    </row>
    <row r="1847" spans="1:4" x14ac:dyDescent="0.35">
      <c r="A1847">
        <v>868</v>
      </c>
      <c r="B1847" s="2">
        <v>38686</v>
      </c>
      <c r="C1847">
        <v>4</v>
      </c>
      <c r="D1847">
        <v>4</v>
      </c>
    </row>
    <row r="1848" spans="1:4" x14ac:dyDescent="0.35">
      <c r="A1848">
        <v>869</v>
      </c>
      <c r="B1848" s="2">
        <v>37762</v>
      </c>
      <c r="C1848">
        <v>3</v>
      </c>
      <c r="D1848">
        <v>3</v>
      </c>
    </row>
    <row r="1849" spans="1:4" x14ac:dyDescent="0.35">
      <c r="A1849">
        <v>869</v>
      </c>
      <c r="B1849" s="2">
        <v>38351</v>
      </c>
      <c r="C1849">
        <v>4</v>
      </c>
      <c r="D1849">
        <v>4</v>
      </c>
    </row>
    <row r="1850" spans="1:4" x14ac:dyDescent="0.35">
      <c r="A1850">
        <v>870</v>
      </c>
      <c r="B1850" s="2">
        <v>36890</v>
      </c>
      <c r="C1850">
        <v>4</v>
      </c>
      <c r="D1850">
        <v>4</v>
      </c>
    </row>
    <row r="1851" spans="1:4" x14ac:dyDescent="0.35">
      <c r="A1851">
        <v>870</v>
      </c>
      <c r="B1851" s="2">
        <v>37255</v>
      </c>
      <c r="C1851">
        <v>4</v>
      </c>
      <c r="D1851">
        <v>4</v>
      </c>
    </row>
    <row r="1852" spans="1:4" x14ac:dyDescent="0.35">
      <c r="A1852">
        <v>870</v>
      </c>
      <c r="B1852" s="2">
        <v>38128</v>
      </c>
      <c r="C1852">
        <v>4</v>
      </c>
      <c r="D1852">
        <v>4</v>
      </c>
    </row>
    <row r="1853" spans="1:4" x14ac:dyDescent="0.35">
      <c r="A1853">
        <v>871</v>
      </c>
      <c r="B1853" s="2">
        <v>36341</v>
      </c>
      <c r="C1853">
        <v>5</v>
      </c>
      <c r="D1853">
        <v>5</v>
      </c>
    </row>
    <row r="1854" spans="1:4" x14ac:dyDescent="0.35">
      <c r="A1854">
        <v>871</v>
      </c>
      <c r="B1854" s="2">
        <v>37397</v>
      </c>
      <c r="C1854">
        <v>0</v>
      </c>
      <c r="D1854">
        <v>0</v>
      </c>
    </row>
    <row r="1855" spans="1:4" x14ac:dyDescent="0.35">
      <c r="A1855">
        <v>872</v>
      </c>
      <c r="B1855" s="2">
        <v>36890</v>
      </c>
      <c r="C1855">
        <v>2</v>
      </c>
      <c r="D1855">
        <v>2</v>
      </c>
    </row>
    <row r="1856" spans="1:4" x14ac:dyDescent="0.35">
      <c r="A1856">
        <v>872</v>
      </c>
      <c r="B1856" s="2">
        <v>37437</v>
      </c>
      <c r="C1856">
        <v>3</v>
      </c>
      <c r="D1856">
        <v>3</v>
      </c>
    </row>
    <row r="1857" spans="1:4" x14ac:dyDescent="0.35">
      <c r="A1857">
        <v>873</v>
      </c>
      <c r="B1857" s="2">
        <v>36890</v>
      </c>
      <c r="C1857">
        <v>3</v>
      </c>
      <c r="D1857">
        <v>3</v>
      </c>
    </row>
    <row r="1858" spans="1:4" x14ac:dyDescent="0.35">
      <c r="A1858">
        <v>873</v>
      </c>
      <c r="B1858" s="2">
        <v>37620</v>
      </c>
      <c r="C1858">
        <v>3</v>
      </c>
      <c r="D1858">
        <v>3</v>
      </c>
    </row>
    <row r="1859" spans="1:4" x14ac:dyDescent="0.35">
      <c r="A1859">
        <v>874</v>
      </c>
      <c r="B1859" s="2">
        <v>36676</v>
      </c>
      <c r="C1859">
        <v>2</v>
      </c>
      <c r="D1859">
        <v>2</v>
      </c>
    </row>
    <row r="1860" spans="1:4" x14ac:dyDescent="0.35">
      <c r="A1860">
        <v>874</v>
      </c>
      <c r="B1860" s="2">
        <v>37620</v>
      </c>
      <c r="C1860">
        <v>3</v>
      </c>
      <c r="D1860">
        <v>3</v>
      </c>
    </row>
    <row r="1861" spans="1:4" x14ac:dyDescent="0.35">
      <c r="A1861">
        <v>874</v>
      </c>
      <c r="B1861" s="2">
        <v>37985</v>
      </c>
      <c r="C1861">
        <v>0</v>
      </c>
      <c r="D1861">
        <v>0</v>
      </c>
    </row>
    <row r="1862" spans="1:4" x14ac:dyDescent="0.35">
      <c r="A1862">
        <v>875</v>
      </c>
      <c r="B1862" s="2">
        <v>36698</v>
      </c>
      <c r="C1862">
        <v>2</v>
      </c>
      <c r="D1862">
        <v>2</v>
      </c>
    </row>
    <row r="1863" spans="1:4" x14ac:dyDescent="0.35">
      <c r="A1863">
        <v>875</v>
      </c>
      <c r="B1863" s="2">
        <v>37467</v>
      </c>
      <c r="C1863">
        <v>0</v>
      </c>
      <c r="D1863">
        <v>0</v>
      </c>
    </row>
    <row r="1864" spans="1:4" x14ac:dyDescent="0.35">
      <c r="A1864">
        <v>876</v>
      </c>
      <c r="B1864" s="2">
        <v>36890</v>
      </c>
      <c r="C1864">
        <v>2</v>
      </c>
      <c r="D1864">
        <v>2</v>
      </c>
    </row>
    <row r="1865" spans="1:4" x14ac:dyDescent="0.35">
      <c r="A1865">
        <v>876</v>
      </c>
      <c r="B1865" s="2">
        <v>37620</v>
      </c>
      <c r="C1865">
        <v>3</v>
      </c>
      <c r="D1865">
        <v>3</v>
      </c>
    </row>
    <row r="1866" spans="1:4" x14ac:dyDescent="0.35">
      <c r="A1866">
        <v>876</v>
      </c>
      <c r="B1866" s="2">
        <v>37863</v>
      </c>
      <c r="C1866">
        <v>0</v>
      </c>
      <c r="D1866">
        <v>0</v>
      </c>
    </row>
    <row r="1867" spans="1:4" x14ac:dyDescent="0.35">
      <c r="A1867">
        <v>877</v>
      </c>
      <c r="B1867" s="2">
        <v>37924</v>
      </c>
      <c r="C1867">
        <v>4</v>
      </c>
      <c r="D1867">
        <v>4</v>
      </c>
    </row>
    <row r="1868" spans="1:4" x14ac:dyDescent="0.35">
      <c r="A1868">
        <v>877</v>
      </c>
      <c r="B1868" s="2">
        <v>38128</v>
      </c>
      <c r="C1868">
        <v>4</v>
      </c>
      <c r="D1868">
        <v>4</v>
      </c>
    </row>
    <row r="1869" spans="1:4" x14ac:dyDescent="0.35">
      <c r="A1869">
        <v>878</v>
      </c>
      <c r="B1869" s="2">
        <v>36698</v>
      </c>
      <c r="C1869">
        <v>2</v>
      </c>
      <c r="D1869">
        <v>2</v>
      </c>
    </row>
    <row r="1870" spans="1:4" x14ac:dyDescent="0.35">
      <c r="A1870">
        <v>878</v>
      </c>
      <c r="B1870" s="2">
        <v>37620</v>
      </c>
      <c r="C1870">
        <v>3</v>
      </c>
      <c r="D1870">
        <v>3</v>
      </c>
    </row>
    <row r="1871" spans="1:4" x14ac:dyDescent="0.35">
      <c r="A1871">
        <v>878</v>
      </c>
      <c r="B1871" s="2">
        <v>37771</v>
      </c>
      <c r="C1871">
        <v>0</v>
      </c>
      <c r="D1871">
        <v>0</v>
      </c>
    </row>
    <row r="1872" spans="1:4" x14ac:dyDescent="0.35">
      <c r="A1872">
        <v>879</v>
      </c>
      <c r="B1872" s="2">
        <v>37194</v>
      </c>
      <c r="C1872">
        <v>3</v>
      </c>
      <c r="D1872">
        <v>3</v>
      </c>
    </row>
    <row r="1873" spans="1:4" x14ac:dyDescent="0.35">
      <c r="A1873">
        <v>880</v>
      </c>
      <c r="B1873" s="2">
        <v>36667</v>
      </c>
      <c r="C1873">
        <v>2</v>
      </c>
      <c r="D1873">
        <v>2</v>
      </c>
    </row>
    <row r="1874" spans="1:4" x14ac:dyDescent="0.35">
      <c r="A1874">
        <v>880</v>
      </c>
      <c r="B1874" s="2">
        <v>37620</v>
      </c>
      <c r="C1874">
        <v>3</v>
      </c>
      <c r="D1874">
        <v>3</v>
      </c>
    </row>
    <row r="1875" spans="1:4" x14ac:dyDescent="0.35">
      <c r="A1875">
        <v>880</v>
      </c>
      <c r="B1875" s="2">
        <v>37762</v>
      </c>
      <c r="C1875">
        <v>0</v>
      </c>
      <c r="D1875">
        <v>0</v>
      </c>
    </row>
    <row r="1876" spans="1:4" x14ac:dyDescent="0.35">
      <c r="A1876">
        <v>881</v>
      </c>
      <c r="B1876" s="2">
        <v>38493</v>
      </c>
      <c r="C1876">
        <v>2</v>
      </c>
      <c r="D1876">
        <v>2</v>
      </c>
    </row>
    <row r="1877" spans="1:4" x14ac:dyDescent="0.35">
      <c r="A1877">
        <v>882</v>
      </c>
      <c r="B1877" s="2">
        <v>36667</v>
      </c>
      <c r="C1877">
        <v>2</v>
      </c>
      <c r="D1877">
        <v>2</v>
      </c>
    </row>
    <row r="1878" spans="1:4" x14ac:dyDescent="0.35">
      <c r="A1878">
        <v>882</v>
      </c>
      <c r="B1878" s="2">
        <v>37520</v>
      </c>
      <c r="C1878">
        <v>3</v>
      </c>
      <c r="D1878">
        <v>3</v>
      </c>
    </row>
    <row r="1879" spans="1:4" x14ac:dyDescent="0.35">
      <c r="A1879">
        <v>882</v>
      </c>
      <c r="B1879" s="2">
        <v>37832</v>
      </c>
      <c r="C1879">
        <v>0</v>
      </c>
      <c r="D1879">
        <v>0</v>
      </c>
    </row>
    <row r="1880" spans="1:4" x14ac:dyDescent="0.35">
      <c r="A1880">
        <v>883</v>
      </c>
      <c r="B1880" s="2">
        <v>36829</v>
      </c>
      <c r="C1880">
        <v>2</v>
      </c>
      <c r="D1880">
        <v>2</v>
      </c>
    </row>
    <row r="1881" spans="1:4" x14ac:dyDescent="0.35">
      <c r="A1881">
        <v>883</v>
      </c>
      <c r="B1881" s="2">
        <v>37620</v>
      </c>
      <c r="C1881">
        <v>3</v>
      </c>
      <c r="D1881">
        <v>3</v>
      </c>
    </row>
    <row r="1882" spans="1:4" x14ac:dyDescent="0.35">
      <c r="A1882">
        <v>883</v>
      </c>
      <c r="B1882" s="2">
        <v>37985</v>
      </c>
      <c r="C1882">
        <v>0</v>
      </c>
      <c r="D1882">
        <v>0</v>
      </c>
    </row>
    <row r="1883" spans="1:4" x14ac:dyDescent="0.35">
      <c r="A1883">
        <v>884</v>
      </c>
      <c r="B1883" s="2">
        <v>38128</v>
      </c>
      <c r="C1883">
        <v>4</v>
      </c>
      <c r="D1883">
        <v>4</v>
      </c>
    </row>
    <row r="1884" spans="1:4" x14ac:dyDescent="0.35">
      <c r="A1884">
        <v>884</v>
      </c>
      <c r="B1884" s="2">
        <v>38229</v>
      </c>
      <c r="C1884">
        <v>0</v>
      </c>
      <c r="D1884">
        <v>0</v>
      </c>
    </row>
    <row r="1885" spans="1:4" x14ac:dyDescent="0.35">
      <c r="A1885">
        <v>885</v>
      </c>
      <c r="B1885" s="2">
        <v>36524</v>
      </c>
      <c r="C1885">
        <v>3</v>
      </c>
      <c r="D1885">
        <v>3</v>
      </c>
    </row>
    <row r="1886" spans="1:4" x14ac:dyDescent="0.35">
      <c r="A1886">
        <v>886</v>
      </c>
      <c r="B1886" s="2">
        <v>37762</v>
      </c>
      <c r="C1886">
        <v>0</v>
      </c>
      <c r="D1886">
        <v>0</v>
      </c>
    </row>
    <row r="1887" spans="1:4" x14ac:dyDescent="0.35">
      <c r="A1887">
        <v>887</v>
      </c>
      <c r="B1887" s="2">
        <v>36524</v>
      </c>
      <c r="C1887">
        <v>5</v>
      </c>
      <c r="D1887">
        <v>5</v>
      </c>
    </row>
    <row r="1888" spans="1:4" x14ac:dyDescent="0.35">
      <c r="A1888">
        <v>887</v>
      </c>
      <c r="B1888" s="2">
        <v>37397</v>
      </c>
      <c r="C1888">
        <v>5</v>
      </c>
      <c r="D1888">
        <v>5</v>
      </c>
    </row>
    <row r="1889" spans="1:4" x14ac:dyDescent="0.35">
      <c r="A1889">
        <v>887</v>
      </c>
      <c r="B1889" s="2">
        <v>38281</v>
      </c>
      <c r="C1889">
        <v>6</v>
      </c>
      <c r="D1889">
        <v>6</v>
      </c>
    </row>
    <row r="1890" spans="1:4" x14ac:dyDescent="0.35">
      <c r="A1890">
        <v>888</v>
      </c>
      <c r="B1890" s="2">
        <v>37397</v>
      </c>
      <c r="C1890">
        <v>2</v>
      </c>
      <c r="D1890">
        <v>2</v>
      </c>
    </row>
    <row r="1891" spans="1:4" x14ac:dyDescent="0.35">
      <c r="A1891">
        <v>888</v>
      </c>
      <c r="B1891" s="2">
        <v>37620</v>
      </c>
      <c r="C1891">
        <v>3</v>
      </c>
      <c r="D1891">
        <v>3</v>
      </c>
    </row>
    <row r="1892" spans="1:4" x14ac:dyDescent="0.35">
      <c r="A1892">
        <v>888</v>
      </c>
      <c r="B1892" s="2">
        <v>37915</v>
      </c>
      <c r="C1892">
        <v>2</v>
      </c>
      <c r="D1892">
        <v>2</v>
      </c>
    </row>
    <row r="1893" spans="1:4" x14ac:dyDescent="0.35">
      <c r="A1893">
        <v>889</v>
      </c>
      <c r="B1893" s="2">
        <v>36515</v>
      </c>
      <c r="C1893">
        <v>5</v>
      </c>
      <c r="D1893">
        <v>5</v>
      </c>
    </row>
    <row r="1894" spans="1:4" x14ac:dyDescent="0.35">
      <c r="A1894">
        <v>889</v>
      </c>
      <c r="B1894" s="2">
        <v>37133</v>
      </c>
      <c r="C1894">
        <v>6</v>
      </c>
      <c r="D1894">
        <v>6</v>
      </c>
    </row>
    <row r="1895" spans="1:4" x14ac:dyDescent="0.35">
      <c r="A1895">
        <v>890</v>
      </c>
      <c r="B1895" s="2">
        <v>37398</v>
      </c>
      <c r="C1895">
        <v>2</v>
      </c>
      <c r="D1895">
        <v>2</v>
      </c>
    </row>
    <row r="1896" spans="1:4" x14ac:dyDescent="0.35">
      <c r="A1896">
        <v>890</v>
      </c>
      <c r="B1896" s="2">
        <v>37620</v>
      </c>
      <c r="C1896">
        <v>0</v>
      </c>
      <c r="D1896">
        <v>0</v>
      </c>
    </row>
    <row r="1897" spans="1:4" x14ac:dyDescent="0.35">
      <c r="A1897">
        <v>891</v>
      </c>
      <c r="B1897" s="2">
        <v>36890</v>
      </c>
      <c r="C1897">
        <v>4</v>
      </c>
      <c r="D1897">
        <v>4</v>
      </c>
    </row>
    <row r="1898" spans="1:4" x14ac:dyDescent="0.35">
      <c r="A1898">
        <v>891</v>
      </c>
      <c r="B1898" s="2">
        <v>37406</v>
      </c>
      <c r="C1898">
        <v>5</v>
      </c>
      <c r="D1898">
        <v>5</v>
      </c>
    </row>
    <row r="1899" spans="1:4" x14ac:dyDescent="0.35">
      <c r="A1899">
        <v>891</v>
      </c>
      <c r="B1899" s="2">
        <v>37762</v>
      </c>
      <c r="C1899">
        <v>5</v>
      </c>
      <c r="D1899">
        <v>5</v>
      </c>
    </row>
    <row r="1900" spans="1:4" x14ac:dyDescent="0.35">
      <c r="A1900">
        <v>892</v>
      </c>
      <c r="B1900" s="2">
        <v>37854</v>
      </c>
      <c r="C1900">
        <v>0</v>
      </c>
      <c r="D1900">
        <v>0</v>
      </c>
    </row>
    <row r="1901" spans="1:4" x14ac:dyDescent="0.35">
      <c r="A1901">
        <v>893</v>
      </c>
      <c r="B1901" s="2">
        <v>36310</v>
      </c>
      <c r="C1901">
        <v>4</v>
      </c>
      <c r="D1901">
        <v>4</v>
      </c>
    </row>
    <row r="1902" spans="1:4" x14ac:dyDescent="0.35">
      <c r="A1902">
        <v>893</v>
      </c>
      <c r="B1902" s="2">
        <v>37620</v>
      </c>
      <c r="C1902">
        <v>5</v>
      </c>
      <c r="D1902">
        <v>5</v>
      </c>
    </row>
    <row r="1903" spans="1:4" x14ac:dyDescent="0.35">
      <c r="A1903">
        <v>894</v>
      </c>
      <c r="B1903" s="2">
        <v>36524</v>
      </c>
      <c r="C1903">
        <v>4</v>
      </c>
      <c r="D1903">
        <v>4</v>
      </c>
    </row>
    <row r="1904" spans="1:4" x14ac:dyDescent="0.35">
      <c r="A1904">
        <v>894</v>
      </c>
      <c r="B1904" s="2">
        <v>36672</v>
      </c>
      <c r="C1904">
        <v>0</v>
      </c>
      <c r="D1904">
        <v>0</v>
      </c>
    </row>
    <row r="1905" spans="1:4" x14ac:dyDescent="0.35">
      <c r="A1905">
        <v>894</v>
      </c>
      <c r="B1905" s="2">
        <v>37397</v>
      </c>
      <c r="C1905">
        <v>6</v>
      </c>
      <c r="D1905">
        <v>6</v>
      </c>
    </row>
    <row r="1906" spans="1:4" x14ac:dyDescent="0.35">
      <c r="A1906">
        <v>894</v>
      </c>
      <c r="B1906" s="2">
        <v>38533</v>
      </c>
      <c r="C1906">
        <v>0</v>
      </c>
      <c r="D1906">
        <v>0</v>
      </c>
    </row>
    <row r="1907" spans="1:4" x14ac:dyDescent="0.35">
      <c r="A1907">
        <v>895</v>
      </c>
      <c r="B1907" s="2">
        <v>37255</v>
      </c>
      <c r="C1907">
        <v>4</v>
      </c>
      <c r="D1907">
        <v>4</v>
      </c>
    </row>
    <row r="1908" spans="1:4" x14ac:dyDescent="0.35">
      <c r="A1908">
        <v>896</v>
      </c>
      <c r="B1908" s="2">
        <v>37620</v>
      </c>
      <c r="C1908">
        <v>0</v>
      </c>
      <c r="D1908">
        <v>0</v>
      </c>
    </row>
    <row r="1909" spans="1:4" x14ac:dyDescent="0.35">
      <c r="A1909">
        <v>897</v>
      </c>
      <c r="B1909" s="2">
        <v>36301</v>
      </c>
      <c r="C1909">
        <v>4</v>
      </c>
      <c r="D1909">
        <v>4</v>
      </c>
    </row>
    <row r="1910" spans="1:4" x14ac:dyDescent="0.35">
      <c r="A1910">
        <v>897</v>
      </c>
      <c r="B1910" s="2">
        <v>36310</v>
      </c>
      <c r="C1910">
        <v>3</v>
      </c>
      <c r="D1910">
        <v>3</v>
      </c>
    </row>
    <row r="1911" spans="1:4" x14ac:dyDescent="0.35">
      <c r="A1911">
        <v>897</v>
      </c>
      <c r="B1911" s="2">
        <v>36332</v>
      </c>
      <c r="C1911">
        <v>5</v>
      </c>
      <c r="D1911">
        <v>5</v>
      </c>
    </row>
    <row r="1912" spans="1:4" x14ac:dyDescent="0.35">
      <c r="A1912">
        <v>897</v>
      </c>
      <c r="B1912" s="2">
        <v>36524</v>
      </c>
      <c r="C1912">
        <v>6</v>
      </c>
      <c r="D1912">
        <v>6</v>
      </c>
    </row>
    <row r="1913" spans="1:4" x14ac:dyDescent="0.35">
      <c r="A1913">
        <v>897</v>
      </c>
      <c r="B1913" s="2">
        <v>36676</v>
      </c>
      <c r="C1913">
        <v>2</v>
      </c>
      <c r="D1913">
        <v>2</v>
      </c>
    </row>
    <row r="1914" spans="1:4" x14ac:dyDescent="0.35">
      <c r="A1914">
        <v>898</v>
      </c>
      <c r="B1914" s="2">
        <v>37620</v>
      </c>
      <c r="C1914">
        <v>3</v>
      </c>
      <c r="D1914">
        <v>3</v>
      </c>
    </row>
    <row r="1915" spans="1:4" x14ac:dyDescent="0.35">
      <c r="A1915">
        <v>899</v>
      </c>
      <c r="B1915" s="2">
        <v>37771</v>
      </c>
      <c r="C1915">
        <v>5</v>
      </c>
      <c r="D1915">
        <v>5</v>
      </c>
    </row>
    <row r="1916" spans="1:4" x14ac:dyDescent="0.35">
      <c r="A1916">
        <v>899</v>
      </c>
      <c r="B1916" s="2">
        <v>37802</v>
      </c>
      <c r="C1916">
        <v>6</v>
      </c>
      <c r="D1916">
        <v>6</v>
      </c>
    </row>
    <row r="1917" spans="1:4" x14ac:dyDescent="0.35">
      <c r="A1917">
        <v>899</v>
      </c>
      <c r="B1917" s="2">
        <v>37955</v>
      </c>
      <c r="C1917">
        <v>6</v>
      </c>
      <c r="D1917">
        <v>6</v>
      </c>
    </row>
    <row r="1918" spans="1:4" x14ac:dyDescent="0.35">
      <c r="A1918">
        <v>899</v>
      </c>
      <c r="B1918" s="2">
        <v>38128</v>
      </c>
      <c r="C1918">
        <v>6</v>
      </c>
      <c r="D1918">
        <v>6</v>
      </c>
    </row>
    <row r="1919" spans="1:4" x14ac:dyDescent="0.35">
      <c r="A1919">
        <v>900</v>
      </c>
      <c r="B1919" s="2">
        <v>36524</v>
      </c>
      <c r="C1919">
        <v>2</v>
      </c>
      <c r="D1919">
        <v>2</v>
      </c>
    </row>
    <row r="1920" spans="1:4" x14ac:dyDescent="0.35">
      <c r="A1920">
        <v>900</v>
      </c>
      <c r="B1920" s="2">
        <v>37255</v>
      </c>
      <c r="C1920">
        <v>2</v>
      </c>
      <c r="D1920">
        <v>2</v>
      </c>
    </row>
    <row r="1921" spans="1:4" x14ac:dyDescent="0.35">
      <c r="A1921">
        <v>901</v>
      </c>
      <c r="B1921" s="2">
        <v>36310</v>
      </c>
      <c r="C1921">
        <v>4</v>
      </c>
      <c r="D1921">
        <v>4</v>
      </c>
    </row>
    <row r="1922" spans="1:4" x14ac:dyDescent="0.35">
      <c r="A1922">
        <v>901</v>
      </c>
      <c r="B1922" s="2">
        <v>37985</v>
      </c>
      <c r="C1922">
        <v>0</v>
      </c>
      <c r="D1922">
        <v>0</v>
      </c>
    </row>
    <row r="1923" spans="1:4" x14ac:dyDescent="0.35">
      <c r="A1923">
        <v>902</v>
      </c>
      <c r="B1923" s="2">
        <v>37093</v>
      </c>
      <c r="C1923">
        <v>2</v>
      </c>
      <c r="D1923">
        <v>2</v>
      </c>
    </row>
    <row r="1924" spans="1:4" x14ac:dyDescent="0.35">
      <c r="A1924">
        <v>903</v>
      </c>
      <c r="B1924" s="2">
        <v>36890</v>
      </c>
      <c r="C1924">
        <v>3</v>
      </c>
      <c r="D1924">
        <v>3</v>
      </c>
    </row>
    <row r="1925" spans="1:4" x14ac:dyDescent="0.35">
      <c r="A1925">
        <v>903</v>
      </c>
      <c r="B1925" s="2">
        <v>37894</v>
      </c>
      <c r="C1925">
        <v>3</v>
      </c>
      <c r="D1925">
        <v>3</v>
      </c>
    </row>
    <row r="1926" spans="1:4" x14ac:dyDescent="0.35">
      <c r="A1926">
        <v>904</v>
      </c>
      <c r="B1926" s="2">
        <v>36676</v>
      </c>
      <c r="C1926">
        <v>3</v>
      </c>
      <c r="D1926">
        <v>3</v>
      </c>
    </row>
    <row r="1927" spans="1:4" x14ac:dyDescent="0.35">
      <c r="A1927">
        <v>904</v>
      </c>
      <c r="B1927" s="2">
        <v>37400</v>
      </c>
      <c r="C1927">
        <v>0</v>
      </c>
      <c r="D1927">
        <v>0</v>
      </c>
    </row>
    <row r="1928" spans="1:4" x14ac:dyDescent="0.35">
      <c r="A1928">
        <v>905</v>
      </c>
      <c r="B1928" s="2">
        <v>36433</v>
      </c>
      <c r="C1928">
        <v>0</v>
      </c>
      <c r="D1928">
        <v>0</v>
      </c>
    </row>
    <row r="1929" spans="1:4" x14ac:dyDescent="0.35">
      <c r="A1929">
        <v>906</v>
      </c>
      <c r="B1929" s="2">
        <v>36890</v>
      </c>
      <c r="C1929">
        <v>5</v>
      </c>
      <c r="D1929">
        <v>5</v>
      </c>
    </row>
    <row r="1930" spans="1:4" x14ac:dyDescent="0.35">
      <c r="A1930">
        <v>906</v>
      </c>
      <c r="B1930" s="2">
        <v>37102</v>
      </c>
      <c r="C1930">
        <v>6</v>
      </c>
      <c r="D1930">
        <v>6</v>
      </c>
    </row>
    <row r="1931" spans="1:4" x14ac:dyDescent="0.35">
      <c r="A1931">
        <v>906</v>
      </c>
      <c r="B1931" s="2">
        <v>37558</v>
      </c>
      <c r="C1931">
        <v>6</v>
      </c>
      <c r="D1931">
        <v>6</v>
      </c>
    </row>
    <row r="1932" spans="1:4" x14ac:dyDescent="0.35">
      <c r="A1932">
        <v>906</v>
      </c>
      <c r="B1932" s="2">
        <v>38351</v>
      </c>
      <c r="C1932">
        <v>7</v>
      </c>
      <c r="D1932">
        <v>7</v>
      </c>
    </row>
    <row r="1933" spans="1:4" x14ac:dyDescent="0.35">
      <c r="A1933">
        <v>907</v>
      </c>
      <c r="B1933" s="2">
        <v>36676</v>
      </c>
      <c r="C1933">
        <v>3</v>
      </c>
      <c r="D1933">
        <v>3</v>
      </c>
    </row>
    <row r="1934" spans="1:4" x14ac:dyDescent="0.35">
      <c r="A1934">
        <v>907</v>
      </c>
      <c r="B1934" s="2">
        <v>38493</v>
      </c>
      <c r="C1934">
        <v>3</v>
      </c>
      <c r="D1934">
        <v>3</v>
      </c>
    </row>
    <row r="1935" spans="1:4" x14ac:dyDescent="0.35">
      <c r="A1935">
        <v>908</v>
      </c>
      <c r="B1935" s="2">
        <v>36332</v>
      </c>
      <c r="C1935">
        <v>3</v>
      </c>
      <c r="D1935">
        <v>3</v>
      </c>
    </row>
    <row r="1936" spans="1:4" x14ac:dyDescent="0.35">
      <c r="A1936">
        <v>908</v>
      </c>
      <c r="B1936" s="2">
        <v>37885</v>
      </c>
      <c r="C1936">
        <v>3</v>
      </c>
      <c r="D1936">
        <v>3</v>
      </c>
    </row>
    <row r="1937" spans="1:4" x14ac:dyDescent="0.35">
      <c r="A1937">
        <v>909</v>
      </c>
      <c r="B1937" s="2">
        <v>36667</v>
      </c>
      <c r="C1937">
        <v>5</v>
      </c>
      <c r="D1937">
        <v>5</v>
      </c>
    </row>
    <row r="1938" spans="1:4" x14ac:dyDescent="0.35">
      <c r="A1938">
        <v>909</v>
      </c>
      <c r="B1938" s="2">
        <v>37520</v>
      </c>
      <c r="C1938">
        <v>0</v>
      </c>
      <c r="D1938">
        <v>0</v>
      </c>
    </row>
    <row r="1939" spans="1:4" x14ac:dyDescent="0.35">
      <c r="A1939">
        <v>910</v>
      </c>
      <c r="B1939" s="2">
        <v>37406</v>
      </c>
      <c r="C1939">
        <v>3</v>
      </c>
      <c r="D1939">
        <v>3</v>
      </c>
    </row>
    <row r="1940" spans="1:4" x14ac:dyDescent="0.35">
      <c r="A1940">
        <v>910</v>
      </c>
      <c r="B1940" s="2">
        <v>37620</v>
      </c>
      <c r="C1940">
        <v>0</v>
      </c>
      <c r="D1940">
        <v>0</v>
      </c>
    </row>
    <row r="1941" spans="1:4" x14ac:dyDescent="0.35">
      <c r="A1941">
        <v>911</v>
      </c>
      <c r="B1941" s="2">
        <v>36310</v>
      </c>
      <c r="C1941">
        <v>3</v>
      </c>
      <c r="D1941">
        <v>3</v>
      </c>
    </row>
    <row r="1942" spans="1:4" x14ac:dyDescent="0.35">
      <c r="A1942">
        <v>911</v>
      </c>
      <c r="B1942" s="2">
        <v>37620</v>
      </c>
      <c r="C1942">
        <v>3</v>
      </c>
      <c r="D1942">
        <v>3</v>
      </c>
    </row>
    <row r="1943" spans="1:4" x14ac:dyDescent="0.35">
      <c r="A1943">
        <v>912</v>
      </c>
      <c r="B1943" s="2">
        <v>37133</v>
      </c>
      <c r="C1943">
        <v>4</v>
      </c>
      <c r="D1943">
        <v>4</v>
      </c>
    </row>
    <row r="1944" spans="1:4" x14ac:dyDescent="0.35">
      <c r="A1944">
        <v>912</v>
      </c>
      <c r="B1944" s="2">
        <v>37559</v>
      </c>
      <c r="C1944">
        <v>4</v>
      </c>
      <c r="D1944">
        <v>4</v>
      </c>
    </row>
    <row r="1945" spans="1:4" x14ac:dyDescent="0.35">
      <c r="A1945">
        <v>913</v>
      </c>
      <c r="B1945" s="2">
        <v>36371</v>
      </c>
      <c r="C1945">
        <v>4</v>
      </c>
      <c r="D1945">
        <v>4</v>
      </c>
    </row>
    <row r="1946" spans="1:4" x14ac:dyDescent="0.35">
      <c r="A1946">
        <v>913</v>
      </c>
      <c r="B1946" s="2">
        <v>36799</v>
      </c>
      <c r="C1946">
        <v>5</v>
      </c>
      <c r="D1946">
        <v>5</v>
      </c>
    </row>
    <row r="1947" spans="1:4" x14ac:dyDescent="0.35">
      <c r="A1947">
        <v>913</v>
      </c>
      <c r="B1947" s="2">
        <v>36890</v>
      </c>
      <c r="C1947">
        <v>5</v>
      </c>
      <c r="D1947">
        <v>5</v>
      </c>
    </row>
    <row r="1948" spans="1:4" x14ac:dyDescent="0.35">
      <c r="A1948">
        <v>913</v>
      </c>
      <c r="B1948" s="2">
        <v>37397</v>
      </c>
      <c r="C1948">
        <v>7</v>
      </c>
      <c r="D1948">
        <v>7</v>
      </c>
    </row>
    <row r="1949" spans="1:4" x14ac:dyDescent="0.35">
      <c r="A1949">
        <v>913</v>
      </c>
      <c r="B1949" s="2">
        <v>37406</v>
      </c>
      <c r="C1949">
        <v>6</v>
      </c>
      <c r="D1949">
        <v>6</v>
      </c>
    </row>
    <row r="1950" spans="1:4" x14ac:dyDescent="0.35">
      <c r="A1950">
        <v>913</v>
      </c>
      <c r="B1950" s="2">
        <v>37620</v>
      </c>
      <c r="C1950">
        <v>7</v>
      </c>
      <c r="D1950">
        <v>7</v>
      </c>
    </row>
    <row r="1951" spans="1:4" x14ac:dyDescent="0.35">
      <c r="A1951">
        <v>913</v>
      </c>
      <c r="B1951" s="2">
        <v>37620</v>
      </c>
      <c r="C1951">
        <v>0</v>
      </c>
      <c r="D1951">
        <v>0</v>
      </c>
    </row>
    <row r="1952" spans="1:4" x14ac:dyDescent="0.35">
      <c r="A1952">
        <v>914</v>
      </c>
      <c r="B1952" s="2">
        <v>38351</v>
      </c>
      <c r="C1952">
        <v>5</v>
      </c>
      <c r="D1952">
        <v>5</v>
      </c>
    </row>
    <row r="1953" spans="1:4" x14ac:dyDescent="0.35">
      <c r="A1953">
        <v>915</v>
      </c>
      <c r="B1953" s="2">
        <v>36310</v>
      </c>
      <c r="C1953">
        <v>7</v>
      </c>
      <c r="D1953">
        <v>7</v>
      </c>
    </row>
    <row r="1954" spans="1:4" x14ac:dyDescent="0.35">
      <c r="A1954">
        <v>915</v>
      </c>
      <c r="B1954" s="2">
        <v>36433</v>
      </c>
      <c r="C1954">
        <v>8</v>
      </c>
      <c r="D1954">
        <v>8</v>
      </c>
    </row>
    <row r="1955" spans="1:4" x14ac:dyDescent="0.35">
      <c r="A1955">
        <v>916</v>
      </c>
      <c r="B1955" s="2">
        <v>37194</v>
      </c>
      <c r="C1955">
        <v>3</v>
      </c>
      <c r="D1955">
        <v>3</v>
      </c>
    </row>
    <row r="1956" spans="1:4" x14ac:dyDescent="0.35">
      <c r="A1956">
        <v>916</v>
      </c>
      <c r="B1956" s="2">
        <v>37255</v>
      </c>
      <c r="C1956">
        <v>4</v>
      </c>
      <c r="D1956">
        <v>4</v>
      </c>
    </row>
    <row r="1957" spans="1:4" x14ac:dyDescent="0.35">
      <c r="A1957">
        <v>916</v>
      </c>
      <c r="B1957" s="2">
        <v>37397</v>
      </c>
      <c r="C1957">
        <v>4</v>
      </c>
      <c r="D1957">
        <v>4</v>
      </c>
    </row>
    <row r="1958" spans="1:4" x14ac:dyDescent="0.35">
      <c r="A1958">
        <v>916</v>
      </c>
      <c r="B1958" s="2">
        <v>37620</v>
      </c>
      <c r="C1958">
        <v>5</v>
      </c>
      <c r="D1958">
        <v>5</v>
      </c>
    </row>
    <row r="1959" spans="1:4" x14ac:dyDescent="0.35">
      <c r="A1959">
        <v>916</v>
      </c>
      <c r="B1959" s="2">
        <v>38163</v>
      </c>
      <c r="C1959">
        <v>0</v>
      </c>
      <c r="D1959">
        <v>0</v>
      </c>
    </row>
    <row r="1960" spans="1:4" x14ac:dyDescent="0.35">
      <c r="A1960">
        <v>917</v>
      </c>
      <c r="B1960" s="2">
        <v>36676</v>
      </c>
      <c r="C1960">
        <v>7</v>
      </c>
      <c r="D1960">
        <v>7</v>
      </c>
    </row>
    <row r="1961" spans="1:4" x14ac:dyDescent="0.35">
      <c r="A1961">
        <v>917</v>
      </c>
      <c r="B1961" s="2">
        <v>36768</v>
      </c>
      <c r="C1961">
        <v>4</v>
      </c>
      <c r="D1961">
        <v>4</v>
      </c>
    </row>
    <row r="1962" spans="1:4" x14ac:dyDescent="0.35">
      <c r="A1962">
        <v>917</v>
      </c>
      <c r="B1962" s="2">
        <v>36820</v>
      </c>
      <c r="C1962">
        <v>6</v>
      </c>
      <c r="D1962">
        <v>6</v>
      </c>
    </row>
    <row r="1963" spans="1:4" x14ac:dyDescent="0.35">
      <c r="A1963">
        <v>917</v>
      </c>
      <c r="B1963" s="2">
        <v>36890</v>
      </c>
      <c r="C1963">
        <v>5</v>
      </c>
      <c r="D1963">
        <v>5</v>
      </c>
    </row>
    <row r="1964" spans="1:4" x14ac:dyDescent="0.35">
      <c r="A1964">
        <v>917</v>
      </c>
      <c r="B1964" s="2">
        <v>36890</v>
      </c>
      <c r="C1964">
        <v>6</v>
      </c>
      <c r="D1964">
        <v>6</v>
      </c>
    </row>
    <row r="1965" spans="1:4" x14ac:dyDescent="0.35">
      <c r="A1965">
        <v>917</v>
      </c>
      <c r="B1965" s="2">
        <v>37133</v>
      </c>
      <c r="C1965">
        <v>7</v>
      </c>
      <c r="D1965">
        <v>7</v>
      </c>
    </row>
    <row r="1966" spans="1:4" x14ac:dyDescent="0.35">
      <c r="A1966">
        <v>917</v>
      </c>
      <c r="B1966" s="2">
        <v>37620</v>
      </c>
      <c r="C1966">
        <v>0</v>
      </c>
      <c r="D1966">
        <v>0</v>
      </c>
    </row>
    <row r="1967" spans="1:4" x14ac:dyDescent="0.35">
      <c r="A1967">
        <v>918</v>
      </c>
      <c r="B1967" s="2">
        <v>36402</v>
      </c>
      <c r="C1967">
        <v>5</v>
      </c>
      <c r="D1967">
        <v>5</v>
      </c>
    </row>
    <row r="1968" spans="1:4" x14ac:dyDescent="0.35">
      <c r="A1968">
        <v>918</v>
      </c>
      <c r="B1968" s="2">
        <v>36667</v>
      </c>
      <c r="C1968">
        <v>6</v>
      </c>
      <c r="D1968">
        <v>6</v>
      </c>
    </row>
    <row r="1969" spans="1:4" x14ac:dyDescent="0.35">
      <c r="A1969">
        <v>918</v>
      </c>
      <c r="B1969" s="2">
        <v>36674</v>
      </c>
      <c r="C1969">
        <v>6</v>
      </c>
      <c r="D1969">
        <v>6</v>
      </c>
    </row>
    <row r="1970" spans="1:4" x14ac:dyDescent="0.35">
      <c r="A1970">
        <v>918</v>
      </c>
      <c r="B1970" s="2">
        <v>36676</v>
      </c>
      <c r="C1970">
        <v>7</v>
      </c>
      <c r="D1970">
        <v>7</v>
      </c>
    </row>
    <row r="1971" spans="1:4" x14ac:dyDescent="0.35">
      <c r="A1971">
        <v>918</v>
      </c>
      <c r="B1971" s="2">
        <v>37246</v>
      </c>
      <c r="C1971">
        <v>0</v>
      </c>
      <c r="D1971">
        <v>0</v>
      </c>
    </row>
    <row r="1972" spans="1:4" x14ac:dyDescent="0.35">
      <c r="A1972">
        <v>919</v>
      </c>
      <c r="B1972" s="2">
        <v>36310</v>
      </c>
      <c r="C1972">
        <v>0</v>
      </c>
      <c r="D1972">
        <v>0</v>
      </c>
    </row>
    <row r="1973" spans="1:4" x14ac:dyDescent="0.35">
      <c r="A1973">
        <v>920</v>
      </c>
      <c r="B1973" s="2">
        <v>36698</v>
      </c>
      <c r="C1973">
        <v>2</v>
      </c>
      <c r="D1973">
        <v>2</v>
      </c>
    </row>
    <row r="1974" spans="1:4" x14ac:dyDescent="0.35">
      <c r="A1974">
        <v>920</v>
      </c>
      <c r="B1974" s="2">
        <v>37620</v>
      </c>
      <c r="C1974">
        <v>3</v>
      </c>
      <c r="D1974">
        <v>3</v>
      </c>
    </row>
    <row r="1975" spans="1:4" x14ac:dyDescent="0.35">
      <c r="A1975">
        <v>921</v>
      </c>
      <c r="B1975" s="2">
        <v>38655</v>
      </c>
      <c r="C1975">
        <v>3</v>
      </c>
      <c r="D1975">
        <v>3</v>
      </c>
    </row>
    <row r="1976" spans="1:4" x14ac:dyDescent="0.35">
      <c r="A1976">
        <v>922</v>
      </c>
      <c r="B1976" s="2">
        <v>37915</v>
      </c>
      <c r="C1976">
        <v>3</v>
      </c>
      <c r="D1976">
        <v>3</v>
      </c>
    </row>
    <row r="1977" spans="1:4" x14ac:dyDescent="0.35">
      <c r="A1977">
        <v>923</v>
      </c>
      <c r="B1977" s="2">
        <v>36667</v>
      </c>
      <c r="C1977">
        <v>4</v>
      </c>
      <c r="D1977">
        <v>4</v>
      </c>
    </row>
    <row r="1978" spans="1:4" x14ac:dyDescent="0.35">
      <c r="A1978">
        <v>923</v>
      </c>
      <c r="B1978" s="2">
        <v>36707</v>
      </c>
      <c r="C1978">
        <v>3</v>
      </c>
      <c r="D1978">
        <v>3</v>
      </c>
    </row>
    <row r="1979" spans="1:4" x14ac:dyDescent="0.35">
      <c r="A1979">
        <v>923</v>
      </c>
      <c r="B1979" s="2">
        <v>37771</v>
      </c>
      <c r="C1979">
        <v>0</v>
      </c>
      <c r="D1979">
        <v>0</v>
      </c>
    </row>
    <row r="1980" spans="1:4" x14ac:dyDescent="0.35">
      <c r="A1980">
        <v>924</v>
      </c>
      <c r="B1980" s="2">
        <v>37520</v>
      </c>
      <c r="C1980">
        <v>0</v>
      </c>
      <c r="D1980">
        <v>0</v>
      </c>
    </row>
    <row r="1981" spans="1:4" x14ac:dyDescent="0.35">
      <c r="A1981">
        <v>925</v>
      </c>
      <c r="B1981" s="2">
        <v>36890</v>
      </c>
      <c r="C1981">
        <v>4</v>
      </c>
      <c r="D1981">
        <v>4</v>
      </c>
    </row>
    <row r="1982" spans="1:4" x14ac:dyDescent="0.35">
      <c r="A1982">
        <v>925</v>
      </c>
      <c r="B1982" s="2">
        <v>37225</v>
      </c>
      <c r="C1982">
        <v>4</v>
      </c>
      <c r="D1982">
        <v>4</v>
      </c>
    </row>
    <row r="1983" spans="1:4" x14ac:dyDescent="0.35">
      <c r="A1983">
        <v>925</v>
      </c>
      <c r="B1983" s="2">
        <v>37620</v>
      </c>
      <c r="C1983">
        <v>3</v>
      </c>
      <c r="D1983">
        <v>3</v>
      </c>
    </row>
    <row r="1984" spans="1:4" x14ac:dyDescent="0.35">
      <c r="A1984">
        <v>926</v>
      </c>
      <c r="B1984" s="2">
        <v>36676</v>
      </c>
      <c r="C1984">
        <v>2</v>
      </c>
      <c r="D1984">
        <v>2</v>
      </c>
    </row>
    <row r="1985" spans="1:4" x14ac:dyDescent="0.35">
      <c r="A1985">
        <v>926</v>
      </c>
      <c r="B1985" s="2">
        <v>37255</v>
      </c>
      <c r="C1985">
        <v>2</v>
      </c>
      <c r="D1985">
        <v>2</v>
      </c>
    </row>
    <row r="1986" spans="1:4" x14ac:dyDescent="0.35">
      <c r="A1986">
        <v>926</v>
      </c>
      <c r="B1986" s="2">
        <v>37762</v>
      </c>
      <c r="C1986">
        <v>3</v>
      </c>
      <c r="D1986">
        <v>3</v>
      </c>
    </row>
    <row r="1987" spans="1:4" x14ac:dyDescent="0.35">
      <c r="A1987">
        <v>927</v>
      </c>
      <c r="B1987" s="2">
        <v>36667</v>
      </c>
      <c r="C1987">
        <v>4</v>
      </c>
      <c r="D1987">
        <v>4</v>
      </c>
    </row>
    <row r="1988" spans="1:4" x14ac:dyDescent="0.35">
      <c r="A1988">
        <v>927</v>
      </c>
      <c r="B1988" s="2">
        <v>37041</v>
      </c>
      <c r="C1988">
        <v>6</v>
      </c>
      <c r="D1988">
        <v>6</v>
      </c>
    </row>
    <row r="1989" spans="1:4" x14ac:dyDescent="0.35">
      <c r="A1989">
        <v>927</v>
      </c>
      <c r="B1989" s="2">
        <v>37216</v>
      </c>
      <c r="C1989">
        <v>8</v>
      </c>
      <c r="D1989">
        <v>8</v>
      </c>
    </row>
    <row r="1990" spans="1:4" x14ac:dyDescent="0.35">
      <c r="A1990">
        <v>927</v>
      </c>
      <c r="B1990" s="2">
        <v>37255</v>
      </c>
      <c r="C1990">
        <v>4</v>
      </c>
      <c r="D1990">
        <v>8</v>
      </c>
    </row>
    <row r="1991" spans="1:4" x14ac:dyDescent="0.35">
      <c r="A1991">
        <v>927</v>
      </c>
      <c r="B1991" s="2">
        <v>37255</v>
      </c>
      <c r="C1991">
        <v>4</v>
      </c>
      <c r="D1991">
        <v>8</v>
      </c>
    </row>
    <row r="1992" spans="1:4" x14ac:dyDescent="0.35">
      <c r="A1992">
        <v>927</v>
      </c>
      <c r="B1992" s="2">
        <v>37985</v>
      </c>
      <c r="C1992">
        <v>0</v>
      </c>
      <c r="D1992">
        <v>8</v>
      </c>
    </row>
    <row r="1993" spans="1:4" x14ac:dyDescent="0.35">
      <c r="A1993">
        <v>928</v>
      </c>
      <c r="B1993" s="2">
        <v>36676</v>
      </c>
      <c r="C1993">
        <v>0</v>
      </c>
      <c r="D1993">
        <v>0</v>
      </c>
    </row>
    <row r="1994" spans="1:4" x14ac:dyDescent="0.35">
      <c r="A1994">
        <v>929</v>
      </c>
      <c r="B1994" s="2">
        <v>36463</v>
      </c>
      <c r="C1994">
        <v>2</v>
      </c>
      <c r="D1994">
        <v>2</v>
      </c>
    </row>
    <row r="1995" spans="1:4" x14ac:dyDescent="0.35">
      <c r="A1995">
        <v>929</v>
      </c>
      <c r="B1995" s="2">
        <v>37041</v>
      </c>
      <c r="C1995">
        <v>3</v>
      </c>
      <c r="D1995">
        <v>3</v>
      </c>
    </row>
    <row r="1996" spans="1:4" x14ac:dyDescent="0.35">
      <c r="A1996">
        <v>929</v>
      </c>
      <c r="B1996" s="2">
        <v>37072</v>
      </c>
      <c r="C1996">
        <v>3</v>
      </c>
      <c r="D1996">
        <v>3</v>
      </c>
    </row>
    <row r="1997" spans="1:4" x14ac:dyDescent="0.35">
      <c r="A1997">
        <v>929</v>
      </c>
      <c r="B1997" s="2">
        <v>37406</v>
      </c>
      <c r="C1997">
        <v>4</v>
      </c>
      <c r="D1997">
        <v>4</v>
      </c>
    </row>
    <row r="1998" spans="1:4" x14ac:dyDescent="0.35">
      <c r="A1998">
        <v>930</v>
      </c>
      <c r="B1998" s="2">
        <v>37529</v>
      </c>
      <c r="C1998">
        <v>4</v>
      </c>
      <c r="D1998">
        <v>4</v>
      </c>
    </row>
    <row r="1999" spans="1:4" x14ac:dyDescent="0.35">
      <c r="A1999">
        <v>930</v>
      </c>
      <c r="B1999" s="2">
        <v>37771</v>
      </c>
      <c r="C1999">
        <v>6</v>
      </c>
      <c r="D1999">
        <v>6</v>
      </c>
    </row>
    <row r="2000" spans="1:4" x14ac:dyDescent="0.35">
      <c r="A2000">
        <v>930</v>
      </c>
      <c r="B2000" s="2">
        <v>37894</v>
      </c>
      <c r="C2000">
        <v>5</v>
      </c>
      <c r="D2000">
        <v>5</v>
      </c>
    </row>
    <row r="2001" spans="1:4" x14ac:dyDescent="0.35">
      <c r="A2001">
        <v>931</v>
      </c>
      <c r="B2001" s="2">
        <v>37041</v>
      </c>
      <c r="C2001">
        <v>0</v>
      </c>
      <c r="D2001">
        <v>0</v>
      </c>
    </row>
    <row r="2002" spans="1:4" x14ac:dyDescent="0.35">
      <c r="A2002">
        <v>932</v>
      </c>
      <c r="B2002" s="2">
        <v>37955</v>
      </c>
      <c r="C2002">
        <v>2</v>
      </c>
      <c r="D2002">
        <v>2</v>
      </c>
    </row>
    <row r="2003" spans="1:4" x14ac:dyDescent="0.35">
      <c r="A2003">
        <v>933</v>
      </c>
      <c r="B2003" s="2">
        <v>36341</v>
      </c>
      <c r="C2003">
        <v>4</v>
      </c>
      <c r="D2003">
        <v>4</v>
      </c>
    </row>
    <row r="2004" spans="1:4" x14ac:dyDescent="0.35">
      <c r="A2004">
        <v>933</v>
      </c>
      <c r="B2004" s="2">
        <v>37133</v>
      </c>
      <c r="C2004">
        <v>4</v>
      </c>
      <c r="D2004">
        <v>4</v>
      </c>
    </row>
    <row r="2005" spans="1:4" x14ac:dyDescent="0.35">
      <c r="A2005">
        <v>934</v>
      </c>
      <c r="B2005" s="2">
        <v>36306</v>
      </c>
      <c r="C2005">
        <v>6</v>
      </c>
      <c r="D2005">
        <v>6</v>
      </c>
    </row>
    <row r="2006" spans="1:4" x14ac:dyDescent="0.35">
      <c r="A2006">
        <v>934</v>
      </c>
      <c r="B2006" s="2">
        <v>37185</v>
      </c>
      <c r="C2006">
        <v>7</v>
      </c>
      <c r="D2006">
        <v>7</v>
      </c>
    </row>
    <row r="2007" spans="1:4" x14ac:dyDescent="0.35">
      <c r="A2007">
        <v>934</v>
      </c>
      <c r="B2007" s="2">
        <v>37620</v>
      </c>
      <c r="C2007">
        <v>0</v>
      </c>
      <c r="D2007">
        <v>0</v>
      </c>
    </row>
    <row r="2008" spans="1:4" x14ac:dyDescent="0.35">
      <c r="A2008">
        <v>935</v>
      </c>
      <c r="B2008" s="2">
        <v>36890</v>
      </c>
      <c r="C2008">
        <v>4</v>
      </c>
      <c r="D2008">
        <v>4</v>
      </c>
    </row>
    <row r="2009" spans="1:4" x14ac:dyDescent="0.35">
      <c r="A2009">
        <v>935</v>
      </c>
      <c r="B2009" s="2">
        <v>36890</v>
      </c>
      <c r="C2009">
        <v>4</v>
      </c>
      <c r="D2009">
        <v>4</v>
      </c>
    </row>
    <row r="2010" spans="1:4" x14ac:dyDescent="0.35">
      <c r="A2010">
        <v>935</v>
      </c>
      <c r="B2010" s="2">
        <v>37032</v>
      </c>
      <c r="C2010">
        <v>5</v>
      </c>
      <c r="D2010">
        <v>5</v>
      </c>
    </row>
    <row r="2011" spans="1:4" x14ac:dyDescent="0.35">
      <c r="A2011">
        <v>935</v>
      </c>
      <c r="B2011" s="2">
        <v>38260</v>
      </c>
      <c r="C2011">
        <v>4</v>
      </c>
      <c r="D2011">
        <v>4</v>
      </c>
    </row>
    <row r="2012" spans="1:4" x14ac:dyDescent="0.35">
      <c r="A2012">
        <v>936</v>
      </c>
      <c r="B2012" s="2">
        <v>36362</v>
      </c>
      <c r="C2012">
        <v>0</v>
      </c>
      <c r="D2012">
        <v>0</v>
      </c>
    </row>
    <row r="2013" spans="1:4" x14ac:dyDescent="0.35">
      <c r="A2013">
        <v>937</v>
      </c>
      <c r="B2013" s="2">
        <v>36890</v>
      </c>
      <c r="C2013">
        <v>4</v>
      </c>
      <c r="D2013">
        <v>4</v>
      </c>
    </row>
    <row r="2014" spans="1:4" x14ac:dyDescent="0.35">
      <c r="A2014">
        <v>937</v>
      </c>
      <c r="B2014" s="2">
        <v>37041</v>
      </c>
      <c r="C2014">
        <v>4</v>
      </c>
      <c r="D2014">
        <v>4</v>
      </c>
    </row>
    <row r="2015" spans="1:4" x14ac:dyDescent="0.35">
      <c r="A2015">
        <v>937</v>
      </c>
      <c r="B2015" s="2">
        <v>38493</v>
      </c>
      <c r="C2015">
        <v>3</v>
      </c>
      <c r="D2015">
        <v>3</v>
      </c>
    </row>
    <row r="2016" spans="1:4" x14ac:dyDescent="0.35">
      <c r="A2016">
        <v>938</v>
      </c>
      <c r="B2016" s="2">
        <v>37762</v>
      </c>
      <c r="C2016">
        <v>3</v>
      </c>
      <c r="D2016">
        <v>3</v>
      </c>
    </row>
    <row r="2017" spans="1:4" x14ac:dyDescent="0.35">
      <c r="A2017">
        <v>939</v>
      </c>
      <c r="B2017" s="2">
        <v>36524</v>
      </c>
      <c r="C2017">
        <v>0</v>
      </c>
      <c r="D2017">
        <v>0</v>
      </c>
    </row>
    <row r="2018" spans="1:4" x14ac:dyDescent="0.35">
      <c r="A2018">
        <v>939</v>
      </c>
      <c r="B2018" s="2">
        <v>36890</v>
      </c>
      <c r="C2018">
        <v>4</v>
      </c>
      <c r="D2018">
        <v>4</v>
      </c>
    </row>
    <row r="2019" spans="1:4" x14ac:dyDescent="0.35">
      <c r="A2019">
        <v>940</v>
      </c>
      <c r="B2019" s="2">
        <v>36667</v>
      </c>
      <c r="C2019">
        <v>7</v>
      </c>
      <c r="D2019">
        <v>7</v>
      </c>
    </row>
    <row r="2020" spans="1:4" x14ac:dyDescent="0.35">
      <c r="A2020">
        <v>940</v>
      </c>
      <c r="B2020" s="2">
        <v>36667</v>
      </c>
      <c r="C2020">
        <v>8</v>
      </c>
      <c r="D2020">
        <v>8</v>
      </c>
    </row>
    <row r="2021" spans="1:4" x14ac:dyDescent="0.35">
      <c r="A2021">
        <v>940</v>
      </c>
      <c r="B2021" s="2">
        <v>36676</v>
      </c>
      <c r="C2021">
        <v>6</v>
      </c>
      <c r="D2021">
        <v>8</v>
      </c>
    </row>
    <row r="2022" spans="1:4" x14ac:dyDescent="0.35">
      <c r="A2022">
        <v>940</v>
      </c>
      <c r="B2022" s="2">
        <v>37032</v>
      </c>
      <c r="C2022">
        <v>0</v>
      </c>
      <c r="D2022">
        <v>8</v>
      </c>
    </row>
    <row r="2023" spans="1:4" x14ac:dyDescent="0.35">
      <c r="A2023">
        <v>941</v>
      </c>
      <c r="B2023" s="2">
        <v>38198</v>
      </c>
      <c r="C2023">
        <v>4</v>
      </c>
      <c r="D2023">
        <v>4</v>
      </c>
    </row>
    <row r="2024" spans="1:4" x14ac:dyDescent="0.35">
      <c r="A2024">
        <v>942</v>
      </c>
      <c r="B2024" s="2">
        <v>36310</v>
      </c>
      <c r="C2024">
        <v>0</v>
      </c>
      <c r="D2024">
        <v>0</v>
      </c>
    </row>
    <row r="2025" spans="1:4" x14ac:dyDescent="0.35">
      <c r="A2025">
        <v>942</v>
      </c>
      <c r="B2025" s="2">
        <v>36393</v>
      </c>
      <c r="C2025">
        <v>6</v>
      </c>
      <c r="D2025">
        <v>6</v>
      </c>
    </row>
    <row r="2026" spans="1:4" x14ac:dyDescent="0.35">
      <c r="A2026">
        <v>942</v>
      </c>
      <c r="B2026" s="2">
        <v>37762</v>
      </c>
      <c r="C2026">
        <v>0</v>
      </c>
      <c r="D2026">
        <v>0</v>
      </c>
    </row>
    <row r="2027" spans="1:4" x14ac:dyDescent="0.35">
      <c r="A2027">
        <v>943</v>
      </c>
      <c r="B2027" s="2">
        <v>36524</v>
      </c>
      <c r="C2027">
        <v>4</v>
      </c>
      <c r="D2027">
        <v>4</v>
      </c>
    </row>
    <row r="2028" spans="1:4" x14ac:dyDescent="0.35">
      <c r="A2028">
        <v>944</v>
      </c>
      <c r="B2028" s="2">
        <v>36310</v>
      </c>
      <c r="C2028">
        <v>8</v>
      </c>
      <c r="D2028">
        <v>8</v>
      </c>
    </row>
    <row r="2029" spans="1:4" x14ac:dyDescent="0.35">
      <c r="A2029">
        <v>944</v>
      </c>
      <c r="B2029" s="2">
        <v>36339</v>
      </c>
      <c r="C2029">
        <v>0</v>
      </c>
      <c r="D2029">
        <v>8</v>
      </c>
    </row>
    <row r="2030" spans="1:4" x14ac:dyDescent="0.35">
      <c r="A2030">
        <v>945</v>
      </c>
      <c r="B2030" s="2">
        <v>37467</v>
      </c>
      <c r="C2030">
        <v>3</v>
      </c>
      <c r="D2030">
        <v>3</v>
      </c>
    </row>
    <row r="2031" spans="1:4" x14ac:dyDescent="0.35">
      <c r="A2031">
        <v>946</v>
      </c>
      <c r="B2031" s="2">
        <v>37063</v>
      </c>
      <c r="C2031">
        <v>1</v>
      </c>
      <c r="D2031">
        <v>1</v>
      </c>
    </row>
    <row r="2032" spans="1:4" x14ac:dyDescent="0.35">
      <c r="A2032">
        <v>947</v>
      </c>
      <c r="B2032" s="2">
        <v>37255</v>
      </c>
      <c r="C2032">
        <v>3</v>
      </c>
      <c r="D2032">
        <v>3</v>
      </c>
    </row>
    <row r="2033" spans="1:4" x14ac:dyDescent="0.35">
      <c r="A2033">
        <v>947</v>
      </c>
      <c r="B2033" s="2">
        <v>38130</v>
      </c>
      <c r="C2033">
        <v>3</v>
      </c>
      <c r="D2033">
        <v>3</v>
      </c>
    </row>
    <row r="2034" spans="1:4" x14ac:dyDescent="0.35">
      <c r="A2034">
        <v>948</v>
      </c>
      <c r="B2034" s="2">
        <v>36698</v>
      </c>
      <c r="C2034">
        <v>5</v>
      </c>
      <c r="D2034">
        <v>5</v>
      </c>
    </row>
    <row r="2035" spans="1:4" x14ac:dyDescent="0.35">
      <c r="A2035">
        <v>948</v>
      </c>
      <c r="B2035" s="2">
        <v>36890</v>
      </c>
      <c r="C2035">
        <v>5</v>
      </c>
      <c r="D2035">
        <v>5</v>
      </c>
    </row>
    <row r="2036" spans="1:4" x14ac:dyDescent="0.35">
      <c r="A2036">
        <v>949</v>
      </c>
      <c r="B2036" s="2">
        <v>37102</v>
      </c>
      <c r="C2036">
        <v>0</v>
      </c>
      <c r="D2036">
        <v>0</v>
      </c>
    </row>
    <row r="2037" spans="1:4" x14ac:dyDescent="0.35">
      <c r="A2037">
        <v>950</v>
      </c>
      <c r="B2037" s="2">
        <v>36524</v>
      </c>
      <c r="C2037">
        <v>0</v>
      </c>
      <c r="D2037">
        <v>0</v>
      </c>
    </row>
    <row r="2038" spans="1:4" x14ac:dyDescent="0.35">
      <c r="A2038">
        <v>951</v>
      </c>
      <c r="B2038" s="2">
        <v>37255</v>
      </c>
      <c r="C2038">
        <v>4</v>
      </c>
      <c r="D2038">
        <v>4</v>
      </c>
    </row>
    <row r="2039" spans="1:4" x14ac:dyDescent="0.35">
      <c r="A2039">
        <v>951</v>
      </c>
      <c r="B2039" s="2">
        <v>37399</v>
      </c>
      <c r="C2039">
        <v>4</v>
      </c>
      <c r="D2039">
        <v>4</v>
      </c>
    </row>
    <row r="2040" spans="1:4" x14ac:dyDescent="0.35">
      <c r="A2040">
        <v>952</v>
      </c>
      <c r="B2040" s="2">
        <v>37124</v>
      </c>
      <c r="C2040">
        <v>3</v>
      </c>
      <c r="D2040">
        <v>3</v>
      </c>
    </row>
    <row r="2041" spans="1:4" x14ac:dyDescent="0.35">
      <c r="A2041">
        <v>952</v>
      </c>
      <c r="B2041" s="2">
        <v>37255</v>
      </c>
      <c r="C2041">
        <v>2</v>
      </c>
      <c r="D2041">
        <v>2</v>
      </c>
    </row>
    <row r="2042" spans="1:4" x14ac:dyDescent="0.35">
      <c r="A2042">
        <v>952</v>
      </c>
      <c r="B2042" s="2">
        <v>37620</v>
      </c>
      <c r="C2042">
        <v>3</v>
      </c>
      <c r="D2042">
        <v>3</v>
      </c>
    </row>
    <row r="2043" spans="1:4" x14ac:dyDescent="0.35">
      <c r="A2043">
        <v>953</v>
      </c>
      <c r="B2043" s="2">
        <v>37041</v>
      </c>
      <c r="C2043">
        <v>2</v>
      </c>
      <c r="D2043">
        <v>2</v>
      </c>
    </row>
    <row r="2044" spans="1:4" x14ac:dyDescent="0.35">
      <c r="A2044">
        <v>953</v>
      </c>
      <c r="B2044" s="2">
        <v>37041</v>
      </c>
      <c r="C2044">
        <v>3</v>
      </c>
      <c r="D2044">
        <v>3</v>
      </c>
    </row>
    <row r="2045" spans="1:4" x14ac:dyDescent="0.35">
      <c r="A2045">
        <v>953</v>
      </c>
      <c r="B2045" s="2">
        <v>37397</v>
      </c>
      <c r="C2045">
        <v>3</v>
      </c>
      <c r="D2045">
        <v>3</v>
      </c>
    </row>
    <row r="2046" spans="1:4" x14ac:dyDescent="0.35">
      <c r="A2046">
        <v>953</v>
      </c>
      <c r="B2046" s="2">
        <v>37985</v>
      </c>
      <c r="C2046">
        <v>0</v>
      </c>
      <c r="D2046">
        <v>0</v>
      </c>
    </row>
    <row r="2047" spans="1:4" x14ac:dyDescent="0.35">
      <c r="A2047">
        <v>954</v>
      </c>
      <c r="B2047" s="2">
        <v>36310</v>
      </c>
      <c r="C2047">
        <v>4</v>
      </c>
      <c r="D2047">
        <v>4</v>
      </c>
    </row>
    <row r="2048" spans="1:4" x14ac:dyDescent="0.35">
      <c r="A2048">
        <v>954</v>
      </c>
      <c r="B2048" s="2">
        <v>37255</v>
      </c>
      <c r="C2048">
        <v>5</v>
      </c>
      <c r="D2048">
        <v>5</v>
      </c>
    </row>
    <row r="2049" spans="1:4" x14ac:dyDescent="0.35">
      <c r="A2049">
        <v>954</v>
      </c>
      <c r="B2049" s="2">
        <v>38220</v>
      </c>
      <c r="C2049">
        <v>4</v>
      </c>
      <c r="D2049">
        <v>4</v>
      </c>
    </row>
    <row r="2050" spans="1:4" x14ac:dyDescent="0.35">
      <c r="A2050">
        <v>955</v>
      </c>
      <c r="B2050" s="2">
        <v>36301</v>
      </c>
      <c r="C2050">
        <v>6</v>
      </c>
      <c r="D2050">
        <v>6</v>
      </c>
    </row>
    <row r="2051" spans="1:4" x14ac:dyDescent="0.35">
      <c r="A2051">
        <v>955</v>
      </c>
      <c r="B2051" s="2">
        <v>36667</v>
      </c>
      <c r="C2051">
        <v>6</v>
      </c>
      <c r="D2051">
        <v>6</v>
      </c>
    </row>
    <row r="2052" spans="1:4" x14ac:dyDescent="0.35">
      <c r="A2052">
        <v>955</v>
      </c>
      <c r="B2052" s="2">
        <v>36759</v>
      </c>
      <c r="C2052">
        <v>7</v>
      </c>
      <c r="D2052">
        <v>7</v>
      </c>
    </row>
    <row r="2053" spans="1:4" x14ac:dyDescent="0.35">
      <c r="A2053">
        <v>955</v>
      </c>
      <c r="B2053" s="2">
        <v>37032</v>
      </c>
      <c r="C2053">
        <v>8</v>
      </c>
      <c r="D2053">
        <v>8</v>
      </c>
    </row>
    <row r="2054" spans="1:4" x14ac:dyDescent="0.35">
      <c r="A2054">
        <v>955</v>
      </c>
      <c r="B2054" s="2">
        <v>37164</v>
      </c>
      <c r="C2054">
        <v>7</v>
      </c>
      <c r="D2054">
        <v>8</v>
      </c>
    </row>
    <row r="2055" spans="1:4" x14ac:dyDescent="0.35">
      <c r="A2055">
        <v>956</v>
      </c>
      <c r="B2055" s="2">
        <v>36310</v>
      </c>
      <c r="C2055">
        <v>5</v>
      </c>
      <c r="D2055">
        <v>5</v>
      </c>
    </row>
    <row r="2056" spans="1:4" x14ac:dyDescent="0.35">
      <c r="A2056">
        <v>956</v>
      </c>
      <c r="B2056" s="2">
        <v>36524</v>
      </c>
      <c r="C2056">
        <v>6</v>
      </c>
      <c r="D2056">
        <v>6</v>
      </c>
    </row>
    <row r="2057" spans="1:4" x14ac:dyDescent="0.35">
      <c r="A2057">
        <v>956</v>
      </c>
      <c r="B2057" s="2">
        <v>37255</v>
      </c>
      <c r="C2057">
        <v>6</v>
      </c>
      <c r="D2057">
        <v>6</v>
      </c>
    </row>
    <row r="2058" spans="1:4" x14ac:dyDescent="0.35">
      <c r="A2058">
        <v>956</v>
      </c>
      <c r="B2058" s="2">
        <v>37406</v>
      </c>
      <c r="C2058">
        <v>7</v>
      </c>
      <c r="D2058">
        <v>7</v>
      </c>
    </row>
    <row r="2059" spans="1:4" x14ac:dyDescent="0.35">
      <c r="A2059">
        <v>956</v>
      </c>
      <c r="B2059" s="2">
        <v>38493</v>
      </c>
      <c r="C2059">
        <v>6</v>
      </c>
      <c r="D2059">
        <v>6</v>
      </c>
    </row>
    <row r="2060" spans="1:4" x14ac:dyDescent="0.35">
      <c r="A2060">
        <v>957</v>
      </c>
      <c r="B2060" s="2">
        <v>38351</v>
      </c>
      <c r="C2060">
        <v>3</v>
      </c>
      <c r="D2060">
        <v>3</v>
      </c>
    </row>
    <row r="2061" spans="1:4" x14ac:dyDescent="0.35">
      <c r="A2061">
        <v>958</v>
      </c>
      <c r="B2061" s="2">
        <v>37832</v>
      </c>
      <c r="C2061">
        <v>4</v>
      </c>
      <c r="D2061">
        <v>4</v>
      </c>
    </row>
    <row r="2062" spans="1:4" x14ac:dyDescent="0.35">
      <c r="A2062">
        <v>958</v>
      </c>
      <c r="B2062" s="2">
        <v>38533</v>
      </c>
      <c r="C2062">
        <v>3</v>
      </c>
      <c r="D2062">
        <v>3</v>
      </c>
    </row>
    <row r="2063" spans="1:4" x14ac:dyDescent="0.35">
      <c r="A2063">
        <v>959</v>
      </c>
      <c r="B2063" s="2">
        <v>36371</v>
      </c>
      <c r="C2063">
        <v>3</v>
      </c>
      <c r="D2063">
        <v>3</v>
      </c>
    </row>
    <row r="2064" spans="1:4" x14ac:dyDescent="0.35">
      <c r="A2064">
        <v>959</v>
      </c>
      <c r="B2064" s="2">
        <v>38533</v>
      </c>
      <c r="C2064">
        <v>3</v>
      </c>
      <c r="D2064">
        <v>3</v>
      </c>
    </row>
    <row r="2065" spans="1:4" x14ac:dyDescent="0.35">
      <c r="A2065">
        <v>960</v>
      </c>
      <c r="B2065" s="2">
        <v>37620</v>
      </c>
      <c r="C2065">
        <v>5</v>
      </c>
      <c r="D2065">
        <v>5</v>
      </c>
    </row>
    <row r="2066" spans="1:4" x14ac:dyDescent="0.35">
      <c r="A2066">
        <v>960</v>
      </c>
      <c r="B2066" s="2">
        <v>38351</v>
      </c>
      <c r="C2066">
        <v>0</v>
      </c>
      <c r="D2066">
        <v>0</v>
      </c>
    </row>
    <row r="2067" spans="1:4" x14ac:dyDescent="0.35">
      <c r="A2067">
        <v>961</v>
      </c>
      <c r="B2067" s="2">
        <v>36332</v>
      </c>
      <c r="C2067">
        <v>4</v>
      </c>
      <c r="D2067">
        <v>4</v>
      </c>
    </row>
    <row r="2068" spans="1:4" x14ac:dyDescent="0.35">
      <c r="A2068">
        <v>961</v>
      </c>
      <c r="B2068" s="2">
        <v>38128</v>
      </c>
      <c r="C2068">
        <v>5</v>
      </c>
      <c r="D2068">
        <v>5</v>
      </c>
    </row>
    <row r="2069" spans="1:4" x14ac:dyDescent="0.35">
      <c r="A2069">
        <v>961</v>
      </c>
      <c r="B2069" s="2">
        <v>38321</v>
      </c>
      <c r="C2069">
        <v>6</v>
      </c>
      <c r="D2069">
        <v>6</v>
      </c>
    </row>
    <row r="2070" spans="1:4" x14ac:dyDescent="0.35">
      <c r="A2070">
        <v>961</v>
      </c>
      <c r="B2070" s="2">
        <v>38495</v>
      </c>
      <c r="C2070">
        <v>6</v>
      </c>
      <c r="D2070">
        <v>6</v>
      </c>
    </row>
    <row r="2071" spans="1:4" x14ac:dyDescent="0.35">
      <c r="A2071">
        <v>962</v>
      </c>
      <c r="B2071" s="2">
        <v>36402</v>
      </c>
      <c r="C2071">
        <v>4</v>
      </c>
      <c r="D2071">
        <v>4</v>
      </c>
    </row>
    <row r="2072" spans="1:4" x14ac:dyDescent="0.35">
      <c r="A2072">
        <v>963</v>
      </c>
      <c r="B2072" s="2">
        <v>36890</v>
      </c>
      <c r="C2072">
        <v>6</v>
      </c>
      <c r="D2072">
        <v>6</v>
      </c>
    </row>
    <row r="2073" spans="1:4" x14ac:dyDescent="0.35">
      <c r="A2073">
        <v>963</v>
      </c>
      <c r="B2073" s="2">
        <v>37620</v>
      </c>
      <c r="C2073">
        <v>5</v>
      </c>
      <c r="D2073">
        <v>5</v>
      </c>
    </row>
    <row r="2074" spans="1:4" x14ac:dyDescent="0.35">
      <c r="A2074">
        <v>963</v>
      </c>
      <c r="B2074" s="2">
        <v>37823</v>
      </c>
      <c r="C2074">
        <v>5</v>
      </c>
      <c r="D2074">
        <v>5</v>
      </c>
    </row>
    <row r="2075" spans="1:4" x14ac:dyDescent="0.35">
      <c r="A2075">
        <v>963</v>
      </c>
      <c r="B2075" s="2">
        <v>38493</v>
      </c>
      <c r="C2075">
        <v>0</v>
      </c>
      <c r="D2075">
        <v>0</v>
      </c>
    </row>
    <row r="2076" spans="1:4" x14ac:dyDescent="0.35">
      <c r="A2076">
        <v>964</v>
      </c>
      <c r="B2076" s="2">
        <v>36524</v>
      </c>
      <c r="C2076">
        <v>7</v>
      </c>
      <c r="D2076">
        <v>7</v>
      </c>
    </row>
    <row r="2077" spans="1:4" x14ac:dyDescent="0.35">
      <c r="A2077">
        <v>964</v>
      </c>
      <c r="B2077" s="2">
        <v>36759</v>
      </c>
      <c r="C2077">
        <v>6</v>
      </c>
      <c r="D2077">
        <v>6</v>
      </c>
    </row>
    <row r="2078" spans="1:4" x14ac:dyDescent="0.35">
      <c r="A2078">
        <v>964</v>
      </c>
      <c r="B2078" s="2">
        <v>37771</v>
      </c>
      <c r="C2078">
        <v>6</v>
      </c>
      <c r="D2078">
        <v>6</v>
      </c>
    </row>
    <row r="2079" spans="1:4" x14ac:dyDescent="0.35">
      <c r="A2079">
        <v>965</v>
      </c>
      <c r="B2079" s="2">
        <v>38189</v>
      </c>
      <c r="C2079">
        <v>0</v>
      </c>
      <c r="D2079">
        <v>0</v>
      </c>
    </row>
    <row r="2080" spans="1:4" x14ac:dyDescent="0.35">
      <c r="A2080">
        <v>966</v>
      </c>
      <c r="B2080" s="2">
        <v>36524</v>
      </c>
      <c r="C2080">
        <v>4</v>
      </c>
      <c r="D2080">
        <v>4</v>
      </c>
    </row>
    <row r="2081" spans="1:4" x14ac:dyDescent="0.35">
      <c r="A2081">
        <v>967</v>
      </c>
      <c r="B2081" s="2">
        <v>37529</v>
      </c>
      <c r="C2081">
        <v>0</v>
      </c>
      <c r="D2081">
        <v>0</v>
      </c>
    </row>
    <row r="2082" spans="1:4" x14ac:dyDescent="0.35">
      <c r="A2082">
        <v>968</v>
      </c>
      <c r="B2082" s="2">
        <v>37072</v>
      </c>
      <c r="C2082">
        <v>0</v>
      </c>
      <c r="D2082">
        <v>0</v>
      </c>
    </row>
    <row r="2083" spans="1:4" x14ac:dyDescent="0.35">
      <c r="A2083">
        <v>968</v>
      </c>
      <c r="B2083" s="2">
        <v>37164</v>
      </c>
      <c r="C2083">
        <v>3</v>
      </c>
      <c r="D2083">
        <v>3</v>
      </c>
    </row>
    <row r="2084" spans="1:4" x14ac:dyDescent="0.35">
      <c r="A2084">
        <v>968</v>
      </c>
      <c r="B2084" s="2">
        <v>37762</v>
      </c>
      <c r="C2084">
        <v>3</v>
      </c>
      <c r="D2084">
        <v>3</v>
      </c>
    </row>
    <row r="2085" spans="1:4" x14ac:dyDescent="0.35">
      <c r="A2085">
        <v>969</v>
      </c>
      <c r="B2085" s="2">
        <v>36524</v>
      </c>
      <c r="C2085">
        <v>3</v>
      </c>
      <c r="D2085">
        <v>3</v>
      </c>
    </row>
    <row r="2086" spans="1:4" x14ac:dyDescent="0.35">
      <c r="A2086">
        <v>969</v>
      </c>
      <c r="B2086" s="2">
        <v>36759</v>
      </c>
      <c r="C2086">
        <v>2</v>
      </c>
      <c r="D2086">
        <v>2</v>
      </c>
    </row>
    <row r="2087" spans="1:4" x14ac:dyDescent="0.35">
      <c r="A2087">
        <v>969</v>
      </c>
      <c r="B2087" s="2">
        <v>37985</v>
      </c>
      <c r="C2087">
        <v>3</v>
      </c>
      <c r="D2087">
        <v>3</v>
      </c>
    </row>
    <row r="2088" spans="1:4" x14ac:dyDescent="0.35">
      <c r="A2088">
        <v>970</v>
      </c>
      <c r="B2088" s="2">
        <v>37795</v>
      </c>
      <c r="C2088">
        <v>3</v>
      </c>
      <c r="D2088">
        <v>3</v>
      </c>
    </row>
    <row r="2089" spans="1:4" x14ac:dyDescent="0.35">
      <c r="A2089">
        <v>970</v>
      </c>
      <c r="B2089" s="2">
        <v>38686</v>
      </c>
      <c r="C2089">
        <v>2</v>
      </c>
      <c r="D2089">
        <v>2</v>
      </c>
    </row>
    <row r="2090" spans="1:4" x14ac:dyDescent="0.35">
      <c r="A2090">
        <v>971</v>
      </c>
      <c r="B2090" s="2">
        <v>37854</v>
      </c>
      <c r="C2090">
        <v>5</v>
      </c>
      <c r="D2090">
        <v>5</v>
      </c>
    </row>
    <row r="2091" spans="1:4" x14ac:dyDescent="0.35">
      <c r="A2091">
        <v>971</v>
      </c>
      <c r="B2091" s="2">
        <v>37985</v>
      </c>
      <c r="C2091">
        <v>5</v>
      </c>
      <c r="D2091">
        <v>5</v>
      </c>
    </row>
    <row r="2092" spans="1:4" x14ac:dyDescent="0.35">
      <c r="A2092">
        <v>972</v>
      </c>
      <c r="B2092" s="2">
        <v>37041</v>
      </c>
      <c r="C2092">
        <v>5</v>
      </c>
      <c r="D2092">
        <v>5</v>
      </c>
    </row>
    <row r="2093" spans="1:4" x14ac:dyDescent="0.35">
      <c r="A2093">
        <v>972</v>
      </c>
      <c r="B2093" s="2">
        <v>37620</v>
      </c>
      <c r="C2093">
        <v>0</v>
      </c>
      <c r="D2093">
        <v>0</v>
      </c>
    </row>
    <row r="2094" spans="1:4" x14ac:dyDescent="0.35">
      <c r="A2094">
        <v>973</v>
      </c>
      <c r="B2094" s="2">
        <v>37041</v>
      </c>
      <c r="C2094">
        <v>4</v>
      </c>
      <c r="D2094">
        <v>4</v>
      </c>
    </row>
    <row r="2095" spans="1:4" x14ac:dyDescent="0.35">
      <c r="A2095">
        <v>973</v>
      </c>
      <c r="B2095" s="2">
        <v>37520</v>
      </c>
      <c r="C2095">
        <v>4</v>
      </c>
      <c r="D2095">
        <v>4</v>
      </c>
    </row>
    <row r="2096" spans="1:4" x14ac:dyDescent="0.35">
      <c r="A2096">
        <v>974</v>
      </c>
      <c r="B2096" s="2">
        <v>36371</v>
      </c>
      <c r="C2096">
        <v>4</v>
      </c>
      <c r="D2096">
        <v>4</v>
      </c>
    </row>
    <row r="2097" spans="1:4" x14ac:dyDescent="0.35">
      <c r="A2097">
        <v>974</v>
      </c>
      <c r="B2097" s="2">
        <v>37397</v>
      </c>
      <c r="C2097">
        <v>4</v>
      </c>
      <c r="D2097">
        <v>4</v>
      </c>
    </row>
    <row r="2098" spans="1:4" x14ac:dyDescent="0.35">
      <c r="A2098">
        <v>974</v>
      </c>
      <c r="B2098" s="2">
        <v>37428</v>
      </c>
      <c r="C2098">
        <v>5</v>
      </c>
      <c r="D2098">
        <v>5</v>
      </c>
    </row>
    <row r="2099" spans="1:4" x14ac:dyDescent="0.35">
      <c r="A2099">
        <v>974</v>
      </c>
      <c r="B2099" s="2">
        <v>37458</v>
      </c>
      <c r="C2099">
        <v>0</v>
      </c>
      <c r="D2099">
        <v>0</v>
      </c>
    </row>
    <row r="2100" spans="1:4" x14ac:dyDescent="0.35">
      <c r="A2100">
        <v>974</v>
      </c>
      <c r="B2100" s="2">
        <v>37802</v>
      </c>
      <c r="C2100">
        <v>6</v>
      </c>
      <c r="D2100">
        <v>6</v>
      </c>
    </row>
    <row r="2101" spans="1:4" x14ac:dyDescent="0.35">
      <c r="A2101">
        <v>974</v>
      </c>
      <c r="B2101" s="2">
        <v>38281</v>
      </c>
      <c r="C2101">
        <v>6</v>
      </c>
      <c r="D2101">
        <v>6</v>
      </c>
    </row>
    <row r="2102" spans="1:4" x14ac:dyDescent="0.35">
      <c r="A2102">
        <v>975</v>
      </c>
      <c r="B2102" s="2">
        <v>37915</v>
      </c>
      <c r="C2102">
        <v>3</v>
      </c>
      <c r="D2102">
        <v>3</v>
      </c>
    </row>
    <row r="2103" spans="1:4" x14ac:dyDescent="0.35">
      <c r="A2103">
        <v>975</v>
      </c>
      <c r="B2103" s="2">
        <v>38351</v>
      </c>
      <c r="C2103">
        <v>3</v>
      </c>
      <c r="D2103">
        <v>3</v>
      </c>
    </row>
    <row r="2104" spans="1:4" x14ac:dyDescent="0.35">
      <c r="A2104">
        <v>976</v>
      </c>
      <c r="B2104" s="2">
        <v>37985</v>
      </c>
      <c r="C2104">
        <v>3</v>
      </c>
      <c r="D2104">
        <v>3</v>
      </c>
    </row>
    <row r="2105" spans="1:4" x14ac:dyDescent="0.35">
      <c r="A2105">
        <v>977</v>
      </c>
      <c r="B2105" s="2">
        <v>37406</v>
      </c>
      <c r="C2105">
        <v>4</v>
      </c>
      <c r="D2105">
        <v>4</v>
      </c>
    </row>
    <row r="2106" spans="1:4" x14ac:dyDescent="0.35">
      <c r="A2106">
        <v>977</v>
      </c>
      <c r="B2106" s="2">
        <v>37428</v>
      </c>
      <c r="C2106">
        <v>4</v>
      </c>
      <c r="D2106">
        <v>4</v>
      </c>
    </row>
    <row r="2107" spans="1:4" x14ac:dyDescent="0.35">
      <c r="A2107">
        <v>977</v>
      </c>
      <c r="B2107" s="2">
        <v>37620</v>
      </c>
      <c r="C2107">
        <v>4</v>
      </c>
      <c r="D2107">
        <v>4</v>
      </c>
    </row>
    <row r="2108" spans="1:4" x14ac:dyDescent="0.35">
      <c r="A2108">
        <v>978</v>
      </c>
      <c r="B2108" s="2">
        <v>36890</v>
      </c>
      <c r="C2108">
        <v>2</v>
      </c>
      <c r="D2108">
        <v>2</v>
      </c>
    </row>
    <row r="2109" spans="1:4" x14ac:dyDescent="0.35">
      <c r="A2109">
        <v>979</v>
      </c>
      <c r="B2109" s="2">
        <v>38281</v>
      </c>
      <c r="C2109">
        <v>5</v>
      </c>
      <c r="D2109">
        <v>5</v>
      </c>
    </row>
    <row r="2110" spans="1:4" x14ac:dyDescent="0.35">
      <c r="A2110">
        <v>980</v>
      </c>
      <c r="B2110" s="2">
        <v>37255</v>
      </c>
      <c r="C2110">
        <v>5</v>
      </c>
      <c r="D2110">
        <v>5</v>
      </c>
    </row>
    <row r="2111" spans="1:4" x14ac:dyDescent="0.35">
      <c r="A2111">
        <v>980</v>
      </c>
      <c r="B2111" s="2">
        <v>37620</v>
      </c>
      <c r="C2111">
        <v>0</v>
      </c>
      <c r="D2111">
        <v>0</v>
      </c>
    </row>
    <row r="2112" spans="1:4" x14ac:dyDescent="0.35">
      <c r="A2112">
        <v>981</v>
      </c>
      <c r="B2112" s="2">
        <v>36301</v>
      </c>
      <c r="C2112">
        <v>4</v>
      </c>
      <c r="D2112">
        <v>4</v>
      </c>
    </row>
    <row r="2113" spans="1:4" x14ac:dyDescent="0.35">
      <c r="A2113">
        <v>981</v>
      </c>
      <c r="B2113" s="2">
        <v>36310</v>
      </c>
      <c r="C2113">
        <v>4</v>
      </c>
      <c r="D2113">
        <v>4</v>
      </c>
    </row>
    <row r="2114" spans="1:4" x14ac:dyDescent="0.35">
      <c r="A2114">
        <v>981</v>
      </c>
      <c r="B2114" s="2">
        <v>36676</v>
      </c>
      <c r="C2114">
        <v>3</v>
      </c>
      <c r="D2114">
        <v>3</v>
      </c>
    </row>
    <row r="2115" spans="1:4" x14ac:dyDescent="0.35">
      <c r="A2115">
        <v>981</v>
      </c>
      <c r="B2115" s="2">
        <v>37406</v>
      </c>
      <c r="C2115">
        <v>3</v>
      </c>
      <c r="D2115">
        <v>3</v>
      </c>
    </row>
    <row r="2116" spans="1:4" x14ac:dyDescent="0.35">
      <c r="A2116">
        <v>982</v>
      </c>
      <c r="B2116" s="2">
        <v>36485</v>
      </c>
      <c r="C2116">
        <v>3</v>
      </c>
      <c r="D2116">
        <v>3</v>
      </c>
    </row>
    <row r="2117" spans="1:4" x14ac:dyDescent="0.35">
      <c r="A2117">
        <v>982</v>
      </c>
      <c r="B2117" s="2">
        <v>38502</v>
      </c>
      <c r="C2117">
        <v>3</v>
      </c>
      <c r="D2117">
        <v>3</v>
      </c>
    </row>
    <row r="2118" spans="1:4" x14ac:dyDescent="0.35">
      <c r="A2118">
        <v>983</v>
      </c>
      <c r="B2118" s="2">
        <v>37164</v>
      </c>
      <c r="C2118">
        <v>4</v>
      </c>
      <c r="D2118">
        <v>4</v>
      </c>
    </row>
    <row r="2119" spans="1:4" x14ac:dyDescent="0.35">
      <c r="A2119">
        <v>984</v>
      </c>
      <c r="B2119" s="2">
        <v>37041</v>
      </c>
      <c r="C2119">
        <v>3</v>
      </c>
      <c r="D2119">
        <v>3</v>
      </c>
    </row>
    <row r="2120" spans="1:4" x14ac:dyDescent="0.35">
      <c r="A2120">
        <v>985</v>
      </c>
      <c r="B2120" s="2">
        <v>37498</v>
      </c>
      <c r="C2120">
        <v>3</v>
      </c>
      <c r="D2120">
        <v>3</v>
      </c>
    </row>
    <row r="2121" spans="1:4" x14ac:dyDescent="0.35">
      <c r="A2121">
        <v>985</v>
      </c>
      <c r="B2121" s="2">
        <v>37854</v>
      </c>
      <c r="C2121">
        <v>2</v>
      </c>
      <c r="D2121">
        <v>2</v>
      </c>
    </row>
    <row r="2122" spans="1:4" x14ac:dyDescent="0.35">
      <c r="A2122">
        <v>986</v>
      </c>
      <c r="B2122" s="2">
        <v>37458</v>
      </c>
      <c r="C2122">
        <v>2</v>
      </c>
      <c r="D2122">
        <v>2</v>
      </c>
    </row>
    <row r="2123" spans="1:4" x14ac:dyDescent="0.35">
      <c r="A2123">
        <v>986</v>
      </c>
      <c r="B2123" s="2">
        <v>37771</v>
      </c>
      <c r="C2123">
        <v>2</v>
      </c>
      <c r="D2123">
        <v>2</v>
      </c>
    </row>
    <row r="2124" spans="1:4" x14ac:dyDescent="0.35">
      <c r="A2124">
        <v>987</v>
      </c>
      <c r="B2124" s="2">
        <v>38198</v>
      </c>
      <c r="C2124">
        <v>2</v>
      </c>
      <c r="D2124">
        <v>2</v>
      </c>
    </row>
    <row r="2125" spans="1:4" x14ac:dyDescent="0.35">
      <c r="A2125">
        <v>988</v>
      </c>
      <c r="B2125" s="2">
        <v>36890</v>
      </c>
      <c r="C2125">
        <v>4</v>
      </c>
      <c r="D2125">
        <v>4</v>
      </c>
    </row>
    <row r="2126" spans="1:4" x14ac:dyDescent="0.35">
      <c r="A2126">
        <v>988</v>
      </c>
      <c r="B2126" s="2">
        <v>37854</v>
      </c>
      <c r="C2126">
        <v>4</v>
      </c>
      <c r="D2126">
        <v>4</v>
      </c>
    </row>
    <row r="2127" spans="1:4" x14ac:dyDescent="0.35">
      <c r="A2127">
        <v>989</v>
      </c>
      <c r="B2127" s="2">
        <v>37762</v>
      </c>
      <c r="C2127">
        <v>0</v>
      </c>
      <c r="D2127">
        <v>0</v>
      </c>
    </row>
    <row r="2128" spans="1:4" x14ac:dyDescent="0.35">
      <c r="A2128">
        <v>990</v>
      </c>
      <c r="B2128" s="2">
        <v>36301</v>
      </c>
      <c r="C2128">
        <v>4</v>
      </c>
      <c r="D2128">
        <v>4</v>
      </c>
    </row>
    <row r="2129" spans="1:4" x14ac:dyDescent="0.35">
      <c r="A2129">
        <v>990</v>
      </c>
      <c r="B2129" s="2">
        <v>36667</v>
      </c>
      <c r="C2129">
        <v>3</v>
      </c>
      <c r="D2129">
        <v>3</v>
      </c>
    </row>
    <row r="2130" spans="1:4" x14ac:dyDescent="0.35">
      <c r="A2130">
        <v>990</v>
      </c>
      <c r="B2130" s="2">
        <v>37397</v>
      </c>
      <c r="C2130">
        <v>0</v>
      </c>
      <c r="D2130">
        <v>0</v>
      </c>
    </row>
    <row r="2131" spans="1:4" x14ac:dyDescent="0.35">
      <c r="A2131">
        <v>991</v>
      </c>
      <c r="B2131" s="2">
        <v>38493</v>
      </c>
      <c r="C2131">
        <v>3</v>
      </c>
      <c r="D2131">
        <v>3</v>
      </c>
    </row>
    <row r="2132" spans="1:4" x14ac:dyDescent="0.35">
      <c r="A2132">
        <v>992</v>
      </c>
      <c r="B2132" s="2">
        <v>36310</v>
      </c>
      <c r="C2132">
        <v>4</v>
      </c>
      <c r="D2132">
        <v>4</v>
      </c>
    </row>
    <row r="2133" spans="1:4" x14ac:dyDescent="0.35">
      <c r="A2133">
        <v>993</v>
      </c>
      <c r="B2133" s="2">
        <v>37620</v>
      </c>
      <c r="C2133">
        <v>0</v>
      </c>
      <c r="D2133">
        <v>0</v>
      </c>
    </row>
    <row r="2134" spans="1:4" x14ac:dyDescent="0.35">
      <c r="A2134">
        <v>993</v>
      </c>
      <c r="B2134" s="2">
        <v>37985</v>
      </c>
      <c r="C2134">
        <v>6</v>
      </c>
      <c r="D2134">
        <v>6</v>
      </c>
    </row>
    <row r="2135" spans="1:4" x14ac:dyDescent="0.35">
      <c r="A2135">
        <v>994</v>
      </c>
      <c r="B2135" s="2">
        <v>36698</v>
      </c>
      <c r="C2135">
        <v>4</v>
      </c>
      <c r="D2135">
        <v>4</v>
      </c>
    </row>
    <row r="2136" spans="1:4" x14ac:dyDescent="0.35">
      <c r="A2136">
        <v>994</v>
      </c>
      <c r="B2136" s="2">
        <v>37832</v>
      </c>
      <c r="C2136">
        <v>4</v>
      </c>
      <c r="D2136">
        <v>4</v>
      </c>
    </row>
    <row r="2137" spans="1:4" x14ac:dyDescent="0.35">
      <c r="A2137">
        <v>995</v>
      </c>
      <c r="B2137" s="2">
        <v>36890</v>
      </c>
      <c r="C2137">
        <v>4</v>
      </c>
      <c r="D2137">
        <v>4</v>
      </c>
    </row>
    <row r="2138" spans="1:4" x14ac:dyDescent="0.35">
      <c r="A2138">
        <v>995</v>
      </c>
      <c r="B2138" s="2">
        <v>37915</v>
      </c>
      <c r="C2138">
        <v>4</v>
      </c>
      <c r="D2138">
        <v>4</v>
      </c>
    </row>
    <row r="2139" spans="1:4" x14ac:dyDescent="0.35">
      <c r="A2139">
        <v>996</v>
      </c>
      <c r="B2139" s="2">
        <v>36667</v>
      </c>
      <c r="C2139">
        <v>2</v>
      </c>
      <c r="D2139">
        <v>2</v>
      </c>
    </row>
    <row r="2140" spans="1:4" x14ac:dyDescent="0.35">
      <c r="A2140">
        <v>997</v>
      </c>
      <c r="B2140" s="2">
        <v>36524</v>
      </c>
      <c r="C2140">
        <v>6</v>
      </c>
      <c r="D2140">
        <v>6</v>
      </c>
    </row>
    <row r="2141" spans="1:4" x14ac:dyDescent="0.35">
      <c r="A2141">
        <v>997</v>
      </c>
      <c r="B2141" s="2">
        <v>37406</v>
      </c>
      <c r="C2141">
        <v>0</v>
      </c>
      <c r="D2141">
        <v>0</v>
      </c>
    </row>
    <row r="2142" spans="1:4" x14ac:dyDescent="0.35">
      <c r="A2142">
        <v>998</v>
      </c>
      <c r="B2142" s="2">
        <v>38135</v>
      </c>
      <c r="C2142">
        <v>2</v>
      </c>
      <c r="D2142">
        <v>2</v>
      </c>
    </row>
    <row r="2143" spans="1:4" x14ac:dyDescent="0.35">
      <c r="A2143">
        <v>999</v>
      </c>
      <c r="B2143" s="2">
        <v>36524</v>
      </c>
      <c r="C2143">
        <v>4</v>
      </c>
      <c r="D2143">
        <v>4</v>
      </c>
    </row>
    <row r="2144" spans="1:4" x14ac:dyDescent="0.35">
      <c r="A2144">
        <v>999</v>
      </c>
      <c r="B2144" s="2">
        <v>38137</v>
      </c>
      <c r="C2144">
        <v>0</v>
      </c>
      <c r="D2144">
        <v>0</v>
      </c>
    </row>
    <row r="2145" spans="1:4" x14ac:dyDescent="0.35">
      <c r="A2145">
        <v>1000</v>
      </c>
      <c r="B2145" s="2">
        <v>36301</v>
      </c>
      <c r="C2145">
        <v>3</v>
      </c>
      <c r="D2145">
        <v>3</v>
      </c>
    </row>
    <row r="2146" spans="1:4" x14ac:dyDescent="0.35">
      <c r="A2146">
        <v>1001</v>
      </c>
      <c r="B2146" s="2">
        <v>36301</v>
      </c>
      <c r="C2146">
        <v>0</v>
      </c>
      <c r="D2146">
        <v>0</v>
      </c>
    </row>
    <row r="2147" spans="1:4" x14ac:dyDescent="0.35">
      <c r="A2147">
        <v>1002</v>
      </c>
      <c r="B2147" s="2">
        <v>36676</v>
      </c>
      <c r="C2147">
        <v>5</v>
      </c>
      <c r="D2147">
        <v>5</v>
      </c>
    </row>
    <row r="2148" spans="1:4" x14ac:dyDescent="0.35">
      <c r="A2148">
        <v>1002</v>
      </c>
      <c r="B2148" s="2">
        <v>37620</v>
      </c>
      <c r="C2148">
        <v>5</v>
      </c>
      <c r="D2148">
        <v>5</v>
      </c>
    </row>
    <row r="2149" spans="1:4" x14ac:dyDescent="0.35">
      <c r="A2149">
        <v>1002</v>
      </c>
      <c r="B2149" s="2">
        <v>37762</v>
      </c>
      <c r="C2149">
        <v>7</v>
      </c>
      <c r="D2149">
        <v>7</v>
      </c>
    </row>
    <row r="2150" spans="1:4" x14ac:dyDescent="0.35">
      <c r="A2150">
        <v>1002</v>
      </c>
      <c r="B2150" s="2">
        <v>37924</v>
      </c>
      <c r="C2150">
        <v>7</v>
      </c>
      <c r="D2150">
        <v>7</v>
      </c>
    </row>
    <row r="2151" spans="1:4" x14ac:dyDescent="0.35">
      <c r="A2151">
        <v>1002</v>
      </c>
      <c r="B2151" s="2">
        <v>37985</v>
      </c>
      <c r="C2151">
        <v>0</v>
      </c>
      <c r="D2151">
        <v>0</v>
      </c>
    </row>
    <row r="2152" spans="1:4" x14ac:dyDescent="0.35">
      <c r="A2152">
        <v>1003</v>
      </c>
      <c r="B2152" s="2">
        <v>38260</v>
      </c>
      <c r="C2152">
        <v>4</v>
      </c>
      <c r="D2152">
        <v>4</v>
      </c>
    </row>
    <row r="2153" spans="1:4" x14ac:dyDescent="0.35">
      <c r="A2153">
        <v>1004</v>
      </c>
      <c r="B2153" s="2">
        <v>36310</v>
      </c>
      <c r="C2153">
        <v>6</v>
      </c>
      <c r="D2153">
        <v>6</v>
      </c>
    </row>
    <row r="2154" spans="1:4" x14ac:dyDescent="0.35">
      <c r="A2154">
        <v>1004</v>
      </c>
      <c r="B2154" s="2">
        <v>37032</v>
      </c>
      <c r="C2154">
        <v>5</v>
      </c>
      <c r="D2154">
        <v>5</v>
      </c>
    </row>
    <row r="2155" spans="1:4" x14ac:dyDescent="0.35">
      <c r="A2155">
        <v>1004</v>
      </c>
      <c r="B2155" s="2">
        <v>37397</v>
      </c>
      <c r="C2155">
        <v>6</v>
      </c>
      <c r="D2155">
        <v>6</v>
      </c>
    </row>
    <row r="2156" spans="1:4" x14ac:dyDescent="0.35">
      <c r="A2156">
        <v>1005</v>
      </c>
      <c r="B2156" s="2">
        <v>36310</v>
      </c>
      <c r="C2156">
        <v>2</v>
      </c>
      <c r="D2156">
        <v>2</v>
      </c>
    </row>
    <row r="2157" spans="1:4" x14ac:dyDescent="0.35">
      <c r="A2157">
        <v>1005</v>
      </c>
      <c r="B2157" s="2">
        <v>37762</v>
      </c>
      <c r="C2157">
        <v>2</v>
      </c>
      <c r="D2157">
        <v>2</v>
      </c>
    </row>
    <row r="2158" spans="1:4" x14ac:dyDescent="0.35">
      <c r="A2158">
        <v>1005</v>
      </c>
      <c r="B2158" s="2">
        <v>38131</v>
      </c>
      <c r="C2158">
        <v>3</v>
      </c>
      <c r="D2158">
        <v>3</v>
      </c>
    </row>
    <row r="2159" spans="1:4" x14ac:dyDescent="0.35">
      <c r="A2159">
        <v>1005</v>
      </c>
      <c r="B2159" s="2">
        <v>38135</v>
      </c>
      <c r="C2159">
        <v>3</v>
      </c>
      <c r="D2159">
        <v>3</v>
      </c>
    </row>
    <row r="2160" spans="1:4" x14ac:dyDescent="0.35">
      <c r="A2160">
        <v>1006</v>
      </c>
      <c r="B2160" s="2">
        <v>37155</v>
      </c>
      <c r="C2160">
        <v>4</v>
      </c>
      <c r="D2160">
        <v>4</v>
      </c>
    </row>
    <row r="2161" spans="1:4" x14ac:dyDescent="0.35">
      <c r="A2161">
        <v>1006</v>
      </c>
      <c r="B2161" s="2">
        <v>37397</v>
      </c>
      <c r="C2161">
        <v>5</v>
      </c>
      <c r="D2161">
        <v>5</v>
      </c>
    </row>
    <row r="2162" spans="1:4" x14ac:dyDescent="0.35">
      <c r="A2162">
        <v>1006</v>
      </c>
      <c r="B2162" s="2">
        <v>37620</v>
      </c>
      <c r="C2162">
        <v>5</v>
      </c>
      <c r="D2162">
        <v>5</v>
      </c>
    </row>
    <row r="2163" spans="1:4" x14ac:dyDescent="0.35">
      <c r="A2163">
        <v>1006</v>
      </c>
      <c r="B2163" s="2">
        <v>37620</v>
      </c>
      <c r="C2163">
        <v>7</v>
      </c>
      <c r="D2163">
        <v>7</v>
      </c>
    </row>
    <row r="2164" spans="1:4" x14ac:dyDescent="0.35">
      <c r="A2164">
        <v>1006</v>
      </c>
      <c r="B2164" s="2">
        <v>38128</v>
      </c>
      <c r="C2164">
        <v>6</v>
      </c>
      <c r="D2164">
        <v>6</v>
      </c>
    </row>
    <row r="2165" spans="1:4" x14ac:dyDescent="0.35">
      <c r="A2165">
        <v>1006</v>
      </c>
      <c r="B2165" s="2">
        <v>38136</v>
      </c>
      <c r="C2165">
        <v>6</v>
      </c>
      <c r="D2165">
        <v>6</v>
      </c>
    </row>
    <row r="2166" spans="1:4" x14ac:dyDescent="0.35">
      <c r="A2166">
        <v>1006</v>
      </c>
      <c r="B2166" s="2">
        <v>38137</v>
      </c>
      <c r="C2166">
        <v>5</v>
      </c>
      <c r="D2166">
        <v>5</v>
      </c>
    </row>
    <row r="2167" spans="1:4" x14ac:dyDescent="0.35">
      <c r="A2167">
        <v>1006</v>
      </c>
      <c r="B2167" s="2">
        <v>38497</v>
      </c>
      <c r="C2167">
        <v>4</v>
      </c>
      <c r="D2167">
        <v>4</v>
      </c>
    </row>
    <row r="2168" spans="1:4" x14ac:dyDescent="0.35">
      <c r="A2168">
        <v>1007</v>
      </c>
      <c r="B2168" s="2">
        <v>37032</v>
      </c>
      <c r="C2168">
        <v>2</v>
      </c>
      <c r="D2168">
        <v>2</v>
      </c>
    </row>
    <row r="2169" spans="1:4" x14ac:dyDescent="0.35">
      <c r="A2169">
        <v>1007</v>
      </c>
      <c r="B2169" s="2">
        <v>37771</v>
      </c>
      <c r="C2169">
        <v>3</v>
      </c>
      <c r="D2169">
        <v>3</v>
      </c>
    </row>
    <row r="2170" spans="1:4" x14ac:dyDescent="0.35">
      <c r="A2170">
        <v>1007</v>
      </c>
      <c r="B2170" s="2">
        <v>37985</v>
      </c>
      <c r="C2170">
        <v>0</v>
      </c>
      <c r="D2170">
        <v>0</v>
      </c>
    </row>
    <row r="2171" spans="1:4" x14ac:dyDescent="0.35">
      <c r="A2171">
        <v>1008</v>
      </c>
      <c r="B2171" s="2">
        <v>37041</v>
      </c>
      <c r="C2171">
        <v>3</v>
      </c>
      <c r="D2171">
        <v>3</v>
      </c>
    </row>
    <row r="2172" spans="1:4" x14ac:dyDescent="0.35">
      <c r="A2172">
        <v>1008</v>
      </c>
      <c r="B2172" s="2">
        <v>37397</v>
      </c>
      <c r="C2172">
        <v>0</v>
      </c>
      <c r="D2172">
        <v>0</v>
      </c>
    </row>
    <row r="2173" spans="1:4" x14ac:dyDescent="0.35">
      <c r="A2173">
        <v>1009</v>
      </c>
      <c r="B2173" s="2">
        <v>37194</v>
      </c>
      <c r="C2173">
        <v>3</v>
      </c>
      <c r="D2173">
        <v>3</v>
      </c>
    </row>
    <row r="2174" spans="1:4" x14ac:dyDescent="0.35">
      <c r="A2174">
        <v>1010</v>
      </c>
      <c r="B2174" s="2">
        <v>36667</v>
      </c>
      <c r="C2174">
        <v>2</v>
      </c>
      <c r="D2174">
        <v>2</v>
      </c>
    </row>
    <row r="2175" spans="1:4" x14ac:dyDescent="0.35">
      <c r="A2175">
        <v>1010</v>
      </c>
      <c r="B2175" s="2">
        <v>37489</v>
      </c>
      <c r="C2175">
        <v>0</v>
      </c>
      <c r="D2175">
        <v>0</v>
      </c>
    </row>
    <row r="2176" spans="1:4" x14ac:dyDescent="0.35">
      <c r="A2176">
        <v>1011</v>
      </c>
      <c r="B2176" s="2">
        <v>36524</v>
      </c>
      <c r="C2176">
        <v>6</v>
      </c>
      <c r="D2176">
        <v>6</v>
      </c>
    </row>
    <row r="2177" spans="1:4" x14ac:dyDescent="0.35">
      <c r="A2177">
        <v>1011</v>
      </c>
      <c r="B2177" s="2">
        <v>36890</v>
      </c>
      <c r="C2177">
        <v>6</v>
      </c>
      <c r="D2177">
        <v>6</v>
      </c>
    </row>
    <row r="2178" spans="1:4" x14ac:dyDescent="0.35">
      <c r="A2178">
        <v>1012</v>
      </c>
      <c r="B2178" s="2">
        <v>36301</v>
      </c>
      <c r="C2178">
        <v>5</v>
      </c>
      <c r="D2178">
        <v>5</v>
      </c>
    </row>
    <row r="2179" spans="1:4" x14ac:dyDescent="0.35">
      <c r="A2179">
        <v>1012</v>
      </c>
      <c r="B2179" s="2">
        <v>36524</v>
      </c>
      <c r="C2179">
        <v>5</v>
      </c>
      <c r="D2179">
        <v>5</v>
      </c>
    </row>
    <row r="2180" spans="1:4" x14ac:dyDescent="0.35">
      <c r="A2180">
        <v>1012</v>
      </c>
      <c r="B2180" s="2">
        <v>36524</v>
      </c>
      <c r="C2180">
        <v>0</v>
      </c>
      <c r="D2180">
        <v>0</v>
      </c>
    </row>
    <row r="2181" spans="1:4" x14ac:dyDescent="0.35">
      <c r="A2181">
        <v>1013</v>
      </c>
      <c r="B2181" s="2">
        <v>36362</v>
      </c>
      <c r="C2181">
        <v>3</v>
      </c>
      <c r="D2181">
        <v>3</v>
      </c>
    </row>
    <row r="2182" spans="1:4" x14ac:dyDescent="0.35">
      <c r="A2182">
        <v>1013</v>
      </c>
      <c r="B2182" s="2">
        <v>38198</v>
      </c>
      <c r="C2182">
        <v>0</v>
      </c>
      <c r="D2182">
        <v>0</v>
      </c>
    </row>
    <row r="2183" spans="1:4" x14ac:dyDescent="0.35">
      <c r="A2183">
        <v>1014</v>
      </c>
      <c r="B2183" s="2">
        <v>36402</v>
      </c>
      <c r="C2183">
        <v>3</v>
      </c>
      <c r="D2183">
        <v>3</v>
      </c>
    </row>
    <row r="2184" spans="1:4" x14ac:dyDescent="0.35">
      <c r="A2184">
        <v>1014</v>
      </c>
      <c r="B2184" s="2">
        <v>38351</v>
      </c>
      <c r="C2184">
        <v>3</v>
      </c>
      <c r="D2184">
        <v>3</v>
      </c>
    </row>
    <row r="2185" spans="1:4" x14ac:dyDescent="0.35">
      <c r="A2185">
        <v>1015</v>
      </c>
      <c r="B2185" s="2">
        <v>38351</v>
      </c>
      <c r="C2185">
        <v>6</v>
      </c>
      <c r="D2185">
        <v>6</v>
      </c>
    </row>
    <row r="2186" spans="1:4" x14ac:dyDescent="0.35">
      <c r="A2186">
        <v>1015</v>
      </c>
      <c r="B2186" s="2">
        <v>38533</v>
      </c>
      <c r="C2186">
        <v>5</v>
      </c>
      <c r="D2186">
        <v>5</v>
      </c>
    </row>
    <row r="2187" spans="1:4" x14ac:dyDescent="0.35">
      <c r="A2187">
        <v>1016</v>
      </c>
      <c r="B2187" s="2">
        <v>36301</v>
      </c>
      <c r="C2187">
        <v>5</v>
      </c>
      <c r="D2187">
        <v>5</v>
      </c>
    </row>
    <row r="2188" spans="1:4" x14ac:dyDescent="0.35">
      <c r="A2188">
        <v>1016</v>
      </c>
      <c r="B2188" s="2">
        <v>36890</v>
      </c>
      <c r="C2188">
        <v>4</v>
      </c>
      <c r="D2188">
        <v>4</v>
      </c>
    </row>
    <row r="2189" spans="1:4" x14ac:dyDescent="0.35">
      <c r="A2189">
        <v>1017</v>
      </c>
      <c r="B2189" s="2">
        <v>36667</v>
      </c>
      <c r="C2189">
        <v>0</v>
      </c>
      <c r="D2189">
        <v>0</v>
      </c>
    </row>
    <row r="2190" spans="1:4" x14ac:dyDescent="0.35">
      <c r="A2190">
        <v>1018</v>
      </c>
      <c r="B2190" s="2">
        <v>36890</v>
      </c>
      <c r="C2190">
        <v>7</v>
      </c>
      <c r="D2190">
        <v>7</v>
      </c>
    </row>
    <row r="2191" spans="1:4" x14ac:dyDescent="0.35">
      <c r="A2191">
        <v>1018</v>
      </c>
      <c r="B2191" s="2">
        <v>37072</v>
      </c>
      <c r="C2191">
        <v>7</v>
      </c>
      <c r="D2191">
        <v>7</v>
      </c>
    </row>
    <row r="2192" spans="1:4" x14ac:dyDescent="0.35">
      <c r="A2192">
        <v>1018</v>
      </c>
      <c r="B2192" s="2">
        <v>38220</v>
      </c>
      <c r="C2192">
        <v>7</v>
      </c>
      <c r="D2192">
        <v>7</v>
      </c>
    </row>
    <row r="2193" spans="1:4" x14ac:dyDescent="0.35">
      <c r="A2193">
        <v>1019</v>
      </c>
      <c r="B2193" s="2">
        <v>37032</v>
      </c>
      <c r="C2193">
        <v>4</v>
      </c>
      <c r="D2193">
        <v>4</v>
      </c>
    </row>
    <row r="2194" spans="1:4" x14ac:dyDescent="0.35">
      <c r="A2194">
        <v>1020</v>
      </c>
      <c r="B2194" s="2">
        <v>36371</v>
      </c>
      <c r="C2194">
        <v>3</v>
      </c>
      <c r="D2194">
        <v>3</v>
      </c>
    </row>
    <row r="2195" spans="1:4" x14ac:dyDescent="0.35">
      <c r="A2195">
        <v>1020</v>
      </c>
      <c r="B2195" s="2">
        <v>36890</v>
      </c>
      <c r="C2195">
        <v>2</v>
      </c>
      <c r="D2195">
        <v>2</v>
      </c>
    </row>
    <row r="2196" spans="1:4" x14ac:dyDescent="0.35">
      <c r="A2196">
        <v>1020</v>
      </c>
      <c r="B2196" s="2">
        <v>37093</v>
      </c>
      <c r="C2196">
        <v>0</v>
      </c>
      <c r="D2196">
        <v>0</v>
      </c>
    </row>
    <row r="2197" spans="1:4" x14ac:dyDescent="0.35">
      <c r="A2197">
        <v>1021</v>
      </c>
      <c r="B2197" s="2">
        <v>36524</v>
      </c>
      <c r="C2197">
        <v>2</v>
      </c>
      <c r="D2197">
        <v>2</v>
      </c>
    </row>
    <row r="2198" spans="1:4" x14ac:dyDescent="0.35">
      <c r="A2198">
        <v>1021</v>
      </c>
      <c r="B2198" s="2">
        <v>37762</v>
      </c>
      <c r="C2198">
        <v>2</v>
      </c>
      <c r="D2198">
        <v>2</v>
      </c>
    </row>
    <row r="2199" spans="1:4" x14ac:dyDescent="0.35">
      <c r="A2199">
        <v>1021</v>
      </c>
      <c r="B2199" s="2">
        <v>38189</v>
      </c>
      <c r="C2199">
        <v>3</v>
      </c>
      <c r="D2199">
        <v>3</v>
      </c>
    </row>
    <row r="2200" spans="1:4" x14ac:dyDescent="0.35">
      <c r="A2200">
        <v>1021</v>
      </c>
      <c r="B2200" s="2">
        <v>38351</v>
      </c>
      <c r="C2200">
        <v>3</v>
      </c>
      <c r="D2200">
        <v>3</v>
      </c>
    </row>
    <row r="2201" spans="1:4" x14ac:dyDescent="0.35">
      <c r="A2201">
        <v>1022</v>
      </c>
      <c r="B2201" s="2">
        <v>36890</v>
      </c>
      <c r="C2201">
        <v>3</v>
      </c>
      <c r="D2201">
        <v>3</v>
      </c>
    </row>
    <row r="2202" spans="1:4" x14ac:dyDescent="0.35">
      <c r="A2202">
        <v>1022</v>
      </c>
      <c r="B2202" s="2">
        <v>37620</v>
      </c>
      <c r="C2202">
        <v>4</v>
      </c>
      <c r="D2202">
        <v>4</v>
      </c>
    </row>
    <row r="2203" spans="1:4" x14ac:dyDescent="0.35">
      <c r="A2203">
        <v>1023</v>
      </c>
      <c r="B2203" s="2">
        <v>36301</v>
      </c>
      <c r="C2203">
        <v>5</v>
      </c>
      <c r="D2203">
        <v>5</v>
      </c>
    </row>
    <row r="2204" spans="1:4" x14ac:dyDescent="0.35">
      <c r="A2204">
        <v>1023</v>
      </c>
      <c r="B2204" s="2">
        <v>37946</v>
      </c>
      <c r="C2204">
        <v>6</v>
      </c>
      <c r="D2204">
        <v>6</v>
      </c>
    </row>
    <row r="2205" spans="1:4" x14ac:dyDescent="0.35">
      <c r="A2205">
        <v>1024</v>
      </c>
      <c r="B2205" s="2">
        <v>38655</v>
      </c>
      <c r="C2205">
        <v>4</v>
      </c>
      <c r="D2205">
        <v>4</v>
      </c>
    </row>
    <row r="2206" spans="1:4" x14ac:dyDescent="0.35">
      <c r="A2206">
        <v>1025</v>
      </c>
      <c r="B2206" s="2">
        <v>37032</v>
      </c>
      <c r="C2206">
        <v>4</v>
      </c>
      <c r="D2206">
        <v>4</v>
      </c>
    </row>
    <row r="2207" spans="1:4" x14ac:dyDescent="0.35">
      <c r="A2207">
        <v>1025</v>
      </c>
      <c r="B2207" s="2">
        <v>37955</v>
      </c>
      <c r="C2207">
        <v>4</v>
      </c>
      <c r="D2207">
        <v>4</v>
      </c>
    </row>
    <row r="2208" spans="1:4" x14ac:dyDescent="0.35">
      <c r="A2208">
        <v>1026</v>
      </c>
      <c r="B2208" s="2">
        <v>37406</v>
      </c>
      <c r="C2208">
        <v>4</v>
      </c>
      <c r="D2208">
        <v>4</v>
      </c>
    </row>
    <row r="2209" spans="1:4" x14ac:dyDescent="0.35">
      <c r="A2209">
        <v>1027</v>
      </c>
      <c r="B2209" s="2">
        <v>36310</v>
      </c>
      <c r="C2209">
        <v>4</v>
      </c>
      <c r="D2209">
        <v>4</v>
      </c>
    </row>
    <row r="2210" spans="1:4" x14ac:dyDescent="0.35">
      <c r="A2210">
        <v>1027</v>
      </c>
      <c r="B2210" s="2">
        <v>36890</v>
      </c>
      <c r="C2210">
        <v>4</v>
      </c>
      <c r="D2210">
        <v>4</v>
      </c>
    </row>
    <row r="2211" spans="1:4" x14ac:dyDescent="0.35">
      <c r="A2211">
        <v>1027</v>
      </c>
      <c r="B2211" s="2">
        <v>37529</v>
      </c>
      <c r="C2211">
        <v>4</v>
      </c>
      <c r="D2211">
        <v>4</v>
      </c>
    </row>
    <row r="2212" spans="1:4" x14ac:dyDescent="0.35">
      <c r="A2212">
        <v>1027</v>
      </c>
      <c r="B2212" s="2">
        <v>37832</v>
      </c>
      <c r="C2212">
        <v>0</v>
      </c>
      <c r="D2212">
        <v>0</v>
      </c>
    </row>
    <row r="2213" spans="1:4" x14ac:dyDescent="0.35">
      <c r="A2213">
        <v>1027</v>
      </c>
      <c r="B2213" s="2">
        <v>38351</v>
      </c>
      <c r="C2213">
        <v>4</v>
      </c>
      <c r="D2213">
        <v>4</v>
      </c>
    </row>
    <row r="2214" spans="1:4" x14ac:dyDescent="0.35">
      <c r="A2214">
        <v>1028</v>
      </c>
      <c r="B2214" s="2">
        <v>37124</v>
      </c>
      <c r="C2214">
        <v>2</v>
      </c>
      <c r="D2214">
        <v>2</v>
      </c>
    </row>
    <row r="2215" spans="1:4" x14ac:dyDescent="0.35">
      <c r="A2215">
        <v>1028</v>
      </c>
      <c r="B2215" s="2">
        <v>37955</v>
      </c>
      <c r="C2215">
        <v>3</v>
      </c>
      <c r="D2215">
        <v>3</v>
      </c>
    </row>
    <row r="2216" spans="1:4" x14ac:dyDescent="0.35">
      <c r="A2216">
        <v>1029</v>
      </c>
      <c r="B2216" s="2">
        <v>36768</v>
      </c>
      <c r="C2216">
        <v>4</v>
      </c>
      <c r="D2216">
        <v>4</v>
      </c>
    </row>
    <row r="2217" spans="1:4" x14ac:dyDescent="0.35">
      <c r="A2217">
        <v>1029</v>
      </c>
      <c r="B2217" s="2">
        <v>37985</v>
      </c>
      <c r="C2217">
        <v>4</v>
      </c>
      <c r="D2217">
        <v>4</v>
      </c>
    </row>
    <row r="2218" spans="1:4" x14ac:dyDescent="0.35">
      <c r="A2218">
        <v>1030</v>
      </c>
      <c r="B2218" s="2">
        <v>36433</v>
      </c>
      <c r="C2218">
        <v>4</v>
      </c>
      <c r="D2218">
        <v>4</v>
      </c>
    </row>
    <row r="2219" spans="1:4" x14ac:dyDescent="0.35">
      <c r="A2219">
        <v>1030</v>
      </c>
      <c r="B2219" s="2">
        <v>36829</v>
      </c>
      <c r="C2219">
        <v>3</v>
      </c>
      <c r="D2219">
        <v>3</v>
      </c>
    </row>
    <row r="2220" spans="1:4" x14ac:dyDescent="0.35">
      <c r="A2220">
        <v>1030</v>
      </c>
      <c r="B2220" s="2">
        <v>38221</v>
      </c>
      <c r="C2220">
        <v>3</v>
      </c>
      <c r="D2220">
        <v>3</v>
      </c>
    </row>
    <row r="2221" spans="1:4" x14ac:dyDescent="0.35">
      <c r="A2221">
        <v>1031</v>
      </c>
      <c r="B2221" s="2">
        <v>37854</v>
      </c>
      <c r="C2221">
        <v>6</v>
      </c>
      <c r="D2221">
        <v>6</v>
      </c>
    </row>
    <row r="2222" spans="1:4" x14ac:dyDescent="0.35">
      <c r="A2222">
        <v>1032</v>
      </c>
      <c r="B2222" s="2">
        <v>36301</v>
      </c>
      <c r="C2222">
        <v>4</v>
      </c>
      <c r="D2222">
        <v>4</v>
      </c>
    </row>
    <row r="2223" spans="1:4" x14ac:dyDescent="0.35">
      <c r="A2223">
        <v>1032</v>
      </c>
      <c r="B2223" s="2">
        <v>36860</v>
      </c>
      <c r="C2223">
        <v>3</v>
      </c>
      <c r="D2223">
        <v>3</v>
      </c>
    </row>
    <row r="2224" spans="1:4" x14ac:dyDescent="0.35">
      <c r="A2224">
        <v>1032</v>
      </c>
      <c r="B2224" s="2">
        <v>38312</v>
      </c>
      <c r="C2224">
        <v>3</v>
      </c>
      <c r="D2224">
        <v>3</v>
      </c>
    </row>
    <row r="2225" spans="1:4" x14ac:dyDescent="0.35">
      <c r="A2225">
        <v>1033</v>
      </c>
      <c r="B2225" s="2">
        <v>37255</v>
      </c>
      <c r="C2225">
        <v>3</v>
      </c>
      <c r="D2225">
        <v>3</v>
      </c>
    </row>
    <row r="2226" spans="1:4" x14ac:dyDescent="0.35">
      <c r="A2226">
        <v>1033</v>
      </c>
      <c r="B2226" s="2">
        <v>38137</v>
      </c>
      <c r="C2226">
        <v>2</v>
      </c>
      <c r="D2226">
        <v>2</v>
      </c>
    </row>
    <row r="2227" spans="1:4" x14ac:dyDescent="0.35">
      <c r="A2227">
        <v>1034</v>
      </c>
      <c r="B2227" s="2">
        <v>36524</v>
      </c>
      <c r="C2227">
        <v>6</v>
      </c>
      <c r="D2227">
        <v>6</v>
      </c>
    </row>
    <row r="2228" spans="1:4" x14ac:dyDescent="0.35">
      <c r="A2228">
        <v>1034</v>
      </c>
      <c r="B2228" s="2">
        <v>37041</v>
      </c>
      <c r="C2228">
        <v>7</v>
      </c>
      <c r="D2228">
        <v>7</v>
      </c>
    </row>
    <row r="2229" spans="1:4" x14ac:dyDescent="0.35">
      <c r="A2229">
        <v>1034</v>
      </c>
      <c r="B2229" s="2">
        <v>37102</v>
      </c>
      <c r="C2229">
        <v>6</v>
      </c>
      <c r="D2229">
        <v>6</v>
      </c>
    </row>
    <row r="2230" spans="1:4" x14ac:dyDescent="0.35">
      <c r="A2230">
        <v>1034</v>
      </c>
      <c r="B2230" s="2">
        <v>37406</v>
      </c>
      <c r="C2230">
        <v>8</v>
      </c>
      <c r="D2230">
        <v>8</v>
      </c>
    </row>
    <row r="2231" spans="1:4" x14ac:dyDescent="0.35">
      <c r="A2231">
        <v>1034</v>
      </c>
      <c r="B2231" s="2">
        <v>37458</v>
      </c>
      <c r="C2231">
        <v>7</v>
      </c>
      <c r="D2231">
        <v>8</v>
      </c>
    </row>
    <row r="2232" spans="1:4" x14ac:dyDescent="0.35">
      <c r="A2232">
        <v>1034</v>
      </c>
      <c r="B2232" s="2">
        <v>38290</v>
      </c>
      <c r="C2232">
        <v>7</v>
      </c>
      <c r="D2232">
        <v>8</v>
      </c>
    </row>
    <row r="2233" spans="1:4" x14ac:dyDescent="0.35">
      <c r="A2233">
        <v>1034</v>
      </c>
      <c r="B2233" s="2">
        <v>38655</v>
      </c>
      <c r="C2233">
        <v>5</v>
      </c>
      <c r="D2233">
        <v>8</v>
      </c>
    </row>
    <row r="2234" spans="1:4" x14ac:dyDescent="0.35">
      <c r="A2234">
        <v>1035</v>
      </c>
      <c r="B2234" s="2">
        <v>36890</v>
      </c>
      <c r="C2234">
        <v>4</v>
      </c>
      <c r="D2234">
        <v>4</v>
      </c>
    </row>
    <row r="2235" spans="1:4" x14ac:dyDescent="0.35">
      <c r="A2235">
        <v>1036</v>
      </c>
      <c r="B2235" s="2">
        <v>36676</v>
      </c>
      <c r="C2235">
        <v>6</v>
      </c>
      <c r="D2235">
        <v>6</v>
      </c>
    </row>
    <row r="2236" spans="1:4" x14ac:dyDescent="0.35">
      <c r="A2236">
        <v>1036</v>
      </c>
      <c r="B2236" s="2">
        <v>37498</v>
      </c>
      <c r="C2236">
        <v>7</v>
      </c>
      <c r="D2236">
        <v>7</v>
      </c>
    </row>
    <row r="2237" spans="1:4" x14ac:dyDescent="0.35">
      <c r="A2237">
        <v>1036</v>
      </c>
      <c r="B2237" s="2">
        <v>37863</v>
      </c>
      <c r="C2237">
        <v>0</v>
      </c>
      <c r="D2237">
        <v>0</v>
      </c>
    </row>
    <row r="2238" spans="1:4" x14ac:dyDescent="0.35">
      <c r="A2238">
        <v>1037</v>
      </c>
      <c r="B2238" s="2">
        <v>37255</v>
      </c>
      <c r="C2238">
        <v>3</v>
      </c>
      <c r="D2238">
        <v>3</v>
      </c>
    </row>
    <row r="2239" spans="1:4" x14ac:dyDescent="0.35">
      <c r="A2239">
        <v>1037</v>
      </c>
      <c r="B2239" s="2">
        <v>38137</v>
      </c>
      <c r="C2239">
        <v>0</v>
      </c>
      <c r="D2239">
        <v>0</v>
      </c>
    </row>
    <row r="2240" spans="1:4" x14ac:dyDescent="0.35">
      <c r="A2240">
        <v>1038</v>
      </c>
      <c r="B2240" s="2">
        <v>36524</v>
      </c>
      <c r="C2240">
        <v>7</v>
      </c>
      <c r="D2240">
        <v>7</v>
      </c>
    </row>
    <row r="2241" spans="1:4" x14ac:dyDescent="0.35">
      <c r="A2241">
        <v>1038</v>
      </c>
      <c r="B2241" s="2">
        <v>36698</v>
      </c>
      <c r="C2241">
        <v>7</v>
      </c>
      <c r="D2241">
        <v>7</v>
      </c>
    </row>
    <row r="2242" spans="1:4" x14ac:dyDescent="0.35">
      <c r="A2242">
        <v>1038</v>
      </c>
      <c r="B2242" s="2">
        <v>37529</v>
      </c>
      <c r="C2242">
        <v>7</v>
      </c>
      <c r="D2242">
        <v>7</v>
      </c>
    </row>
    <row r="2243" spans="1:4" x14ac:dyDescent="0.35">
      <c r="A2243">
        <v>1039</v>
      </c>
      <c r="B2243" s="2">
        <v>37093</v>
      </c>
      <c r="C2243">
        <v>0</v>
      </c>
      <c r="D2243">
        <v>0</v>
      </c>
    </row>
    <row r="2244" spans="1:4" x14ac:dyDescent="0.35">
      <c r="A2244">
        <v>1040</v>
      </c>
      <c r="B2244" s="2">
        <v>36890</v>
      </c>
      <c r="C2244">
        <v>2</v>
      </c>
      <c r="D2244">
        <v>2</v>
      </c>
    </row>
    <row r="2245" spans="1:4" x14ac:dyDescent="0.35">
      <c r="A2245">
        <v>1041</v>
      </c>
      <c r="B2245" s="2">
        <v>36310</v>
      </c>
      <c r="C2245">
        <v>0</v>
      </c>
      <c r="D2245">
        <v>0</v>
      </c>
    </row>
    <row r="2246" spans="1:4" x14ac:dyDescent="0.35">
      <c r="A2246">
        <v>1042</v>
      </c>
      <c r="B2246" s="2">
        <v>37124</v>
      </c>
      <c r="C2246">
        <v>6</v>
      </c>
      <c r="D2246">
        <v>6</v>
      </c>
    </row>
    <row r="2247" spans="1:4" x14ac:dyDescent="0.35">
      <c r="A2247">
        <v>1042</v>
      </c>
      <c r="B2247" s="2">
        <v>38351</v>
      </c>
      <c r="C2247">
        <v>0</v>
      </c>
      <c r="D2247">
        <v>0</v>
      </c>
    </row>
    <row r="2248" spans="1:4" x14ac:dyDescent="0.35">
      <c r="A2248">
        <v>1043</v>
      </c>
      <c r="B2248" s="2">
        <v>37406</v>
      </c>
      <c r="C2248">
        <v>4</v>
      </c>
      <c r="D2248">
        <v>4</v>
      </c>
    </row>
    <row r="2249" spans="1:4" x14ac:dyDescent="0.35">
      <c r="A2249">
        <v>1043</v>
      </c>
      <c r="B2249" s="2">
        <v>38321</v>
      </c>
      <c r="C2249">
        <v>0</v>
      </c>
      <c r="D2249">
        <v>0</v>
      </c>
    </row>
    <row r="2250" spans="1:4" x14ac:dyDescent="0.35">
      <c r="A2250">
        <v>1044</v>
      </c>
      <c r="B2250" s="2">
        <v>36667</v>
      </c>
      <c r="C2250">
        <v>0</v>
      </c>
      <c r="D2250">
        <v>0</v>
      </c>
    </row>
    <row r="2251" spans="1:4" x14ac:dyDescent="0.35">
      <c r="A2251">
        <v>1045</v>
      </c>
      <c r="B2251" s="2">
        <v>36667</v>
      </c>
      <c r="C2251">
        <v>4</v>
      </c>
      <c r="D2251">
        <v>4</v>
      </c>
    </row>
    <row r="2252" spans="1:4" x14ac:dyDescent="0.35">
      <c r="A2252">
        <v>1046</v>
      </c>
      <c r="B2252" s="2">
        <v>36301</v>
      </c>
      <c r="C2252">
        <v>5</v>
      </c>
      <c r="D2252">
        <v>5</v>
      </c>
    </row>
    <row r="2253" spans="1:4" x14ac:dyDescent="0.35">
      <c r="A2253">
        <v>1046</v>
      </c>
      <c r="B2253" s="2">
        <v>37762</v>
      </c>
      <c r="C2253">
        <v>4</v>
      </c>
      <c r="D2253">
        <v>4</v>
      </c>
    </row>
    <row r="2254" spans="1:4" x14ac:dyDescent="0.35">
      <c r="A2254">
        <v>1046</v>
      </c>
      <c r="B2254" s="2">
        <v>38351</v>
      </c>
      <c r="C2254">
        <v>4</v>
      </c>
      <c r="D2254">
        <v>4</v>
      </c>
    </row>
    <row r="2255" spans="1:4" x14ac:dyDescent="0.35">
      <c r="A2255">
        <v>1047</v>
      </c>
      <c r="B2255" s="2">
        <v>37770</v>
      </c>
      <c r="C2255">
        <v>0</v>
      </c>
      <c r="D2255">
        <v>0</v>
      </c>
    </row>
    <row r="2256" spans="1:4" x14ac:dyDescent="0.35">
      <c r="A2256">
        <v>1048</v>
      </c>
      <c r="B2256" s="2">
        <v>36310</v>
      </c>
      <c r="C2256">
        <v>6</v>
      </c>
      <c r="D2256">
        <v>6</v>
      </c>
    </row>
    <row r="2257" spans="1:4" x14ac:dyDescent="0.35">
      <c r="A2257">
        <v>1048</v>
      </c>
      <c r="B2257" s="2">
        <v>36310</v>
      </c>
      <c r="C2257">
        <v>0</v>
      </c>
      <c r="D2257">
        <v>0</v>
      </c>
    </row>
    <row r="2258" spans="1:4" x14ac:dyDescent="0.35">
      <c r="A2258">
        <v>1048</v>
      </c>
      <c r="B2258" s="2">
        <v>36698</v>
      </c>
      <c r="C2258">
        <v>5</v>
      </c>
      <c r="D2258">
        <v>5</v>
      </c>
    </row>
    <row r="2259" spans="1:4" x14ac:dyDescent="0.35">
      <c r="A2259">
        <v>1049</v>
      </c>
      <c r="B2259" s="2">
        <v>36301</v>
      </c>
      <c r="C2259">
        <v>6</v>
      </c>
      <c r="D2259">
        <v>6</v>
      </c>
    </row>
    <row r="2260" spans="1:4" x14ac:dyDescent="0.35">
      <c r="A2260">
        <v>1049</v>
      </c>
      <c r="B2260" s="2">
        <v>36524</v>
      </c>
      <c r="C2260">
        <v>6</v>
      </c>
      <c r="D2260">
        <v>6</v>
      </c>
    </row>
    <row r="2261" spans="1:4" x14ac:dyDescent="0.35">
      <c r="A2261">
        <v>1049</v>
      </c>
      <c r="B2261" s="2">
        <v>37255</v>
      </c>
      <c r="C2261">
        <v>7</v>
      </c>
      <c r="D2261">
        <v>7</v>
      </c>
    </row>
    <row r="2262" spans="1:4" x14ac:dyDescent="0.35">
      <c r="A2262">
        <v>1049</v>
      </c>
      <c r="B2262" s="2">
        <v>37406</v>
      </c>
      <c r="C2262">
        <v>0</v>
      </c>
      <c r="D2262">
        <v>0</v>
      </c>
    </row>
    <row r="2263" spans="1:4" x14ac:dyDescent="0.35">
      <c r="A2263">
        <v>1050</v>
      </c>
      <c r="B2263" s="2">
        <v>37620</v>
      </c>
      <c r="C2263">
        <v>5</v>
      </c>
      <c r="D2263">
        <v>5</v>
      </c>
    </row>
    <row r="2264" spans="1:4" x14ac:dyDescent="0.35">
      <c r="A2264">
        <v>1051</v>
      </c>
      <c r="B2264" s="2">
        <v>37397</v>
      </c>
      <c r="C2264">
        <v>4</v>
      </c>
      <c r="D2264">
        <v>4</v>
      </c>
    </row>
    <row r="2265" spans="1:4" x14ac:dyDescent="0.35">
      <c r="A2265">
        <v>1051</v>
      </c>
      <c r="B2265" s="2">
        <v>37620</v>
      </c>
      <c r="C2265">
        <v>5</v>
      </c>
      <c r="D2265">
        <v>5</v>
      </c>
    </row>
    <row r="2266" spans="1:4" x14ac:dyDescent="0.35">
      <c r="A2266">
        <v>1051</v>
      </c>
      <c r="B2266" s="2">
        <v>38312</v>
      </c>
      <c r="C2266">
        <v>4</v>
      </c>
      <c r="D2266">
        <v>4</v>
      </c>
    </row>
    <row r="2267" spans="1:4" x14ac:dyDescent="0.35">
      <c r="A2267">
        <v>1052</v>
      </c>
      <c r="B2267" s="2">
        <v>37032</v>
      </c>
      <c r="C2267">
        <v>5</v>
      </c>
      <c r="D2267">
        <v>5</v>
      </c>
    </row>
    <row r="2268" spans="1:4" x14ac:dyDescent="0.35">
      <c r="A2268">
        <v>1052</v>
      </c>
      <c r="B2268" s="2">
        <v>37255</v>
      </c>
      <c r="C2268">
        <v>5</v>
      </c>
      <c r="D2268">
        <v>5</v>
      </c>
    </row>
    <row r="2269" spans="1:4" x14ac:dyDescent="0.35">
      <c r="A2269">
        <v>1052</v>
      </c>
      <c r="B2269" s="2">
        <v>37762</v>
      </c>
      <c r="C2269">
        <v>5</v>
      </c>
      <c r="D2269">
        <v>5</v>
      </c>
    </row>
    <row r="2270" spans="1:4" x14ac:dyDescent="0.35">
      <c r="A2270">
        <v>1052</v>
      </c>
      <c r="B2270" s="2">
        <v>38137</v>
      </c>
      <c r="C2270">
        <v>6</v>
      </c>
      <c r="D2270">
        <v>6</v>
      </c>
    </row>
    <row r="2271" spans="1:4" x14ac:dyDescent="0.35">
      <c r="A2271">
        <v>1052</v>
      </c>
      <c r="B2271" s="2">
        <v>38168</v>
      </c>
      <c r="C2271">
        <v>7</v>
      </c>
      <c r="D2271">
        <v>7</v>
      </c>
    </row>
    <row r="2272" spans="1:4" x14ac:dyDescent="0.35">
      <c r="A2272">
        <v>1052</v>
      </c>
      <c r="B2272" s="2">
        <v>38563</v>
      </c>
      <c r="C2272">
        <v>0</v>
      </c>
      <c r="D2272">
        <v>0</v>
      </c>
    </row>
    <row r="2273" spans="1:4" x14ac:dyDescent="0.35">
      <c r="A2273">
        <v>1053</v>
      </c>
      <c r="B2273" s="2">
        <v>37032</v>
      </c>
      <c r="C2273">
        <v>4</v>
      </c>
      <c r="D2273">
        <v>4</v>
      </c>
    </row>
    <row r="2274" spans="1:4" x14ac:dyDescent="0.35">
      <c r="A2274">
        <v>1053</v>
      </c>
      <c r="B2274" s="2">
        <v>37095</v>
      </c>
      <c r="C2274">
        <v>4</v>
      </c>
      <c r="D2274">
        <v>4</v>
      </c>
    </row>
    <row r="2275" spans="1:4" x14ac:dyDescent="0.35">
      <c r="A2275">
        <v>1054</v>
      </c>
      <c r="B2275" s="2">
        <v>37032</v>
      </c>
      <c r="C2275">
        <v>2</v>
      </c>
      <c r="D2275">
        <v>2</v>
      </c>
    </row>
    <row r="2276" spans="1:4" x14ac:dyDescent="0.35">
      <c r="A2276">
        <v>1054</v>
      </c>
      <c r="B2276" s="2">
        <v>37164</v>
      </c>
      <c r="C2276">
        <v>3</v>
      </c>
      <c r="D2276">
        <v>3</v>
      </c>
    </row>
    <row r="2277" spans="1:4" x14ac:dyDescent="0.35">
      <c r="A2277">
        <v>1055</v>
      </c>
      <c r="B2277" s="2">
        <v>37985</v>
      </c>
      <c r="C2277">
        <v>3</v>
      </c>
      <c r="D2277">
        <v>3</v>
      </c>
    </row>
    <row r="2278" spans="1:4" x14ac:dyDescent="0.35">
      <c r="A2278">
        <v>1056</v>
      </c>
      <c r="B2278" s="2">
        <v>37041</v>
      </c>
      <c r="C2278">
        <v>3</v>
      </c>
      <c r="D2278">
        <v>3</v>
      </c>
    </row>
    <row r="2279" spans="1:4" x14ac:dyDescent="0.35">
      <c r="A2279">
        <v>1056</v>
      </c>
      <c r="B2279" s="2">
        <v>37793</v>
      </c>
      <c r="C2279">
        <v>0</v>
      </c>
      <c r="D2279">
        <v>0</v>
      </c>
    </row>
    <row r="2280" spans="1:4" x14ac:dyDescent="0.35">
      <c r="A2280">
        <v>1056</v>
      </c>
      <c r="B2280" s="2">
        <v>37894</v>
      </c>
      <c r="C2280">
        <v>4</v>
      </c>
      <c r="D2280">
        <v>4</v>
      </c>
    </row>
    <row r="2281" spans="1:4" x14ac:dyDescent="0.35">
      <c r="A2281">
        <v>1057</v>
      </c>
      <c r="B2281" s="2">
        <v>36860</v>
      </c>
      <c r="C2281">
        <v>4</v>
      </c>
      <c r="D2281">
        <v>4</v>
      </c>
    </row>
    <row r="2282" spans="1:4" x14ac:dyDescent="0.35">
      <c r="A2282">
        <v>1057</v>
      </c>
      <c r="B2282" s="2">
        <v>37428</v>
      </c>
      <c r="C2282">
        <v>4</v>
      </c>
      <c r="D2282">
        <v>4</v>
      </c>
    </row>
    <row r="2283" spans="1:4" x14ac:dyDescent="0.35">
      <c r="A2283">
        <v>1058</v>
      </c>
      <c r="B2283" s="2">
        <v>36667</v>
      </c>
      <c r="C2283">
        <v>3</v>
      </c>
      <c r="D2283">
        <v>3</v>
      </c>
    </row>
    <row r="2284" spans="1:4" x14ac:dyDescent="0.35">
      <c r="A2284">
        <v>1059</v>
      </c>
      <c r="B2284" s="2">
        <v>36667</v>
      </c>
      <c r="C2284">
        <v>2</v>
      </c>
      <c r="D2284">
        <v>2</v>
      </c>
    </row>
    <row r="2285" spans="1:4" x14ac:dyDescent="0.35">
      <c r="A2285">
        <v>1060</v>
      </c>
      <c r="B2285" s="2">
        <v>36301</v>
      </c>
      <c r="C2285">
        <v>5</v>
      </c>
      <c r="D2285">
        <v>5</v>
      </c>
    </row>
    <row r="2286" spans="1:4" x14ac:dyDescent="0.35">
      <c r="A2286">
        <v>1060</v>
      </c>
      <c r="B2286" s="2">
        <v>36524</v>
      </c>
      <c r="C2286">
        <v>5</v>
      </c>
      <c r="D2286">
        <v>5</v>
      </c>
    </row>
    <row r="2287" spans="1:4" x14ac:dyDescent="0.35">
      <c r="A2287">
        <v>1060</v>
      </c>
      <c r="B2287" s="2">
        <v>36524</v>
      </c>
      <c r="C2287">
        <v>5</v>
      </c>
      <c r="D2287">
        <v>5</v>
      </c>
    </row>
    <row r="2288" spans="1:4" x14ac:dyDescent="0.35">
      <c r="A2288">
        <v>1060</v>
      </c>
      <c r="B2288" s="2">
        <v>38128</v>
      </c>
      <c r="C2288">
        <v>5</v>
      </c>
      <c r="D2288">
        <v>5</v>
      </c>
    </row>
    <row r="2289" spans="1:4" x14ac:dyDescent="0.35">
      <c r="A2289">
        <v>1061</v>
      </c>
      <c r="B2289" s="2">
        <v>37397</v>
      </c>
      <c r="C2289">
        <v>2</v>
      </c>
      <c r="D2289">
        <v>2</v>
      </c>
    </row>
    <row r="2290" spans="1:4" x14ac:dyDescent="0.35">
      <c r="A2290">
        <v>1062</v>
      </c>
      <c r="B2290" s="2">
        <v>37620</v>
      </c>
      <c r="C2290">
        <v>5</v>
      </c>
      <c r="D2290">
        <v>5</v>
      </c>
    </row>
    <row r="2291" spans="1:4" x14ac:dyDescent="0.35">
      <c r="A2291">
        <v>1062</v>
      </c>
      <c r="B2291" s="2">
        <v>37854</v>
      </c>
      <c r="C2291">
        <v>5</v>
      </c>
      <c r="D2291">
        <v>5</v>
      </c>
    </row>
    <row r="2292" spans="1:4" x14ac:dyDescent="0.35">
      <c r="A2292">
        <v>1063</v>
      </c>
      <c r="B2292" s="2">
        <v>37255</v>
      </c>
      <c r="C2292">
        <v>2</v>
      </c>
      <c r="D2292">
        <v>2</v>
      </c>
    </row>
    <row r="2293" spans="1:4" x14ac:dyDescent="0.35">
      <c r="A2293">
        <v>1063</v>
      </c>
      <c r="B2293" s="2">
        <v>37397</v>
      </c>
      <c r="C2293">
        <v>3</v>
      </c>
      <c r="D2293">
        <v>3</v>
      </c>
    </row>
    <row r="2294" spans="1:4" x14ac:dyDescent="0.35">
      <c r="A2294">
        <v>1064</v>
      </c>
      <c r="B2294" s="2">
        <v>36790</v>
      </c>
      <c r="C2294">
        <v>4</v>
      </c>
      <c r="D2294">
        <v>4</v>
      </c>
    </row>
    <row r="2295" spans="1:4" x14ac:dyDescent="0.35">
      <c r="A2295">
        <v>1064</v>
      </c>
      <c r="B2295" s="2">
        <v>37620</v>
      </c>
      <c r="C2295">
        <v>5</v>
      </c>
      <c r="D2295">
        <v>5</v>
      </c>
    </row>
    <row r="2296" spans="1:4" x14ac:dyDescent="0.35">
      <c r="A2296">
        <v>1064</v>
      </c>
      <c r="B2296" s="2">
        <v>37771</v>
      </c>
      <c r="C2296">
        <v>5</v>
      </c>
      <c r="D2296">
        <v>5</v>
      </c>
    </row>
    <row r="2297" spans="1:4" x14ac:dyDescent="0.35">
      <c r="A2297">
        <v>1065</v>
      </c>
      <c r="B2297" s="2">
        <v>37194</v>
      </c>
      <c r="C2297">
        <v>2</v>
      </c>
      <c r="D2297">
        <v>2</v>
      </c>
    </row>
    <row r="2298" spans="1:4" x14ac:dyDescent="0.35">
      <c r="A2298">
        <v>1065</v>
      </c>
      <c r="B2298" s="2">
        <v>37255</v>
      </c>
      <c r="C2298">
        <v>2</v>
      </c>
      <c r="D2298">
        <v>2</v>
      </c>
    </row>
    <row r="2299" spans="1:4" x14ac:dyDescent="0.35">
      <c r="A2299">
        <v>1065</v>
      </c>
      <c r="B2299" s="2">
        <v>37403</v>
      </c>
      <c r="C2299">
        <v>3</v>
      </c>
      <c r="D2299">
        <v>3</v>
      </c>
    </row>
    <row r="2300" spans="1:4" x14ac:dyDescent="0.35">
      <c r="A2300">
        <v>1066</v>
      </c>
      <c r="B2300" s="2">
        <v>36524</v>
      </c>
      <c r="C2300">
        <v>3</v>
      </c>
      <c r="D2300">
        <v>3</v>
      </c>
    </row>
    <row r="2301" spans="1:4" x14ac:dyDescent="0.35">
      <c r="A2301">
        <v>1066</v>
      </c>
      <c r="B2301" s="2">
        <v>38198</v>
      </c>
      <c r="C2301">
        <v>4</v>
      </c>
      <c r="D2301">
        <v>4</v>
      </c>
    </row>
    <row r="2302" spans="1:4" x14ac:dyDescent="0.35">
      <c r="A2302">
        <v>1067</v>
      </c>
      <c r="B2302" s="2">
        <v>36310</v>
      </c>
      <c r="C2302">
        <v>6</v>
      </c>
      <c r="D2302">
        <v>6</v>
      </c>
    </row>
    <row r="2303" spans="1:4" x14ac:dyDescent="0.35">
      <c r="A2303">
        <v>1067</v>
      </c>
      <c r="B2303" s="2">
        <v>36667</v>
      </c>
      <c r="C2303">
        <v>0</v>
      </c>
      <c r="D2303">
        <v>0</v>
      </c>
    </row>
    <row r="2304" spans="1:4" x14ac:dyDescent="0.35">
      <c r="A2304">
        <v>1068</v>
      </c>
      <c r="B2304" s="2">
        <v>36301</v>
      </c>
      <c r="C2304">
        <v>2</v>
      </c>
      <c r="D2304">
        <v>2</v>
      </c>
    </row>
    <row r="2305" spans="1:4" x14ac:dyDescent="0.35">
      <c r="A2305">
        <v>1069</v>
      </c>
      <c r="B2305" s="2">
        <v>38132</v>
      </c>
      <c r="C2305">
        <v>1</v>
      </c>
      <c r="D2305">
        <v>1</v>
      </c>
    </row>
    <row r="2306" spans="1:4" x14ac:dyDescent="0.35">
      <c r="A2306">
        <v>1070</v>
      </c>
      <c r="B2306" s="2">
        <v>37035</v>
      </c>
      <c r="C2306">
        <v>2</v>
      </c>
      <c r="D2306">
        <v>2</v>
      </c>
    </row>
    <row r="2307" spans="1:4" x14ac:dyDescent="0.35">
      <c r="A2307">
        <v>1070</v>
      </c>
      <c r="B2307" s="2">
        <v>37216</v>
      </c>
      <c r="C2307">
        <v>2</v>
      </c>
      <c r="D2307">
        <v>2</v>
      </c>
    </row>
    <row r="2308" spans="1:4" x14ac:dyDescent="0.35">
      <c r="A2308">
        <v>1070</v>
      </c>
      <c r="B2308" s="2">
        <v>37397</v>
      </c>
      <c r="C2308">
        <v>3</v>
      </c>
      <c r="D2308">
        <v>3</v>
      </c>
    </row>
    <row r="2309" spans="1:4" x14ac:dyDescent="0.35">
      <c r="A2309">
        <v>1071</v>
      </c>
      <c r="B2309" s="2">
        <v>36301</v>
      </c>
      <c r="C2309">
        <v>6</v>
      </c>
      <c r="D2309">
        <v>6</v>
      </c>
    </row>
    <row r="2310" spans="1:4" x14ac:dyDescent="0.35">
      <c r="A2310">
        <v>1071</v>
      </c>
      <c r="B2310" s="2">
        <v>36363</v>
      </c>
      <c r="C2310">
        <v>7</v>
      </c>
      <c r="D2310">
        <v>7</v>
      </c>
    </row>
    <row r="2311" spans="1:4" x14ac:dyDescent="0.35">
      <c r="A2311">
        <v>1071</v>
      </c>
      <c r="B2311" s="2">
        <v>36524</v>
      </c>
      <c r="C2311">
        <v>7</v>
      </c>
      <c r="D2311">
        <v>7</v>
      </c>
    </row>
    <row r="2312" spans="1:4" x14ac:dyDescent="0.35">
      <c r="A2312">
        <v>1071</v>
      </c>
      <c r="B2312" s="2">
        <v>36728</v>
      </c>
      <c r="C2312">
        <v>0</v>
      </c>
      <c r="D2312">
        <v>0</v>
      </c>
    </row>
    <row r="2313" spans="1:4" x14ac:dyDescent="0.35">
      <c r="A2313">
        <v>1072</v>
      </c>
      <c r="B2313" s="2">
        <v>36829</v>
      </c>
      <c r="C2313">
        <v>3</v>
      </c>
      <c r="D2313">
        <v>3</v>
      </c>
    </row>
    <row r="2314" spans="1:4" x14ac:dyDescent="0.35">
      <c r="A2314">
        <v>1072</v>
      </c>
      <c r="B2314" s="2">
        <v>37529</v>
      </c>
      <c r="C2314">
        <v>3</v>
      </c>
      <c r="D2314">
        <v>3</v>
      </c>
    </row>
    <row r="2315" spans="1:4" x14ac:dyDescent="0.35">
      <c r="A2315">
        <v>1072</v>
      </c>
      <c r="B2315" s="2">
        <v>37620</v>
      </c>
      <c r="C2315">
        <v>3</v>
      </c>
      <c r="D2315">
        <v>3</v>
      </c>
    </row>
    <row r="2316" spans="1:4" x14ac:dyDescent="0.35">
      <c r="A2316">
        <v>1073</v>
      </c>
      <c r="B2316" s="2">
        <v>37550</v>
      </c>
      <c r="C2316">
        <v>3</v>
      </c>
      <c r="D2316">
        <v>3</v>
      </c>
    </row>
    <row r="2317" spans="1:4" x14ac:dyDescent="0.35">
      <c r="A2317">
        <v>1074</v>
      </c>
      <c r="B2317" s="2">
        <v>37550</v>
      </c>
      <c r="C2317">
        <v>3</v>
      </c>
      <c r="D2317">
        <v>3</v>
      </c>
    </row>
    <row r="2318" spans="1:4" x14ac:dyDescent="0.35">
      <c r="A2318">
        <v>1075</v>
      </c>
      <c r="B2318" s="2">
        <v>36301</v>
      </c>
      <c r="C2318">
        <v>5</v>
      </c>
      <c r="D2318">
        <v>5</v>
      </c>
    </row>
    <row r="2319" spans="1:4" x14ac:dyDescent="0.35">
      <c r="A2319">
        <v>1075</v>
      </c>
      <c r="B2319" s="2">
        <v>36310</v>
      </c>
      <c r="C2319">
        <v>4</v>
      </c>
      <c r="D2319">
        <v>4</v>
      </c>
    </row>
    <row r="2320" spans="1:4" x14ac:dyDescent="0.35">
      <c r="A2320">
        <v>1075</v>
      </c>
      <c r="B2320" s="2">
        <v>37397</v>
      </c>
      <c r="C2320">
        <v>4</v>
      </c>
      <c r="D2320">
        <v>4</v>
      </c>
    </row>
    <row r="2321" spans="1:4" x14ac:dyDescent="0.35">
      <c r="A2321">
        <v>1075</v>
      </c>
      <c r="B2321" s="2">
        <v>38493</v>
      </c>
      <c r="C2321">
        <v>4</v>
      </c>
      <c r="D2321">
        <v>4</v>
      </c>
    </row>
    <row r="2322" spans="1:4" x14ac:dyDescent="0.35">
      <c r="A2322">
        <v>1076</v>
      </c>
      <c r="B2322" s="2">
        <v>37854</v>
      </c>
      <c r="C2322">
        <v>6</v>
      </c>
      <c r="D2322">
        <v>6</v>
      </c>
    </row>
    <row r="2323" spans="1:4" x14ac:dyDescent="0.35">
      <c r="A2323">
        <v>1076</v>
      </c>
      <c r="B2323" s="2">
        <v>38251</v>
      </c>
      <c r="C2323">
        <v>0</v>
      </c>
      <c r="D2323">
        <v>0</v>
      </c>
    </row>
    <row r="2324" spans="1:4" x14ac:dyDescent="0.35">
      <c r="A2324">
        <v>1077</v>
      </c>
      <c r="B2324" s="2">
        <v>37037</v>
      </c>
      <c r="C2324">
        <v>0</v>
      </c>
      <c r="D2324">
        <v>0</v>
      </c>
    </row>
    <row r="2325" spans="1:4" x14ac:dyDescent="0.35">
      <c r="A2325">
        <v>1078</v>
      </c>
      <c r="B2325" s="2">
        <v>36454</v>
      </c>
      <c r="C2325">
        <v>6</v>
      </c>
      <c r="D2325">
        <v>6</v>
      </c>
    </row>
    <row r="2326" spans="1:4" x14ac:dyDescent="0.35">
      <c r="A2326">
        <v>1078</v>
      </c>
      <c r="B2326" s="2">
        <v>37041</v>
      </c>
      <c r="C2326">
        <v>6</v>
      </c>
      <c r="D2326">
        <v>6</v>
      </c>
    </row>
    <row r="2327" spans="1:4" x14ac:dyDescent="0.35">
      <c r="A2327">
        <v>1078</v>
      </c>
      <c r="B2327" s="2">
        <v>37620</v>
      </c>
      <c r="C2327">
        <v>6</v>
      </c>
      <c r="D2327">
        <v>6</v>
      </c>
    </row>
    <row r="2328" spans="1:4" x14ac:dyDescent="0.35">
      <c r="A2328">
        <v>1078</v>
      </c>
      <c r="B2328" s="2">
        <v>38159</v>
      </c>
      <c r="C2328">
        <v>6</v>
      </c>
      <c r="D2328">
        <v>6</v>
      </c>
    </row>
    <row r="2329" spans="1:4" x14ac:dyDescent="0.35">
      <c r="A2329">
        <v>1078</v>
      </c>
      <c r="B2329" s="2">
        <v>38502</v>
      </c>
      <c r="C2329">
        <v>0</v>
      </c>
      <c r="D2329">
        <v>0</v>
      </c>
    </row>
    <row r="2330" spans="1:4" x14ac:dyDescent="0.35">
      <c r="A2330">
        <v>1079</v>
      </c>
      <c r="B2330" s="2">
        <v>37762</v>
      </c>
      <c r="C2330">
        <v>0</v>
      </c>
      <c r="D2330">
        <v>0</v>
      </c>
    </row>
    <row r="2331" spans="1:4" x14ac:dyDescent="0.35">
      <c r="A2331">
        <v>1080</v>
      </c>
      <c r="B2331" s="2">
        <v>36301</v>
      </c>
      <c r="C2331">
        <v>5</v>
      </c>
      <c r="D2331">
        <v>5</v>
      </c>
    </row>
    <row r="2332" spans="1:4" x14ac:dyDescent="0.35">
      <c r="A2332">
        <v>1080</v>
      </c>
      <c r="B2332" s="2">
        <v>36799</v>
      </c>
      <c r="C2332">
        <v>4</v>
      </c>
      <c r="D2332">
        <v>4</v>
      </c>
    </row>
    <row r="2333" spans="1:4" x14ac:dyDescent="0.35">
      <c r="A2333">
        <v>1080</v>
      </c>
      <c r="B2333" s="2">
        <v>37397</v>
      </c>
      <c r="C2333">
        <v>6</v>
      </c>
      <c r="D2333">
        <v>6</v>
      </c>
    </row>
    <row r="2334" spans="1:4" x14ac:dyDescent="0.35">
      <c r="A2334">
        <v>1080</v>
      </c>
      <c r="B2334" s="2">
        <v>37397</v>
      </c>
      <c r="C2334">
        <v>7</v>
      </c>
      <c r="D2334">
        <v>7</v>
      </c>
    </row>
    <row r="2335" spans="1:4" x14ac:dyDescent="0.35">
      <c r="A2335">
        <v>1080</v>
      </c>
      <c r="B2335" s="2">
        <v>37397</v>
      </c>
      <c r="C2335">
        <v>8</v>
      </c>
      <c r="D2335">
        <v>8</v>
      </c>
    </row>
    <row r="2336" spans="1:4" x14ac:dyDescent="0.35">
      <c r="A2336">
        <v>1080</v>
      </c>
      <c r="B2336" s="2">
        <v>37428</v>
      </c>
      <c r="C2336">
        <v>0</v>
      </c>
      <c r="D2336">
        <v>8</v>
      </c>
    </row>
    <row r="2337" spans="1:4" x14ac:dyDescent="0.35">
      <c r="A2337">
        <v>1080</v>
      </c>
      <c r="B2337" s="2">
        <v>37498</v>
      </c>
      <c r="C2337">
        <v>7</v>
      </c>
      <c r="D2337">
        <v>8</v>
      </c>
    </row>
    <row r="2338" spans="1:4" x14ac:dyDescent="0.35">
      <c r="A2338">
        <v>1081</v>
      </c>
      <c r="B2338" s="2">
        <v>36820</v>
      </c>
      <c r="C2338">
        <v>6</v>
      </c>
      <c r="D2338">
        <v>6</v>
      </c>
    </row>
    <row r="2339" spans="1:4" x14ac:dyDescent="0.35">
      <c r="A2339">
        <v>1081</v>
      </c>
      <c r="B2339" s="2">
        <v>37255</v>
      </c>
      <c r="C2339">
        <v>6</v>
      </c>
      <c r="D2339">
        <v>6</v>
      </c>
    </row>
    <row r="2340" spans="1:4" x14ac:dyDescent="0.35">
      <c r="A2340">
        <v>1081</v>
      </c>
      <c r="B2340" s="2">
        <v>37437</v>
      </c>
      <c r="C2340">
        <v>7</v>
      </c>
      <c r="D2340">
        <v>7</v>
      </c>
    </row>
    <row r="2341" spans="1:4" x14ac:dyDescent="0.35">
      <c r="A2341">
        <v>1082</v>
      </c>
      <c r="B2341" s="2">
        <v>36402</v>
      </c>
      <c r="C2341">
        <v>3</v>
      </c>
      <c r="D2341">
        <v>3</v>
      </c>
    </row>
    <row r="2342" spans="1:4" x14ac:dyDescent="0.35">
      <c r="A2342">
        <v>1082</v>
      </c>
      <c r="B2342" s="2">
        <v>37620</v>
      </c>
      <c r="C2342">
        <v>0</v>
      </c>
      <c r="D2342">
        <v>0</v>
      </c>
    </row>
    <row r="2343" spans="1:4" x14ac:dyDescent="0.35">
      <c r="A2343">
        <v>1083</v>
      </c>
      <c r="B2343" s="2">
        <v>36332</v>
      </c>
      <c r="C2343">
        <v>5</v>
      </c>
      <c r="D2343">
        <v>5</v>
      </c>
    </row>
    <row r="2344" spans="1:4" x14ac:dyDescent="0.35">
      <c r="A2344">
        <v>1083</v>
      </c>
      <c r="B2344" s="2">
        <v>36524</v>
      </c>
      <c r="C2344">
        <v>0</v>
      </c>
      <c r="D2344">
        <v>0</v>
      </c>
    </row>
    <row r="2345" spans="1:4" x14ac:dyDescent="0.35">
      <c r="A2345">
        <v>1084</v>
      </c>
      <c r="B2345" s="2">
        <v>36301</v>
      </c>
      <c r="C2345">
        <v>3</v>
      </c>
      <c r="D2345">
        <v>3</v>
      </c>
    </row>
    <row r="2346" spans="1:4" x14ac:dyDescent="0.35">
      <c r="A2346">
        <v>1084</v>
      </c>
      <c r="B2346" s="2">
        <v>36890</v>
      </c>
      <c r="C2346">
        <v>2</v>
      </c>
      <c r="D2346">
        <v>2</v>
      </c>
    </row>
    <row r="2347" spans="1:4" x14ac:dyDescent="0.35">
      <c r="A2347">
        <v>1084</v>
      </c>
      <c r="B2347" s="2">
        <v>37529</v>
      </c>
      <c r="C2347">
        <v>0</v>
      </c>
      <c r="D2347">
        <v>0</v>
      </c>
    </row>
    <row r="2348" spans="1:4" x14ac:dyDescent="0.35">
      <c r="A2348">
        <v>1085</v>
      </c>
      <c r="B2348" s="2">
        <v>36310</v>
      </c>
      <c r="C2348">
        <v>2</v>
      </c>
      <c r="D2348">
        <v>2</v>
      </c>
    </row>
    <row r="2349" spans="1:4" x14ac:dyDescent="0.35">
      <c r="A2349">
        <v>1086</v>
      </c>
      <c r="B2349" s="2">
        <v>37985</v>
      </c>
      <c r="C2349">
        <v>3</v>
      </c>
      <c r="D2349">
        <v>3</v>
      </c>
    </row>
    <row r="2350" spans="1:4" x14ac:dyDescent="0.35">
      <c r="A2350">
        <v>1087</v>
      </c>
      <c r="B2350" s="2">
        <v>36667</v>
      </c>
      <c r="C2350">
        <v>0</v>
      </c>
      <c r="D2350">
        <v>0</v>
      </c>
    </row>
    <row r="2351" spans="1:4" x14ac:dyDescent="0.35">
      <c r="A2351">
        <v>1087</v>
      </c>
      <c r="B2351" s="2">
        <v>38260</v>
      </c>
      <c r="C2351">
        <v>6</v>
      </c>
      <c r="D2351">
        <v>6</v>
      </c>
    </row>
    <row r="2352" spans="1:4" x14ac:dyDescent="0.35">
      <c r="A2352">
        <v>1088</v>
      </c>
      <c r="B2352" s="2">
        <v>36860</v>
      </c>
      <c r="C2352">
        <v>5</v>
      </c>
      <c r="D2352">
        <v>5</v>
      </c>
    </row>
    <row r="2353" spans="1:4" x14ac:dyDescent="0.35">
      <c r="A2353">
        <v>1088</v>
      </c>
      <c r="B2353" s="2">
        <v>37397</v>
      </c>
      <c r="C2353">
        <v>5</v>
      </c>
      <c r="D2353">
        <v>5</v>
      </c>
    </row>
    <row r="2354" spans="1:4" x14ac:dyDescent="0.35">
      <c r="A2354">
        <v>1088</v>
      </c>
      <c r="B2354" s="2">
        <v>37985</v>
      </c>
      <c r="C2354">
        <v>5</v>
      </c>
      <c r="D2354">
        <v>5</v>
      </c>
    </row>
    <row r="2355" spans="1:4" x14ac:dyDescent="0.35">
      <c r="A2355">
        <v>1088</v>
      </c>
      <c r="B2355" s="2">
        <v>38128</v>
      </c>
      <c r="C2355">
        <v>6</v>
      </c>
      <c r="D2355">
        <v>6</v>
      </c>
    </row>
    <row r="2356" spans="1:4" x14ac:dyDescent="0.35">
      <c r="A2356">
        <v>1089</v>
      </c>
      <c r="B2356" s="2">
        <v>36737</v>
      </c>
      <c r="C2356">
        <v>5</v>
      </c>
      <c r="D2356">
        <v>5</v>
      </c>
    </row>
    <row r="2357" spans="1:4" x14ac:dyDescent="0.35">
      <c r="A2357">
        <v>1089</v>
      </c>
      <c r="B2357" s="2">
        <v>38655</v>
      </c>
      <c r="C2357">
        <v>5</v>
      </c>
      <c r="D2357">
        <v>5</v>
      </c>
    </row>
    <row r="2358" spans="1:4" x14ac:dyDescent="0.35">
      <c r="A2358">
        <v>1090</v>
      </c>
      <c r="B2358" s="2">
        <v>36860</v>
      </c>
      <c r="C2358">
        <v>5</v>
      </c>
      <c r="D2358">
        <v>5</v>
      </c>
    </row>
    <row r="2359" spans="1:4" x14ac:dyDescent="0.35">
      <c r="A2359">
        <v>1090</v>
      </c>
      <c r="B2359" s="2">
        <v>38493</v>
      </c>
      <c r="C2359">
        <v>5</v>
      </c>
      <c r="D2359">
        <v>5</v>
      </c>
    </row>
    <row r="2360" spans="1:4" x14ac:dyDescent="0.35">
      <c r="A2360">
        <v>1091</v>
      </c>
      <c r="B2360" s="2">
        <v>38128</v>
      </c>
      <c r="C2360">
        <v>0</v>
      </c>
      <c r="D2360">
        <v>0</v>
      </c>
    </row>
    <row r="2361" spans="1:4" x14ac:dyDescent="0.35">
      <c r="A2361">
        <v>1092</v>
      </c>
      <c r="B2361" s="2">
        <v>38351</v>
      </c>
      <c r="C2361">
        <v>4</v>
      </c>
      <c r="D2361">
        <v>4</v>
      </c>
    </row>
    <row r="2362" spans="1:4" x14ac:dyDescent="0.35">
      <c r="A2362">
        <v>1093</v>
      </c>
      <c r="B2362" s="2">
        <v>36890</v>
      </c>
      <c r="C2362">
        <v>4</v>
      </c>
      <c r="D2362">
        <v>4</v>
      </c>
    </row>
    <row r="2363" spans="1:4" x14ac:dyDescent="0.35">
      <c r="A2363">
        <v>1093</v>
      </c>
      <c r="B2363" s="2">
        <v>37620</v>
      </c>
      <c r="C2363">
        <v>4</v>
      </c>
      <c r="D2363">
        <v>4</v>
      </c>
    </row>
    <row r="2364" spans="1:4" x14ac:dyDescent="0.35">
      <c r="A2364">
        <v>1093</v>
      </c>
      <c r="B2364" s="2">
        <v>38493</v>
      </c>
      <c r="C2364">
        <v>4</v>
      </c>
      <c r="D2364">
        <v>4</v>
      </c>
    </row>
    <row r="2365" spans="1:4" x14ac:dyDescent="0.35">
      <c r="A2365">
        <v>1094</v>
      </c>
      <c r="B2365" s="2">
        <v>36515</v>
      </c>
      <c r="C2365">
        <v>0</v>
      </c>
      <c r="D2365">
        <v>0</v>
      </c>
    </row>
    <row r="2366" spans="1:4" x14ac:dyDescent="0.35">
      <c r="A2366">
        <v>1094</v>
      </c>
      <c r="B2366" s="2">
        <v>37590</v>
      </c>
      <c r="C2366">
        <v>4</v>
      </c>
      <c r="D2366">
        <v>4</v>
      </c>
    </row>
    <row r="2367" spans="1:4" x14ac:dyDescent="0.35">
      <c r="A2367">
        <v>1095</v>
      </c>
      <c r="B2367" s="2">
        <v>37164</v>
      </c>
      <c r="C2367">
        <v>4</v>
      </c>
      <c r="D2367">
        <v>4</v>
      </c>
    </row>
    <row r="2368" spans="1:4" x14ac:dyDescent="0.35">
      <c r="A2368">
        <v>1095</v>
      </c>
      <c r="B2368" s="2">
        <v>38220</v>
      </c>
      <c r="C2368">
        <v>4</v>
      </c>
      <c r="D2368">
        <v>4</v>
      </c>
    </row>
    <row r="2369" spans="1:4" x14ac:dyDescent="0.35">
      <c r="A2369">
        <v>1096</v>
      </c>
      <c r="B2369" s="2">
        <v>37399</v>
      </c>
      <c r="C2369">
        <v>5</v>
      </c>
      <c r="D2369">
        <v>5</v>
      </c>
    </row>
    <row r="2370" spans="1:4" x14ac:dyDescent="0.35">
      <c r="A2370">
        <v>1097</v>
      </c>
      <c r="B2370" s="2">
        <v>37397</v>
      </c>
      <c r="C2370">
        <v>3</v>
      </c>
      <c r="D2370">
        <v>3</v>
      </c>
    </row>
    <row r="2371" spans="1:4" x14ac:dyDescent="0.35">
      <c r="A2371">
        <v>1097</v>
      </c>
      <c r="B2371" s="2">
        <v>37924</v>
      </c>
      <c r="C2371">
        <v>4</v>
      </c>
      <c r="D2371">
        <v>4</v>
      </c>
    </row>
    <row r="2372" spans="1:4" x14ac:dyDescent="0.35">
      <c r="A2372">
        <v>1097</v>
      </c>
      <c r="B2372" s="2">
        <v>38137</v>
      </c>
      <c r="C2372">
        <v>3</v>
      </c>
      <c r="D2372">
        <v>3</v>
      </c>
    </row>
    <row r="2373" spans="1:4" x14ac:dyDescent="0.35">
      <c r="A2373">
        <v>1098</v>
      </c>
      <c r="B2373" s="2">
        <v>36310</v>
      </c>
      <c r="C2373">
        <v>3</v>
      </c>
      <c r="D2373">
        <v>3</v>
      </c>
    </row>
    <row r="2374" spans="1:4" x14ac:dyDescent="0.35">
      <c r="A2374">
        <v>1098</v>
      </c>
      <c r="B2374" s="2">
        <v>36668</v>
      </c>
      <c r="C2374">
        <v>3</v>
      </c>
      <c r="D2374">
        <v>3</v>
      </c>
    </row>
    <row r="2375" spans="1:4" x14ac:dyDescent="0.35">
      <c r="A2375">
        <v>1099</v>
      </c>
      <c r="B2375" s="2">
        <v>36667</v>
      </c>
      <c r="C2375">
        <v>3</v>
      </c>
      <c r="D2375">
        <v>3</v>
      </c>
    </row>
    <row r="2376" spans="1:4" x14ac:dyDescent="0.35">
      <c r="A2376">
        <v>1100</v>
      </c>
      <c r="B2376" s="2">
        <v>37762</v>
      </c>
      <c r="C2376">
        <v>2</v>
      </c>
      <c r="D2376">
        <v>2</v>
      </c>
    </row>
    <row r="2377" spans="1:4" x14ac:dyDescent="0.35">
      <c r="A2377">
        <v>1101</v>
      </c>
      <c r="B2377" s="2">
        <v>36301</v>
      </c>
      <c r="C2377">
        <v>4</v>
      </c>
      <c r="D2377">
        <v>4</v>
      </c>
    </row>
    <row r="2378" spans="1:4" x14ac:dyDescent="0.35">
      <c r="A2378">
        <v>1101</v>
      </c>
      <c r="B2378" s="2">
        <v>37255</v>
      </c>
      <c r="C2378">
        <v>4</v>
      </c>
      <c r="D2378">
        <v>4</v>
      </c>
    </row>
    <row r="2379" spans="1:4" x14ac:dyDescent="0.35">
      <c r="A2379">
        <v>1101</v>
      </c>
      <c r="B2379" s="2">
        <v>37863</v>
      </c>
      <c r="C2379">
        <v>4</v>
      </c>
      <c r="D2379">
        <v>4</v>
      </c>
    </row>
    <row r="2380" spans="1:4" x14ac:dyDescent="0.35">
      <c r="A2380">
        <v>1101</v>
      </c>
      <c r="B2380" s="2">
        <v>38493</v>
      </c>
      <c r="C2380">
        <v>5</v>
      </c>
      <c r="D2380">
        <v>5</v>
      </c>
    </row>
    <row r="2381" spans="1:4" x14ac:dyDescent="0.35">
      <c r="A2381">
        <v>1102</v>
      </c>
      <c r="B2381" s="2">
        <v>37985</v>
      </c>
      <c r="C2381">
        <v>6</v>
      </c>
      <c r="D2381">
        <v>6</v>
      </c>
    </row>
    <row r="2382" spans="1:4" x14ac:dyDescent="0.35">
      <c r="A2382">
        <v>1103</v>
      </c>
      <c r="B2382" s="2">
        <v>36792</v>
      </c>
      <c r="C2382">
        <v>7</v>
      </c>
      <c r="D2382">
        <v>7</v>
      </c>
    </row>
    <row r="2383" spans="1:4" x14ac:dyDescent="0.35">
      <c r="A2383">
        <v>1103</v>
      </c>
      <c r="B2383" s="2">
        <v>37194</v>
      </c>
      <c r="C2383">
        <v>8</v>
      </c>
      <c r="D2383">
        <v>8</v>
      </c>
    </row>
    <row r="2384" spans="1:4" x14ac:dyDescent="0.35">
      <c r="A2384">
        <v>1104</v>
      </c>
      <c r="B2384" s="2">
        <v>37255</v>
      </c>
      <c r="C2384">
        <v>2</v>
      </c>
      <c r="D2384">
        <v>2</v>
      </c>
    </row>
    <row r="2385" spans="1:4" x14ac:dyDescent="0.35">
      <c r="A2385">
        <v>1105</v>
      </c>
      <c r="B2385" s="2">
        <v>36667</v>
      </c>
      <c r="C2385">
        <v>3</v>
      </c>
      <c r="D2385">
        <v>3</v>
      </c>
    </row>
    <row r="2386" spans="1:4" x14ac:dyDescent="0.35">
      <c r="A2386">
        <v>1106</v>
      </c>
      <c r="B2386" s="2">
        <v>36433</v>
      </c>
      <c r="C2386">
        <v>5</v>
      </c>
      <c r="D2386">
        <v>5</v>
      </c>
    </row>
    <row r="2387" spans="1:4" x14ac:dyDescent="0.35">
      <c r="A2387">
        <v>1106</v>
      </c>
      <c r="B2387" s="2">
        <v>37529</v>
      </c>
      <c r="C2387">
        <v>6</v>
      </c>
      <c r="D2387">
        <v>6</v>
      </c>
    </row>
    <row r="2388" spans="1:4" x14ac:dyDescent="0.35">
      <c r="A2388">
        <v>1107</v>
      </c>
      <c r="B2388" s="2">
        <v>36458</v>
      </c>
      <c r="C2388">
        <v>6</v>
      </c>
      <c r="D2388">
        <v>6</v>
      </c>
    </row>
    <row r="2389" spans="1:4" x14ac:dyDescent="0.35">
      <c r="A2389">
        <v>1107</v>
      </c>
      <c r="B2389" s="2">
        <v>36676</v>
      </c>
      <c r="C2389">
        <v>0</v>
      </c>
      <c r="D2389">
        <v>0</v>
      </c>
    </row>
    <row r="2390" spans="1:4" x14ac:dyDescent="0.35">
      <c r="A2390">
        <v>1108</v>
      </c>
      <c r="B2390" s="2">
        <v>36424</v>
      </c>
      <c r="C2390">
        <v>4</v>
      </c>
      <c r="D2390">
        <v>4</v>
      </c>
    </row>
    <row r="2391" spans="1:4" x14ac:dyDescent="0.35">
      <c r="A2391">
        <v>1108</v>
      </c>
      <c r="B2391" s="2">
        <v>36463</v>
      </c>
      <c r="C2391">
        <v>4</v>
      </c>
      <c r="D2391">
        <v>4</v>
      </c>
    </row>
    <row r="2392" spans="1:4" x14ac:dyDescent="0.35">
      <c r="A2392">
        <v>1108</v>
      </c>
      <c r="B2392" s="2">
        <v>37402</v>
      </c>
      <c r="C2392">
        <v>3</v>
      </c>
      <c r="D2392">
        <v>3</v>
      </c>
    </row>
    <row r="2393" spans="1:4" x14ac:dyDescent="0.35">
      <c r="A2393">
        <v>1109</v>
      </c>
      <c r="B2393" s="2">
        <v>36371</v>
      </c>
      <c r="C2393">
        <v>4</v>
      </c>
      <c r="D2393">
        <v>4</v>
      </c>
    </row>
    <row r="2394" spans="1:4" x14ac:dyDescent="0.35">
      <c r="A2394">
        <v>1109</v>
      </c>
      <c r="B2394" s="2">
        <v>36524</v>
      </c>
      <c r="C2394">
        <v>4</v>
      </c>
      <c r="D2394">
        <v>4</v>
      </c>
    </row>
    <row r="2395" spans="1:4" x14ac:dyDescent="0.35">
      <c r="A2395">
        <v>1109</v>
      </c>
      <c r="B2395" s="2">
        <v>37467</v>
      </c>
      <c r="C2395">
        <v>3</v>
      </c>
      <c r="D2395">
        <v>3</v>
      </c>
    </row>
    <row r="2396" spans="1:4" x14ac:dyDescent="0.35">
      <c r="A2396">
        <v>1110</v>
      </c>
      <c r="B2396" s="2">
        <v>36667</v>
      </c>
      <c r="C2396">
        <v>0</v>
      </c>
      <c r="D2396">
        <v>0</v>
      </c>
    </row>
    <row r="2397" spans="1:4" x14ac:dyDescent="0.35">
      <c r="A2397">
        <v>1111</v>
      </c>
      <c r="B2397" s="2">
        <v>38137</v>
      </c>
      <c r="C2397">
        <v>4</v>
      </c>
      <c r="D2397">
        <v>4</v>
      </c>
    </row>
    <row r="2398" spans="1:4" x14ac:dyDescent="0.35">
      <c r="A2398">
        <v>1112</v>
      </c>
      <c r="B2398" s="2">
        <v>38131</v>
      </c>
      <c r="C2398">
        <v>0</v>
      </c>
      <c r="D2398">
        <v>0</v>
      </c>
    </row>
    <row r="2399" spans="1:4" x14ac:dyDescent="0.35">
      <c r="A2399">
        <v>1113</v>
      </c>
      <c r="B2399" s="2">
        <v>36524</v>
      </c>
      <c r="C2399">
        <v>7</v>
      </c>
      <c r="D2399">
        <v>7</v>
      </c>
    </row>
    <row r="2400" spans="1:4" x14ac:dyDescent="0.35">
      <c r="A2400">
        <v>1113</v>
      </c>
      <c r="B2400" s="2">
        <v>37093</v>
      </c>
      <c r="C2400">
        <v>7</v>
      </c>
      <c r="D2400">
        <v>7</v>
      </c>
    </row>
    <row r="2401" spans="1:4" x14ac:dyDescent="0.35">
      <c r="A2401">
        <v>1114</v>
      </c>
      <c r="B2401" s="2">
        <v>36424</v>
      </c>
      <c r="C2401">
        <v>6</v>
      </c>
      <c r="D2401">
        <v>6</v>
      </c>
    </row>
    <row r="2402" spans="1:4" x14ac:dyDescent="0.35">
      <c r="A2402">
        <v>1114</v>
      </c>
      <c r="B2402" s="2">
        <v>36890</v>
      </c>
      <c r="C2402">
        <v>6</v>
      </c>
      <c r="D2402">
        <v>6</v>
      </c>
    </row>
    <row r="2403" spans="1:4" x14ac:dyDescent="0.35">
      <c r="A2403">
        <v>1114</v>
      </c>
      <c r="B2403" s="2">
        <v>36890</v>
      </c>
      <c r="C2403">
        <v>8</v>
      </c>
      <c r="D2403">
        <v>8</v>
      </c>
    </row>
    <row r="2404" spans="1:4" x14ac:dyDescent="0.35">
      <c r="A2404">
        <v>1114</v>
      </c>
      <c r="B2404" s="2">
        <v>37397</v>
      </c>
      <c r="C2404">
        <v>0</v>
      </c>
      <c r="D2404">
        <v>8</v>
      </c>
    </row>
    <row r="2405" spans="1:4" x14ac:dyDescent="0.35">
      <c r="A2405">
        <v>1115</v>
      </c>
      <c r="B2405" s="2">
        <v>36524</v>
      </c>
      <c r="C2405">
        <v>5</v>
      </c>
      <c r="D2405">
        <v>5</v>
      </c>
    </row>
    <row r="2406" spans="1:4" x14ac:dyDescent="0.35">
      <c r="A2406">
        <v>1115</v>
      </c>
      <c r="B2406" s="2">
        <v>36890</v>
      </c>
      <c r="C2406">
        <v>6</v>
      </c>
      <c r="D2406">
        <v>6</v>
      </c>
    </row>
    <row r="2407" spans="1:4" x14ac:dyDescent="0.35">
      <c r="A2407">
        <v>1115</v>
      </c>
      <c r="B2407" s="2">
        <v>37041</v>
      </c>
      <c r="C2407">
        <v>5</v>
      </c>
      <c r="D2407">
        <v>5</v>
      </c>
    </row>
    <row r="2408" spans="1:4" x14ac:dyDescent="0.35">
      <c r="A2408">
        <v>1116</v>
      </c>
      <c r="B2408" s="2">
        <v>38128</v>
      </c>
      <c r="C2408">
        <v>4</v>
      </c>
      <c r="D2408">
        <v>4</v>
      </c>
    </row>
    <row r="2409" spans="1:4" x14ac:dyDescent="0.35">
      <c r="A2409">
        <v>1117</v>
      </c>
      <c r="B2409" s="2">
        <v>36310</v>
      </c>
      <c r="C2409">
        <v>6</v>
      </c>
      <c r="D2409">
        <v>6</v>
      </c>
    </row>
    <row r="2410" spans="1:4" x14ac:dyDescent="0.35">
      <c r="A2410">
        <v>1117</v>
      </c>
      <c r="B2410" s="2">
        <v>36667</v>
      </c>
      <c r="C2410">
        <v>0</v>
      </c>
      <c r="D2410">
        <v>0</v>
      </c>
    </row>
    <row r="2411" spans="1:4" x14ac:dyDescent="0.35">
      <c r="A2411">
        <v>1118</v>
      </c>
      <c r="B2411" s="2">
        <v>36310</v>
      </c>
      <c r="C2411">
        <v>4</v>
      </c>
      <c r="D2411">
        <v>4</v>
      </c>
    </row>
    <row r="2412" spans="1:4" x14ac:dyDescent="0.35">
      <c r="A2412">
        <v>1118</v>
      </c>
      <c r="B2412" s="2">
        <v>37402</v>
      </c>
      <c r="C2412">
        <v>5</v>
      </c>
      <c r="D2412">
        <v>5</v>
      </c>
    </row>
    <row r="2413" spans="1:4" x14ac:dyDescent="0.35">
      <c r="A2413">
        <v>1118</v>
      </c>
      <c r="B2413" s="2">
        <v>37458</v>
      </c>
      <c r="C2413">
        <v>4</v>
      </c>
      <c r="D2413">
        <v>4</v>
      </c>
    </row>
    <row r="2414" spans="1:4" x14ac:dyDescent="0.35">
      <c r="A2414">
        <v>1118</v>
      </c>
      <c r="B2414" s="2">
        <v>38128</v>
      </c>
      <c r="C2414">
        <v>4</v>
      </c>
      <c r="D2414">
        <v>4</v>
      </c>
    </row>
    <row r="2415" spans="1:4" x14ac:dyDescent="0.35">
      <c r="A2415">
        <v>1118</v>
      </c>
      <c r="B2415" s="2">
        <v>38493</v>
      </c>
      <c r="C2415">
        <v>3</v>
      </c>
      <c r="D2415">
        <v>3</v>
      </c>
    </row>
    <row r="2416" spans="1:4" x14ac:dyDescent="0.35">
      <c r="A2416">
        <v>1119</v>
      </c>
      <c r="B2416" s="2">
        <v>37032</v>
      </c>
      <c r="C2416">
        <v>3</v>
      </c>
      <c r="D2416">
        <v>3</v>
      </c>
    </row>
    <row r="2417" spans="1:4" x14ac:dyDescent="0.35">
      <c r="A2417">
        <v>1119</v>
      </c>
      <c r="B2417" s="2">
        <v>37771</v>
      </c>
      <c r="C2417">
        <v>4</v>
      </c>
      <c r="D2417">
        <v>4</v>
      </c>
    </row>
    <row r="2418" spans="1:4" x14ac:dyDescent="0.35">
      <c r="A2418">
        <v>1119</v>
      </c>
      <c r="B2418" s="2">
        <v>38128</v>
      </c>
      <c r="C2418">
        <v>3</v>
      </c>
      <c r="D2418">
        <v>3</v>
      </c>
    </row>
    <row r="2419" spans="1:4" x14ac:dyDescent="0.35">
      <c r="A2419">
        <v>1120</v>
      </c>
      <c r="B2419" s="2">
        <v>36310</v>
      </c>
      <c r="C2419">
        <v>4</v>
      </c>
      <c r="D2419">
        <v>4</v>
      </c>
    </row>
    <row r="2420" spans="1:4" x14ac:dyDescent="0.35">
      <c r="A2420">
        <v>1121</v>
      </c>
      <c r="B2420" s="2">
        <v>36310</v>
      </c>
      <c r="C2420">
        <v>4</v>
      </c>
      <c r="D2420">
        <v>4</v>
      </c>
    </row>
    <row r="2421" spans="1:4" x14ac:dyDescent="0.35">
      <c r="A2421">
        <v>1121</v>
      </c>
      <c r="B2421" s="2">
        <v>36524</v>
      </c>
      <c r="C2421">
        <v>4</v>
      </c>
      <c r="D2421">
        <v>4</v>
      </c>
    </row>
    <row r="2422" spans="1:4" x14ac:dyDescent="0.35">
      <c r="A2422">
        <v>1121</v>
      </c>
      <c r="B2422" s="2">
        <v>36524</v>
      </c>
      <c r="C2422">
        <v>4</v>
      </c>
      <c r="D2422">
        <v>4</v>
      </c>
    </row>
    <row r="2423" spans="1:4" x14ac:dyDescent="0.35">
      <c r="A2423">
        <v>1121</v>
      </c>
      <c r="B2423" s="2">
        <v>37124</v>
      </c>
      <c r="C2423">
        <v>4</v>
      </c>
      <c r="D2423">
        <v>4</v>
      </c>
    </row>
    <row r="2424" spans="1:4" x14ac:dyDescent="0.35">
      <c r="A2424">
        <v>1122</v>
      </c>
      <c r="B2424" s="2">
        <v>37406</v>
      </c>
      <c r="C2424">
        <v>3</v>
      </c>
      <c r="D2424">
        <v>3</v>
      </c>
    </row>
    <row r="2425" spans="1:4" x14ac:dyDescent="0.35">
      <c r="A2425">
        <v>1122</v>
      </c>
      <c r="B2425" s="2">
        <v>37894</v>
      </c>
      <c r="C2425">
        <v>3</v>
      </c>
      <c r="D2425">
        <v>3</v>
      </c>
    </row>
    <row r="2426" spans="1:4" x14ac:dyDescent="0.35">
      <c r="A2426">
        <v>1122</v>
      </c>
      <c r="B2426" s="2">
        <v>37985</v>
      </c>
      <c r="C2426">
        <v>4</v>
      </c>
      <c r="D2426">
        <v>4</v>
      </c>
    </row>
    <row r="2427" spans="1:4" x14ac:dyDescent="0.35">
      <c r="A2427">
        <v>1123</v>
      </c>
      <c r="B2427" s="2">
        <v>36671</v>
      </c>
      <c r="C2427">
        <v>4</v>
      </c>
      <c r="D2427">
        <v>4</v>
      </c>
    </row>
    <row r="2428" spans="1:4" x14ac:dyDescent="0.35">
      <c r="A2428">
        <v>1123</v>
      </c>
      <c r="B2428" s="2">
        <v>37428</v>
      </c>
      <c r="C2428">
        <v>4</v>
      </c>
      <c r="D2428">
        <v>4</v>
      </c>
    </row>
    <row r="2429" spans="1:4" x14ac:dyDescent="0.35">
      <c r="A2429">
        <v>1124</v>
      </c>
      <c r="B2429" s="2">
        <v>38351</v>
      </c>
      <c r="C2429">
        <v>4</v>
      </c>
      <c r="D2429">
        <v>4</v>
      </c>
    </row>
    <row r="2430" spans="1:4" x14ac:dyDescent="0.35">
      <c r="A2430">
        <v>1125</v>
      </c>
      <c r="B2430" s="2">
        <v>37620</v>
      </c>
      <c r="C2430">
        <v>3</v>
      </c>
      <c r="D2430">
        <v>3</v>
      </c>
    </row>
    <row r="2431" spans="1:4" x14ac:dyDescent="0.35">
      <c r="A2431">
        <v>1125</v>
      </c>
      <c r="B2431" s="2">
        <v>37620</v>
      </c>
      <c r="C2431">
        <v>4</v>
      </c>
      <c r="D2431">
        <v>4</v>
      </c>
    </row>
    <row r="2432" spans="1:4" x14ac:dyDescent="0.35">
      <c r="A2432">
        <v>1126</v>
      </c>
      <c r="B2432" s="2">
        <v>36524</v>
      </c>
      <c r="C2432">
        <v>4</v>
      </c>
      <c r="D2432">
        <v>4</v>
      </c>
    </row>
    <row r="2433" spans="1:4" x14ac:dyDescent="0.35">
      <c r="A2433">
        <v>1126</v>
      </c>
      <c r="B2433" s="2">
        <v>37032</v>
      </c>
      <c r="C2433">
        <v>0</v>
      </c>
      <c r="D2433">
        <v>0</v>
      </c>
    </row>
    <row r="2434" spans="1:4" x14ac:dyDescent="0.35">
      <c r="A2434">
        <v>1126</v>
      </c>
      <c r="B2434" s="2">
        <v>37185</v>
      </c>
      <c r="C2434">
        <v>5</v>
      </c>
      <c r="D2434">
        <v>5</v>
      </c>
    </row>
    <row r="2435" spans="1:4" x14ac:dyDescent="0.35">
      <c r="A2435">
        <v>1126</v>
      </c>
      <c r="B2435" s="2">
        <v>37520</v>
      </c>
      <c r="C2435">
        <v>6</v>
      </c>
      <c r="D2435">
        <v>6</v>
      </c>
    </row>
    <row r="2436" spans="1:4" x14ac:dyDescent="0.35">
      <c r="A2436">
        <v>1126</v>
      </c>
      <c r="B2436" s="2">
        <v>37863</v>
      </c>
      <c r="C2436">
        <v>6</v>
      </c>
      <c r="D2436">
        <v>6</v>
      </c>
    </row>
    <row r="2437" spans="1:4" x14ac:dyDescent="0.35">
      <c r="A2437">
        <v>1127</v>
      </c>
      <c r="B2437" s="2">
        <v>37458</v>
      </c>
      <c r="C2437">
        <v>2</v>
      </c>
      <c r="D2437">
        <v>2</v>
      </c>
    </row>
    <row r="2438" spans="1:4" x14ac:dyDescent="0.35">
      <c r="A2438">
        <v>1128</v>
      </c>
      <c r="B2438" s="2">
        <v>38351</v>
      </c>
      <c r="C2438">
        <v>2</v>
      </c>
      <c r="D2438">
        <v>2</v>
      </c>
    </row>
    <row r="2439" spans="1:4" x14ac:dyDescent="0.35">
      <c r="A2439">
        <v>1129</v>
      </c>
      <c r="B2439" s="2">
        <v>37406</v>
      </c>
      <c r="C2439">
        <v>0</v>
      </c>
      <c r="D2439">
        <v>0</v>
      </c>
    </row>
    <row r="2440" spans="1:4" x14ac:dyDescent="0.35">
      <c r="A2440">
        <v>1130</v>
      </c>
      <c r="B2440" s="2">
        <v>38128</v>
      </c>
      <c r="C2440">
        <v>5</v>
      </c>
      <c r="D2440">
        <v>5</v>
      </c>
    </row>
    <row r="2441" spans="1:4" x14ac:dyDescent="0.35">
      <c r="A2441">
        <v>1131</v>
      </c>
      <c r="B2441" s="2">
        <v>37550</v>
      </c>
      <c r="C2441">
        <v>3</v>
      </c>
      <c r="D2441">
        <v>3</v>
      </c>
    </row>
    <row r="2442" spans="1:4" x14ac:dyDescent="0.35">
      <c r="A2442">
        <v>1132</v>
      </c>
      <c r="B2442" s="2">
        <v>36676</v>
      </c>
      <c r="C2442">
        <v>3</v>
      </c>
      <c r="D2442">
        <v>3</v>
      </c>
    </row>
    <row r="2443" spans="1:4" x14ac:dyDescent="0.35">
      <c r="A2443">
        <v>1132</v>
      </c>
      <c r="B2443" s="2">
        <v>37032</v>
      </c>
      <c r="C2443">
        <v>3</v>
      </c>
      <c r="D2443">
        <v>3</v>
      </c>
    </row>
    <row r="2444" spans="1:4" x14ac:dyDescent="0.35">
      <c r="A2444">
        <v>1132</v>
      </c>
      <c r="B2444" s="2">
        <v>37428</v>
      </c>
      <c r="C2444">
        <v>4</v>
      </c>
      <c r="D2444">
        <v>4</v>
      </c>
    </row>
    <row r="2445" spans="1:4" x14ac:dyDescent="0.35">
      <c r="A2445">
        <v>1132</v>
      </c>
      <c r="B2445" s="2">
        <v>37437</v>
      </c>
      <c r="C2445">
        <v>5</v>
      </c>
      <c r="D2445">
        <v>5</v>
      </c>
    </row>
    <row r="2446" spans="1:4" x14ac:dyDescent="0.35">
      <c r="A2446">
        <v>1132</v>
      </c>
      <c r="B2446" s="2">
        <v>37924</v>
      </c>
      <c r="C2446">
        <v>5</v>
      </c>
      <c r="D2446">
        <v>5</v>
      </c>
    </row>
    <row r="2447" spans="1:4" x14ac:dyDescent="0.35">
      <c r="A2447">
        <v>1133</v>
      </c>
      <c r="B2447" s="2">
        <v>37762</v>
      </c>
      <c r="C2447">
        <v>4</v>
      </c>
      <c r="D2447">
        <v>4</v>
      </c>
    </row>
    <row r="2448" spans="1:4" x14ac:dyDescent="0.35">
      <c r="A2448">
        <v>1134</v>
      </c>
      <c r="B2448" s="2">
        <v>36890</v>
      </c>
      <c r="C2448">
        <v>4</v>
      </c>
      <c r="D2448">
        <v>4</v>
      </c>
    </row>
    <row r="2449" spans="1:4" x14ac:dyDescent="0.35">
      <c r="A2449">
        <v>1134</v>
      </c>
      <c r="B2449" s="2">
        <v>37467</v>
      </c>
      <c r="C2449">
        <v>3</v>
      </c>
      <c r="D2449">
        <v>3</v>
      </c>
    </row>
    <row r="2450" spans="1:4" x14ac:dyDescent="0.35">
      <c r="A2450">
        <v>1135</v>
      </c>
      <c r="B2450" s="2">
        <v>36332</v>
      </c>
      <c r="C2450">
        <v>5</v>
      </c>
      <c r="D2450">
        <v>5</v>
      </c>
    </row>
    <row r="2451" spans="1:4" x14ac:dyDescent="0.35">
      <c r="A2451">
        <v>1135</v>
      </c>
      <c r="B2451" s="2">
        <v>36676</v>
      </c>
      <c r="C2451">
        <v>5</v>
      </c>
      <c r="D2451">
        <v>5</v>
      </c>
    </row>
    <row r="2452" spans="1:4" x14ac:dyDescent="0.35">
      <c r="A2452">
        <v>1135</v>
      </c>
      <c r="B2452" s="2">
        <v>37063</v>
      </c>
      <c r="C2452">
        <v>6</v>
      </c>
      <c r="D2452">
        <v>6</v>
      </c>
    </row>
    <row r="2453" spans="1:4" x14ac:dyDescent="0.35">
      <c r="A2453">
        <v>1135</v>
      </c>
      <c r="B2453" s="2">
        <v>37620</v>
      </c>
      <c r="C2453">
        <v>7</v>
      </c>
      <c r="D2453">
        <v>7</v>
      </c>
    </row>
    <row r="2454" spans="1:4" x14ac:dyDescent="0.35">
      <c r="A2454">
        <v>1135</v>
      </c>
      <c r="B2454" s="2">
        <v>37863</v>
      </c>
      <c r="C2454">
        <v>6</v>
      </c>
      <c r="D2454">
        <v>6</v>
      </c>
    </row>
    <row r="2455" spans="1:4" x14ac:dyDescent="0.35">
      <c r="A2455">
        <v>1135</v>
      </c>
      <c r="B2455" s="2">
        <v>37955</v>
      </c>
      <c r="C2455">
        <v>8</v>
      </c>
      <c r="D2455">
        <v>8</v>
      </c>
    </row>
    <row r="2456" spans="1:4" x14ac:dyDescent="0.35">
      <c r="A2456">
        <v>1135</v>
      </c>
      <c r="B2456" s="2">
        <v>38493</v>
      </c>
      <c r="C2456">
        <v>7</v>
      </c>
      <c r="D2456">
        <v>8</v>
      </c>
    </row>
    <row r="2457" spans="1:4" x14ac:dyDescent="0.35">
      <c r="A2457">
        <v>1136</v>
      </c>
      <c r="B2457" s="2">
        <v>37124</v>
      </c>
      <c r="C2457">
        <v>3</v>
      </c>
      <c r="D2457">
        <v>3</v>
      </c>
    </row>
    <row r="2458" spans="1:4" x14ac:dyDescent="0.35">
      <c r="A2458">
        <v>1136</v>
      </c>
      <c r="B2458" s="2">
        <v>37467</v>
      </c>
      <c r="C2458">
        <v>4</v>
      </c>
      <c r="D2458">
        <v>4</v>
      </c>
    </row>
    <row r="2459" spans="1:4" x14ac:dyDescent="0.35">
      <c r="A2459">
        <v>1137</v>
      </c>
      <c r="B2459" s="2">
        <v>36454</v>
      </c>
      <c r="C2459">
        <v>3</v>
      </c>
      <c r="D2459">
        <v>3</v>
      </c>
    </row>
    <row r="2460" spans="1:4" x14ac:dyDescent="0.35">
      <c r="A2460">
        <v>1138</v>
      </c>
      <c r="B2460" s="2">
        <v>36799</v>
      </c>
      <c r="C2460">
        <v>2</v>
      </c>
      <c r="D2460">
        <v>2</v>
      </c>
    </row>
    <row r="2461" spans="1:4" x14ac:dyDescent="0.35">
      <c r="A2461">
        <v>1139</v>
      </c>
      <c r="B2461" s="2">
        <v>36524</v>
      </c>
      <c r="C2461">
        <v>7</v>
      </c>
      <c r="D2461">
        <v>7</v>
      </c>
    </row>
    <row r="2462" spans="1:4" x14ac:dyDescent="0.35">
      <c r="A2462">
        <v>1139</v>
      </c>
      <c r="B2462" s="2">
        <v>37255</v>
      </c>
      <c r="C2462">
        <v>7</v>
      </c>
      <c r="D2462">
        <v>7</v>
      </c>
    </row>
    <row r="2463" spans="1:4" x14ac:dyDescent="0.35">
      <c r="A2463">
        <v>1139</v>
      </c>
      <c r="B2463" s="2">
        <v>37620</v>
      </c>
      <c r="C2463">
        <v>7</v>
      </c>
      <c r="D2463">
        <v>7</v>
      </c>
    </row>
    <row r="2464" spans="1:4" x14ac:dyDescent="0.35">
      <c r="A2464">
        <v>1139</v>
      </c>
      <c r="B2464" s="2">
        <v>37985</v>
      </c>
      <c r="C2464">
        <v>8</v>
      </c>
      <c r="D2464">
        <v>8</v>
      </c>
    </row>
    <row r="2465" spans="1:4" x14ac:dyDescent="0.35">
      <c r="A2465">
        <v>1139</v>
      </c>
      <c r="B2465" s="2">
        <v>38351</v>
      </c>
      <c r="C2465">
        <v>0</v>
      </c>
      <c r="D2465">
        <v>8</v>
      </c>
    </row>
    <row r="2466" spans="1:4" x14ac:dyDescent="0.35">
      <c r="A2466">
        <v>1140</v>
      </c>
      <c r="B2466" s="2">
        <v>37072</v>
      </c>
      <c r="C2466">
        <v>2</v>
      </c>
      <c r="D2466">
        <v>2</v>
      </c>
    </row>
    <row r="2467" spans="1:4" x14ac:dyDescent="0.35">
      <c r="A2467">
        <v>1140</v>
      </c>
      <c r="B2467" s="2">
        <v>37529</v>
      </c>
      <c r="C2467">
        <v>3</v>
      </c>
      <c r="D2467">
        <v>3</v>
      </c>
    </row>
    <row r="2468" spans="1:4" x14ac:dyDescent="0.35">
      <c r="A2468">
        <v>1141</v>
      </c>
      <c r="B2468" s="2">
        <v>36890</v>
      </c>
      <c r="C2468">
        <v>4</v>
      </c>
      <c r="D2468">
        <v>4</v>
      </c>
    </row>
    <row r="2469" spans="1:4" x14ac:dyDescent="0.35">
      <c r="A2469">
        <v>1142</v>
      </c>
      <c r="B2469" s="2">
        <v>37032</v>
      </c>
      <c r="C2469">
        <v>2</v>
      </c>
      <c r="D2469">
        <v>2</v>
      </c>
    </row>
    <row r="2470" spans="1:4" x14ac:dyDescent="0.35">
      <c r="A2470">
        <v>1143</v>
      </c>
      <c r="B2470" s="2">
        <v>37194</v>
      </c>
      <c r="C2470">
        <v>4</v>
      </c>
      <c r="D2470">
        <v>4</v>
      </c>
    </row>
    <row r="2471" spans="1:4" x14ac:dyDescent="0.35">
      <c r="A2471">
        <v>1143</v>
      </c>
      <c r="B2471" s="2">
        <v>38351</v>
      </c>
      <c r="C2471">
        <v>4</v>
      </c>
      <c r="D2471">
        <v>4</v>
      </c>
    </row>
    <row r="2472" spans="1:4" x14ac:dyDescent="0.35">
      <c r="A2472">
        <v>1144</v>
      </c>
      <c r="B2472" s="2">
        <v>37255</v>
      </c>
      <c r="C2472">
        <v>4</v>
      </c>
      <c r="D2472">
        <v>4</v>
      </c>
    </row>
    <row r="2473" spans="1:4" x14ac:dyDescent="0.35">
      <c r="A2473">
        <v>1144</v>
      </c>
      <c r="B2473" s="2">
        <v>37620</v>
      </c>
      <c r="C2473">
        <v>0</v>
      </c>
      <c r="D2473">
        <v>0</v>
      </c>
    </row>
    <row r="2474" spans="1:4" x14ac:dyDescent="0.35">
      <c r="A2474">
        <v>1145</v>
      </c>
      <c r="B2474" s="2">
        <v>36310</v>
      </c>
      <c r="C2474">
        <v>2</v>
      </c>
      <c r="D2474">
        <v>2</v>
      </c>
    </row>
    <row r="2475" spans="1:4" x14ac:dyDescent="0.35">
      <c r="A2475">
        <v>1145</v>
      </c>
      <c r="B2475" s="2">
        <v>37397</v>
      </c>
      <c r="C2475">
        <v>3</v>
      </c>
      <c r="D2475">
        <v>3</v>
      </c>
    </row>
    <row r="2476" spans="1:4" x14ac:dyDescent="0.35">
      <c r="A2476">
        <v>1145</v>
      </c>
      <c r="B2476" s="2">
        <v>37985</v>
      </c>
      <c r="C2476">
        <v>3</v>
      </c>
      <c r="D2476">
        <v>3</v>
      </c>
    </row>
    <row r="2477" spans="1:4" x14ac:dyDescent="0.35">
      <c r="A2477">
        <v>1146</v>
      </c>
      <c r="B2477" s="2">
        <v>36310</v>
      </c>
      <c r="C2477">
        <v>4</v>
      </c>
      <c r="D2477">
        <v>4</v>
      </c>
    </row>
    <row r="2478" spans="1:4" x14ac:dyDescent="0.35">
      <c r="A2478">
        <v>1146</v>
      </c>
      <c r="B2478" s="2">
        <v>36676</v>
      </c>
      <c r="C2478">
        <v>0</v>
      </c>
      <c r="D2478">
        <v>0</v>
      </c>
    </row>
    <row r="2479" spans="1:4" x14ac:dyDescent="0.35">
      <c r="A2479">
        <v>1147</v>
      </c>
      <c r="B2479" s="2">
        <v>36737</v>
      </c>
      <c r="C2479">
        <v>3</v>
      </c>
      <c r="D2479">
        <v>3</v>
      </c>
    </row>
    <row r="2480" spans="1:4" x14ac:dyDescent="0.35">
      <c r="A2480">
        <v>1147</v>
      </c>
      <c r="B2480" s="2">
        <v>37255</v>
      </c>
      <c r="C2480">
        <v>3</v>
      </c>
      <c r="D2480">
        <v>3</v>
      </c>
    </row>
    <row r="2481" spans="1:4" x14ac:dyDescent="0.35">
      <c r="A2481">
        <v>1147</v>
      </c>
      <c r="B2481" s="2">
        <v>37620</v>
      </c>
      <c r="C2481">
        <v>4</v>
      </c>
      <c r="D2481">
        <v>4</v>
      </c>
    </row>
    <row r="2482" spans="1:4" x14ac:dyDescent="0.35">
      <c r="A2482">
        <v>1148</v>
      </c>
      <c r="B2482" s="2">
        <v>36341</v>
      </c>
      <c r="C2482">
        <v>4</v>
      </c>
      <c r="D2482">
        <v>4</v>
      </c>
    </row>
    <row r="2483" spans="1:4" x14ac:dyDescent="0.35">
      <c r="A2483">
        <v>1148</v>
      </c>
      <c r="B2483" s="2">
        <v>37856</v>
      </c>
      <c r="C2483">
        <v>4</v>
      </c>
      <c r="D2483">
        <v>4</v>
      </c>
    </row>
    <row r="2484" spans="1:4" x14ac:dyDescent="0.35">
      <c r="A2484">
        <v>1149</v>
      </c>
      <c r="B2484" s="2">
        <v>36310</v>
      </c>
      <c r="C2484">
        <v>4</v>
      </c>
      <c r="D2484">
        <v>4</v>
      </c>
    </row>
    <row r="2485" spans="1:4" x14ac:dyDescent="0.35">
      <c r="A2485">
        <v>1149</v>
      </c>
      <c r="B2485" s="2">
        <v>37976</v>
      </c>
      <c r="C2485">
        <v>4</v>
      </c>
      <c r="D2485">
        <v>4</v>
      </c>
    </row>
    <row r="2486" spans="1:4" x14ac:dyDescent="0.35">
      <c r="A2486">
        <v>1150</v>
      </c>
      <c r="B2486" s="2">
        <v>36301</v>
      </c>
      <c r="C2486">
        <v>4</v>
      </c>
      <c r="D2486">
        <v>4</v>
      </c>
    </row>
    <row r="2487" spans="1:4" x14ac:dyDescent="0.35">
      <c r="A2487">
        <v>1150</v>
      </c>
      <c r="B2487" s="2">
        <v>36524</v>
      </c>
      <c r="C2487">
        <v>4</v>
      </c>
      <c r="D2487">
        <v>4</v>
      </c>
    </row>
    <row r="2488" spans="1:4" x14ac:dyDescent="0.35">
      <c r="A2488">
        <v>1150</v>
      </c>
      <c r="B2488" s="2">
        <v>36524</v>
      </c>
      <c r="C2488">
        <v>4</v>
      </c>
      <c r="D2488">
        <v>4</v>
      </c>
    </row>
    <row r="2489" spans="1:4" x14ac:dyDescent="0.35">
      <c r="A2489">
        <v>1150</v>
      </c>
      <c r="B2489" s="2">
        <v>37255</v>
      </c>
      <c r="C2489">
        <v>4</v>
      </c>
      <c r="D2489">
        <v>4</v>
      </c>
    </row>
    <row r="2490" spans="1:4" x14ac:dyDescent="0.35">
      <c r="A2490">
        <v>1151</v>
      </c>
      <c r="B2490" s="2">
        <v>38128</v>
      </c>
      <c r="C2490">
        <v>4</v>
      </c>
      <c r="D2490">
        <v>4</v>
      </c>
    </row>
    <row r="2491" spans="1:4" x14ac:dyDescent="0.35">
      <c r="A2491">
        <v>1152</v>
      </c>
      <c r="B2491" s="2">
        <v>36667</v>
      </c>
      <c r="C2491">
        <v>2</v>
      </c>
      <c r="D2491">
        <v>2</v>
      </c>
    </row>
    <row r="2492" spans="1:4" x14ac:dyDescent="0.35">
      <c r="A2492">
        <v>1152</v>
      </c>
      <c r="B2492" s="2">
        <v>37985</v>
      </c>
      <c r="C2492">
        <v>3</v>
      </c>
      <c r="D2492">
        <v>3</v>
      </c>
    </row>
    <row r="2493" spans="1:4" x14ac:dyDescent="0.35">
      <c r="A2493">
        <v>1153</v>
      </c>
      <c r="B2493" s="2">
        <v>36670</v>
      </c>
      <c r="C2493">
        <v>4</v>
      </c>
      <c r="D2493">
        <v>4</v>
      </c>
    </row>
    <row r="2494" spans="1:4" x14ac:dyDescent="0.35">
      <c r="A2494">
        <v>1153</v>
      </c>
      <c r="B2494" s="2">
        <v>37039</v>
      </c>
      <c r="C2494">
        <v>4</v>
      </c>
      <c r="D2494">
        <v>4</v>
      </c>
    </row>
    <row r="2495" spans="1:4" x14ac:dyDescent="0.35">
      <c r="A2495">
        <v>1153</v>
      </c>
      <c r="B2495" s="2">
        <v>37255</v>
      </c>
      <c r="C2495">
        <v>5</v>
      </c>
      <c r="D2495">
        <v>5</v>
      </c>
    </row>
    <row r="2496" spans="1:4" x14ac:dyDescent="0.35">
      <c r="A2496">
        <v>1153</v>
      </c>
      <c r="B2496" s="2">
        <v>38220</v>
      </c>
      <c r="C2496">
        <v>4</v>
      </c>
      <c r="D2496">
        <v>4</v>
      </c>
    </row>
    <row r="2497" spans="1:4" x14ac:dyDescent="0.35">
      <c r="A2497">
        <v>1154</v>
      </c>
      <c r="B2497" s="2">
        <v>36304</v>
      </c>
      <c r="C2497">
        <v>3</v>
      </c>
      <c r="D2497">
        <v>3</v>
      </c>
    </row>
    <row r="2498" spans="1:4" x14ac:dyDescent="0.35">
      <c r="A2498">
        <v>1154</v>
      </c>
      <c r="B2498" s="2">
        <v>36524</v>
      </c>
      <c r="C2498">
        <v>3</v>
      </c>
      <c r="D2498">
        <v>3</v>
      </c>
    </row>
    <row r="2499" spans="1:4" x14ac:dyDescent="0.35">
      <c r="A2499">
        <v>1154</v>
      </c>
      <c r="B2499" s="2">
        <v>37406</v>
      </c>
      <c r="C2499">
        <v>3</v>
      </c>
      <c r="D2499">
        <v>3</v>
      </c>
    </row>
    <row r="2500" spans="1:4" x14ac:dyDescent="0.35">
      <c r="A2500">
        <v>1154</v>
      </c>
      <c r="B2500" s="2">
        <v>38251</v>
      </c>
      <c r="C2500">
        <v>3</v>
      </c>
      <c r="D2500">
        <v>3</v>
      </c>
    </row>
    <row r="2501" spans="1:4" x14ac:dyDescent="0.35">
      <c r="A2501">
        <v>1155</v>
      </c>
      <c r="B2501" s="2">
        <v>37032</v>
      </c>
      <c r="C2501">
        <v>3</v>
      </c>
      <c r="D2501">
        <v>3</v>
      </c>
    </row>
    <row r="2502" spans="1:4" x14ac:dyDescent="0.35">
      <c r="A2502">
        <v>1156</v>
      </c>
      <c r="B2502" s="2">
        <v>37620</v>
      </c>
      <c r="C2502">
        <v>2</v>
      </c>
      <c r="D2502">
        <v>2</v>
      </c>
    </row>
    <row r="2503" spans="1:4" x14ac:dyDescent="0.35">
      <c r="A2503">
        <v>1157</v>
      </c>
      <c r="B2503" s="2">
        <v>36676</v>
      </c>
      <c r="C2503">
        <v>3</v>
      </c>
      <c r="D2503">
        <v>3</v>
      </c>
    </row>
    <row r="2504" spans="1:4" x14ac:dyDescent="0.35">
      <c r="A2504">
        <v>1158</v>
      </c>
      <c r="B2504" s="2">
        <v>37985</v>
      </c>
      <c r="C2504">
        <v>0</v>
      </c>
      <c r="D2504">
        <v>0</v>
      </c>
    </row>
    <row r="2505" spans="1:4" x14ac:dyDescent="0.35">
      <c r="A2505">
        <v>1159</v>
      </c>
      <c r="B2505" s="2">
        <v>37498</v>
      </c>
      <c r="C2505">
        <v>6</v>
      </c>
      <c r="D2505">
        <v>6</v>
      </c>
    </row>
    <row r="2506" spans="1:4" x14ac:dyDescent="0.35">
      <c r="A2506">
        <v>1160</v>
      </c>
      <c r="B2506" s="2">
        <v>36890</v>
      </c>
      <c r="C2506">
        <v>3</v>
      </c>
      <c r="D2506">
        <v>3</v>
      </c>
    </row>
    <row r="2507" spans="1:4" x14ac:dyDescent="0.35">
      <c r="A2507">
        <v>1160</v>
      </c>
      <c r="B2507" s="2">
        <v>37985</v>
      </c>
      <c r="C2507">
        <v>3</v>
      </c>
      <c r="D2507">
        <v>3</v>
      </c>
    </row>
    <row r="2508" spans="1:4" x14ac:dyDescent="0.35">
      <c r="A2508">
        <v>1161</v>
      </c>
      <c r="B2508" s="2">
        <v>38128</v>
      </c>
      <c r="C2508">
        <v>4</v>
      </c>
      <c r="D2508">
        <v>4</v>
      </c>
    </row>
    <row r="2509" spans="1:4" x14ac:dyDescent="0.35">
      <c r="A2509">
        <v>1162</v>
      </c>
      <c r="B2509" s="2">
        <v>36524</v>
      </c>
      <c r="C2509">
        <v>1</v>
      </c>
      <c r="D2509">
        <v>1</v>
      </c>
    </row>
    <row r="2510" spans="1:4" x14ac:dyDescent="0.35">
      <c r="A2510">
        <v>1163</v>
      </c>
      <c r="B2510" s="2">
        <v>36301</v>
      </c>
      <c r="C2510">
        <v>3</v>
      </c>
      <c r="D2510">
        <v>3</v>
      </c>
    </row>
    <row r="2511" spans="1:4" x14ac:dyDescent="0.35">
      <c r="A2511">
        <v>1163</v>
      </c>
      <c r="B2511" s="2">
        <v>37397</v>
      </c>
      <c r="C2511">
        <v>6</v>
      </c>
      <c r="D2511">
        <v>6</v>
      </c>
    </row>
    <row r="2512" spans="1:4" x14ac:dyDescent="0.35">
      <c r="A2512">
        <v>1163</v>
      </c>
      <c r="B2512" s="2">
        <v>37397</v>
      </c>
      <c r="C2512">
        <v>8</v>
      </c>
      <c r="D2512">
        <v>8</v>
      </c>
    </row>
    <row r="2513" spans="1:4" x14ac:dyDescent="0.35">
      <c r="A2513">
        <v>1163</v>
      </c>
      <c r="B2513" s="2">
        <v>37406</v>
      </c>
      <c r="C2513">
        <v>5</v>
      </c>
      <c r="D2513">
        <v>8</v>
      </c>
    </row>
    <row r="2514" spans="1:4" x14ac:dyDescent="0.35">
      <c r="A2514">
        <v>1163</v>
      </c>
      <c r="B2514" s="2">
        <v>37559</v>
      </c>
      <c r="C2514">
        <v>4</v>
      </c>
      <c r="D2514">
        <v>8</v>
      </c>
    </row>
    <row r="2515" spans="1:4" x14ac:dyDescent="0.35">
      <c r="A2515">
        <v>1163</v>
      </c>
      <c r="B2515" s="2">
        <v>37771</v>
      </c>
      <c r="C2515">
        <v>0</v>
      </c>
      <c r="D2515">
        <v>8</v>
      </c>
    </row>
    <row r="2516" spans="1:4" x14ac:dyDescent="0.35">
      <c r="A2516">
        <v>1164</v>
      </c>
      <c r="B2516" s="2">
        <v>37397</v>
      </c>
      <c r="C2516">
        <v>4</v>
      </c>
      <c r="D2516">
        <v>4</v>
      </c>
    </row>
    <row r="2517" spans="1:4" x14ac:dyDescent="0.35">
      <c r="A2517">
        <v>1164</v>
      </c>
      <c r="B2517" s="2">
        <v>37406</v>
      </c>
      <c r="C2517">
        <v>6</v>
      </c>
      <c r="D2517">
        <v>6</v>
      </c>
    </row>
    <row r="2518" spans="1:4" x14ac:dyDescent="0.35">
      <c r="A2518">
        <v>1164</v>
      </c>
      <c r="B2518" s="2">
        <v>37520</v>
      </c>
      <c r="C2518">
        <v>7</v>
      </c>
      <c r="D2518">
        <v>7</v>
      </c>
    </row>
    <row r="2519" spans="1:4" x14ac:dyDescent="0.35">
      <c r="A2519">
        <v>1164</v>
      </c>
      <c r="B2519" s="2">
        <v>37762</v>
      </c>
      <c r="C2519">
        <v>6</v>
      </c>
      <c r="D2519">
        <v>6</v>
      </c>
    </row>
    <row r="2520" spans="1:4" x14ac:dyDescent="0.35">
      <c r="A2520">
        <v>1164</v>
      </c>
      <c r="B2520" s="2">
        <v>38312</v>
      </c>
      <c r="C2520">
        <v>6</v>
      </c>
      <c r="D2520">
        <v>6</v>
      </c>
    </row>
    <row r="2521" spans="1:4" x14ac:dyDescent="0.35">
      <c r="A2521">
        <v>1165</v>
      </c>
      <c r="B2521" s="2">
        <v>36890</v>
      </c>
      <c r="C2521">
        <v>5</v>
      </c>
      <c r="D2521">
        <v>5</v>
      </c>
    </row>
    <row r="2522" spans="1:4" x14ac:dyDescent="0.35">
      <c r="A2522">
        <v>1165</v>
      </c>
      <c r="B2522" s="2">
        <v>37255</v>
      </c>
      <c r="C2522">
        <v>5</v>
      </c>
      <c r="D2522">
        <v>5</v>
      </c>
    </row>
    <row r="2523" spans="1:4" x14ac:dyDescent="0.35">
      <c r="A2523">
        <v>1165</v>
      </c>
      <c r="B2523" s="2">
        <v>37771</v>
      </c>
      <c r="C2523">
        <v>4</v>
      </c>
      <c r="D2523">
        <v>4</v>
      </c>
    </row>
    <row r="2524" spans="1:4" x14ac:dyDescent="0.35">
      <c r="A2524">
        <v>1166</v>
      </c>
      <c r="B2524" s="2">
        <v>36667</v>
      </c>
      <c r="C2524">
        <v>3</v>
      </c>
      <c r="D2524">
        <v>3</v>
      </c>
    </row>
    <row r="2525" spans="1:4" x14ac:dyDescent="0.35">
      <c r="A2525">
        <v>1166</v>
      </c>
      <c r="B2525" s="2">
        <v>37620</v>
      </c>
      <c r="C2525">
        <v>3</v>
      </c>
      <c r="D2525">
        <v>3</v>
      </c>
    </row>
    <row r="2526" spans="1:4" x14ac:dyDescent="0.35">
      <c r="A2526">
        <v>1166</v>
      </c>
      <c r="B2526" s="2">
        <v>38563</v>
      </c>
      <c r="C2526">
        <v>0</v>
      </c>
      <c r="D2526">
        <v>0</v>
      </c>
    </row>
    <row r="2527" spans="1:4" x14ac:dyDescent="0.35">
      <c r="A2527">
        <v>1167</v>
      </c>
      <c r="B2527" s="2">
        <v>36362</v>
      </c>
      <c r="C2527">
        <v>6</v>
      </c>
      <c r="D2527">
        <v>6</v>
      </c>
    </row>
    <row r="2528" spans="1:4" x14ac:dyDescent="0.35">
      <c r="A2528">
        <v>1167</v>
      </c>
      <c r="B2528" s="2">
        <v>37915</v>
      </c>
      <c r="C2528">
        <v>5</v>
      </c>
      <c r="D2528">
        <v>5</v>
      </c>
    </row>
    <row r="2529" spans="1:4" x14ac:dyDescent="0.35">
      <c r="A2529">
        <v>1168</v>
      </c>
      <c r="B2529" s="2">
        <v>36463</v>
      </c>
      <c r="C2529">
        <v>6</v>
      </c>
      <c r="D2529">
        <v>6</v>
      </c>
    </row>
    <row r="2530" spans="1:4" x14ac:dyDescent="0.35">
      <c r="A2530">
        <v>1168</v>
      </c>
      <c r="B2530" s="2">
        <v>37498</v>
      </c>
      <c r="C2530">
        <v>5</v>
      </c>
      <c r="D2530">
        <v>5</v>
      </c>
    </row>
    <row r="2531" spans="1:4" x14ac:dyDescent="0.35">
      <c r="A2531">
        <v>1169</v>
      </c>
      <c r="B2531" s="2">
        <v>36301</v>
      </c>
      <c r="C2531">
        <v>5</v>
      </c>
      <c r="D2531">
        <v>5</v>
      </c>
    </row>
    <row r="2532" spans="1:4" x14ac:dyDescent="0.35">
      <c r="A2532">
        <v>1169</v>
      </c>
      <c r="B2532" s="2">
        <v>36310</v>
      </c>
      <c r="C2532">
        <v>5</v>
      </c>
      <c r="D2532">
        <v>5</v>
      </c>
    </row>
    <row r="2533" spans="1:4" x14ac:dyDescent="0.35">
      <c r="A2533">
        <v>1169</v>
      </c>
      <c r="B2533" s="2">
        <v>36890</v>
      </c>
      <c r="C2533">
        <v>6</v>
      </c>
      <c r="D2533">
        <v>6</v>
      </c>
    </row>
    <row r="2534" spans="1:4" x14ac:dyDescent="0.35">
      <c r="A2534">
        <v>1169</v>
      </c>
      <c r="B2534" s="2">
        <v>37255</v>
      </c>
      <c r="C2534">
        <v>6</v>
      </c>
      <c r="D2534">
        <v>6</v>
      </c>
    </row>
    <row r="2535" spans="1:4" x14ac:dyDescent="0.35">
      <c r="A2535">
        <v>1169</v>
      </c>
      <c r="B2535" s="2">
        <v>37550</v>
      </c>
      <c r="C2535">
        <v>0</v>
      </c>
      <c r="D2535">
        <v>0</v>
      </c>
    </row>
    <row r="2536" spans="1:4" x14ac:dyDescent="0.35">
      <c r="A2536">
        <v>1169</v>
      </c>
      <c r="B2536" s="2">
        <v>37620</v>
      </c>
      <c r="C2536">
        <v>4</v>
      </c>
      <c r="D2536">
        <v>4</v>
      </c>
    </row>
    <row r="2537" spans="1:4" x14ac:dyDescent="0.35">
      <c r="A2537">
        <v>1170</v>
      </c>
      <c r="B2537" s="2">
        <v>37762</v>
      </c>
      <c r="C2537">
        <v>5</v>
      </c>
      <c r="D2537">
        <v>5</v>
      </c>
    </row>
    <row r="2538" spans="1:4" x14ac:dyDescent="0.35">
      <c r="A2538">
        <v>1171</v>
      </c>
      <c r="B2538" s="2">
        <v>36332</v>
      </c>
      <c r="C2538">
        <v>6</v>
      </c>
      <c r="D2538">
        <v>6</v>
      </c>
    </row>
    <row r="2539" spans="1:4" x14ac:dyDescent="0.35">
      <c r="A2539">
        <v>1171</v>
      </c>
      <c r="B2539" s="2">
        <v>38137</v>
      </c>
      <c r="C2539">
        <v>6</v>
      </c>
      <c r="D2539">
        <v>6</v>
      </c>
    </row>
    <row r="2540" spans="1:4" x14ac:dyDescent="0.35">
      <c r="A2540">
        <v>1172</v>
      </c>
      <c r="B2540" s="2">
        <v>36310</v>
      </c>
      <c r="C2540">
        <v>7</v>
      </c>
      <c r="D2540">
        <v>7</v>
      </c>
    </row>
    <row r="2541" spans="1:4" x14ac:dyDescent="0.35">
      <c r="A2541">
        <v>1172</v>
      </c>
      <c r="B2541" s="2">
        <v>36676</v>
      </c>
      <c r="C2541">
        <v>0</v>
      </c>
      <c r="D2541">
        <v>0</v>
      </c>
    </row>
    <row r="2542" spans="1:4" x14ac:dyDescent="0.35">
      <c r="A2542">
        <v>1173</v>
      </c>
      <c r="B2542" s="2">
        <v>36301</v>
      </c>
      <c r="C2542">
        <v>5</v>
      </c>
      <c r="D2542">
        <v>5</v>
      </c>
    </row>
    <row r="2543" spans="1:4" x14ac:dyDescent="0.35">
      <c r="A2543">
        <v>1173</v>
      </c>
      <c r="B2543" s="2">
        <v>36362</v>
      </c>
      <c r="C2543">
        <v>6</v>
      </c>
      <c r="D2543">
        <v>6</v>
      </c>
    </row>
    <row r="2544" spans="1:4" x14ac:dyDescent="0.35">
      <c r="A2544">
        <v>1173</v>
      </c>
      <c r="B2544" s="2">
        <v>36667</v>
      </c>
      <c r="C2544">
        <v>5</v>
      </c>
      <c r="D2544">
        <v>5</v>
      </c>
    </row>
    <row r="2545" spans="1:4" x14ac:dyDescent="0.35">
      <c r="A2545">
        <v>1173</v>
      </c>
      <c r="B2545" s="2">
        <v>38351</v>
      </c>
      <c r="C2545">
        <v>0</v>
      </c>
      <c r="D2545">
        <v>0</v>
      </c>
    </row>
    <row r="2546" spans="1:4" x14ac:dyDescent="0.35">
      <c r="A2546">
        <v>1174</v>
      </c>
      <c r="B2546" s="2">
        <v>36799</v>
      </c>
      <c r="C2546">
        <v>2</v>
      </c>
      <c r="D2546">
        <v>2</v>
      </c>
    </row>
    <row r="2547" spans="1:4" x14ac:dyDescent="0.35">
      <c r="A2547">
        <v>1174</v>
      </c>
      <c r="B2547" s="2">
        <v>36890</v>
      </c>
      <c r="C2547">
        <v>0</v>
      </c>
      <c r="D2547">
        <v>0</v>
      </c>
    </row>
    <row r="2548" spans="1:4" x14ac:dyDescent="0.35">
      <c r="A2548">
        <v>1175</v>
      </c>
      <c r="B2548" s="2">
        <v>38493</v>
      </c>
      <c r="C2548">
        <v>0</v>
      </c>
      <c r="D2548">
        <v>0</v>
      </c>
    </row>
    <row r="2549" spans="1:4" x14ac:dyDescent="0.35">
      <c r="A2549">
        <v>1176</v>
      </c>
      <c r="B2549" s="2">
        <v>36890</v>
      </c>
      <c r="C2549">
        <v>4</v>
      </c>
      <c r="D2549">
        <v>4</v>
      </c>
    </row>
    <row r="2550" spans="1:4" x14ac:dyDescent="0.35">
      <c r="A2550">
        <v>1176</v>
      </c>
      <c r="B2550" s="2">
        <v>37523</v>
      </c>
      <c r="C2550">
        <v>4</v>
      </c>
      <c r="D2550">
        <v>4</v>
      </c>
    </row>
    <row r="2551" spans="1:4" x14ac:dyDescent="0.35">
      <c r="A2551">
        <v>1177</v>
      </c>
      <c r="B2551" s="2">
        <v>37771</v>
      </c>
      <c r="C2551">
        <v>2</v>
      </c>
      <c r="D2551">
        <v>2</v>
      </c>
    </row>
    <row r="2552" spans="1:4" x14ac:dyDescent="0.35">
      <c r="A2552">
        <v>1178</v>
      </c>
      <c r="B2552" s="2">
        <v>36759</v>
      </c>
      <c r="C2552">
        <v>5</v>
      </c>
      <c r="D2552">
        <v>5</v>
      </c>
    </row>
    <row r="2553" spans="1:4" x14ac:dyDescent="0.35">
      <c r="A2553">
        <v>1178</v>
      </c>
      <c r="B2553" s="2">
        <v>38351</v>
      </c>
      <c r="C2553">
        <v>4</v>
      </c>
      <c r="D2553">
        <v>4</v>
      </c>
    </row>
    <row r="2554" spans="1:4" x14ac:dyDescent="0.35">
      <c r="A2554">
        <v>1179</v>
      </c>
      <c r="B2554" s="2">
        <v>36310</v>
      </c>
      <c r="C2554">
        <v>0</v>
      </c>
      <c r="D2554">
        <v>0</v>
      </c>
    </row>
    <row r="2555" spans="1:4" x14ac:dyDescent="0.35">
      <c r="A2555">
        <v>1180</v>
      </c>
      <c r="B2555" s="2">
        <v>38655</v>
      </c>
      <c r="C2555">
        <v>0</v>
      </c>
      <c r="D2555">
        <v>0</v>
      </c>
    </row>
    <row r="2556" spans="1:4" x14ac:dyDescent="0.35">
      <c r="A2556">
        <v>1181</v>
      </c>
      <c r="B2556" s="2">
        <v>36860</v>
      </c>
      <c r="C2556">
        <v>6</v>
      </c>
      <c r="D2556">
        <v>6</v>
      </c>
    </row>
    <row r="2557" spans="1:4" x14ac:dyDescent="0.35">
      <c r="A2557">
        <v>1181</v>
      </c>
      <c r="B2557" s="2">
        <v>37032</v>
      </c>
      <c r="C2557">
        <v>0</v>
      </c>
      <c r="D2557">
        <v>0</v>
      </c>
    </row>
    <row r="2558" spans="1:4" x14ac:dyDescent="0.35">
      <c r="A2558">
        <v>1181</v>
      </c>
      <c r="B2558" s="2">
        <v>37255</v>
      </c>
      <c r="C2558">
        <v>5</v>
      </c>
      <c r="D2558">
        <v>5</v>
      </c>
    </row>
    <row r="2559" spans="1:4" x14ac:dyDescent="0.35">
      <c r="A2559">
        <v>1181</v>
      </c>
      <c r="B2559" s="2">
        <v>37397</v>
      </c>
      <c r="C2559">
        <v>5</v>
      </c>
      <c r="D2559">
        <v>5</v>
      </c>
    </row>
    <row r="2560" spans="1:4" x14ac:dyDescent="0.35">
      <c r="A2560">
        <v>1181</v>
      </c>
      <c r="B2560" s="2">
        <v>38137</v>
      </c>
      <c r="C2560">
        <v>5</v>
      </c>
      <c r="D2560">
        <v>5</v>
      </c>
    </row>
    <row r="2561" spans="1:4" x14ac:dyDescent="0.35">
      <c r="A2561">
        <v>1182</v>
      </c>
      <c r="B2561" s="2">
        <v>36486</v>
      </c>
      <c r="C2561">
        <v>0</v>
      </c>
      <c r="D2561">
        <v>0</v>
      </c>
    </row>
    <row r="2562" spans="1:4" x14ac:dyDescent="0.35">
      <c r="A2562">
        <v>1182</v>
      </c>
      <c r="B2562" s="2">
        <v>36524</v>
      </c>
      <c r="C2562">
        <v>7</v>
      </c>
      <c r="D2562">
        <v>7</v>
      </c>
    </row>
    <row r="2563" spans="1:4" x14ac:dyDescent="0.35">
      <c r="A2563">
        <v>1183</v>
      </c>
      <c r="B2563" s="2">
        <v>37620</v>
      </c>
      <c r="C2563">
        <v>2</v>
      </c>
      <c r="D2563">
        <v>2</v>
      </c>
    </row>
    <row r="2564" spans="1:4" x14ac:dyDescent="0.35">
      <c r="A2564">
        <v>1183</v>
      </c>
      <c r="B2564" s="2">
        <v>38128</v>
      </c>
      <c r="C2564">
        <v>2</v>
      </c>
      <c r="D2564">
        <v>2</v>
      </c>
    </row>
    <row r="2565" spans="1:4" x14ac:dyDescent="0.35">
      <c r="A2565">
        <v>1184</v>
      </c>
      <c r="B2565" s="2">
        <v>36310</v>
      </c>
      <c r="C2565">
        <v>0</v>
      </c>
      <c r="D2565">
        <v>0</v>
      </c>
    </row>
    <row r="2566" spans="1:4" x14ac:dyDescent="0.35">
      <c r="A2566">
        <v>1184</v>
      </c>
      <c r="B2566" s="2">
        <v>37406</v>
      </c>
      <c r="C2566">
        <v>0</v>
      </c>
      <c r="D2566">
        <v>0</v>
      </c>
    </row>
    <row r="2567" spans="1:4" x14ac:dyDescent="0.35">
      <c r="A2567">
        <v>1185</v>
      </c>
      <c r="B2567" s="2">
        <v>36515</v>
      </c>
      <c r="C2567">
        <v>2</v>
      </c>
      <c r="D2567">
        <v>2</v>
      </c>
    </row>
    <row r="2568" spans="1:4" x14ac:dyDescent="0.35">
      <c r="A2568">
        <v>1185</v>
      </c>
      <c r="B2568" s="2">
        <v>38137</v>
      </c>
      <c r="C2568">
        <v>2</v>
      </c>
      <c r="D2568">
        <v>2</v>
      </c>
    </row>
    <row r="2569" spans="1:4" x14ac:dyDescent="0.35">
      <c r="A2569">
        <v>1186</v>
      </c>
      <c r="B2569" s="2">
        <v>36524</v>
      </c>
      <c r="C2569">
        <v>3</v>
      </c>
      <c r="D2569">
        <v>3</v>
      </c>
    </row>
    <row r="2570" spans="1:4" x14ac:dyDescent="0.35">
      <c r="A2570">
        <v>1186</v>
      </c>
      <c r="B2570" s="2">
        <v>38137</v>
      </c>
      <c r="C2570">
        <v>2</v>
      </c>
      <c r="D2570">
        <v>2</v>
      </c>
    </row>
    <row r="2571" spans="1:4" x14ac:dyDescent="0.35">
      <c r="A2571">
        <v>1187</v>
      </c>
      <c r="B2571" s="2">
        <v>36890</v>
      </c>
      <c r="C2571">
        <v>6</v>
      </c>
      <c r="D2571">
        <v>6</v>
      </c>
    </row>
    <row r="2572" spans="1:4" x14ac:dyDescent="0.35">
      <c r="A2572">
        <v>1187</v>
      </c>
      <c r="B2572" s="2">
        <v>37985</v>
      </c>
      <c r="C2572">
        <v>6</v>
      </c>
      <c r="D2572">
        <v>6</v>
      </c>
    </row>
    <row r="2573" spans="1:4" x14ac:dyDescent="0.35">
      <c r="A2573">
        <v>1188</v>
      </c>
      <c r="B2573" s="2">
        <v>36402</v>
      </c>
      <c r="C2573">
        <v>2</v>
      </c>
      <c r="D2573">
        <v>2</v>
      </c>
    </row>
    <row r="2574" spans="1:4" x14ac:dyDescent="0.35">
      <c r="A2574">
        <v>1188</v>
      </c>
      <c r="B2574" s="2">
        <v>36707</v>
      </c>
      <c r="C2574">
        <v>2</v>
      </c>
      <c r="D2574">
        <v>2</v>
      </c>
    </row>
    <row r="2575" spans="1:4" x14ac:dyDescent="0.35">
      <c r="A2575">
        <v>1188</v>
      </c>
      <c r="B2575" s="2">
        <v>37032</v>
      </c>
      <c r="C2575">
        <v>3</v>
      </c>
      <c r="D2575">
        <v>3</v>
      </c>
    </row>
    <row r="2576" spans="1:4" x14ac:dyDescent="0.35">
      <c r="A2576">
        <v>1188</v>
      </c>
      <c r="B2576" s="2">
        <v>37032</v>
      </c>
      <c r="C2576">
        <v>3</v>
      </c>
      <c r="D2576">
        <v>3</v>
      </c>
    </row>
    <row r="2577" spans="1:4" x14ac:dyDescent="0.35">
      <c r="A2577">
        <v>1188</v>
      </c>
      <c r="B2577" s="2">
        <v>38351</v>
      </c>
      <c r="C2577">
        <v>4</v>
      </c>
      <c r="D2577">
        <v>4</v>
      </c>
    </row>
    <row r="2578" spans="1:4" x14ac:dyDescent="0.35">
      <c r="A2578">
        <v>1189</v>
      </c>
      <c r="B2578" s="2">
        <v>36301</v>
      </c>
      <c r="C2578">
        <v>2</v>
      </c>
      <c r="D2578">
        <v>2</v>
      </c>
    </row>
    <row r="2579" spans="1:4" x14ac:dyDescent="0.35">
      <c r="A2579">
        <v>1189</v>
      </c>
      <c r="B2579" s="2">
        <v>36676</v>
      </c>
      <c r="C2579">
        <v>2</v>
      </c>
      <c r="D2579">
        <v>2</v>
      </c>
    </row>
    <row r="2580" spans="1:4" x14ac:dyDescent="0.35">
      <c r="A2580">
        <v>1189</v>
      </c>
      <c r="B2580" s="2">
        <v>36890</v>
      </c>
      <c r="C2580">
        <v>3</v>
      </c>
      <c r="D2580">
        <v>3</v>
      </c>
    </row>
    <row r="2581" spans="1:4" x14ac:dyDescent="0.35">
      <c r="A2581">
        <v>1189</v>
      </c>
      <c r="B2581" s="2">
        <v>37041</v>
      </c>
      <c r="C2581">
        <v>3</v>
      </c>
      <c r="D2581">
        <v>3</v>
      </c>
    </row>
    <row r="2582" spans="1:4" x14ac:dyDescent="0.35">
      <c r="A2582">
        <v>1189</v>
      </c>
      <c r="B2582" s="2">
        <v>38128</v>
      </c>
      <c r="C2582">
        <v>0</v>
      </c>
      <c r="D2582">
        <v>0</v>
      </c>
    </row>
    <row r="2583" spans="1:4" x14ac:dyDescent="0.35">
      <c r="A2583">
        <v>1190</v>
      </c>
      <c r="B2583" s="2">
        <v>38321</v>
      </c>
      <c r="C2583">
        <v>4</v>
      </c>
      <c r="D2583">
        <v>4</v>
      </c>
    </row>
    <row r="2584" spans="1:4" x14ac:dyDescent="0.35">
      <c r="A2584">
        <v>1191</v>
      </c>
      <c r="B2584" s="2">
        <v>36890</v>
      </c>
      <c r="C2584">
        <v>4</v>
      </c>
      <c r="D2584">
        <v>4</v>
      </c>
    </row>
    <row r="2585" spans="1:4" x14ac:dyDescent="0.35">
      <c r="A2585">
        <v>1191</v>
      </c>
      <c r="B2585" s="2">
        <v>37771</v>
      </c>
      <c r="C2585">
        <v>0</v>
      </c>
      <c r="D2585">
        <v>0</v>
      </c>
    </row>
    <row r="2586" spans="1:4" x14ac:dyDescent="0.35">
      <c r="A2586">
        <v>1192</v>
      </c>
      <c r="B2586" s="2">
        <v>36301</v>
      </c>
      <c r="C2586">
        <v>3</v>
      </c>
      <c r="D2586">
        <v>3</v>
      </c>
    </row>
    <row r="2587" spans="1:4" x14ac:dyDescent="0.35">
      <c r="A2587">
        <v>1193</v>
      </c>
      <c r="B2587" s="2">
        <v>37771</v>
      </c>
      <c r="C2587">
        <v>6</v>
      </c>
      <c r="D2587">
        <v>6</v>
      </c>
    </row>
    <row r="2588" spans="1:4" x14ac:dyDescent="0.35">
      <c r="A2588">
        <v>1194</v>
      </c>
      <c r="B2588" s="2">
        <v>36362</v>
      </c>
      <c r="C2588">
        <v>4</v>
      </c>
      <c r="D2588">
        <v>4</v>
      </c>
    </row>
    <row r="2589" spans="1:4" x14ac:dyDescent="0.35">
      <c r="A2589">
        <v>1194</v>
      </c>
      <c r="B2589" s="2">
        <v>36463</v>
      </c>
      <c r="C2589">
        <v>4</v>
      </c>
      <c r="D2589">
        <v>4</v>
      </c>
    </row>
    <row r="2590" spans="1:4" x14ac:dyDescent="0.35">
      <c r="A2590">
        <v>1194</v>
      </c>
      <c r="B2590" s="2">
        <v>36524</v>
      </c>
      <c r="C2590">
        <v>4</v>
      </c>
      <c r="D2590">
        <v>4</v>
      </c>
    </row>
    <row r="2591" spans="1:4" x14ac:dyDescent="0.35">
      <c r="A2591">
        <v>1194</v>
      </c>
      <c r="B2591" s="2">
        <v>37253</v>
      </c>
      <c r="C2591">
        <v>4</v>
      </c>
      <c r="D2591">
        <v>4</v>
      </c>
    </row>
    <row r="2592" spans="1:4" x14ac:dyDescent="0.35">
      <c r="A2592">
        <v>1195</v>
      </c>
      <c r="B2592" s="2">
        <v>36301</v>
      </c>
      <c r="C2592">
        <v>5</v>
      </c>
      <c r="D2592">
        <v>5</v>
      </c>
    </row>
    <row r="2593" spans="1:4" x14ac:dyDescent="0.35">
      <c r="A2593">
        <v>1195</v>
      </c>
      <c r="B2593" s="2">
        <v>37126</v>
      </c>
      <c r="C2593">
        <v>6</v>
      </c>
      <c r="D2593">
        <v>6</v>
      </c>
    </row>
    <row r="2594" spans="1:4" x14ac:dyDescent="0.35">
      <c r="A2594">
        <v>1195</v>
      </c>
      <c r="B2594" s="2">
        <v>38128</v>
      </c>
      <c r="C2594">
        <v>5</v>
      </c>
      <c r="D2594">
        <v>5</v>
      </c>
    </row>
    <row r="2595" spans="1:4" x14ac:dyDescent="0.35">
      <c r="A2595">
        <v>1196</v>
      </c>
      <c r="B2595" s="2">
        <v>37041</v>
      </c>
      <c r="C2595">
        <v>4</v>
      </c>
      <c r="D2595">
        <v>4</v>
      </c>
    </row>
    <row r="2596" spans="1:4" x14ac:dyDescent="0.35">
      <c r="A2596">
        <v>1197</v>
      </c>
      <c r="B2596" s="2">
        <v>36524</v>
      </c>
      <c r="C2596">
        <v>5</v>
      </c>
      <c r="D2596">
        <v>5</v>
      </c>
    </row>
    <row r="2597" spans="1:4" x14ac:dyDescent="0.35">
      <c r="A2597">
        <v>1197</v>
      </c>
      <c r="B2597" s="2">
        <v>36667</v>
      </c>
      <c r="C2597">
        <v>6</v>
      </c>
      <c r="D2597">
        <v>6</v>
      </c>
    </row>
    <row r="2598" spans="1:4" x14ac:dyDescent="0.35">
      <c r="A2598">
        <v>1197</v>
      </c>
      <c r="B2598" s="2">
        <v>37559</v>
      </c>
      <c r="C2598">
        <v>6</v>
      </c>
      <c r="D2598">
        <v>6</v>
      </c>
    </row>
    <row r="2599" spans="1:4" x14ac:dyDescent="0.35">
      <c r="A2599">
        <v>1197</v>
      </c>
      <c r="B2599" s="2">
        <v>37762</v>
      </c>
      <c r="C2599">
        <v>7</v>
      </c>
      <c r="D2599">
        <v>7</v>
      </c>
    </row>
    <row r="2600" spans="1:4" x14ac:dyDescent="0.35">
      <c r="A2600">
        <v>1197</v>
      </c>
      <c r="B2600" s="2">
        <v>37823</v>
      </c>
      <c r="C2600">
        <v>6</v>
      </c>
      <c r="D2600">
        <v>6</v>
      </c>
    </row>
    <row r="2601" spans="1:4" x14ac:dyDescent="0.35">
      <c r="A2601">
        <v>1198</v>
      </c>
      <c r="B2601" s="2">
        <v>37771</v>
      </c>
      <c r="C2601">
        <v>4</v>
      </c>
      <c r="D2601">
        <v>4</v>
      </c>
    </row>
    <row r="2602" spans="1:4" x14ac:dyDescent="0.35">
      <c r="A2602">
        <v>1199</v>
      </c>
      <c r="B2602" s="2">
        <v>36829</v>
      </c>
      <c r="C2602">
        <v>4</v>
      </c>
      <c r="D2602">
        <v>4</v>
      </c>
    </row>
    <row r="2603" spans="1:4" x14ac:dyDescent="0.35">
      <c r="A2603">
        <v>1200</v>
      </c>
      <c r="B2603" s="2">
        <v>37255</v>
      </c>
      <c r="C2603">
        <v>2</v>
      </c>
      <c r="D2603">
        <v>2</v>
      </c>
    </row>
    <row r="2604" spans="1:4" x14ac:dyDescent="0.35">
      <c r="A2604">
        <v>1201</v>
      </c>
      <c r="B2604" s="2">
        <v>37255</v>
      </c>
      <c r="C2604">
        <v>0</v>
      </c>
      <c r="D2604">
        <v>0</v>
      </c>
    </row>
    <row r="2605" spans="1:4" x14ac:dyDescent="0.35">
      <c r="A2605">
        <v>1202</v>
      </c>
      <c r="B2605" s="2">
        <v>36676</v>
      </c>
      <c r="C2605">
        <v>0</v>
      </c>
      <c r="D2605">
        <v>0</v>
      </c>
    </row>
    <row r="2606" spans="1:4" x14ac:dyDescent="0.35">
      <c r="A2606">
        <v>1203</v>
      </c>
      <c r="B2606" s="2">
        <v>37771</v>
      </c>
      <c r="C2606">
        <v>2</v>
      </c>
      <c r="D2606">
        <v>2</v>
      </c>
    </row>
    <row r="2607" spans="1:4" x14ac:dyDescent="0.35">
      <c r="A2607">
        <v>1204</v>
      </c>
      <c r="B2607" s="2">
        <v>37255</v>
      </c>
      <c r="C2607">
        <v>2</v>
      </c>
      <c r="D2607">
        <v>2</v>
      </c>
    </row>
    <row r="2608" spans="1:4" x14ac:dyDescent="0.35">
      <c r="A2608">
        <v>1205</v>
      </c>
      <c r="B2608" s="2">
        <v>37406</v>
      </c>
      <c r="C2608">
        <v>3</v>
      </c>
      <c r="D2608">
        <v>3</v>
      </c>
    </row>
    <row r="2609" spans="1:4" x14ac:dyDescent="0.35">
      <c r="A2609">
        <v>1205</v>
      </c>
      <c r="B2609" s="2">
        <v>37985</v>
      </c>
      <c r="C2609">
        <v>4</v>
      </c>
      <c r="D2609">
        <v>4</v>
      </c>
    </row>
    <row r="2610" spans="1:4" x14ac:dyDescent="0.35">
      <c r="A2610">
        <v>1205</v>
      </c>
      <c r="B2610" s="2">
        <v>38133</v>
      </c>
      <c r="C2610">
        <v>4</v>
      </c>
      <c r="D2610">
        <v>4</v>
      </c>
    </row>
    <row r="2611" spans="1:4" x14ac:dyDescent="0.35">
      <c r="A2611">
        <v>1206</v>
      </c>
      <c r="B2611" s="2">
        <v>36524</v>
      </c>
      <c r="C2611">
        <v>4</v>
      </c>
      <c r="D2611">
        <v>4</v>
      </c>
    </row>
    <row r="2612" spans="1:4" x14ac:dyDescent="0.35">
      <c r="A2612">
        <v>1206</v>
      </c>
      <c r="B2612" s="2">
        <v>37590</v>
      </c>
      <c r="C2612">
        <v>4</v>
      </c>
      <c r="D2612">
        <v>4</v>
      </c>
    </row>
    <row r="2613" spans="1:4" x14ac:dyDescent="0.35">
      <c r="A2613">
        <v>1206</v>
      </c>
      <c r="B2613" s="2">
        <v>37985</v>
      </c>
      <c r="C2613">
        <v>4</v>
      </c>
      <c r="D2613">
        <v>4</v>
      </c>
    </row>
    <row r="2614" spans="1:4" x14ac:dyDescent="0.35">
      <c r="A2614">
        <v>1206</v>
      </c>
      <c r="B2614" s="2">
        <v>37985</v>
      </c>
      <c r="C2614">
        <v>5</v>
      </c>
      <c r="D2614">
        <v>5</v>
      </c>
    </row>
    <row r="2615" spans="1:4" x14ac:dyDescent="0.35">
      <c r="A2615">
        <v>1207</v>
      </c>
      <c r="B2615" s="2">
        <v>36667</v>
      </c>
      <c r="C2615">
        <v>4</v>
      </c>
      <c r="D2615">
        <v>4</v>
      </c>
    </row>
    <row r="2616" spans="1:4" x14ac:dyDescent="0.35">
      <c r="A2616">
        <v>1207</v>
      </c>
      <c r="B2616" s="2">
        <v>36676</v>
      </c>
      <c r="C2616">
        <v>4</v>
      </c>
      <c r="D2616">
        <v>4</v>
      </c>
    </row>
    <row r="2617" spans="1:4" x14ac:dyDescent="0.35">
      <c r="A2617">
        <v>1208</v>
      </c>
      <c r="B2617" s="2">
        <v>37041</v>
      </c>
      <c r="C2617">
        <v>4</v>
      </c>
      <c r="D2617">
        <v>4</v>
      </c>
    </row>
    <row r="2618" spans="1:4" x14ac:dyDescent="0.35">
      <c r="A2618">
        <v>1208</v>
      </c>
      <c r="B2618" s="2">
        <v>37924</v>
      </c>
      <c r="C2618">
        <v>4</v>
      </c>
      <c r="D2618">
        <v>4</v>
      </c>
    </row>
    <row r="2619" spans="1:4" x14ac:dyDescent="0.35">
      <c r="A2619">
        <v>1208</v>
      </c>
      <c r="B2619" s="2">
        <v>38493</v>
      </c>
      <c r="C2619">
        <v>5</v>
      </c>
      <c r="D2619">
        <v>5</v>
      </c>
    </row>
    <row r="2620" spans="1:4" x14ac:dyDescent="0.35">
      <c r="A2620">
        <v>1208</v>
      </c>
      <c r="B2620" s="2">
        <v>38625</v>
      </c>
      <c r="C2620">
        <v>4</v>
      </c>
      <c r="D2620">
        <v>4</v>
      </c>
    </row>
    <row r="2621" spans="1:4" x14ac:dyDescent="0.35">
      <c r="A2621">
        <v>1209</v>
      </c>
      <c r="B2621" s="2">
        <v>36524</v>
      </c>
      <c r="C2621">
        <v>6</v>
      </c>
      <c r="D2621">
        <v>6</v>
      </c>
    </row>
    <row r="2622" spans="1:4" x14ac:dyDescent="0.35">
      <c r="A2622">
        <v>1209</v>
      </c>
      <c r="B2622" s="2">
        <v>36890</v>
      </c>
      <c r="C2622">
        <v>0</v>
      </c>
      <c r="D2622">
        <v>0</v>
      </c>
    </row>
    <row r="2623" spans="1:4" x14ac:dyDescent="0.35">
      <c r="A2623">
        <v>1210</v>
      </c>
      <c r="B2623" s="2">
        <v>36393</v>
      </c>
      <c r="C2623">
        <v>6</v>
      </c>
      <c r="D2623">
        <v>6</v>
      </c>
    </row>
    <row r="2624" spans="1:4" x14ac:dyDescent="0.35">
      <c r="A2624">
        <v>1210</v>
      </c>
      <c r="B2624" s="2">
        <v>37034</v>
      </c>
      <c r="C2624">
        <v>5</v>
      </c>
      <c r="D2624">
        <v>5</v>
      </c>
    </row>
    <row r="2625" spans="1:4" x14ac:dyDescent="0.35">
      <c r="A2625">
        <v>1211</v>
      </c>
      <c r="B2625" s="2">
        <v>36524</v>
      </c>
      <c r="C2625">
        <v>5</v>
      </c>
      <c r="D2625">
        <v>5</v>
      </c>
    </row>
    <row r="2626" spans="1:4" x14ac:dyDescent="0.35">
      <c r="A2626">
        <v>1211</v>
      </c>
      <c r="B2626" s="2">
        <v>36890</v>
      </c>
      <c r="C2626">
        <v>5</v>
      </c>
      <c r="D2626">
        <v>5</v>
      </c>
    </row>
    <row r="2627" spans="1:4" x14ac:dyDescent="0.35">
      <c r="A2627">
        <v>1211</v>
      </c>
      <c r="B2627" s="2">
        <v>37124</v>
      </c>
      <c r="C2627">
        <v>6</v>
      </c>
      <c r="D2627">
        <v>6</v>
      </c>
    </row>
    <row r="2628" spans="1:4" x14ac:dyDescent="0.35">
      <c r="A2628">
        <v>1211</v>
      </c>
      <c r="B2628" s="2">
        <v>37802</v>
      </c>
      <c r="C2628">
        <v>6</v>
      </c>
      <c r="D2628">
        <v>6</v>
      </c>
    </row>
    <row r="2629" spans="1:4" x14ac:dyDescent="0.35">
      <c r="A2629">
        <v>1212</v>
      </c>
      <c r="B2629" s="2">
        <v>37255</v>
      </c>
      <c r="C2629">
        <v>2</v>
      </c>
      <c r="D2629">
        <v>2</v>
      </c>
    </row>
    <row r="2630" spans="1:4" x14ac:dyDescent="0.35">
      <c r="A2630">
        <v>1212</v>
      </c>
      <c r="B2630" s="2">
        <v>37955</v>
      </c>
      <c r="C2630">
        <v>3</v>
      </c>
      <c r="D2630">
        <v>3</v>
      </c>
    </row>
    <row r="2631" spans="1:4" x14ac:dyDescent="0.35">
      <c r="A2631">
        <v>1213</v>
      </c>
      <c r="B2631" s="2">
        <v>37041</v>
      </c>
      <c r="C2631">
        <v>3</v>
      </c>
      <c r="D2631">
        <v>3</v>
      </c>
    </row>
    <row r="2632" spans="1:4" x14ac:dyDescent="0.35">
      <c r="A2632">
        <v>1214</v>
      </c>
      <c r="B2632" s="2">
        <v>36675</v>
      </c>
      <c r="C2632">
        <v>3</v>
      </c>
      <c r="D2632">
        <v>3</v>
      </c>
    </row>
    <row r="2633" spans="1:4" x14ac:dyDescent="0.35">
      <c r="A2633">
        <v>1214</v>
      </c>
      <c r="B2633" s="2">
        <v>37255</v>
      </c>
      <c r="C2633">
        <v>3</v>
      </c>
      <c r="D2633">
        <v>3</v>
      </c>
    </row>
    <row r="2634" spans="1:4" x14ac:dyDescent="0.35">
      <c r="A2634">
        <v>1215</v>
      </c>
      <c r="B2634" s="2">
        <v>38351</v>
      </c>
      <c r="C2634">
        <v>5</v>
      </c>
      <c r="D2634">
        <v>5</v>
      </c>
    </row>
    <row r="2635" spans="1:4" x14ac:dyDescent="0.35">
      <c r="A2635">
        <v>1215</v>
      </c>
      <c r="B2635" s="2">
        <v>38502</v>
      </c>
      <c r="C2635">
        <v>6</v>
      </c>
      <c r="D2635">
        <v>6</v>
      </c>
    </row>
    <row r="2636" spans="1:4" x14ac:dyDescent="0.35">
      <c r="A2636">
        <v>1216</v>
      </c>
      <c r="B2636" s="2">
        <v>37529</v>
      </c>
      <c r="C2636">
        <v>4</v>
      </c>
      <c r="D2636">
        <v>4</v>
      </c>
    </row>
    <row r="2637" spans="1:4" x14ac:dyDescent="0.35">
      <c r="A2637">
        <v>1217</v>
      </c>
      <c r="B2637" s="2">
        <v>36667</v>
      </c>
      <c r="C2637">
        <v>8</v>
      </c>
      <c r="D2637">
        <v>8</v>
      </c>
    </row>
    <row r="2638" spans="1:4" x14ac:dyDescent="0.35">
      <c r="A2638">
        <v>1217</v>
      </c>
      <c r="B2638" s="2">
        <v>36737</v>
      </c>
      <c r="C2638">
        <v>8</v>
      </c>
      <c r="D2638">
        <v>8</v>
      </c>
    </row>
    <row r="2639" spans="1:4" x14ac:dyDescent="0.35">
      <c r="A2639">
        <v>1217</v>
      </c>
      <c r="B2639" s="2">
        <v>37255</v>
      </c>
      <c r="C2639">
        <v>0</v>
      </c>
      <c r="D2639">
        <v>8</v>
      </c>
    </row>
    <row r="2640" spans="1:4" x14ac:dyDescent="0.35">
      <c r="A2640">
        <v>1218</v>
      </c>
      <c r="B2640" s="2">
        <v>37032</v>
      </c>
      <c r="C2640">
        <v>5</v>
      </c>
      <c r="D2640">
        <v>5</v>
      </c>
    </row>
    <row r="2641" spans="1:4" x14ac:dyDescent="0.35">
      <c r="A2641">
        <v>1218</v>
      </c>
      <c r="B2641" s="2">
        <v>37255</v>
      </c>
      <c r="C2641">
        <v>0</v>
      </c>
      <c r="D2641">
        <v>0</v>
      </c>
    </row>
    <row r="2642" spans="1:4" x14ac:dyDescent="0.35">
      <c r="A2642">
        <v>1219</v>
      </c>
      <c r="B2642" s="2">
        <v>36433</v>
      </c>
      <c r="C2642">
        <v>7</v>
      </c>
      <c r="D2642">
        <v>7</v>
      </c>
    </row>
    <row r="2643" spans="1:4" x14ac:dyDescent="0.35">
      <c r="A2643">
        <v>1219</v>
      </c>
      <c r="B2643" s="2">
        <v>36799</v>
      </c>
      <c r="C2643">
        <v>0</v>
      </c>
      <c r="D2643">
        <v>0</v>
      </c>
    </row>
    <row r="2644" spans="1:4" x14ac:dyDescent="0.35">
      <c r="A2644">
        <v>1220</v>
      </c>
      <c r="B2644" s="2">
        <v>36667</v>
      </c>
      <c r="C2644">
        <v>3</v>
      </c>
      <c r="D2644">
        <v>3</v>
      </c>
    </row>
    <row r="2645" spans="1:4" x14ac:dyDescent="0.35">
      <c r="A2645">
        <v>1221</v>
      </c>
      <c r="B2645" s="2">
        <v>36676</v>
      </c>
      <c r="C2645">
        <v>2</v>
      </c>
      <c r="D2645">
        <v>2</v>
      </c>
    </row>
    <row r="2646" spans="1:4" x14ac:dyDescent="0.35">
      <c r="A2646">
        <v>1222</v>
      </c>
      <c r="B2646" s="2">
        <v>36667</v>
      </c>
      <c r="C2646">
        <v>3</v>
      </c>
      <c r="D2646">
        <v>3</v>
      </c>
    </row>
    <row r="2647" spans="1:4" x14ac:dyDescent="0.35">
      <c r="A2647">
        <v>1223</v>
      </c>
      <c r="B2647" s="2">
        <v>37102</v>
      </c>
      <c r="C2647">
        <v>3</v>
      </c>
      <c r="D2647">
        <v>3</v>
      </c>
    </row>
    <row r="2648" spans="1:4" x14ac:dyDescent="0.35">
      <c r="A2648">
        <v>1223</v>
      </c>
      <c r="B2648" s="2">
        <v>38260</v>
      </c>
      <c r="C2648">
        <v>3</v>
      </c>
      <c r="D2648">
        <v>3</v>
      </c>
    </row>
    <row r="2649" spans="1:4" x14ac:dyDescent="0.35">
      <c r="A2649">
        <v>1224</v>
      </c>
      <c r="B2649" s="2">
        <v>37397</v>
      </c>
      <c r="C2649">
        <v>2</v>
      </c>
      <c r="D2649">
        <v>2</v>
      </c>
    </row>
    <row r="2650" spans="1:4" x14ac:dyDescent="0.35">
      <c r="A2650">
        <v>1224</v>
      </c>
      <c r="B2650" s="2">
        <v>38502</v>
      </c>
      <c r="C2650">
        <v>2</v>
      </c>
      <c r="D2650">
        <v>2</v>
      </c>
    </row>
    <row r="2651" spans="1:4" x14ac:dyDescent="0.35">
      <c r="A2651">
        <v>1225</v>
      </c>
      <c r="B2651" s="2">
        <v>37985</v>
      </c>
      <c r="C2651">
        <v>3</v>
      </c>
      <c r="D2651">
        <v>3</v>
      </c>
    </row>
    <row r="2652" spans="1:4" x14ac:dyDescent="0.35">
      <c r="A2652">
        <v>1226</v>
      </c>
      <c r="B2652" s="2">
        <v>36728</v>
      </c>
      <c r="C2652">
        <v>4</v>
      </c>
      <c r="D2652">
        <v>4</v>
      </c>
    </row>
    <row r="2653" spans="1:4" x14ac:dyDescent="0.35">
      <c r="A2653">
        <v>1226</v>
      </c>
      <c r="B2653" s="2">
        <v>37041</v>
      </c>
      <c r="C2653">
        <v>4</v>
      </c>
      <c r="D2653">
        <v>4</v>
      </c>
    </row>
    <row r="2654" spans="1:4" x14ac:dyDescent="0.35">
      <c r="A2654">
        <v>1226</v>
      </c>
      <c r="B2654" s="2">
        <v>37397</v>
      </c>
      <c r="C2654">
        <v>4</v>
      </c>
      <c r="D2654">
        <v>4</v>
      </c>
    </row>
    <row r="2655" spans="1:4" x14ac:dyDescent="0.35">
      <c r="A2655">
        <v>1226</v>
      </c>
      <c r="B2655" s="2">
        <v>37489</v>
      </c>
      <c r="C2655">
        <v>5</v>
      </c>
      <c r="D2655">
        <v>5</v>
      </c>
    </row>
    <row r="2656" spans="1:4" x14ac:dyDescent="0.35">
      <c r="A2656">
        <v>1226</v>
      </c>
      <c r="B2656" s="2">
        <v>37894</v>
      </c>
      <c r="C2656">
        <v>6</v>
      </c>
      <c r="D2656">
        <v>6</v>
      </c>
    </row>
    <row r="2657" spans="1:4" x14ac:dyDescent="0.35">
      <c r="A2657">
        <v>1226</v>
      </c>
      <c r="B2657" s="2">
        <v>38493</v>
      </c>
      <c r="C2657">
        <v>6</v>
      </c>
      <c r="D2657">
        <v>6</v>
      </c>
    </row>
    <row r="2658" spans="1:4" x14ac:dyDescent="0.35">
      <c r="A2658">
        <v>1227</v>
      </c>
      <c r="B2658" s="2">
        <v>36676</v>
      </c>
      <c r="C2658">
        <v>4</v>
      </c>
      <c r="D2658">
        <v>4</v>
      </c>
    </row>
    <row r="2659" spans="1:4" x14ac:dyDescent="0.35">
      <c r="A2659">
        <v>1227</v>
      </c>
      <c r="B2659" s="2">
        <v>37255</v>
      </c>
      <c r="C2659">
        <v>5</v>
      </c>
      <c r="D2659">
        <v>5</v>
      </c>
    </row>
    <row r="2660" spans="1:4" x14ac:dyDescent="0.35">
      <c r="A2660">
        <v>1227</v>
      </c>
      <c r="B2660" s="2">
        <v>37985</v>
      </c>
      <c r="C2660">
        <v>0</v>
      </c>
      <c r="D2660">
        <v>0</v>
      </c>
    </row>
    <row r="2661" spans="1:4" x14ac:dyDescent="0.35">
      <c r="A2661">
        <v>1228</v>
      </c>
      <c r="B2661" s="2">
        <v>37216</v>
      </c>
      <c r="C2661">
        <v>4</v>
      </c>
      <c r="D2661">
        <v>4</v>
      </c>
    </row>
    <row r="2662" spans="1:4" x14ac:dyDescent="0.35">
      <c r="A2662">
        <v>1228</v>
      </c>
      <c r="B2662" s="2">
        <v>37620</v>
      </c>
      <c r="C2662">
        <v>4</v>
      </c>
      <c r="D2662">
        <v>4</v>
      </c>
    </row>
    <row r="2663" spans="1:4" x14ac:dyDescent="0.35">
      <c r="A2663">
        <v>1228</v>
      </c>
      <c r="B2663" s="2">
        <v>38137</v>
      </c>
      <c r="C2663">
        <v>0</v>
      </c>
      <c r="D2663">
        <v>0</v>
      </c>
    </row>
    <row r="2664" spans="1:4" x14ac:dyDescent="0.35">
      <c r="A2664">
        <v>1229</v>
      </c>
      <c r="B2664" s="2">
        <v>36310</v>
      </c>
      <c r="C2664">
        <v>5</v>
      </c>
      <c r="D2664">
        <v>5</v>
      </c>
    </row>
    <row r="2665" spans="1:4" x14ac:dyDescent="0.35">
      <c r="A2665">
        <v>1229</v>
      </c>
      <c r="B2665" s="2">
        <v>36890</v>
      </c>
      <c r="C2665">
        <v>5</v>
      </c>
      <c r="D2665">
        <v>5</v>
      </c>
    </row>
    <row r="2666" spans="1:4" x14ac:dyDescent="0.35">
      <c r="A2666">
        <v>1229</v>
      </c>
      <c r="B2666" s="2">
        <v>37435</v>
      </c>
      <c r="C2666">
        <v>4</v>
      </c>
      <c r="D2666">
        <v>4</v>
      </c>
    </row>
    <row r="2667" spans="1:4" x14ac:dyDescent="0.35">
      <c r="A2667">
        <v>1229</v>
      </c>
      <c r="B2667" s="2">
        <v>37915</v>
      </c>
      <c r="C2667">
        <v>4</v>
      </c>
      <c r="D2667">
        <v>4</v>
      </c>
    </row>
    <row r="2668" spans="1:4" x14ac:dyDescent="0.35">
      <c r="A2668">
        <v>1230</v>
      </c>
      <c r="B2668" s="2">
        <v>38351</v>
      </c>
      <c r="C2668">
        <v>2</v>
      </c>
      <c r="D2668">
        <v>2</v>
      </c>
    </row>
    <row r="2669" spans="1:4" x14ac:dyDescent="0.35">
      <c r="A2669">
        <v>1230</v>
      </c>
      <c r="B2669" s="2">
        <v>38502</v>
      </c>
      <c r="C2669">
        <v>2</v>
      </c>
      <c r="D2669">
        <v>2</v>
      </c>
    </row>
    <row r="2670" spans="1:4" x14ac:dyDescent="0.35">
      <c r="A2670">
        <v>1231</v>
      </c>
      <c r="B2670" s="2">
        <v>37458</v>
      </c>
      <c r="C2670">
        <v>0</v>
      </c>
      <c r="D2670">
        <v>0</v>
      </c>
    </row>
    <row r="2671" spans="1:4" x14ac:dyDescent="0.35">
      <c r="A2671">
        <v>1232</v>
      </c>
      <c r="B2671" s="2">
        <v>37406</v>
      </c>
      <c r="C2671">
        <v>4</v>
      </c>
      <c r="D2671">
        <v>4</v>
      </c>
    </row>
    <row r="2672" spans="1:4" x14ac:dyDescent="0.35">
      <c r="A2672">
        <v>1233</v>
      </c>
      <c r="B2672" s="2">
        <v>37255</v>
      </c>
      <c r="C2672">
        <v>3</v>
      </c>
      <c r="D2672">
        <v>3</v>
      </c>
    </row>
    <row r="2673" spans="1:4" x14ac:dyDescent="0.35">
      <c r="A2673">
        <v>1233</v>
      </c>
      <c r="B2673" s="2">
        <v>37765</v>
      </c>
      <c r="C2673">
        <v>4</v>
      </c>
      <c r="D2673">
        <v>4</v>
      </c>
    </row>
    <row r="2674" spans="1:4" x14ac:dyDescent="0.35">
      <c r="A2674">
        <v>1233</v>
      </c>
      <c r="B2674" s="2">
        <v>38351</v>
      </c>
      <c r="C2674">
        <v>0</v>
      </c>
      <c r="D2674">
        <v>0</v>
      </c>
    </row>
    <row r="2675" spans="1:4" x14ac:dyDescent="0.35">
      <c r="A2675">
        <v>1234</v>
      </c>
      <c r="B2675" s="2">
        <v>36424</v>
      </c>
      <c r="C2675">
        <v>3</v>
      </c>
      <c r="D2675">
        <v>3</v>
      </c>
    </row>
    <row r="2676" spans="1:4" x14ac:dyDescent="0.35">
      <c r="A2676">
        <v>1234</v>
      </c>
      <c r="B2676" s="2">
        <v>38137</v>
      </c>
      <c r="C2676">
        <v>4</v>
      </c>
      <c r="D2676">
        <v>4</v>
      </c>
    </row>
    <row r="2677" spans="1:4" x14ac:dyDescent="0.35">
      <c r="A2677">
        <v>1235</v>
      </c>
      <c r="B2677" s="2">
        <v>36524</v>
      </c>
      <c r="C2677">
        <v>2</v>
      </c>
      <c r="D2677">
        <v>2</v>
      </c>
    </row>
    <row r="2678" spans="1:4" x14ac:dyDescent="0.35">
      <c r="A2678">
        <v>1235</v>
      </c>
      <c r="B2678" s="2">
        <v>37762</v>
      </c>
      <c r="C2678">
        <v>2</v>
      </c>
      <c r="D2678">
        <v>2</v>
      </c>
    </row>
    <row r="2679" spans="1:4" x14ac:dyDescent="0.35">
      <c r="A2679">
        <v>1235</v>
      </c>
      <c r="B2679" s="2">
        <v>38220</v>
      </c>
      <c r="C2679">
        <v>3</v>
      </c>
      <c r="D2679">
        <v>3</v>
      </c>
    </row>
    <row r="2680" spans="1:4" x14ac:dyDescent="0.35">
      <c r="A2680">
        <v>1235</v>
      </c>
      <c r="B2680" s="2">
        <v>38351</v>
      </c>
      <c r="C2680">
        <v>3</v>
      </c>
      <c r="D2680">
        <v>3</v>
      </c>
    </row>
    <row r="2681" spans="1:4" x14ac:dyDescent="0.35">
      <c r="A2681">
        <v>1236</v>
      </c>
      <c r="B2681" s="2">
        <v>36332</v>
      </c>
      <c r="C2681">
        <v>5</v>
      </c>
      <c r="D2681">
        <v>5</v>
      </c>
    </row>
    <row r="2682" spans="1:4" x14ac:dyDescent="0.35">
      <c r="A2682">
        <v>1236</v>
      </c>
      <c r="B2682" s="2">
        <v>36829</v>
      </c>
      <c r="C2682">
        <v>4</v>
      </c>
      <c r="D2682">
        <v>4</v>
      </c>
    </row>
    <row r="2683" spans="1:4" x14ac:dyDescent="0.35">
      <c r="A2683">
        <v>1236</v>
      </c>
      <c r="B2683" s="2">
        <v>37590</v>
      </c>
      <c r="C2683">
        <v>4</v>
      </c>
      <c r="D2683">
        <v>4</v>
      </c>
    </row>
    <row r="2684" spans="1:4" x14ac:dyDescent="0.35">
      <c r="A2684">
        <v>1236</v>
      </c>
      <c r="B2684" s="2">
        <v>38502</v>
      </c>
      <c r="C2684">
        <v>4</v>
      </c>
      <c r="D2684">
        <v>4</v>
      </c>
    </row>
    <row r="2685" spans="1:4" x14ac:dyDescent="0.35">
      <c r="A2685">
        <v>1237</v>
      </c>
      <c r="B2685" s="2">
        <v>36362</v>
      </c>
      <c r="C2685">
        <v>0</v>
      </c>
      <c r="D2685">
        <v>0</v>
      </c>
    </row>
    <row r="2686" spans="1:4" x14ac:dyDescent="0.35">
      <c r="A2686">
        <v>1238</v>
      </c>
      <c r="B2686" s="2">
        <v>36890</v>
      </c>
      <c r="C2686">
        <v>5</v>
      </c>
      <c r="D2686">
        <v>5</v>
      </c>
    </row>
    <row r="2687" spans="1:4" x14ac:dyDescent="0.35">
      <c r="A2687">
        <v>1238</v>
      </c>
      <c r="B2687" s="2">
        <v>37894</v>
      </c>
      <c r="C2687">
        <v>5</v>
      </c>
      <c r="D2687">
        <v>5</v>
      </c>
    </row>
    <row r="2688" spans="1:4" x14ac:dyDescent="0.35">
      <c r="A2688">
        <v>1239</v>
      </c>
      <c r="B2688" s="2">
        <v>36301</v>
      </c>
      <c r="C2688">
        <v>4</v>
      </c>
      <c r="D2688">
        <v>4</v>
      </c>
    </row>
    <row r="2689" spans="1:4" x14ac:dyDescent="0.35">
      <c r="A2689">
        <v>1239</v>
      </c>
      <c r="B2689" s="2">
        <v>37406</v>
      </c>
      <c r="C2689">
        <v>4</v>
      </c>
      <c r="D2689">
        <v>4</v>
      </c>
    </row>
    <row r="2690" spans="1:4" x14ac:dyDescent="0.35">
      <c r="A2690">
        <v>1239</v>
      </c>
      <c r="B2690" s="2">
        <v>37550</v>
      </c>
      <c r="C2690">
        <v>5</v>
      </c>
      <c r="D2690">
        <v>5</v>
      </c>
    </row>
    <row r="2691" spans="1:4" x14ac:dyDescent="0.35">
      <c r="A2691">
        <v>1239</v>
      </c>
      <c r="B2691" s="2">
        <v>37771</v>
      </c>
      <c r="C2691">
        <v>6</v>
      </c>
      <c r="D2691">
        <v>6</v>
      </c>
    </row>
    <row r="2692" spans="1:4" x14ac:dyDescent="0.35">
      <c r="A2692">
        <v>1240</v>
      </c>
      <c r="B2692" s="2">
        <v>36463</v>
      </c>
      <c r="C2692">
        <v>4</v>
      </c>
      <c r="D2692">
        <v>4</v>
      </c>
    </row>
    <row r="2693" spans="1:4" x14ac:dyDescent="0.35">
      <c r="A2693">
        <v>1240</v>
      </c>
      <c r="B2693" s="2">
        <v>36829</v>
      </c>
      <c r="C2693">
        <v>4</v>
      </c>
      <c r="D2693">
        <v>4</v>
      </c>
    </row>
    <row r="2694" spans="1:4" x14ac:dyDescent="0.35">
      <c r="A2694">
        <v>1240</v>
      </c>
      <c r="B2694" s="2">
        <v>36890</v>
      </c>
      <c r="C2694">
        <v>5</v>
      </c>
      <c r="D2694">
        <v>5</v>
      </c>
    </row>
    <row r="2695" spans="1:4" x14ac:dyDescent="0.35">
      <c r="A2695">
        <v>1240</v>
      </c>
      <c r="B2695" s="2">
        <v>37397</v>
      </c>
      <c r="C2695">
        <v>6</v>
      </c>
      <c r="D2695">
        <v>6</v>
      </c>
    </row>
    <row r="2696" spans="1:4" x14ac:dyDescent="0.35">
      <c r="A2696">
        <v>1240</v>
      </c>
      <c r="B2696" s="2">
        <v>37428</v>
      </c>
      <c r="C2696">
        <v>6</v>
      </c>
      <c r="D2696">
        <v>6</v>
      </c>
    </row>
    <row r="2697" spans="1:4" x14ac:dyDescent="0.35">
      <c r="A2697">
        <v>1240</v>
      </c>
      <c r="B2697" s="2">
        <v>38312</v>
      </c>
      <c r="C2697">
        <v>6</v>
      </c>
      <c r="D2697">
        <v>6</v>
      </c>
    </row>
    <row r="2698" spans="1:4" x14ac:dyDescent="0.35">
      <c r="A2698">
        <v>1241</v>
      </c>
      <c r="B2698" s="2">
        <v>36362</v>
      </c>
      <c r="C2698">
        <v>2</v>
      </c>
      <c r="D2698">
        <v>2</v>
      </c>
    </row>
    <row r="2699" spans="1:4" x14ac:dyDescent="0.35">
      <c r="A2699">
        <v>1241</v>
      </c>
      <c r="B2699" s="2">
        <v>37398</v>
      </c>
      <c r="C2699">
        <v>3</v>
      </c>
      <c r="D2699">
        <v>3</v>
      </c>
    </row>
    <row r="2700" spans="1:4" x14ac:dyDescent="0.35">
      <c r="A2700">
        <v>1242</v>
      </c>
      <c r="B2700" s="2">
        <v>37041</v>
      </c>
      <c r="C2700">
        <v>0</v>
      </c>
      <c r="D2700">
        <v>0</v>
      </c>
    </row>
    <row r="2701" spans="1:4" x14ac:dyDescent="0.35">
      <c r="A2701">
        <v>1243</v>
      </c>
      <c r="B2701" s="2">
        <v>37620</v>
      </c>
      <c r="C2701">
        <v>0</v>
      </c>
      <c r="D2701">
        <v>0</v>
      </c>
    </row>
    <row r="2702" spans="1:4" x14ac:dyDescent="0.35">
      <c r="A2702">
        <v>1244</v>
      </c>
      <c r="B2702" s="2">
        <v>37124</v>
      </c>
      <c r="C2702">
        <v>5</v>
      </c>
      <c r="D2702">
        <v>5</v>
      </c>
    </row>
    <row r="2703" spans="1:4" x14ac:dyDescent="0.35">
      <c r="A2703">
        <v>1245</v>
      </c>
      <c r="B2703" s="2">
        <v>37067</v>
      </c>
      <c r="C2703">
        <v>4</v>
      </c>
      <c r="D2703">
        <v>4</v>
      </c>
    </row>
    <row r="2704" spans="1:4" x14ac:dyDescent="0.35">
      <c r="A2704">
        <v>1246</v>
      </c>
      <c r="B2704" s="2">
        <v>37216</v>
      </c>
      <c r="C2704">
        <v>6</v>
      </c>
      <c r="D2704">
        <v>6</v>
      </c>
    </row>
    <row r="2705" spans="1:4" x14ac:dyDescent="0.35">
      <c r="A2705">
        <v>1246</v>
      </c>
      <c r="B2705" s="2">
        <v>37397</v>
      </c>
      <c r="C2705">
        <v>6</v>
      </c>
      <c r="D2705">
        <v>6</v>
      </c>
    </row>
    <row r="2706" spans="1:4" x14ac:dyDescent="0.35">
      <c r="A2706">
        <v>1246</v>
      </c>
      <c r="B2706" s="2">
        <v>37771</v>
      </c>
      <c r="C2706">
        <v>6</v>
      </c>
      <c r="D2706">
        <v>6</v>
      </c>
    </row>
    <row r="2707" spans="1:4" x14ac:dyDescent="0.35">
      <c r="A2707">
        <v>1246</v>
      </c>
      <c r="B2707" s="2">
        <v>37985</v>
      </c>
      <c r="C2707">
        <v>5</v>
      </c>
      <c r="D2707">
        <v>5</v>
      </c>
    </row>
    <row r="2708" spans="1:4" x14ac:dyDescent="0.35">
      <c r="A2708">
        <v>1246</v>
      </c>
      <c r="B2708" s="2">
        <v>38137</v>
      </c>
      <c r="C2708">
        <v>4</v>
      </c>
      <c r="D2708">
        <v>4</v>
      </c>
    </row>
    <row r="2709" spans="1:4" x14ac:dyDescent="0.35">
      <c r="A2709">
        <v>1246</v>
      </c>
      <c r="B2709" s="2">
        <v>38281</v>
      </c>
      <c r="C2709">
        <v>0</v>
      </c>
      <c r="D2709">
        <v>0</v>
      </c>
    </row>
    <row r="2710" spans="1:4" x14ac:dyDescent="0.35">
      <c r="A2710">
        <v>1247</v>
      </c>
      <c r="B2710" s="2">
        <v>36524</v>
      </c>
      <c r="C2710">
        <v>0</v>
      </c>
      <c r="D2710">
        <v>0</v>
      </c>
    </row>
    <row r="2711" spans="1:4" x14ac:dyDescent="0.35">
      <c r="A2711">
        <v>1248</v>
      </c>
      <c r="B2711" s="2">
        <v>36524</v>
      </c>
      <c r="C2711">
        <v>4</v>
      </c>
      <c r="D2711">
        <v>4</v>
      </c>
    </row>
    <row r="2712" spans="1:4" x14ac:dyDescent="0.35">
      <c r="A2712">
        <v>1248</v>
      </c>
      <c r="B2712" s="2">
        <v>37406</v>
      </c>
      <c r="C2712">
        <v>3</v>
      </c>
      <c r="D2712">
        <v>3</v>
      </c>
    </row>
    <row r="2713" spans="1:4" x14ac:dyDescent="0.35">
      <c r="A2713">
        <v>1248</v>
      </c>
      <c r="B2713" s="2">
        <v>38128</v>
      </c>
      <c r="C2713">
        <v>0</v>
      </c>
      <c r="D2713">
        <v>0</v>
      </c>
    </row>
    <row r="2714" spans="1:4" x14ac:dyDescent="0.35">
      <c r="A2714">
        <v>1249</v>
      </c>
      <c r="B2714" s="2">
        <v>37032</v>
      </c>
      <c r="C2714">
        <v>4</v>
      </c>
      <c r="D2714">
        <v>4</v>
      </c>
    </row>
    <row r="2715" spans="1:4" x14ac:dyDescent="0.35">
      <c r="A2715">
        <v>1249</v>
      </c>
      <c r="B2715" s="2">
        <v>37102</v>
      </c>
      <c r="C2715">
        <v>6</v>
      </c>
      <c r="D2715">
        <v>6</v>
      </c>
    </row>
    <row r="2716" spans="1:4" x14ac:dyDescent="0.35">
      <c r="A2716">
        <v>1249</v>
      </c>
      <c r="B2716" s="2">
        <v>37985</v>
      </c>
      <c r="C2716">
        <v>5</v>
      </c>
      <c r="D2716">
        <v>5</v>
      </c>
    </row>
    <row r="2717" spans="1:4" x14ac:dyDescent="0.35">
      <c r="A2717">
        <v>1250</v>
      </c>
      <c r="B2717" s="2">
        <v>38351</v>
      </c>
      <c r="C2717">
        <v>5</v>
      </c>
      <c r="D2717">
        <v>5</v>
      </c>
    </row>
    <row r="2718" spans="1:4" x14ac:dyDescent="0.35">
      <c r="A2718">
        <v>1250</v>
      </c>
      <c r="B2718" s="2">
        <v>38716</v>
      </c>
      <c r="C2718">
        <v>0</v>
      </c>
      <c r="D2718">
        <v>0</v>
      </c>
    </row>
    <row r="2719" spans="1:4" x14ac:dyDescent="0.35">
      <c r="A2719">
        <v>1251</v>
      </c>
      <c r="B2719" s="2">
        <v>37032</v>
      </c>
      <c r="C2719">
        <v>7</v>
      </c>
      <c r="D2719">
        <v>7</v>
      </c>
    </row>
    <row r="2720" spans="1:4" x14ac:dyDescent="0.35">
      <c r="A2720">
        <v>1251</v>
      </c>
      <c r="B2720" s="2">
        <v>37246</v>
      </c>
      <c r="C2720">
        <v>8</v>
      </c>
      <c r="D2720">
        <v>8</v>
      </c>
    </row>
    <row r="2721" spans="1:4" x14ac:dyDescent="0.35">
      <c r="A2721">
        <v>1251</v>
      </c>
      <c r="B2721" s="2">
        <v>37255</v>
      </c>
      <c r="C2721">
        <v>7</v>
      </c>
      <c r="D2721">
        <v>8</v>
      </c>
    </row>
    <row r="2722" spans="1:4" x14ac:dyDescent="0.35">
      <c r="A2722">
        <v>1251</v>
      </c>
      <c r="B2722" s="2">
        <v>37397</v>
      </c>
      <c r="C2722">
        <v>8</v>
      </c>
      <c r="D2722">
        <v>8</v>
      </c>
    </row>
    <row r="2723" spans="1:4" x14ac:dyDescent="0.35">
      <c r="A2723">
        <v>1251</v>
      </c>
      <c r="B2723" s="2">
        <v>37406</v>
      </c>
      <c r="C2723">
        <v>0</v>
      </c>
      <c r="D2723">
        <v>8</v>
      </c>
    </row>
    <row r="2724" spans="1:4" x14ac:dyDescent="0.35">
      <c r="A2724">
        <v>1251</v>
      </c>
      <c r="B2724" s="2">
        <v>37771</v>
      </c>
      <c r="C2724">
        <v>0</v>
      </c>
      <c r="D2724">
        <v>8</v>
      </c>
    </row>
    <row r="2725" spans="1:4" x14ac:dyDescent="0.35">
      <c r="A2725">
        <v>1252</v>
      </c>
      <c r="B2725" s="2">
        <v>36524</v>
      </c>
      <c r="C2725">
        <v>5</v>
      </c>
      <c r="D2725">
        <v>5</v>
      </c>
    </row>
    <row r="2726" spans="1:4" x14ac:dyDescent="0.35">
      <c r="A2726">
        <v>1252</v>
      </c>
      <c r="B2726" s="2">
        <v>37041</v>
      </c>
      <c r="C2726">
        <v>6</v>
      </c>
      <c r="D2726">
        <v>6</v>
      </c>
    </row>
    <row r="2727" spans="1:4" x14ac:dyDescent="0.35">
      <c r="A2727">
        <v>1252</v>
      </c>
      <c r="B2727" s="2">
        <v>37406</v>
      </c>
      <c r="C2727">
        <v>7</v>
      </c>
      <c r="D2727">
        <v>7</v>
      </c>
    </row>
    <row r="2728" spans="1:4" x14ac:dyDescent="0.35">
      <c r="A2728">
        <v>1252</v>
      </c>
      <c r="B2728" s="2">
        <v>37771</v>
      </c>
      <c r="C2728">
        <v>0</v>
      </c>
      <c r="D2728">
        <v>0</v>
      </c>
    </row>
    <row r="2729" spans="1:4" x14ac:dyDescent="0.35">
      <c r="A2729">
        <v>1252</v>
      </c>
      <c r="B2729" s="2">
        <v>37894</v>
      </c>
      <c r="C2729">
        <v>8</v>
      </c>
      <c r="D2729">
        <v>8</v>
      </c>
    </row>
    <row r="2730" spans="1:4" x14ac:dyDescent="0.35">
      <c r="A2730">
        <v>1253</v>
      </c>
      <c r="B2730" s="2">
        <v>37397</v>
      </c>
      <c r="C2730">
        <v>0</v>
      </c>
      <c r="D2730">
        <v>0</v>
      </c>
    </row>
    <row r="2731" spans="1:4" x14ac:dyDescent="0.35">
      <c r="A2731">
        <v>1254</v>
      </c>
      <c r="B2731" s="2">
        <v>37032</v>
      </c>
      <c r="C2731">
        <v>4</v>
      </c>
      <c r="D2731">
        <v>4</v>
      </c>
    </row>
    <row r="2732" spans="1:4" x14ac:dyDescent="0.35">
      <c r="A2732">
        <v>1254</v>
      </c>
      <c r="B2732" s="2">
        <v>38198</v>
      </c>
      <c r="C2732">
        <v>0</v>
      </c>
      <c r="D2732">
        <v>0</v>
      </c>
    </row>
    <row r="2733" spans="1:4" x14ac:dyDescent="0.35">
      <c r="A2733">
        <v>1255</v>
      </c>
      <c r="B2733" s="2">
        <v>36667</v>
      </c>
      <c r="C2733">
        <v>0</v>
      </c>
      <c r="D2733">
        <v>0</v>
      </c>
    </row>
    <row r="2734" spans="1:4" x14ac:dyDescent="0.35">
      <c r="A2734">
        <v>1256</v>
      </c>
      <c r="B2734" s="2">
        <v>37194</v>
      </c>
      <c r="C2734">
        <v>4</v>
      </c>
      <c r="D2734">
        <v>4</v>
      </c>
    </row>
    <row r="2735" spans="1:4" x14ac:dyDescent="0.35">
      <c r="A2735">
        <v>1256</v>
      </c>
      <c r="B2735" s="2">
        <v>37823</v>
      </c>
      <c r="C2735">
        <v>4</v>
      </c>
      <c r="D2735">
        <v>4</v>
      </c>
    </row>
    <row r="2736" spans="1:4" x14ac:dyDescent="0.35">
      <c r="A2736">
        <v>1257</v>
      </c>
      <c r="B2736" s="2">
        <v>36524</v>
      </c>
      <c r="C2736">
        <v>4</v>
      </c>
      <c r="D2736">
        <v>4</v>
      </c>
    </row>
    <row r="2737" spans="1:4" x14ac:dyDescent="0.35">
      <c r="A2737">
        <v>1258</v>
      </c>
      <c r="B2737" s="2">
        <v>38159</v>
      </c>
      <c r="C2737">
        <v>3</v>
      </c>
      <c r="D2737">
        <v>3</v>
      </c>
    </row>
    <row r="2738" spans="1:4" x14ac:dyDescent="0.35">
      <c r="A2738">
        <v>1259</v>
      </c>
      <c r="B2738" s="2">
        <v>37397</v>
      </c>
      <c r="C2738">
        <v>5</v>
      </c>
      <c r="D2738">
        <v>5</v>
      </c>
    </row>
    <row r="2739" spans="1:4" x14ac:dyDescent="0.35">
      <c r="A2739">
        <v>1259</v>
      </c>
      <c r="B2739" s="2">
        <v>38625</v>
      </c>
      <c r="C2739">
        <v>4</v>
      </c>
      <c r="D2739">
        <v>4</v>
      </c>
    </row>
    <row r="2740" spans="1:4" x14ac:dyDescent="0.35">
      <c r="A2740">
        <v>1260</v>
      </c>
      <c r="B2740" s="2">
        <v>36672</v>
      </c>
      <c r="C2740">
        <v>4</v>
      </c>
      <c r="D2740">
        <v>4</v>
      </c>
    </row>
    <row r="2741" spans="1:4" x14ac:dyDescent="0.35">
      <c r="A2741">
        <v>1260</v>
      </c>
      <c r="B2741" s="2">
        <v>38137</v>
      </c>
      <c r="C2741">
        <v>4</v>
      </c>
      <c r="D2741">
        <v>4</v>
      </c>
    </row>
    <row r="2742" spans="1:4" x14ac:dyDescent="0.35">
      <c r="A2742">
        <v>1261</v>
      </c>
      <c r="B2742" s="2">
        <v>36402</v>
      </c>
      <c r="C2742">
        <v>4</v>
      </c>
      <c r="D2742">
        <v>4</v>
      </c>
    </row>
    <row r="2743" spans="1:4" x14ac:dyDescent="0.35">
      <c r="A2743">
        <v>1261</v>
      </c>
      <c r="B2743" s="2">
        <v>36698</v>
      </c>
      <c r="C2743">
        <v>3</v>
      </c>
      <c r="D2743">
        <v>3</v>
      </c>
    </row>
    <row r="2744" spans="1:4" x14ac:dyDescent="0.35">
      <c r="A2744">
        <v>1261</v>
      </c>
      <c r="B2744" s="2">
        <v>38159</v>
      </c>
      <c r="C2744">
        <v>3</v>
      </c>
      <c r="D2744">
        <v>3</v>
      </c>
    </row>
    <row r="2745" spans="1:4" x14ac:dyDescent="0.35">
      <c r="A2745">
        <v>1261</v>
      </c>
      <c r="B2745" s="2">
        <v>38251</v>
      </c>
      <c r="C2745">
        <v>3</v>
      </c>
      <c r="D2745">
        <v>3</v>
      </c>
    </row>
    <row r="2746" spans="1:4" x14ac:dyDescent="0.35">
      <c r="A2746">
        <v>1262</v>
      </c>
      <c r="B2746" s="2">
        <v>37620</v>
      </c>
      <c r="C2746">
        <v>3</v>
      </c>
      <c r="D2746">
        <v>3</v>
      </c>
    </row>
    <row r="2747" spans="1:4" x14ac:dyDescent="0.35">
      <c r="A2747">
        <v>1263</v>
      </c>
      <c r="B2747" s="2">
        <v>37406</v>
      </c>
      <c r="C2747">
        <v>5</v>
      </c>
      <c r="D2747">
        <v>5</v>
      </c>
    </row>
    <row r="2748" spans="1:4" x14ac:dyDescent="0.35">
      <c r="A2748">
        <v>1263</v>
      </c>
      <c r="B2748" s="2">
        <v>37762</v>
      </c>
      <c r="C2748">
        <v>6</v>
      </c>
      <c r="D2748">
        <v>6</v>
      </c>
    </row>
    <row r="2749" spans="1:4" x14ac:dyDescent="0.35">
      <c r="A2749">
        <v>1263</v>
      </c>
      <c r="B2749" s="2">
        <v>37771</v>
      </c>
      <c r="C2749">
        <v>7</v>
      </c>
      <c r="D2749">
        <v>7</v>
      </c>
    </row>
    <row r="2750" spans="1:4" x14ac:dyDescent="0.35">
      <c r="A2750">
        <v>1263</v>
      </c>
      <c r="B2750" s="2">
        <v>38220</v>
      </c>
      <c r="C2750">
        <v>6</v>
      </c>
      <c r="D2750">
        <v>6</v>
      </c>
    </row>
    <row r="2751" spans="1:4" x14ac:dyDescent="0.35">
      <c r="A2751">
        <v>1264</v>
      </c>
      <c r="B2751" s="2">
        <v>36301</v>
      </c>
      <c r="C2751">
        <v>3</v>
      </c>
      <c r="D2751">
        <v>3</v>
      </c>
    </row>
    <row r="2752" spans="1:4" x14ac:dyDescent="0.35">
      <c r="A2752">
        <v>1265</v>
      </c>
      <c r="B2752" s="2">
        <v>36341</v>
      </c>
      <c r="C2752">
        <v>3</v>
      </c>
      <c r="D2752">
        <v>3</v>
      </c>
    </row>
    <row r="2753" spans="1:4" x14ac:dyDescent="0.35">
      <c r="A2753">
        <v>1265</v>
      </c>
      <c r="B2753" s="2">
        <v>38137</v>
      </c>
      <c r="C2753">
        <v>0</v>
      </c>
      <c r="D2753">
        <v>0</v>
      </c>
    </row>
    <row r="2754" spans="1:4" x14ac:dyDescent="0.35">
      <c r="A2754">
        <v>1266</v>
      </c>
      <c r="B2754" s="2">
        <v>36890</v>
      </c>
      <c r="C2754">
        <v>3</v>
      </c>
      <c r="D2754">
        <v>3</v>
      </c>
    </row>
    <row r="2755" spans="1:4" x14ac:dyDescent="0.35">
      <c r="A2755">
        <v>1266</v>
      </c>
      <c r="B2755" s="2">
        <v>37620</v>
      </c>
      <c r="C2755">
        <v>4</v>
      </c>
      <c r="D2755">
        <v>4</v>
      </c>
    </row>
    <row r="2756" spans="1:4" x14ac:dyDescent="0.35">
      <c r="A2756">
        <v>1267</v>
      </c>
      <c r="B2756" s="2">
        <v>37406</v>
      </c>
      <c r="C2756">
        <v>3</v>
      </c>
      <c r="D2756">
        <v>3</v>
      </c>
    </row>
    <row r="2757" spans="1:4" x14ac:dyDescent="0.35">
      <c r="A2757">
        <v>1268</v>
      </c>
      <c r="B2757" s="2">
        <v>36524</v>
      </c>
      <c r="C2757">
        <v>7</v>
      </c>
      <c r="D2757">
        <v>7</v>
      </c>
    </row>
    <row r="2758" spans="1:4" x14ac:dyDescent="0.35">
      <c r="A2758">
        <v>1268</v>
      </c>
      <c r="B2758" s="2">
        <v>37893</v>
      </c>
      <c r="C2758">
        <v>6</v>
      </c>
      <c r="D2758">
        <v>6</v>
      </c>
    </row>
    <row r="2759" spans="1:4" x14ac:dyDescent="0.35">
      <c r="A2759">
        <v>1269</v>
      </c>
      <c r="B2759" s="2">
        <v>38499</v>
      </c>
      <c r="C2759">
        <v>3</v>
      </c>
      <c r="D2759">
        <v>3</v>
      </c>
    </row>
    <row r="2760" spans="1:4" x14ac:dyDescent="0.35">
      <c r="A2760">
        <v>1270</v>
      </c>
      <c r="B2760" s="2">
        <v>38716</v>
      </c>
      <c r="C2760">
        <v>3</v>
      </c>
      <c r="D2760">
        <v>3</v>
      </c>
    </row>
    <row r="2761" spans="1:4" x14ac:dyDescent="0.35">
      <c r="A2761">
        <v>1271</v>
      </c>
      <c r="B2761" s="2">
        <v>36667</v>
      </c>
      <c r="C2761">
        <v>3</v>
      </c>
      <c r="D2761">
        <v>3</v>
      </c>
    </row>
    <row r="2762" spans="1:4" x14ac:dyDescent="0.35">
      <c r="A2762">
        <v>1271</v>
      </c>
      <c r="B2762" s="2">
        <v>38351</v>
      </c>
      <c r="C2762">
        <v>3</v>
      </c>
      <c r="D2762">
        <v>3</v>
      </c>
    </row>
    <row r="2763" spans="1:4" x14ac:dyDescent="0.35">
      <c r="A2763">
        <v>1272</v>
      </c>
      <c r="B2763" s="2">
        <v>36667</v>
      </c>
      <c r="C2763">
        <v>3</v>
      </c>
      <c r="D2763">
        <v>3</v>
      </c>
    </row>
    <row r="2764" spans="1:4" x14ac:dyDescent="0.35">
      <c r="A2764">
        <v>1273</v>
      </c>
      <c r="B2764" s="2">
        <v>38168</v>
      </c>
      <c r="C2764">
        <v>4</v>
      </c>
      <c r="D2764">
        <v>4</v>
      </c>
    </row>
    <row r="2765" spans="1:4" x14ac:dyDescent="0.35">
      <c r="A2765">
        <v>1274</v>
      </c>
      <c r="B2765" s="2">
        <v>36707</v>
      </c>
      <c r="C2765">
        <v>4</v>
      </c>
      <c r="D2765">
        <v>4</v>
      </c>
    </row>
    <row r="2766" spans="1:4" x14ac:dyDescent="0.35">
      <c r="A2766">
        <v>1274</v>
      </c>
      <c r="B2766" s="2">
        <v>38189</v>
      </c>
      <c r="C2766">
        <v>4</v>
      </c>
      <c r="D2766">
        <v>4</v>
      </c>
    </row>
    <row r="2767" spans="1:4" x14ac:dyDescent="0.35">
      <c r="A2767">
        <v>1275</v>
      </c>
      <c r="B2767" s="2">
        <v>36332</v>
      </c>
      <c r="C2767">
        <v>0</v>
      </c>
      <c r="D2767">
        <v>0</v>
      </c>
    </row>
    <row r="2768" spans="1:4" x14ac:dyDescent="0.35">
      <c r="A2768">
        <v>1275</v>
      </c>
      <c r="B2768" s="2">
        <v>36524</v>
      </c>
      <c r="C2768">
        <v>5</v>
      </c>
      <c r="D2768">
        <v>5</v>
      </c>
    </row>
    <row r="2769" spans="1:4" x14ac:dyDescent="0.35">
      <c r="A2769">
        <v>1276</v>
      </c>
      <c r="B2769" s="2">
        <v>37406</v>
      </c>
      <c r="C2769">
        <v>5</v>
      </c>
      <c r="D2769">
        <v>5</v>
      </c>
    </row>
    <row r="2770" spans="1:4" x14ac:dyDescent="0.35">
      <c r="A2770">
        <v>1276</v>
      </c>
      <c r="B2770" s="2">
        <v>37489</v>
      </c>
      <c r="C2770">
        <v>4</v>
      </c>
      <c r="D2770">
        <v>4</v>
      </c>
    </row>
    <row r="2771" spans="1:4" x14ac:dyDescent="0.35">
      <c r="A2771">
        <v>1276</v>
      </c>
      <c r="B2771" s="2">
        <v>37985</v>
      </c>
      <c r="C2771">
        <v>5</v>
      </c>
      <c r="D2771">
        <v>5</v>
      </c>
    </row>
    <row r="2772" spans="1:4" x14ac:dyDescent="0.35">
      <c r="A2772">
        <v>1277</v>
      </c>
      <c r="B2772" s="2">
        <v>36799</v>
      </c>
      <c r="C2772">
        <v>3</v>
      </c>
      <c r="D2772">
        <v>3</v>
      </c>
    </row>
    <row r="2773" spans="1:4" x14ac:dyDescent="0.35">
      <c r="A2773">
        <v>1277</v>
      </c>
      <c r="B2773" s="2">
        <v>37985</v>
      </c>
      <c r="C2773">
        <v>1</v>
      </c>
      <c r="D2773">
        <v>1</v>
      </c>
    </row>
    <row r="2774" spans="1:4" x14ac:dyDescent="0.35">
      <c r="A2774">
        <v>1278</v>
      </c>
      <c r="B2774" s="2">
        <v>38351</v>
      </c>
      <c r="C2774">
        <v>0</v>
      </c>
      <c r="D2774">
        <v>0</v>
      </c>
    </row>
    <row r="2775" spans="1:4" x14ac:dyDescent="0.35">
      <c r="A2775">
        <v>1279</v>
      </c>
      <c r="B2775" s="2">
        <v>37550</v>
      </c>
      <c r="C2775">
        <v>5</v>
      </c>
      <c r="D2775">
        <v>5</v>
      </c>
    </row>
    <row r="2776" spans="1:4" x14ac:dyDescent="0.35">
      <c r="A2776">
        <v>1279</v>
      </c>
      <c r="B2776" s="2">
        <v>37771</v>
      </c>
      <c r="C2776">
        <v>7</v>
      </c>
      <c r="D2776">
        <v>7</v>
      </c>
    </row>
    <row r="2777" spans="1:4" x14ac:dyDescent="0.35">
      <c r="A2777">
        <v>1279</v>
      </c>
      <c r="B2777" s="2">
        <v>37771</v>
      </c>
      <c r="C2777">
        <v>0</v>
      </c>
      <c r="D2777">
        <v>0</v>
      </c>
    </row>
    <row r="2778" spans="1:4" x14ac:dyDescent="0.35">
      <c r="A2778">
        <v>1279</v>
      </c>
      <c r="B2778" s="2">
        <v>37985</v>
      </c>
      <c r="C2778">
        <v>8</v>
      </c>
      <c r="D2778">
        <v>8</v>
      </c>
    </row>
    <row r="2779" spans="1:4" x14ac:dyDescent="0.35">
      <c r="A2779">
        <v>1280</v>
      </c>
      <c r="B2779" s="2">
        <v>36676</v>
      </c>
      <c r="C2779">
        <v>3</v>
      </c>
      <c r="D2779">
        <v>3</v>
      </c>
    </row>
    <row r="2780" spans="1:4" x14ac:dyDescent="0.35">
      <c r="A2780">
        <v>1281</v>
      </c>
      <c r="B2780" s="2">
        <v>38563</v>
      </c>
      <c r="C2780">
        <v>3</v>
      </c>
      <c r="D2780">
        <v>3</v>
      </c>
    </row>
    <row r="2781" spans="1:4" x14ac:dyDescent="0.35">
      <c r="A2781">
        <v>1282</v>
      </c>
      <c r="B2781" s="2">
        <v>37032</v>
      </c>
      <c r="C2781">
        <v>0</v>
      </c>
      <c r="D2781">
        <v>0</v>
      </c>
    </row>
    <row r="2782" spans="1:4" x14ac:dyDescent="0.35">
      <c r="A2782">
        <v>1283</v>
      </c>
      <c r="B2782" s="2">
        <v>36393</v>
      </c>
      <c r="C2782">
        <v>5</v>
      </c>
      <c r="D2782">
        <v>5</v>
      </c>
    </row>
    <row r="2783" spans="1:4" x14ac:dyDescent="0.35">
      <c r="A2783">
        <v>1284</v>
      </c>
      <c r="B2783" s="2">
        <v>36301</v>
      </c>
      <c r="C2783">
        <v>3</v>
      </c>
      <c r="D2783">
        <v>3</v>
      </c>
    </row>
    <row r="2784" spans="1:4" x14ac:dyDescent="0.35">
      <c r="A2784">
        <v>1284</v>
      </c>
      <c r="B2784" s="2">
        <v>36433</v>
      </c>
      <c r="C2784">
        <v>3</v>
      </c>
      <c r="D2784">
        <v>3</v>
      </c>
    </row>
    <row r="2785" spans="1:4" x14ac:dyDescent="0.35">
      <c r="A2785">
        <v>1284</v>
      </c>
      <c r="B2785" s="2">
        <v>37185</v>
      </c>
      <c r="C2785">
        <v>0</v>
      </c>
      <c r="D2785">
        <v>0</v>
      </c>
    </row>
    <row r="2786" spans="1:4" x14ac:dyDescent="0.35">
      <c r="A2786">
        <v>1285</v>
      </c>
      <c r="B2786" s="2">
        <v>36676</v>
      </c>
      <c r="C2786">
        <v>3</v>
      </c>
      <c r="D2786">
        <v>3</v>
      </c>
    </row>
    <row r="2787" spans="1:4" x14ac:dyDescent="0.35">
      <c r="A2787">
        <v>1285</v>
      </c>
      <c r="B2787" s="2">
        <v>36737</v>
      </c>
      <c r="C2787">
        <v>2</v>
      </c>
      <c r="D2787">
        <v>2</v>
      </c>
    </row>
    <row r="2788" spans="1:4" x14ac:dyDescent="0.35">
      <c r="A2788">
        <v>1285</v>
      </c>
      <c r="B2788" s="2">
        <v>37041</v>
      </c>
      <c r="C2788">
        <v>4</v>
      </c>
      <c r="D2788">
        <v>4</v>
      </c>
    </row>
    <row r="2789" spans="1:4" x14ac:dyDescent="0.35">
      <c r="A2789">
        <v>1285</v>
      </c>
      <c r="B2789" s="2">
        <v>37225</v>
      </c>
      <c r="C2789">
        <v>4</v>
      </c>
      <c r="D2789">
        <v>4</v>
      </c>
    </row>
    <row r="2790" spans="1:4" x14ac:dyDescent="0.35">
      <c r="A2790">
        <v>1285</v>
      </c>
      <c r="B2790" s="2">
        <v>37766</v>
      </c>
      <c r="C2790">
        <v>4</v>
      </c>
      <c r="D2790">
        <v>4</v>
      </c>
    </row>
    <row r="2791" spans="1:4" x14ac:dyDescent="0.35">
      <c r="A2791">
        <v>1285</v>
      </c>
      <c r="B2791" s="2">
        <v>37985</v>
      </c>
      <c r="C2791">
        <v>4</v>
      </c>
      <c r="D2791">
        <v>4</v>
      </c>
    </row>
    <row r="2792" spans="1:4" x14ac:dyDescent="0.35">
      <c r="A2792">
        <v>1286</v>
      </c>
      <c r="B2792" s="2">
        <v>36676</v>
      </c>
      <c r="C2792">
        <v>2</v>
      </c>
      <c r="D2792">
        <v>2</v>
      </c>
    </row>
    <row r="2793" spans="1:4" x14ac:dyDescent="0.35">
      <c r="A2793">
        <v>1286</v>
      </c>
      <c r="B2793" s="2">
        <v>37550</v>
      </c>
      <c r="C2793">
        <v>2</v>
      </c>
      <c r="D2793">
        <v>2</v>
      </c>
    </row>
    <row r="2794" spans="1:4" x14ac:dyDescent="0.35">
      <c r="A2794">
        <v>1286</v>
      </c>
      <c r="B2794" s="2">
        <v>38137</v>
      </c>
      <c r="C2794">
        <v>2</v>
      </c>
      <c r="D2794">
        <v>2</v>
      </c>
    </row>
    <row r="2795" spans="1:4" x14ac:dyDescent="0.35">
      <c r="A2795">
        <v>1287</v>
      </c>
      <c r="B2795" s="2">
        <v>36890</v>
      </c>
      <c r="C2795">
        <v>5</v>
      </c>
      <c r="D2795">
        <v>5</v>
      </c>
    </row>
    <row r="2796" spans="1:4" x14ac:dyDescent="0.35">
      <c r="A2796">
        <v>1287</v>
      </c>
      <c r="B2796" s="2">
        <v>37032</v>
      </c>
      <c r="C2796">
        <v>8</v>
      </c>
      <c r="D2796">
        <v>8</v>
      </c>
    </row>
    <row r="2797" spans="1:4" x14ac:dyDescent="0.35">
      <c r="A2797">
        <v>1287</v>
      </c>
      <c r="B2797" s="2">
        <v>37041</v>
      </c>
      <c r="C2797">
        <v>7</v>
      </c>
      <c r="D2797">
        <v>8</v>
      </c>
    </row>
    <row r="2798" spans="1:4" x14ac:dyDescent="0.35">
      <c r="A2798">
        <v>1287</v>
      </c>
      <c r="B2798" s="2">
        <v>37397</v>
      </c>
      <c r="C2798">
        <v>0</v>
      </c>
      <c r="D2798">
        <v>8</v>
      </c>
    </row>
    <row r="2799" spans="1:4" x14ac:dyDescent="0.35">
      <c r="A2799">
        <v>1288</v>
      </c>
      <c r="B2799" s="2">
        <v>38281</v>
      </c>
      <c r="C2799">
        <v>4</v>
      </c>
      <c r="D2799">
        <v>4</v>
      </c>
    </row>
    <row r="2800" spans="1:4" x14ac:dyDescent="0.35">
      <c r="A2800">
        <v>1289</v>
      </c>
      <c r="B2800" s="2">
        <v>36463</v>
      </c>
      <c r="C2800">
        <v>1</v>
      </c>
      <c r="D2800">
        <v>1</v>
      </c>
    </row>
    <row r="2801" spans="1:4" x14ac:dyDescent="0.35">
      <c r="A2801">
        <v>1290</v>
      </c>
      <c r="B2801" s="2">
        <v>36463</v>
      </c>
      <c r="C2801">
        <v>3</v>
      </c>
      <c r="D2801">
        <v>3</v>
      </c>
    </row>
    <row r="2802" spans="1:4" x14ac:dyDescent="0.35">
      <c r="A2802">
        <v>1290</v>
      </c>
      <c r="B2802" s="2">
        <v>36524</v>
      </c>
      <c r="C2802">
        <v>3</v>
      </c>
      <c r="D2802">
        <v>3</v>
      </c>
    </row>
    <row r="2803" spans="1:4" x14ac:dyDescent="0.35">
      <c r="A2803">
        <v>1290</v>
      </c>
      <c r="B2803" s="2">
        <v>37093</v>
      </c>
      <c r="C2803">
        <v>3</v>
      </c>
      <c r="D2803">
        <v>3</v>
      </c>
    </row>
    <row r="2804" spans="1:4" x14ac:dyDescent="0.35">
      <c r="A2804">
        <v>1291</v>
      </c>
      <c r="B2804" s="2">
        <v>36790</v>
      </c>
      <c r="C2804">
        <v>2</v>
      </c>
      <c r="D2804">
        <v>2</v>
      </c>
    </row>
    <row r="2805" spans="1:4" x14ac:dyDescent="0.35">
      <c r="A2805">
        <v>1291</v>
      </c>
      <c r="B2805" s="2">
        <v>37620</v>
      </c>
      <c r="C2805">
        <v>3</v>
      </c>
      <c r="D2805">
        <v>3</v>
      </c>
    </row>
    <row r="2806" spans="1:4" x14ac:dyDescent="0.35">
      <c r="A2806">
        <v>1291</v>
      </c>
      <c r="B2806" s="2">
        <v>38351</v>
      </c>
      <c r="C2806">
        <v>2</v>
      </c>
      <c r="D2806">
        <v>2</v>
      </c>
    </row>
    <row r="2807" spans="1:4" x14ac:dyDescent="0.35">
      <c r="A2807">
        <v>1292</v>
      </c>
      <c r="B2807" s="2">
        <v>37550</v>
      </c>
      <c r="C2807">
        <v>3</v>
      </c>
      <c r="D2807">
        <v>3</v>
      </c>
    </row>
    <row r="2808" spans="1:4" x14ac:dyDescent="0.35">
      <c r="A2808">
        <v>1293</v>
      </c>
      <c r="B2808" s="2">
        <v>36890</v>
      </c>
      <c r="C2808">
        <v>3</v>
      </c>
      <c r="D2808">
        <v>3</v>
      </c>
    </row>
    <row r="2809" spans="1:4" x14ac:dyDescent="0.35">
      <c r="A2809">
        <v>1293</v>
      </c>
      <c r="B2809" s="2">
        <v>37225</v>
      </c>
      <c r="C2809">
        <v>3</v>
      </c>
      <c r="D2809">
        <v>3</v>
      </c>
    </row>
    <row r="2810" spans="1:4" x14ac:dyDescent="0.35">
      <c r="A2810">
        <v>1293</v>
      </c>
      <c r="B2810" s="2">
        <v>37489</v>
      </c>
      <c r="C2810">
        <v>3</v>
      </c>
      <c r="D2810">
        <v>3</v>
      </c>
    </row>
    <row r="2811" spans="1:4" x14ac:dyDescent="0.35">
      <c r="A2811">
        <v>1294</v>
      </c>
      <c r="B2811" s="2">
        <v>36301</v>
      </c>
      <c r="C2811">
        <v>3</v>
      </c>
      <c r="D2811">
        <v>3</v>
      </c>
    </row>
    <row r="2812" spans="1:4" x14ac:dyDescent="0.35">
      <c r="A2812">
        <v>1294</v>
      </c>
      <c r="B2812" s="2">
        <v>37133</v>
      </c>
      <c r="C2812">
        <v>3</v>
      </c>
      <c r="D2812">
        <v>3</v>
      </c>
    </row>
    <row r="2813" spans="1:4" x14ac:dyDescent="0.35">
      <c r="A2813">
        <v>1294</v>
      </c>
      <c r="B2813" s="2">
        <v>37255</v>
      </c>
      <c r="C2813">
        <v>3</v>
      </c>
      <c r="D2813">
        <v>3</v>
      </c>
    </row>
    <row r="2814" spans="1:4" x14ac:dyDescent="0.35">
      <c r="A2814">
        <v>1294</v>
      </c>
      <c r="B2814" s="2">
        <v>37397</v>
      </c>
      <c r="C2814">
        <v>4</v>
      </c>
      <c r="D2814">
        <v>4</v>
      </c>
    </row>
    <row r="2815" spans="1:4" x14ac:dyDescent="0.35">
      <c r="A2815">
        <v>1294</v>
      </c>
      <c r="B2815" s="2">
        <v>37985</v>
      </c>
      <c r="C2815">
        <v>4</v>
      </c>
      <c r="D2815">
        <v>4</v>
      </c>
    </row>
    <row r="2816" spans="1:4" x14ac:dyDescent="0.35">
      <c r="A2816">
        <v>1295</v>
      </c>
      <c r="B2816" s="2">
        <v>37620</v>
      </c>
      <c r="C2816">
        <v>3</v>
      </c>
      <c r="D2816">
        <v>3</v>
      </c>
    </row>
    <row r="2817" spans="1:4" x14ac:dyDescent="0.35">
      <c r="A2817">
        <v>1296</v>
      </c>
      <c r="B2817" s="2">
        <v>37406</v>
      </c>
      <c r="C2817">
        <v>3</v>
      </c>
      <c r="D2817">
        <v>3</v>
      </c>
    </row>
    <row r="2818" spans="1:4" x14ac:dyDescent="0.35">
      <c r="A2818">
        <v>1297</v>
      </c>
      <c r="B2818" s="2">
        <v>37397</v>
      </c>
      <c r="C2818">
        <v>3</v>
      </c>
      <c r="D2818">
        <v>3</v>
      </c>
    </row>
    <row r="2819" spans="1:4" x14ac:dyDescent="0.35">
      <c r="A2819">
        <v>1297</v>
      </c>
      <c r="B2819" s="2">
        <v>37620</v>
      </c>
      <c r="C2819">
        <v>4</v>
      </c>
      <c r="D2819">
        <v>4</v>
      </c>
    </row>
    <row r="2820" spans="1:4" x14ac:dyDescent="0.35">
      <c r="A2820">
        <v>1298</v>
      </c>
      <c r="B2820" s="2">
        <v>36667</v>
      </c>
      <c r="C2820">
        <v>2</v>
      </c>
      <c r="D2820">
        <v>2</v>
      </c>
    </row>
    <row r="2821" spans="1:4" x14ac:dyDescent="0.35">
      <c r="A2821">
        <v>1298</v>
      </c>
      <c r="B2821" s="2">
        <v>37620</v>
      </c>
      <c r="C2821">
        <v>1</v>
      </c>
      <c r="D2821">
        <v>1</v>
      </c>
    </row>
    <row r="2822" spans="1:4" x14ac:dyDescent="0.35">
      <c r="A2822">
        <v>1299</v>
      </c>
      <c r="B2822" s="2">
        <v>37620</v>
      </c>
      <c r="C2822">
        <v>2</v>
      </c>
      <c r="D2822">
        <v>2</v>
      </c>
    </row>
    <row r="2823" spans="1:4" x14ac:dyDescent="0.35">
      <c r="A2823">
        <v>1300</v>
      </c>
      <c r="B2823" s="2">
        <v>36454</v>
      </c>
      <c r="C2823">
        <v>5</v>
      </c>
      <c r="D2823">
        <v>5</v>
      </c>
    </row>
    <row r="2824" spans="1:4" x14ac:dyDescent="0.35">
      <c r="A2824">
        <v>1300</v>
      </c>
      <c r="B2824" s="2">
        <v>37072</v>
      </c>
      <c r="C2824">
        <v>5</v>
      </c>
      <c r="D2824">
        <v>5</v>
      </c>
    </row>
    <row r="2825" spans="1:4" x14ac:dyDescent="0.35">
      <c r="A2825">
        <v>1300</v>
      </c>
      <c r="B2825" s="2">
        <v>37763</v>
      </c>
      <c r="C2825">
        <v>0</v>
      </c>
      <c r="D2825">
        <v>0</v>
      </c>
    </row>
    <row r="2826" spans="1:4" x14ac:dyDescent="0.35">
      <c r="A2826">
        <v>1301</v>
      </c>
      <c r="B2826" s="2">
        <v>36491</v>
      </c>
      <c r="C2826">
        <v>3</v>
      </c>
      <c r="D2826">
        <v>3</v>
      </c>
    </row>
    <row r="2827" spans="1:4" x14ac:dyDescent="0.35">
      <c r="A2827">
        <v>1301</v>
      </c>
      <c r="B2827" s="2">
        <v>38128</v>
      </c>
      <c r="C2827">
        <v>3</v>
      </c>
      <c r="D2827">
        <v>3</v>
      </c>
    </row>
    <row r="2828" spans="1:4" x14ac:dyDescent="0.35">
      <c r="A2828">
        <v>1302</v>
      </c>
      <c r="B2828" s="2">
        <v>36820</v>
      </c>
      <c r="C2828">
        <v>3</v>
      </c>
      <c r="D2828">
        <v>3</v>
      </c>
    </row>
    <row r="2829" spans="1:4" x14ac:dyDescent="0.35">
      <c r="A2829">
        <v>1302</v>
      </c>
      <c r="B2829" s="2">
        <v>37768</v>
      </c>
      <c r="C2829">
        <v>3</v>
      </c>
      <c r="D2829">
        <v>3</v>
      </c>
    </row>
    <row r="2830" spans="1:4" x14ac:dyDescent="0.35">
      <c r="A2830">
        <v>1303</v>
      </c>
      <c r="B2830" s="2">
        <v>37032</v>
      </c>
      <c r="C2830">
        <v>3</v>
      </c>
      <c r="D2830">
        <v>3</v>
      </c>
    </row>
    <row r="2831" spans="1:4" x14ac:dyDescent="0.35">
      <c r="A2831">
        <v>1303</v>
      </c>
      <c r="B2831" s="2">
        <v>38137</v>
      </c>
      <c r="C2831">
        <v>3</v>
      </c>
      <c r="D2831">
        <v>3</v>
      </c>
    </row>
    <row r="2832" spans="1:4" x14ac:dyDescent="0.35">
      <c r="A2832">
        <v>1304</v>
      </c>
      <c r="B2832" s="2">
        <v>36402</v>
      </c>
      <c r="C2832">
        <v>0</v>
      </c>
      <c r="D2832">
        <v>0</v>
      </c>
    </row>
    <row r="2833" spans="1:4" x14ac:dyDescent="0.35">
      <c r="A2833">
        <v>1305</v>
      </c>
      <c r="B2833" s="2">
        <v>36667</v>
      </c>
      <c r="C2833">
        <v>3</v>
      </c>
      <c r="D2833">
        <v>3</v>
      </c>
    </row>
    <row r="2834" spans="1:4" x14ac:dyDescent="0.35">
      <c r="A2834">
        <v>1305</v>
      </c>
      <c r="B2834" s="2">
        <v>36676</v>
      </c>
      <c r="C2834">
        <v>0</v>
      </c>
      <c r="D2834">
        <v>0</v>
      </c>
    </row>
    <row r="2835" spans="1:4" x14ac:dyDescent="0.35">
      <c r="A2835">
        <v>1305</v>
      </c>
      <c r="B2835" s="2">
        <v>37985</v>
      </c>
      <c r="C2835">
        <v>6</v>
      </c>
      <c r="D2835">
        <v>6</v>
      </c>
    </row>
    <row r="2836" spans="1:4" x14ac:dyDescent="0.35">
      <c r="A2836">
        <v>1306</v>
      </c>
      <c r="B2836" s="2">
        <v>36402</v>
      </c>
      <c r="C2836">
        <v>5</v>
      </c>
      <c r="D2836">
        <v>5</v>
      </c>
    </row>
    <row r="2837" spans="1:4" x14ac:dyDescent="0.35">
      <c r="A2837">
        <v>1306</v>
      </c>
      <c r="B2837" s="2">
        <v>36524</v>
      </c>
      <c r="C2837">
        <v>6</v>
      </c>
      <c r="D2837">
        <v>6</v>
      </c>
    </row>
    <row r="2838" spans="1:4" x14ac:dyDescent="0.35">
      <c r="A2838">
        <v>1306</v>
      </c>
      <c r="B2838" s="2">
        <v>37762</v>
      </c>
      <c r="C2838">
        <v>6</v>
      </c>
      <c r="D2838">
        <v>6</v>
      </c>
    </row>
    <row r="2839" spans="1:4" x14ac:dyDescent="0.35">
      <c r="A2839">
        <v>1307</v>
      </c>
      <c r="B2839" s="2">
        <v>38260</v>
      </c>
      <c r="C2839">
        <v>0</v>
      </c>
      <c r="D2839">
        <v>0</v>
      </c>
    </row>
    <row r="2840" spans="1:4" x14ac:dyDescent="0.35">
      <c r="A2840">
        <v>1308</v>
      </c>
      <c r="B2840" s="2">
        <v>36433</v>
      </c>
      <c r="C2840">
        <v>2</v>
      </c>
      <c r="D2840">
        <v>2</v>
      </c>
    </row>
    <row r="2841" spans="1:4" x14ac:dyDescent="0.35">
      <c r="A2841">
        <v>1308</v>
      </c>
      <c r="B2841" s="2">
        <v>36524</v>
      </c>
      <c r="C2841">
        <v>0</v>
      </c>
      <c r="D2841">
        <v>0</v>
      </c>
    </row>
    <row r="2842" spans="1:4" x14ac:dyDescent="0.35">
      <c r="A2842">
        <v>1309</v>
      </c>
      <c r="B2842" s="2">
        <v>36667</v>
      </c>
      <c r="C2842">
        <v>3</v>
      </c>
      <c r="D2842">
        <v>3</v>
      </c>
    </row>
    <row r="2843" spans="1:4" x14ac:dyDescent="0.35">
      <c r="A2843">
        <v>1309</v>
      </c>
      <c r="B2843" s="2">
        <v>38137</v>
      </c>
      <c r="C2843">
        <v>3</v>
      </c>
      <c r="D2843">
        <v>3</v>
      </c>
    </row>
    <row r="2844" spans="1:4" x14ac:dyDescent="0.35">
      <c r="A2844">
        <v>1310</v>
      </c>
      <c r="B2844" s="2">
        <v>37769</v>
      </c>
      <c r="C2844">
        <v>3</v>
      </c>
      <c r="D2844">
        <v>3</v>
      </c>
    </row>
    <row r="2845" spans="1:4" x14ac:dyDescent="0.35">
      <c r="A2845">
        <v>1310</v>
      </c>
      <c r="B2845" s="2">
        <v>38351</v>
      </c>
      <c r="C2845">
        <v>2</v>
      </c>
      <c r="D2845">
        <v>2</v>
      </c>
    </row>
    <row r="2846" spans="1:4" x14ac:dyDescent="0.35">
      <c r="A2846">
        <v>1311</v>
      </c>
      <c r="B2846" s="2">
        <v>37164</v>
      </c>
      <c r="C2846">
        <v>5</v>
      </c>
      <c r="D2846">
        <v>5</v>
      </c>
    </row>
    <row r="2847" spans="1:4" x14ac:dyDescent="0.35">
      <c r="A2847">
        <v>1311</v>
      </c>
      <c r="B2847" s="2">
        <v>37620</v>
      </c>
      <c r="C2847">
        <v>6</v>
      </c>
      <c r="D2847">
        <v>6</v>
      </c>
    </row>
    <row r="2848" spans="1:4" x14ac:dyDescent="0.35">
      <c r="A2848">
        <v>1311</v>
      </c>
      <c r="B2848" s="2">
        <v>38499</v>
      </c>
      <c r="C2848">
        <v>6</v>
      </c>
      <c r="D2848">
        <v>6</v>
      </c>
    </row>
    <row r="2849" spans="1:4" x14ac:dyDescent="0.35">
      <c r="A2849">
        <v>1312</v>
      </c>
      <c r="B2849" s="2">
        <v>37467</v>
      </c>
      <c r="C2849">
        <v>3</v>
      </c>
      <c r="D2849">
        <v>3</v>
      </c>
    </row>
    <row r="2850" spans="1:4" x14ac:dyDescent="0.35">
      <c r="A2850">
        <v>1313</v>
      </c>
      <c r="B2850" s="2">
        <v>37255</v>
      </c>
      <c r="C2850">
        <v>3</v>
      </c>
      <c r="D2850">
        <v>3</v>
      </c>
    </row>
    <row r="2851" spans="1:4" x14ac:dyDescent="0.35">
      <c r="A2851">
        <v>1313</v>
      </c>
      <c r="B2851" s="2">
        <v>37620</v>
      </c>
      <c r="C2851">
        <v>0</v>
      </c>
      <c r="D2851">
        <v>0</v>
      </c>
    </row>
    <row r="2852" spans="1:4" x14ac:dyDescent="0.35">
      <c r="A2852">
        <v>1314</v>
      </c>
      <c r="B2852" s="2">
        <v>37397</v>
      </c>
      <c r="C2852">
        <v>3</v>
      </c>
      <c r="D2852">
        <v>3</v>
      </c>
    </row>
    <row r="2853" spans="1:4" x14ac:dyDescent="0.35">
      <c r="A2853">
        <v>1314</v>
      </c>
      <c r="B2853" s="2">
        <v>38716</v>
      </c>
      <c r="C2853">
        <v>4</v>
      </c>
      <c r="D2853">
        <v>4</v>
      </c>
    </row>
    <row r="2854" spans="1:4" x14ac:dyDescent="0.35">
      <c r="A2854">
        <v>1315</v>
      </c>
      <c r="B2854" s="2">
        <v>36301</v>
      </c>
      <c r="C2854">
        <v>2</v>
      </c>
      <c r="D2854">
        <v>2</v>
      </c>
    </row>
    <row r="2855" spans="1:4" x14ac:dyDescent="0.35">
      <c r="A2855">
        <v>1315</v>
      </c>
      <c r="B2855" s="2">
        <v>37032</v>
      </c>
      <c r="C2855">
        <v>2</v>
      </c>
      <c r="D2855">
        <v>2</v>
      </c>
    </row>
    <row r="2856" spans="1:4" x14ac:dyDescent="0.35">
      <c r="A2856">
        <v>1315</v>
      </c>
      <c r="B2856" s="2">
        <v>37489</v>
      </c>
      <c r="C2856">
        <v>2</v>
      </c>
      <c r="D2856">
        <v>2</v>
      </c>
    </row>
    <row r="2857" spans="1:4" x14ac:dyDescent="0.35">
      <c r="A2857">
        <v>1315</v>
      </c>
      <c r="B2857" s="2">
        <v>37768</v>
      </c>
      <c r="C2857">
        <v>0</v>
      </c>
      <c r="D2857">
        <v>0</v>
      </c>
    </row>
    <row r="2858" spans="1:4" x14ac:dyDescent="0.35">
      <c r="A2858">
        <v>1316</v>
      </c>
      <c r="B2858" s="2">
        <v>37793</v>
      </c>
      <c r="C2858">
        <v>6</v>
      </c>
      <c r="D2858">
        <v>6</v>
      </c>
    </row>
    <row r="2859" spans="1:4" x14ac:dyDescent="0.35">
      <c r="A2859">
        <v>1316</v>
      </c>
      <c r="B2859" s="2">
        <v>37985</v>
      </c>
      <c r="C2859">
        <v>5</v>
      </c>
      <c r="D2859">
        <v>5</v>
      </c>
    </row>
    <row r="2860" spans="1:4" x14ac:dyDescent="0.35">
      <c r="A2860">
        <v>1316</v>
      </c>
      <c r="B2860" s="2">
        <v>38137</v>
      </c>
      <c r="C2860">
        <v>6</v>
      </c>
      <c r="D2860">
        <v>6</v>
      </c>
    </row>
    <row r="2861" spans="1:4" x14ac:dyDescent="0.35">
      <c r="A2861">
        <v>1317</v>
      </c>
      <c r="B2861" s="2">
        <v>36676</v>
      </c>
      <c r="C2861">
        <v>3</v>
      </c>
      <c r="D2861">
        <v>3</v>
      </c>
    </row>
    <row r="2862" spans="1:4" x14ac:dyDescent="0.35">
      <c r="A2862">
        <v>1318</v>
      </c>
      <c r="B2862" s="2">
        <v>37397</v>
      </c>
      <c r="C2862">
        <v>3</v>
      </c>
      <c r="D2862">
        <v>3</v>
      </c>
    </row>
    <row r="2863" spans="1:4" x14ac:dyDescent="0.35">
      <c r="A2863">
        <v>1319</v>
      </c>
      <c r="B2863" s="2">
        <v>36524</v>
      </c>
      <c r="C2863">
        <v>0</v>
      </c>
      <c r="D2863">
        <v>0</v>
      </c>
    </row>
    <row r="2864" spans="1:4" x14ac:dyDescent="0.35">
      <c r="A2864">
        <v>1320</v>
      </c>
      <c r="B2864" s="2">
        <v>37041</v>
      </c>
      <c r="C2864">
        <v>7</v>
      </c>
      <c r="D2864">
        <v>7</v>
      </c>
    </row>
    <row r="2865" spans="1:4" x14ac:dyDescent="0.35">
      <c r="A2865">
        <v>1320</v>
      </c>
      <c r="B2865" s="2">
        <v>37498</v>
      </c>
      <c r="C2865">
        <v>8</v>
      </c>
      <c r="D2865">
        <v>8</v>
      </c>
    </row>
    <row r="2866" spans="1:4" x14ac:dyDescent="0.35">
      <c r="A2866">
        <v>1320</v>
      </c>
      <c r="B2866" s="2">
        <v>37620</v>
      </c>
      <c r="C2866">
        <v>0</v>
      </c>
      <c r="D2866">
        <v>8</v>
      </c>
    </row>
    <row r="2867" spans="1:4" x14ac:dyDescent="0.35">
      <c r="A2867">
        <v>1321</v>
      </c>
      <c r="B2867" s="2">
        <v>37155</v>
      </c>
      <c r="C2867">
        <v>2</v>
      </c>
      <c r="D2867">
        <v>2</v>
      </c>
    </row>
    <row r="2868" spans="1:4" x14ac:dyDescent="0.35">
      <c r="A2868">
        <v>1322</v>
      </c>
      <c r="B2868" s="2">
        <v>37771</v>
      </c>
      <c r="C2868">
        <v>2</v>
      </c>
      <c r="D2868">
        <v>2</v>
      </c>
    </row>
    <row r="2869" spans="1:4" x14ac:dyDescent="0.35">
      <c r="A2869">
        <v>1323</v>
      </c>
      <c r="B2869" s="2">
        <v>36402</v>
      </c>
      <c r="C2869">
        <v>3</v>
      </c>
      <c r="D2869">
        <v>3</v>
      </c>
    </row>
    <row r="2870" spans="1:4" x14ac:dyDescent="0.35">
      <c r="A2870">
        <v>1323</v>
      </c>
      <c r="B2870" s="2">
        <v>38312</v>
      </c>
      <c r="C2870">
        <v>3</v>
      </c>
      <c r="D2870">
        <v>3</v>
      </c>
    </row>
    <row r="2871" spans="1:4" x14ac:dyDescent="0.35">
      <c r="A2871">
        <v>1324</v>
      </c>
      <c r="B2871" s="2">
        <v>37093</v>
      </c>
      <c r="C2871">
        <v>2</v>
      </c>
      <c r="D2871">
        <v>2</v>
      </c>
    </row>
    <row r="2872" spans="1:4" x14ac:dyDescent="0.35">
      <c r="A2872">
        <v>1325</v>
      </c>
      <c r="B2872" s="2">
        <v>37093</v>
      </c>
      <c r="C2872">
        <v>2</v>
      </c>
      <c r="D2872">
        <v>2</v>
      </c>
    </row>
    <row r="2873" spans="1:4" x14ac:dyDescent="0.35">
      <c r="A2873">
        <v>1325</v>
      </c>
      <c r="B2873" s="2">
        <v>37498</v>
      </c>
      <c r="C2873">
        <v>0</v>
      </c>
      <c r="D2873">
        <v>0</v>
      </c>
    </row>
    <row r="2874" spans="1:4" x14ac:dyDescent="0.35">
      <c r="A2874">
        <v>1326</v>
      </c>
      <c r="B2874" s="2">
        <v>36463</v>
      </c>
      <c r="C2874">
        <v>3</v>
      </c>
      <c r="D2874">
        <v>3</v>
      </c>
    </row>
    <row r="2875" spans="1:4" x14ac:dyDescent="0.35">
      <c r="A2875">
        <v>1326</v>
      </c>
      <c r="B2875" s="2">
        <v>37041</v>
      </c>
      <c r="C2875">
        <v>3</v>
      </c>
      <c r="D2875">
        <v>3</v>
      </c>
    </row>
    <row r="2876" spans="1:4" x14ac:dyDescent="0.35">
      <c r="A2876">
        <v>1326</v>
      </c>
      <c r="B2876" s="2">
        <v>37406</v>
      </c>
      <c r="C2876">
        <v>4</v>
      </c>
      <c r="D2876">
        <v>4</v>
      </c>
    </row>
    <row r="2877" spans="1:4" x14ac:dyDescent="0.35">
      <c r="A2877">
        <v>1326</v>
      </c>
      <c r="B2877" s="2">
        <v>37985</v>
      </c>
      <c r="C2877">
        <v>4</v>
      </c>
      <c r="D2877">
        <v>4</v>
      </c>
    </row>
    <row r="2878" spans="1:4" x14ac:dyDescent="0.35">
      <c r="A2878">
        <v>1327</v>
      </c>
      <c r="B2878" s="2">
        <v>36301</v>
      </c>
      <c r="C2878">
        <v>4</v>
      </c>
      <c r="D2878">
        <v>4</v>
      </c>
    </row>
    <row r="2879" spans="1:4" x14ac:dyDescent="0.35">
      <c r="A2879">
        <v>1327</v>
      </c>
      <c r="B2879" s="2">
        <v>37397</v>
      </c>
      <c r="C2879">
        <v>4</v>
      </c>
      <c r="D2879">
        <v>4</v>
      </c>
    </row>
    <row r="2880" spans="1:4" x14ac:dyDescent="0.35">
      <c r="A2880">
        <v>1327</v>
      </c>
      <c r="B2880" s="2">
        <v>38351</v>
      </c>
      <c r="C2880">
        <v>4</v>
      </c>
      <c r="D2880">
        <v>4</v>
      </c>
    </row>
    <row r="2881" spans="1:4" x14ac:dyDescent="0.35">
      <c r="A2881">
        <v>1328</v>
      </c>
      <c r="B2881" s="2">
        <v>37558</v>
      </c>
      <c r="C2881">
        <v>0</v>
      </c>
      <c r="D2881">
        <v>0</v>
      </c>
    </row>
    <row r="2882" spans="1:4" x14ac:dyDescent="0.35">
      <c r="A2882">
        <v>1329</v>
      </c>
      <c r="B2882" s="2">
        <v>36524</v>
      </c>
      <c r="C2882">
        <v>6</v>
      </c>
      <c r="D2882">
        <v>6</v>
      </c>
    </row>
    <row r="2883" spans="1:4" x14ac:dyDescent="0.35">
      <c r="A2883">
        <v>1329</v>
      </c>
      <c r="B2883" s="2">
        <v>36768</v>
      </c>
      <c r="C2883">
        <v>7</v>
      </c>
      <c r="D2883">
        <v>7</v>
      </c>
    </row>
    <row r="2884" spans="1:4" x14ac:dyDescent="0.35">
      <c r="A2884">
        <v>1329</v>
      </c>
      <c r="B2884" s="2">
        <v>37032</v>
      </c>
      <c r="C2884">
        <v>0</v>
      </c>
      <c r="D2884">
        <v>0</v>
      </c>
    </row>
    <row r="2885" spans="1:4" x14ac:dyDescent="0.35">
      <c r="A2885">
        <v>1330</v>
      </c>
      <c r="B2885" s="2">
        <v>36524</v>
      </c>
      <c r="C2885">
        <v>4</v>
      </c>
      <c r="D2885">
        <v>4</v>
      </c>
    </row>
    <row r="2886" spans="1:4" x14ac:dyDescent="0.35">
      <c r="A2886">
        <v>1330</v>
      </c>
      <c r="B2886" s="2">
        <v>37397</v>
      </c>
      <c r="C2886">
        <v>6</v>
      </c>
      <c r="D2886">
        <v>6</v>
      </c>
    </row>
    <row r="2887" spans="1:4" x14ac:dyDescent="0.35">
      <c r="A2887">
        <v>1330</v>
      </c>
      <c r="B2887" s="2">
        <v>37498</v>
      </c>
      <c r="C2887">
        <v>5</v>
      </c>
      <c r="D2887">
        <v>5</v>
      </c>
    </row>
    <row r="2888" spans="1:4" x14ac:dyDescent="0.35">
      <c r="A2888">
        <v>1331</v>
      </c>
      <c r="B2888" s="2">
        <v>38290</v>
      </c>
      <c r="C2888">
        <v>2</v>
      </c>
      <c r="D2888">
        <v>2</v>
      </c>
    </row>
    <row r="2889" spans="1:4" x14ac:dyDescent="0.35">
      <c r="A2889">
        <v>1332</v>
      </c>
      <c r="B2889" s="2">
        <v>37041</v>
      </c>
      <c r="C2889">
        <v>0</v>
      </c>
      <c r="D2889">
        <v>0</v>
      </c>
    </row>
    <row r="2890" spans="1:4" x14ac:dyDescent="0.35">
      <c r="A2890">
        <v>1333</v>
      </c>
      <c r="B2890" s="2">
        <v>36524</v>
      </c>
      <c r="C2890">
        <v>5</v>
      </c>
      <c r="D2890">
        <v>5</v>
      </c>
    </row>
    <row r="2891" spans="1:4" x14ac:dyDescent="0.35">
      <c r="A2891">
        <v>1333</v>
      </c>
      <c r="B2891" s="2">
        <v>36676</v>
      </c>
      <c r="C2891">
        <v>5</v>
      </c>
      <c r="D2891">
        <v>5</v>
      </c>
    </row>
    <row r="2892" spans="1:4" x14ac:dyDescent="0.35">
      <c r="A2892">
        <v>1334</v>
      </c>
      <c r="B2892" s="2">
        <v>37437</v>
      </c>
      <c r="C2892">
        <v>0</v>
      </c>
      <c r="D2892">
        <v>0</v>
      </c>
    </row>
    <row r="2893" spans="1:4" x14ac:dyDescent="0.35">
      <c r="A2893">
        <v>1335</v>
      </c>
      <c r="B2893" s="2">
        <v>37620</v>
      </c>
      <c r="C2893">
        <v>2</v>
      </c>
      <c r="D2893">
        <v>2</v>
      </c>
    </row>
    <row r="2894" spans="1:4" x14ac:dyDescent="0.35">
      <c r="A2894">
        <v>1335</v>
      </c>
      <c r="B2894" s="2">
        <v>38351</v>
      </c>
      <c r="C2894">
        <v>3</v>
      </c>
      <c r="D2894">
        <v>3</v>
      </c>
    </row>
    <row r="2895" spans="1:4" x14ac:dyDescent="0.35">
      <c r="A2895">
        <v>1336</v>
      </c>
      <c r="B2895" s="2">
        <v>37492</v>
      </c>
      <c r="C2895">
        <v>2</v>
      </c>
      <c r="D2895">
        <v>2</v>
      </c>
    </row>
    <row r="2896" spans="1:4" x14ac:dyDescent="0.35">
      <c r="A2896">
        <v>1337</v>
      </c>
      <c r="B2896" s="2">
        <v>37985</v>
      </c>
      <c r="C2896">
        <v>3</v>
      </c>
      <c r="D2896">
        <v>3</v>
      </c>
    </row>
    <row r="2897" spans="1:4" x14ac:dyDescent="0.35">
      <c r="A2897">
        <v>1338</v>
      </c>
      <c r="B2897" s="2">
        <v>38321</v>
      </c>
      <c r="C2897">
        <v>4</v>
      </c>
      <c r="D2897">
        <v>4</v>
      </c>
    </row>
    <row r="2898" spans="1:4" x14ac:dyDescent="0.35">
      <c r="A2898">
        <v>1338</v>
      </c>
      <c r="B2898" s="2">
        <v>38351</v>
      </c>
      <c r="C2898">
        <v>0</v>
      </c>
      <c r="D2898">
        <v>0</v>
      </c>
    </row>
    <row r="2899" spans="1:4" x14ac:dyDescent="0.35">
      <c r="A2899">
        <v>1339</v>
      </c>
      <c r="B2899" s="2">
        <v>36667</v>
      </c>
      <c r="C2899">
        <v>4</v>
      </c>
      <c r="D2899">
        <v>4</v>
      </c>
    </row>
    <row r="2900" spans="1:4" x14ac:dyDescent="0.35">
      <c r="A2900">
        <v>1340</v>
      </c>
      <c r="B2900" s="2">
        <v>37620</v>
      </c>
      <c r="C2900">
        <v>0</v>
      </c>
      <c r="D2900">
        <v>0</v>
      </c>
    </row>
    <row r="2901" spans="1:4" x14ac:dyDescent="0.35">
      <c r="A2901">
        <v>1341</v>
      </c>
      <c r="B2901" s="2">
        <v>37620</v>
      </c>
      <c r="C2901">
        <v>4</v>
      </c>
      <c r="D2901">
        <v>4</v>
      </c>
    </row>
    <row r="2902" spans="1:4" x14ac:dyDescent="0.35">
      <c r="A2902">
        <v>1341</v>
      </c>
      <c r="B2902" s="2">
        <v>38625</v>
      </c>
      <c r="C2902">
        <v>4</v>
      </c>
      <c r="D2902">
        <v>4</v>
      </c>
    </row>
    <row r="2903" spans="1:4" x14ac:dyDescent="0.35">
      <c r="A2903">
        <v>1342</v>
      </c>
      <c r="B2903" s="2">
        <v>36676</v>
      </c>
      <c r="C2903">
        <v>3</v>
      </c>
      <c r="D2903">
        <v>3</v>
      </c>
    </row>
    <row r="2904" spans="1:4" x14ac:dyDescent="0.35">
      <c r="A2904">
        <v>1342</v>
      </c>
      <c r="B2904" s="2">
        <v>37406</v>
      </c>
      <c r="C2904">
        <v>3</v>
      </c>
      <c r="D2904">
        <v>3</v>
      </c>
    </row>
    <row r="2905" spans="1:4" x14ac:dyDescent="0.35">
      <c r="A2905">
        <v>1342</v>
      </c>
      <c r="B2905" s="2">
        <v>38137</v>
      </c>
      <c r="C2905">
        <v>4</v>
      </c>
      <c r="D2905">
        <v>4</v>
      </c>
    </row>
    <row r="2906" spans="1:4" x14ac:dyDescent="0.35">
      <c r="A2906">
        <v>1343</v>
      </c>
      <c r="B2906" s="2">
        <v>36301</v>
      </c>
      <c r="C2906">
        <v>6</v>
      </c>
      <c r="D2906">
        <v>6</v>
      </c>
    </row>
    <row r="2907" spans="1:4" x14ac:dyDescent="0.35">
      <c r="A2907">
        <v>1343</v>
      </c>
      <c r="B2907" s="2">
        <v>37985</v>
      </c>
      <c r="C2907">
        <v>0</v>
      </c>
      <c r="D2907">
        <v>0</v>
      </c>
    </row>
    <row r="2908" spans="1:4" x14ac:dyDescent="0.35">
      <c r="A2908">
        <v>1344</v>
      </c>
      <c r="B2908" s="2">
        <v>36524</v>
      </c>
      <c r="C2908">
        <v>6</v>
      </c>
      <c r="D2908">
        <v>6</v>
      </c>
    </row>
    <row r="2909" spans="1:4" x14ac:dyDescent="0.35">
      <c r="A2909">
        <v>1344</v>
      </c>
      <c r="B2909" s="2">
        <v>37955</v>
      </c>
      <c r="C2909">
        <v>7</v>
      </c>
      <c r="D2909">
        <v>7</v>
      </c>
    </row>
    <row r="2910" spans="1:4" x14ac:dyDescent="0.35">
      <c r="A2910">
        <v>1344</v>
      </c>
      <c r="B2910" s="2">
        <v>38716</v>
      </c>
      <c r="C2910">
        <v>8</v>
      </c>
      <c r="D2910">
        <v>8</v>
      </c>
    </row>
    <row r="2911" spans="1:4" x14ac:dyDescent="0.35">
      <c r="A2911">
        <v>1345</v>
      </c>
      <c r="B2911" s="2">
        <v>37863</v>
      </c>
      <c r="C2911">
        <v>0</v>
      </c>
      <c r="D2911">
        <v>0</v>
      </c>
    </row>
    <row r="2912" spans="1:4" x14ac:dyDescent="0.35">
      <c r="A2912">
        <v>1346</v>
      </c>
      <c r="B2912" s="2">
        <v>36524</v>
      </c>
      <c r="C2912">
        <v>4</v>
      </c>
      <c r="D2912">
        <v>4</v>
      </c>
    </row>
    <row r="2913" spans="1:4" x14ac:dyDescent="0.35">
      <c r="A2913">
        <v>1346</v>
      </c>
      <c r="B2913" s="2">
        <v>38137</v>
      </c>
      <c r="C2913">
        <v>4</v>
      </c>
      <c r="D2913">
        <v>4</v>
      </c>
    </row>
    <row r="2914" spans="1:4" x14ac:dyDescent="0.35">
      <c r="A2914">
        <v>1347</v>
      </c>
      <c r="B2914" s="2">
        <v>36301</v>
      </c>
      <c r="C2914">
        <v>5</v>
      </c>
      <c r="D2914">
        <v>5</v>
      </c>
    </row>
    <row r="2915" spans="1:4" x14ac:dyDescent="0.35">
      <c r="A2915">
        <v>1347</v>
      </c>
      <c r="B2915" s="2">
        <v>36393</v>
      </c>
      <c r="C2915">
        <v>6</v>
      </c>
      <c r="D2915">
        <v>6</v>
      </c>
    </row>
    <row r="2916" spans="1:4" x14ac:dyDescent="0.35">
      <c r="A2916">
        <v>1347</v>
      </c>
      <c r="B2916" s="2">
        <v>37397</v>
      </c>
      <c r="C2916">
        <v>6</v>
      </c>
      <c r="D2916">
        <v>6</v>
      </c>
    </row>
    <row r="2917" spans="1:4" x14ac:dyDescent="0.35">
      <c r="A2917">
        <v>1347</v>
      </c>
      <c r="B2917" s="2">
        <v>37985</v>
      </c>
      <c r="C2917">
        <v>0</v>
      </c>
      <c r="D2917">
        <v>0</v>
      </c>
    </row>
    <row r="2918" spans="1:4" x14ac:dyDescent="0.35">
      <c r="A2918">
        <v>1348</v>
      </c>
      <c r="B2918" s="2">
        <v>36851</v>
      </c>
      <c r="C2918">
        <v>2</v>
      </c>
      <c r="D2918">
        <v>2</v>
      </c>
    </row>
    <row r="2919" spans="1:4" x14ac:dyDescent="0.35">
      <c r="A2919">
        <v>1348</v>
      </c>
      <c r="B2919" s="2">
        <v>37620</v>
      </c>
      <c r="C2919">
        <v>2</v>
      </c>
      <c r="D2919">
        <v>2</v>
      </c>
    </row>
    <row r="2920" spans="1:4" x14ac:dyDescent="0.35">
      <c r="A2920">
        <v>1349</v>
      </c>
      <c r="B2920" s="2">
        <v>36310</v>
      </c>
      <c r="C2920">
        <v>5</v>
      </c>
      <c r="D2920">
        <v>5</v>
      </c>
    </row>
    <row r="2921" spans="1:4" x14ac:dyDescent="0.35">
      <c r="A2921">
        <v>1349</v>
      </c>
      <c r="B2921" s="2">
        <v>37559</v>
      </c>
      <c r="C2921">
        <v>6</v>
      </c>
      <c r="D2921">
        <v>6</v>
      </c>
    </row>
    <row r="2922" spans="1:4" x14ac:dyDescent="0.35">
      <c r="A2922">
        <v>1349</v>
      </c>
      <c r="B2922" s="2">
        <v>38493</v>
      </c>
      <c r="C2922">
        <v>5</v>
      </c>
      <c r="D2922">
        <v>5</v>
      </c>
    </row>
    <row r="2923" spans="1:4" x14ac:dyDescent="0.35">
      <c r="A2923">
        <v>1350</v>
      </c>
      <c r="B2923" s="2">
        <v>36433</v>
      </c>
      <c r="C2923">
        <v>4</v>
      </c>
      <c r="D2923">
        <v>4</v>
      </c>
    </row>
    <row r="2924" spans="1:4" x14ac:dyDescent="0.35">
      <c r="A2924">
        <v>1350</v>
      </c>
      <c r="B2924" s="2">
        <v>37041</v>
      </c>
      <c r="C2924">
        <v>4</v>
      </c>
      <c r="D2924">
        <v>4</v>
      </c>
    </row>
    <row r="2925" spans="1:4" x14ac:dyDescent="0.35">
      <c r="A2925">
        <v>1350</v>
      </c>
      <c r="B2925" s="2">
        <v>37559</v>
      </c>
      <c r="C2925">
        <v>5</v>
      </c>
      <c r="D2925">
        <v>5</v>
      </c>
    </row>
    <row r="2926" spans="1:4" x14ac:dyDescent="0.35">
      <c r="A2926">
        <v>1350</v>
      </c>
      <c r="B2926" s="2">
        <v>38137</v>
      </c>
      <c r="C2926">
        <v>4</v>
      </c>
      <c r="D2926">
        <v>4</v>
      </c>
    </row>
    <row r="2927" spans="1:4" x14ac:dyDescent="0.35">
      <c r="A2927">
        <v>1350</v>
      </c>
      <c r="B2927" s="2">
        <v>38493</v>
      </c>
      <c r="C2927">
        <v>0</v>
      </c>
      <c r="D2927">
        <v>0</v>
      </c>
    </row>
    <row r="2928" spans="1:4" x14ac:dyDescent="0.35">
      <c r="A2928">
        <v>1351</v>
      </c>
      <c r="B2928" s="2">
        <v>36301</v>
      </c>
      <c r="C2928">
        <v>5</v>
      </c>
      <c r="D2928">
        <v>5</v>
      </c>
    </row>
    <row r="2929" spans="1:4" x14ac:dyDescent="0.35">
      <c r="A2929">
        <v>1351</v>
      </c>
      <c r="B2929" s="2">
        <v>37255</v>
      </c>
      <c r="C2929">
        <v>4</v>
      </c>
      <c r="D2929">
        <v>4</v>
      </c>
    </row>
    <row r="2930" spans="1:4" x14ac:dyDescent="0.35">
      <c r="A2930">
        <v>1351</v>
      </c>
      <c r="B2930" s="2">
        <v>38321</v>
      </c>
      <c r="C2930">
        <v>4</v>
      </c>
      <c r="D2930">
        <v>4</v>
      </c>
    </row>
    <row r="2931" spans="1:4" x14ac:dyDescent="0.35">
      <c r="A2931">
        <v>1352</v>
      </c>
      <c r="B2931" s="2">
        <v>36494</v>
      </c>
      <c r="C2931">
        <v>5</v>
      </c>
      <c r="D2931">
        <v>5</v>
      </c>
    </row>
    <row r="2932" spans="1:4" x14ac:dyDescent="0.35">
      <c r="A2932">
        <v>1352</v>
      </c>
      <c r="B2932" s="2">
        <v>37157</v>
      </c>
      <c r="C2932">
        <v>4</v>
      </c>
      <c r="D2932">
        <v>4</v>
      </c>
    </row>
    <row r="2933" spans="1:4" x14ac:dyDescent="0.35">
      <c r="A2933">
        <v>1352</v>
      </c>
      <c r="B2933" s="2">
        <v>38128</v>
      </c>
      <c r="C2933">
        <v>4</v>
      </c>
      <c r="D2933">
        <v>4</v>
      </c>
    </row>
    <row r="2934" spans="1:4" x14ac:dyDescent="0.35">
      <c r="A2934">
        <v>1353</v>
      </c>
      <c r="B2934" s="2">
        <v>38342</v>
      </c>
      <c r="C2934">
        <v>4</v>
      </c>
      <c r="D2934">
        <v>4</v>
      </c>
    </row>
    <row r="2935" spans="1:4" x14ac:dyDescent="0.35">
      <c r="A2935">
        <v>1354</v>
      </c>
      <c r="B2935" s="2">
        <v>36820</v>
      </c>
      <c r="C2935">
        <v>4</v>
      </c>
      <c r="D2935">
        <v>4</v>
      </c>
    </row>
    <row r="2936" spans="1:4" x14ac:dyDescent="0.35">
      <c r="A2936">
        <v>1354</v>
      </c>
      <c r="B2936" s="2">
        <v>38290</v>
      </c>
      <c r="C2936">
        <v>3</v>
      </c>
      <c r="D2936">
        <v>3</v>
      </c>
    </row>
    <row r="2937" spans="1:4" x14ac:dyDescent="0.35">
      <c r="A2937">
        <v>1355</v>
      </c>
      <c r="B2937" s="2">
        <v>38312</v>
      </c>
      <c r="C2937">
        <v>3</v>
      </c>
      <c r="D2937">
        <v>3</v>
      </c>
    </row>
    <row r="2938" spans="1:4" x14ac:dyDescent="0.35">
      <c r="A2938">
        <v>1356</v>
      </c>
      <c r="B2938" s="2">
        <v>37255</v>
      </c>
      <c r="C2938">
        <v>6</v>
      </c>
      <c r="D2938">
        <v>6</v>
      </c>
    </row>
    <row r="2939" spans="1:4" x14ac:dyDescent="0.35">
      <c r="A2939">
        <v>1356</v>
      </c>
      <c r="B2939" s="2">
        <v>37771</v>
      </c>
      <c r="C2939">
        <v>0</v>
      </c>
      <c r="D2939">
        <v>0</v>
      </c>
    </row>
    <row r="2940" spans="1:4" x14ac:dyDescent="0.35">
      <c r="A2940">
        <v>1357</v>
      </c>
      <c r="B2940" s="2">
        <v>36402</v>
      </c>
      <c r="C2940">
        <v>0</v>
      </c>
      <c r="D2940">
        <v>0</v>
      </c>
    </row>
    <row r="2941" spans="1:4" x14ac:dyDescent="0.35">
      <c r="A2941">
        <v>1358</v>
      </c>
      <c r="B2941" s="2">
        <v>36301</v>
      </c>
      <c r="C2941">
        <v>4</v>
      </c>
      <c r="D2941">
        <v>4</v>
      </c>
    </row>
    <row r="2942" spans="1:4" x14ac:dyDescent="0.35">
      <c r="A2942">
        <v>1358</v>
      </c>
      <c r="B2942" s="2">
        <v>36890</v>
      </c>
      <c r="C2942">
        <v>4</v>
      </c>
      <c r="D2942">
        <v>4</v>
      </c>
    </row>
    <row r="2943" spans="1:4" x14ac:dyDescent="0.35">
      <c r="A2943">
        <v>1358</v>
      </c>
      <c r="B2943" s="2">
        <v>37406</v>
      </c>
      <c r="C2943">
        <v>0</v>
      </c>
      <c r="D2943">
        <v>0</v>
      </c>
    </row>
    <row r="2944" spans="1:4" x14ac:dyDescent="0.35">
      <c r="A2944">
        <v>1359</v>
      </c>
      <c r="B2944" s="2">
        <v>36524</v>
      </c>
      <c r="C2944">
        <v>4</v>
      </c>
      <c r="D2944">
        <v>4</v>
      </c>
    </row>
    <row r="2945" spans="1:4" x14ac:dyDescent="0.35">
      <c r="A2945">
        <v>1359</v>
      </c>
      <c r="B2945" s="2">
        <v>36667</v>
      </c>
      <c r="C2945">
        <v>4</v>
      </c>
      <c r="D2945">
        <v>4</v>
      </c>
    </row>
    <row r="2946" spans="1:4" x14ac:dyDescent="0.35">
      <c r="A2946">
        <v>1359</v>
      </c>
      <c r="B2946" s="2">
        <v>37255</v>
      </c>
      <c r="C2946">
        <v>4</v>
      </c>
      <c r="D2946">
        <v>4</v>
      </c>
    </row>
    <row r="2947" spans="1:4" x14ac:dyDescent="0.35">
      <c r="A2947">
        <v>1359</v>
      </c>
      <c r="B2947" s="2">
        <v>37762</v>
      </c>
      <c r="C2947">
        <v>0</v>
      </c>
      <c r="D2947">
        <v>0</v>
      </c>
    </row>
    <row r="2948" spans="1:4" x14ac:dyDescent="0.35">
      <c r="A2948">
        <v>1359</v>
      </c>
      <c r="B2948" s="2">
        <v>37924</v>
      </c>
      <c r="C2948">
        <v>4</v>
      </c>
      <c r="D2948">
        <v>4</v>
      </c>
    </row>
    <row r="2949" spans="1:4" x14ac:dyDescent="0.35">
      <c r="A2949">
        <v>1359</v>
      </c>
      <c r="B2949" s="2">
        <v>38128</v>
      </c>
      <c r="C2949">
        <v>4</v>
      </c>
      <c r="D2949">
        <v>4</v>
      </c>
    </row>
    <row r="2950" spans="1:4" x14ac:dyDescent="0.35">
      <c r="A2950">
        <v>1360</v>
      </c>
      <c r="B2950" s="2">
        <v>36301</v>
      </c>
      <c r="C2950">
        <v>5</v>
      </c>
      <c r="D2950">
        <v>5</v>
      </c>
    </row>
    <row r="2951" spans="1:4" x14ac:dyDescent="0.35">
      <c r="A2951">
        <v>1360</v>
      </c>
      <c r="B2951" s="2">
        <v>37041</v>
      </c>
      <c r="C2951">
        <v>4</v>
      </c>
      <c r="D2951">
        <v>4</v>
      </c>
    </row>
    <row r="2952" spans="1:4" x14ac:dyDescent="0.35">
      <c r="A2952">
        <v>1360</v>
      </c>
      <c r="B2952" s="2">
        <v>38260</v>
      </c>
      <c r="C2952">
        <v>4</v>
      </c>
      <c r="D2952">
        <v>4</v>
      </c>
    </row>
    <row r="2953" spans="1:4" x14ac:dyDescent="0.35">
      <c r="A2953">
        <v>1361</v>
      </c>
      <c r="B2953" s="2">
        <v>37255</v>
      </c>
      <c r="C2953">
        <v>3</v>
      </c>
      <c r="D2953">
        <v>3</v>
      </c>
    </row>
    <row r="2954" spans="1:4" x14ac:dyDescent="0.35">
      <c r="A2954">
        <v>1361</v>
      </c>
      <c r="B2954" s="2">
        <v>37620</v>
      </c>
      <c r="C2954">
        <v>4</v>
      </c>
      <c r="D2954">
        <v>4</v>
      </c>
    </row>
    <row r="2955" spans="1:4" x14ac:dyDescent="0.35">
      <c r="A2955">
        <v>1361</v>
      </c>
      <c r="B2955" s="2">
        <v>37762</v>
      </c>
      <c r="C2955">
        <v>4</v>
      </c>
      <c r="D2955">
        <v>4</v>
      </c>
    </row>
    <row r="2956" spans="1:4" x14ac:dyDescent="0.35">
      <c r="A2956">
        <v>1361</v>
      </c>
      <c r="B2956" s="2">
        <v>37762</v>
      </c>
      <c r="C2956">
        <v>5</v>
      </c>
      <c r="D2956">
        <v>5</v>
      </c>
    </row>
    <row r="2957" spans="1:4" x14ac:dyDescent="0.35">
      <c r="A2957">
        <v>1361</v>
      </c>
      <c r="B2957" s="2">
        <v>37885</v>
      </c>
      <c r="C2957">
        <v>5</v>
      </c>
      <c r="D2957">
        <v>5</v>
      </c>
    </row>
    <row r="2958" spans="1:4" x14ac:dyDescent="0.35">
      <c r="A2958">
        <v>1361</v>
      </c>
      <c r="B2958" s="2">
        <v>37894</v>
      </c>
      <c r="C2958">
        <v>4</v>
      </c>
      <c r="D2958">
        <v>4</v>
      </c>
    </row>
    <row r="2959" spans="1:4" x14ac:dyDescent="0.35">
      <c r="A2959">
        <v>1361</v>
      </c>
      <c r="B2959" s="2">
        <v>38281</v>
      </c>
      <c r="C2959">
        <v>4</v>
      </c>
      <c r="D2959">
        <v>4</v>
      </c>
    </row>
    <row r="2960" spans="1:4" x14ac:dyDescent="0.35">
      <c r="A2960">
        <v>1361</v>
      </c>
      <c r="B2960" s="2">
        <v>38290</v>
      </c>
      <c r="C2960">
        <v>6</v>
      </c>
      <c r="D2960">
        <v>6</v>
      </c>
    </row>
    <row r="2961" spans="1:4" x14ac:dyDescent="0.35">
      <c r="A2961">
        <v>1361</v>
      </c>
      <c r="B2961" s="2">
        <v>38502</v>
      </c>
      <c r="C2961">
        <v>0</v>
      </c>
      <c r="D2961">
        <v>0</v>
      </c>
    </row>
    <row r="2962" spans="1:4" x14ac:dyDescent="0.35">
      <c r="A2962">
        <v>1362</v>
      </c>
      <c r="B2962" s="2">
        <v>36463</v>
      </c>
      <c r="C2962">
        <v>4</v>
      </c>
      <c r="D2962">
        <v>4</v>
      </c>
    </row>
    <row r="2963" spans="1:4" x14ac:dyDescent="0.35">
      <c r="A2963">
        <v>1362</v>
      </c>
      <c r="B2963" s="2">
        <v>37985</v>
      </c>
      <c r="C2963">
        <v>4</v>
      </c>
      <c r="D2963">
        <v>4</v>
      </c>
    </row>
    <row r="2964" spans="1:4" x14ac:dyDescent="0.35">
      <c r="A2964">
        <v>1363</v>
      </c>
      <c r="B2964" s="2">
        <v>37255</v>
      </c>
      <c r="C2964">
        <v>4</v>
      </c>
      <c r="D2964">
        <v>4</v>
      </c>
    </row>
    <row r="2965" spans="1:4" x14ac:dyDescent="0.35">
      <c r="A2965">
        <v>1363</v>
      </c>
      <c r="B2965" s="2">
        <v>37397</v>
      </c>
      <c r="C2965">
        <v>4</v>
      </c>
      <c r="D2965">
        <v>4</v>
      </c>
    </row>
    <row r="2966" spans="1:4" x14ac:dyDescent="0.35">
      <c r="A2966">
        <v>1364</v>
      </c>
      <c r="B2966" s="2">
        <v>38594</v>
      </c>
      <c r="C2966">
        <v>2</v>
      </c>
      <c r="D2966">
        <v>2</v>
      </c>
    </row>
    <row r="2967" spans="1:4" x14ac:dyDescent="0.35">
      <c r="A2967">
        <v>1365</v>
      </c>
      <c r="B2967" s="2">
        <v>37397</v>
      </c>
      <c r="C2967">
        <v>4</v>
      </c>
      <c r="D2967">
        <v>4</v>
      </c>
    </row>
    <row r="2968" spans="1:4" x14ac:dyDescent="0.35">
      <c r="A2968">
        <v>1366</v>
      </c>
      <c r="B2968" s="2">
        <v>38220</v>
      </c>
      <c r="C2968">
        <v>2</v>
      </c>
      <c r="D2968">
        <v>2</v>
      </c>
    </row>
    <row r="2969" spans="1:4" x14ac:dyDescent="0.35">
      <c r="A2969">
        <v>1367</v>
      </c>
      <c r="B2969" s="2">
        <v>37164</v>
      </c>
      <c r="C2969">
        <v>4</v>
      </c>
      <c r="D2969">
        <v>4</v>
      </c>
    </row>
    <row r="2970" spans="1:4" x14ac:dyDescent="0.35">
      <c r="A2970">
        <v>1368</v>
      </c>
      <c r="B2970" s="2">
        <v>37032</v>
      </c>
      <c r="C2970">
        <v>4</v>
      </c>
      <c r="D2970">
        <v>4</v>
      </c>
    </row>
    <row r="2971" spans="1:4" x14ac:dyDescent="0.35">
      <c r="A2971">
        <v>1369</v>
      </c>
      <c r="B2971" s="2">
        <v>38351</v>
      </c>
      <c r="C2971">
        <v>3</v>
      </c>
      <c r="D2971">
        <v>3</v>
      </c>
    </row>
    <row r="2972" spans="1:4" x14ac:dyDescent="0.35">
      <c r="A2972">
        <v>1369</v>
      </c>
      <c r="B2972" s="2">
        <v>38502</v>
      </c>
      <c r="C2972">
        <v>0</v>
      </c>
      <c r="D2972">
        <v>0</v>
      </c>
    </row>
    <row r="2973" spans="1:4" x14ac:dyDescent="0.35">
      <c r="A2973">
        <v>1370</v>
      </c>
      <c r="B2973" s="2">
        <v>36371</v>
      </c>
      <c r="C2973">
        <v>4</v>
      </c>
      <c r="D2973">
        <v>4</v>
      </c>
    </row>
    <row r="2974" spans="1:4" x14ac:dyDescent="0.35">
      <c r="A2974">
        <v>1370</v>
      </c>
      <c r="B2974" s="2">
        <v>36728</v>
      </c>
      <c r="C2974">
        <v>4</v>
      </c>
      <c r="D2974">
        <v>4</v>
      </c>
    </row>
    <row r="2975" spans="1:4" x14ac:dyDescent="0.35">
      <c r="A2975">
        <v>1371</v>
      </c>
      <c r="B2975" s="2">
        <v>37255</v>
      </c>
      <c r="C2975">
        <v>0</v>
      </c>
      <c r="D2975">
        <v>0</v>
      </c>
    </row>
    <row r="2976" spans="1:4" x14ac:dyDescent="0.35">
      <c r="A2976">
        <v>1372</v>
      </c>
      <c r="B2976" s="2">
        <v>38342</v>
      </c>
      <c r="C2976">
        <v>0</v>
      </c>
      <c r="D2976">
        <v>0</v>
      </c>
    </row>
    <row r="2977" spans="1:4" x14ac:dyDescent="0.35">
      <c r="A2977">
        <v>1373</v>
      </c>
      <c r="B2977" s="2">
        <v>36301</v>
      </c>
      <c r="C2977">
        <v>7</v>
      </c>
      <c r="D2977">
        <v>7</v>
      </c>
    </row>
    <row r="2978" spans="1:4" x14ac:dyDescent="0.35">
      <c r="A2978">
        <v>1373</v>
      </c>
      <c r="B2978" s="2">
        <v>37041</v>
      </c>
      <c r="C2978">
        <v>0</v>
      </c>
      <c r="D2978">
        <v>0</v>
      </c>
    </row>
    <row r="2979" spans="1:4" x14ac:dyDescent="0.35">
      <c r="A2979">
        <v>1374</v>
      </c>
      <c r="B2979" s="2">
        <v>36301</v>
      </c>
      <c r="C2979">
        <v>5</v>
      </c>
      <c r="D2979">
        <v>5</v>
      </c>
    </row>
    <row r="2980" spans="1:4" x14ac:dyDescent="0.35">
      <c r="A2980">
        <v>1374</v>
      </c>
      <c r="B2980" s="2">
        <v>36829</v>
      </c>
      <c r="C2980">
        <v>5</v>
      </c>
      <c r="D2980">
        <v>5</v>
      </c>
    </row>
    <row r="2981" spans="1:4" x14ac:dyDescent="0.35">
      <c r="A2981">
        <v>1374</v>
      </c>
      <c r="B2981" s="2">
        <v>37041</v>
      </c>
      <c r="C2981">
        <v>4</v>
      </c>
      <c r="D2981">
        <v>4</v>
      </c>
    </row>
    <row r="2982" spans="1:4" x14ac:dyDescent="0.35">
      <c r="A2982">
        <v>1374</v>
      </c>
      <c r="B2982" s="2">
        <v>37216</v>
      </c>
      <c r="C2982">
        <v>4</v>
      </c>
      <c r="D2982">
        <v>4</v>
      </c>
    </row>
    <row r="2983" spans="1:4" x14ac:dyDescent="0.35">
      <c r="A2983">
        <v>1374</v>
      </c>
      <c r="B2983" s="2">
        <v>38502</v>
      </c>
      <c r="C2983">
        <v>4</v>
      </c>
      <c r="D2983">
        <v>4</v>
      </c>
    </row>
    <row r="2984" spans="1:4" x14ac:dyDescent="0.35">
      <c r="A2984">
        <v>1375</v>
      </c>
      <c r="B2984" s="2">
        <v>37620</v>
      </c>
      <c r="C2984">
        <v>3</v>
      </c>
      <c r="D2984">
        <v>3</v>
      </c>
    </row>
    <row r="2985" spans="1:4" x14ac:dyDescent="0.35">
      <c r="A2985">
        <v>1376</v>
      </c>
      <c r="B2985" s="2">
        <v>37489</v>
      </c>
      <c r="C2985">
        <v>1</v>
      </c>
      <c r="D2985">
        <v>1</v>
      </c>
    </row>
    <row r="2986" spans="1:4" x14ac:dyDescent="0.35">
      <c r="A2986">
        <v>1377</v>
      </c>
      <c r="B2986" s="2">
        <v>37762</v>
      </c>
      <c r="C2986">
        <v>3</v>
      </c>
      <c r="D2986">
        <v>3</v>
      </c>
    </row>
    <row r="2987" spans="1:4" x14ac:dyDescent="0.35">
      <c r="A2987">
        <v>1378</v>
      </c>
      <c r="B2987" s="2">
        <v>37255</v>
      </c>
      <c r="C2987">
        <v>3</v>
      </c>
      <c r="D2987">
        <v>3</v>
      </c>
    </row>
    <row r="2988" spans="1:4" x14ac:dyDescent="0.35">
      <c r="A2988">
        <v>1379</v>
      </c>
      <c r="B2988" s="2">
        <v>37399</v>
      </c>
      <c r="C2988">
        <v>4</v>
      </c>
      <c r="D2988">
        <v>4</v>
      </c>
    </row>
    <row r="2989" spans="1:4" x14ac:dyDescent="0.35">
      <c r="A2989">
        <v>1380</v>
      </c>
      <c r="B2989" s="2">
        <v>36669</v>
      </c>
      <c r="C2989">
        <v>3</v>
      </c>
      <c r="D2989">
        <v>3</v>
      </c>
    </row>
    <row r="2990" spans="1:4" x14ac:dyDescent="0.35">
      <c r="A2990">
        <v>1380</v>
      </c>
      <c r="B2990" s="2">
        <v>37041</v>
      </c>
      <c r="C2990">
        <v>4</v>
      </c>
      <c r="D2990">
        <v>4</v>
      </c>
    </row>
    <row r="2991" spans="1:4" x14ac:dyDescent="0.35">
      <c r="A2991">
        <v>1380</v>
      </c>
      <c r="B2991" s="2">
        <v>37041</v>
      </c>
      <c r="C2991">
        <v>6</v>
      </c>
      <c r="D2991">
        <v>6</v>
      </c>
    </row>
    <row r="2992" spans="1:4" x14ac:dyDescent="0.35">
      <c r="A2992">
        <v>1380</v>
      </c>
      <c r="B2992" s="2">
        <v>37127</v>
      </c>
      <c r="C2992">
        <v>4</v>
      </c>
      <c r="D2992">
        <v>4</v>
      </c>
    </row>
    <row r="2993" spans="1:4" x14ac:dyDescent="0.35">
      <c r="A2993">
        <v>1380</v>
      </c>
      <c r="B2993" s="2">
        <v>37185</v>
      </c>
      <c r="C2993">
        <v>6</v>
      </c>
      <c r="D2993">
        <v>6</v>
      </c>
    </row>
    <row r="2994" spans="1:4" x14ac:dyDescent="0.35">
      <c r="A2994">
        <v>1380</v>
      </c>
      <c r="B2994" s="2">
        <v>37620</v>
      </c>
      <c r="C2994">
        <v>4</v>
      </c>
      <c r="D2994">
        <v>4</v>
      </c>
    </row>
    <row r="2995" spans="1:4" x14ac:dyDescent="0.35">
      <c r="A2995">
        <v>1380</v>
      </c>
      <c r="B2995" s="2">
        <v>37620</v>
      </c>
      <c r="C2995">
        <v>4</v>
      </c>
      <c r="D2995">
        <v>4</v>
      </c>
    </row>
    <row r="2996" spans="1:4" x14ac:dyDescent="0.35">
      <c r="A2996">
        <v>1380</v>
      </c>
      <c r="B2996" s="2">
        <v>38502</v>
      </c>
      <c r="C2996">
        <v>3</v>
      </c>
      <c r="D2996">
        <v>3</v>
      </c>
    </row>
    <row r="2997" spans="1:4" x14ac:dyDescent="0.35">
      <c r="A2997">
        <v>1381</v>
      </c>
      <c r="B2997" s="2">
        <v>36676</v>
      </c>
      <c r="C2997">
        <v>4</v>
      </c>
      <c r="D2997">
        <v>4</v>
      </c>
    </row>
    <row r="2998" spans="1:4" x14ac:dyDescent="0.35">
      <c r="A2998">
        <v>1381</v>
      </c>
      <c r="B2998" s="2">
        <v>37124</v>
      </c>
      <c r="C2998">
        <v>6</v>
      </c>
      <c r="D2998">
        <v>6</v>
      </c>
    </row>
    <row r="2999" spans="1:4" x14ac:dyDescent="0.35">
      <c r="A2999">
        <v>1381</v>
      </c>
      <c r="B2999" s="2">
        <v>37156</v>
      </c>
      <c r="C2999">
        <v>8</v>
      </c>
      <c r="D2999">
        <v>8</v>
      </c>
    </row>
    <row r="3000" spans="1:4" x14ac:dyDescent="0.35">
      <c r="A3000">
        <v>1381</v>
      </c>
      <c r="B3000" s="2">
        <v>37185</v>
      </c>
      <c r="C3000">
        <v>4</v>
      </c>
      <c r="D3000">
        <v>8</v>
      </c>
    </row>
    <row r="3001" spans="1:4" x14ac:dyDescent="0.35">
      <c r="A3001">
        <v>1381</v>
      </c>
      <c r="B3001" s="2">
        <v>37255</v>
      </c>
      <c r="C3001">
        <v>4</v>
      </c>
      <c r="D3001">
        <v>8</v>
      </c>
    </row>
    <row r="3002" spans="1:4" x14ac:dyDescent="0.35">
      <c r="A3002">
        <v>1381</v>
      </c>
      <c r="B3002" s="2">
        <v>37985</v>
      </c>
      <c r="C3002">
        <v>0</v>
      </c>
      <c r="D3002">
        <v>8</v>
      </c>
    </row>
    <row r="3003" spans="1:4" x14ac:dyDescent="0.35">
      <c r="A3003">
        <v>1382</v>
      </c>
      <c r="B3003" s="2">
        <v>37216</v>
      </c>
      <c r="C3003">
        <v>4</v>
      </c>
      <c r="D3003">
        <v>4</v>
      </c>
    </row>
    <row r="3004" spans="1:4" x14ac:dyDescent="0.35">
      <c r="A3004">
        <v>1382</v>
      </c>
      <c r="B3004" s="2">
        <v>37428</v>
      </c>
      <c r="C3004">
        <v>5</v>
      </c>
      <c r="D3004">
        <v>5</v>
      </c>
    </row>
    <row r="3005" spans="1:4" x14ac:dyDescent="0.35">
      <c r="A3005">
        <v>1383</v>
      </c>
      <c r="B3005" s="2">
        <v>37406</v>
      </c>
      <c r="C3005">
        <v>4</v>
      </c>
      <c r="D3005">
        <v>4</v>
      </c>
    </row>
    <row r="3006" spans="1:4" x14ac:dyDescent="0.35">
      <c r="A3006">
        <v>1383</v>
      </c>
      <c r="B3006" s="2">
        <v>37620</v>
      </c>
      <c r="C3006">
        <v>3</v>
      </c>
      <c r="D3006">
        <v>3</v>
      </c>
    </row>
    <row r="3007" spans="1:4" x14ac:dyDescent="0.35">
      <c r="A3007">
        <v>1383</v>
      </c>
      <c r="B3007" s="2">
        <v>38128</v>
      </c>
      <c r="C3007">
        <v>3</v>
      </c>
      <c r="D3007">
        <v>3</v>
      </c>
    </row>
    <row r="3008" spans="1:4" x14ac:dyDescent="0.35">
      <c r="A3008">
        <v>1384</v>
      </c>
      <c r="B3008" s="2">
        <v>37620</v>
      </c>
      <c r="C3008">
        <v>3</v>
      </c>
      <c r="D3008">
        <v>3</v>
      </c>
    </row>
    <row r="3009" spans="1:4" x14ac:dyDescent="0.35">
      <c r="A3009">
        <v>1384</v>
      </c>
      <c r="B3009" s="2">
        <v>37620</v>
      </c>
      <c r="C3009">
        <v>4</v>
      </c>
      <c r="D3009">
        <v>4</v>
      </c>
    </row>
    <row r="3010" spans="1:4" x14ac:dyDescent="0.35">
      <c r="A3010">
        <v>1384</v>
      </c>
      <c r="B3010" s="2">
        <v>38260</v>
      </c>
      <c r="C3010">
        <v>3</v>
      </c>
      <c r="D3010">
        <v>3</v>
      </c>
    </row>
    <row r="3011" spans="1:4" x14ac:dyDescent="0.35">
      <c r="A3011">
        <v>1385</v>
      </c>
      <c r="B3011" s="2">
        <v>37037</v>
      </c>
      <c r="C3011">
        <v>3</v>
      </c>
      <c r="D3011">
        <v>3</v>
      </c>
    </row>
    <row r="3012" spans="1:4" x14ac:dyDescent="0.35">
      <c r="A3012">
        <v>1385</v>
      </c>
      <c r="B3012" s="2">
        <v>37063</v>
      </c>
      <c r="C3012">
        <v>4</v>
      </c>
      <c r="D3012">
        <v>4</v>
      </c>
    </row>
    <row r="3013" spans="1:4" x14ac:dyDescent="0.35">
      <c r="A3013">
        <v>1385</v>
      </c>
      <c r="B3013" s="2">
        <v>37255</v>
      </c>
      <c r="C3013">
        <v>4</v>
      </c>
      <c r="D3013">
        <v>4</v>
      </c>
    </row>
    <row r="3014" spans="1:4" x14ac:dyDescent="0.35">
      <c r="A3014">
        <v>1385</v>
      </c>
      <c r="B3014" s="2">
        <v>37406</v>
      </c>
      <c r="C3014">
        <v>6</v>
      </c>
      <c r="D3014">
        <v>6</v>
      </c>
    </row>
    <row r="3015" spans="1:4" x14ac:dyDescent="0.35">
      <c r="A3015">
        <v>1385</v>
      </c>
      <c r="B3015" s="2">
        <v>37550</v>
      </c>
      <c r="C3015">
        <v>7</v>
      </c>
      <c r="D3015">
        <v>7</v>
      </c>
    </row>
    <row r="3016" spans="1:4" x14ac:dyDescent="0.35">
      <c r="A3016">
        <v>1385</v>
      </c>
      <c r="B3016" s="2">
        <v>37620</v>
      </c>
      <c r="C3016">
        <v>4</v>
      </c>
      <c r="D3016">
        <v>4</v>
      </c>
    </row>
    <row r="3017" spans="1:4" x14ac:dyDescent="0.35">
      <c r="A3017">
        <v>1385</v>
      </c>
      <c r="B3017" s="2">
        <v>37620</v>
      </c>
      <c r="C3017">
        <v>5</v>
      </c>
      <c r="D3017">
        <v>5</v>
      </c>
    </row>
    <row r="3018" spans="1:4" x14ac:dyDescent="0.35">
      <c r="A3018">
        <v>1386</v>
      </c>
      <c r="B3018" s="2">
        <v>38351</v>
      </c>
      <c r="C3018">
        <v>4</v>
      </c>
      <c r="D3018">
        <v>4</v>
      </c>
    </row>
    <row r="3019" spans="1:4" x14ac:dyDescent="0.35">
      <c r="A3019">
        <v>1387</v>
      </c>
      <c r="B3019" s="2">
        <v>37063</v>
      </c>
      <c r="C3019">
        <v>5</v>
      </c>
      <c r="D3019">
        <v>5</v>
      </c>
    </row>
    <row r="3020" spans="1:4" x14ac:dyDescent="0.35">
      <c r="A3020">
        <v>1387</v>
      </c>
      <c r="B3020" s="2">
        <v>37771</v>
      </c>
      <c r="C3020">
        <v>7</v>
      </c>
      <c r="D3020">
        <v>7</v>
      </c>
    </row>
    <row r="3021" spans="1:4" x14ac:dyDescent="0.35">
      <c r="A3021">
        <v>1388</v>
      </c>
      <c r="B3021" s="2">
        <v>36667</v>
      </c>
      <c r="C3021">
        <v>2</v>
      </c>
      <c r="D3021">
        <v>2</v>
      </c>
    </row>
    <row r="3022" spans="1:4" x14ac:dyDescent="0.35">
      <c r="A3022">
        <v>1388</v>
      </c>
      <c r="B3022" s="2">
        <v>37985</v>
      </c>
      <c r="C3022">
        <v>2</v>
      </c>
      <c r="D3022">
        <v>2</v>
      </c>
    </row>
    <row r="3023" spans="1:4" x14ac:dyDescent="0.35">
      <c r="A3023">
        <v>1389</v>
      </c>
      <c r="B3023" s="2">
        <v>36890</v>
      </c>
      <c r="C3023">
        <v>3</v>
      </c>
      <c r="D3023">
        <v>3</v>
      </c>
    </row>
    <row r="3024" spans="1:4" x14ac:dyDescent="0.35">
      <c r="A3024">
        <v>1390</v>
      </c>
      <c r="B3024" s="2">
        <v>37397</v>
      </c>
      <c r="C3024">
        <v>4</v>
      </c>
      <c r="D3024">
        <v>4</v>
      </c>
    </row>
    <row r="3025" spans="1:4" x14ac:dyDescent="0.35">
      <c r="A3025">
        <v>1390</v>
      </c>
      <c r="B3025" s="2">
        <v>37620</v>
      </c>
      <c r="C3025">
        <v>6</v>
      </c>
      <c r="D3025">
        <v>6</v>
      </c>
    </row>
    <row r="3026" spans="1:4" x14ac:dyDescent="0.35">
      <c r="A3026">
        <v>1390</v>
      </c>
      <c r="B3026" s="2">
        <v>37985</v>
      </c>
      <c r="C3026">
        <v>6</v>
      </c>
      <c r="D3026">
        <v>6</v>
      </c>
    </row>
    <row r="3027" spans="1:4" x14ac:dyDescent="0.35">
      <c r="A3027">
        <v>1390</v>
      </c>
      <c r="B3027" s="2">
        <v>38198</v>
      </c>
      <c r="C3027">
        <v>5</v>
      </c>
      <c r="D3027">
        <v>5</v>
      </c>
    </row>
    <row r="3028" spans="1:4" x14ac:dyDescent="0.35">
      <c r="A3028">
        <v>1391</v>
      </c>
      <c r="B3028" s="2">
        <v>37397</v>
      </c>
      <c r="C3028">
        <v>4</v>
      </c>
      <c r="D3028">
        <v>4</v>
      </c>
    </row>
    <row r="3029" spans="1:4" x14ac:dyDescent="0.35">
      <c r="A3029">
        <v>1391</v>
      </c>
      <c r="B3029" s="2">
        <v>37406</v>
      </c>
      <c r="C3029">
        <v>5</v>
      </c>
      <c r="D3029">
        <v>5</v>
      </c>
    </row>
    <row r="3030" spans="1:4" x14ac:dyDescent="0.35">
      <c r="A3030">
        <v>1391</v>
      </c>
      <c r="B3030" s="2">
        <v>37529</v>
      </c>
      <c r="C3030">
        <v>4</v>
      </c>
      <c r="D3030">
        <v>4</v>
      </c>
    </row>
    <row r="3031" spans="1:4" x14ac:dyDescent="0.35">
      <c r="A3031">
        <v>1392</v>
      </c>
      <c r="B3031" s="2">
        <v>36332</v>
      </c>
      <c r="C3031">
        <v>5</v>
      </c>
      <c r="D3031">
        <v>5</v>
      </c>
    </row>
    <row r="3032" spans="1:4" x14ac:dyDescent="0.35">
      <c r="A3032">
        <v>1392</v>
      </c>
      <c r="B3032" s="2">
        <v>36371</v>
      </c>
      <c r="C3032">
        <v>7</v>
      </c>
      <c r="D3032">
        <v>7</v>
      </c>
    </row>
    <row r="3033" spans="1:4" x14ac:dyDescent="0.35">
      <c r="A3033">
        <v>1392</v>
      </c>
      <c r="B3033" s="2">
        <v>36393</v>
      </c>
      <c r="C3033">
        <v>6</v>
      </c>
      <c r="D3033">
        <v>6</v>
      </c>
    </row>
    <row r="3034" spans="1:4" x14ac:dyDescent="0.35">
      <c r="A3034">
        <v>1392</v>
      </c>
      <c r="B3034" s="2">
        <v>36829</v>
      </c>
      <c r="C3034">
        <v>0</v>
      </c>
      <c r="D3034">
        <v>0</v>
      </c>
    </row>
    <row r="3035" spans="1:4" x14ac:dyDescent="0.35">
      <c r="A3035">
        <v>1393</v>
      </c>
      <c r="B3035" s="2">
        <v>36799</v>
      </c>
      <c r="C3035">
        <v>2</v>
      </c>
      <c r="D3035">
        <v>2</v>
      </c>
    </row>
    <row r="3036" spans="1:4" x14ac:dyDescent="0.35">
      <c r="A3036">
        <v>1394</v>
      </c>
      <c r="B3036" s="2">
        <v>37489</v>
      </c>
      <c r="C3036">
        <v>3</v>
      </c>
      <c r="D3036">
        <v>3</v>
      </c>
    </row>
    <row r="3037" spans="1:4" x14ac:dyDescent="0.35">
      <c r="A3037">
        <v>1394</v>
      </c>
      <c r="B3037" s="2">
        <v>37771</v>
      </c>
      <c r="C3037">
        <v>0</v>
      </c>
      <c r="D3037">
        <v>0</v>
      </c>
    </row>
    <row r="3038" spans="1:4" x14ac:dyDescent="0.35">
      <c r="A3038">
        <v>1395</v>
      </c>
      <c r="B3038" s="2">
        <v>37216</v>
      </c>
      <c r="C3038">
        <v>4</v>
      </c>
      <c r="D3038">
        <v>4</v>
      </c>
    </row>
    <row r="3039" spans="1:4" x14ac:dyDescent="0.35">
      <c r="A3039">
        <v>1395</v>
      </c>
      <c r="B3039" s="2">
        <v>37620</v>
      </c>
      <c r="C3039">
        <v>5</v>
      </c>
      <c r="D3039">
        <v>5</v>
      </c>
    </row>
    <row r="3040" spans="1:4" x14ac:dyDescent="0.35">
      <c r="A3040">
        <v>1395</v>
      </c>
      <c r="B3040" s="2">
        <v>37762</v>
      </c>
      <c r="C3040">
        <v>7</v>
      </c>
      <c r="D3040">
        <v>7</v>
      </c>
    </row>
    <row r="3041" spans="1:4" x14ac:dyDescent="0.35">
      <c r="A3041">
        <v>1395</v>
      </c>
      <c r="B3041" s="2">
        <v>37762</v>
      </c>
      <c r="C3041">
        <v>8</v>
      </c>
      <c r="D3041">
        <v>8</v>
      </c>
    </row>
    <row r="3042" spans="1:4" x14ac:dyDescent="0.35">
      <c r="A3042">
        <v>1395</v>
      </c>
      <c r="B3042" s="2">
        <v>37915</v>
      </c>
      <c r="C3042">
        <v>0</v>
      </c>
      <c r="D3042">
        <v>8</v>
      </c>
    </row>
    <row r="3043" spans="1:4" x14ac:dyDescent="0.35">
      <c r="A3043">
        <v>1396</v>
      </c>
      <c r="B3043" s="2">
        <v>38128</v>
      </c>
      <c r="C3043">
        <v>2</v>
      </c>
      <c r="D3043">
        <v>2</v>
      </c>
    </row>
    <row r="3044" spans="1:4" x14ac:dyDescent="0.35">
      <c r="A3044">
        <v>1397</v>
      </c>
      <c r="B3044" s="2">
        <v>37581</v>
      </c>
      <c r="C3044">
        <v>3</v>
      </c>
      <c r="D3044">
        <v>3</v>
      </c>
    </row>
    <row r="3045" spans="1:4" x14ac:dyDescent="0.35">
      <c r="A3045">
        <v>1398</v>
      </c>
      <c r="B3045" s="2">
        <v>37581</v>
      </c>
      <c r="C3045">
        <v>3</v>
      </c>
      <c r="D3045">
        <v>3</v>
      </c>
    </row>
    <row r="3046" spans="1:4" x14ac:dyDescent="0.35">
      <c r="A3046">
        <v>1398</v>
      </c>
      <c r="B3046" s="2">
        <v>38502</v>
      </c>
      <c r="C3046">
        <v>0</v>
      </c>
      <c r="D3046">
        <v>0</v>
      </c>
    </row>
    <row r="3047" spans="1:4" x14ac:dyDescent="0.35">
      <c r="A3047">
        <v>1399</v>
      </c>
      <c r="B3047" s="2">
        <v>37063</v>
      </c>
      <c r="C3047">
        <v>4</v>
      </c>
      <c r="D3047">
        <v>4</v>
      </c>
    </row>
    <row r="3048" spans="1:4" x14ac:dyDescent="0.35">
      <c r="A3048">
        <v>1399</v>
      </c>
      <c r="B3048" s="2">
        <v>37823</v>
      </c>
      <c r="C3048">
        <v>4</v>
      </c>
      <c r="D3048">
        <v>4</v>
      </c>
    </row>
    <row r="3049" spans="1:4" x14ac:dyDescent="0.35">
      <c r="A3049">
        <v>1400</v>
      </c>
      <c r="B3049" s="2">
        <v>37762</v>
      </c>
      <c r="C3049">
        <v>5</v>
      </c>
      <c r="D3049">
        <v>5</v>
      </c>
    </row>
    <row r="3050" spans="1:4" x14ac:dyDescent="0.35">
      <c r="A3050">
        <v>1401</v>
      </c>
      <c r="B3050" s="2">
        <v>36524</v>
      </c>
      <c r="C3050">
        <v>6</v>
      </c>
      <c r="D3050">
        <v>6</v>
      </c>
    </row>
    <row r="3051" spans="1:4" x14ac:dyDescent="0.35">
      <c r="A3051">
        <v>1401</v>
      </c>
      <c r="B3051" s="2">
        <v>36676</v>
      </c>
      <c r="C3051">
        <v>3</v>
      </c>
      <c r="D3051">
        <v>3</v>
      </c>
    </row>
    <row r="3052" spans="1:4" x14ac:dyDescent="0.35">
      <c r="A3052">
        <v>1401</v>
      </c>
      <c r="B3052" s="2">
        <v>37041</v>
      </c>
      <c r="C3052">
        <v>3</v>
      </c>
      <c r="D3052">
        <v>3</v>
      </c>
    </row>
    <row r="3053" spans="1:4" x14ac:dyDescent="0.35">
      <c r="A3053">
        <v>1401</v>
      </c>
      <c r="B3053" s="2">
        <v>37185</v>
      </c>
      <c r="C3053">
        <v>4</v>
      </c>
      <c r="D3053">
        <v>4</v>
      </c>
    </row>
    <row r="3054" spans="1:4" x14ac:dyDescent="0.35">
      <c r="A3054">
        <v>1401</v>
      </c>
      <c r="B3054" s="2">
        <v>37397</v>
      </c>
      <c r="C3054">
        <v>4</v>
      </c>
      <c r="D3054">
        <v>4</v>
      </c>
    </row>
    <row r="3055" spans="1:4" x14ac:dyDescent="0.35">
      <c r="A3055">
        <v>1401</v>
      </c>
      <c r="B3055" s="2">
        <v>37529</v>
      </c>
      <c r="C3055">
        <v>5</v>
      </c>
      <c r="D3055">
        <v>5</v>
      </c>
    </row>
    <row r="3056" spans="1:4" x14ac:dyDescent="0.35">
      <c r="A3056">
        <v>1402</v>
      </c>
      <c r="B3056" s="2">
        <v>36362</v>
      </c>
      <c r="C3056">
        <v>6</v>
      </c>
      <c r="D3056">
        <v>6</v>
      </c>
    </row>
    <row r="3057" spans="1:4" x14ac:dyDescent="0.35">
      <c r="A3057">
        <v>1402</v>
      </c>
      <c r="B3057" s="2">
        <v>36368</v>
      </c>
      <c r="C3057">
        <v>5</v>
      </c>
      <c r="D3057">
        <v>5</v>
      </c>
    </row>
    <row r="3058" spans="1:4" x14ac:dyDescent="0.35">
      <c r="A3058">
        <v>1402</v>
      </c>
      <c r="B3058" s="2">
        <v>36676</v>
      </c>
      <c r="C3058">
        <v>7</v>
      </c>
      <c r="D3058">
        <v>7</v>
      </c>
    </row>
    <row r="3059" spans="1:4" x14ac:dyDescent="0.35">
      <c r="A3059">
        <v>1402</v>
      </c>
      <c r="B3059" s="2">
        <v>37620</v>
      </c>
      <c r="C3059">
        <v>8</v>
      </c>
      <c r="D3059">
        <v>8</v>
      </c>
    </row>
    <row r="3060" spans="1:4" x14ac:dyDescent="0.35">
      <c r="A3060">
        <v>1402</v>
      </c>
      <c r="B3060" s="2">
        <v>37620</v>
      </c>
      <c r="C3060">
        <v>0</v>
      </c>
      <c r="D3060">
        <v>8</v>
      </c>
    </row>
    <row r="3061" spans="1:4" x14ac:dyDescent="0.35">
      <c r="A3061">
        <v>1403</v>
      </c>
      <c r="B3061" s="2">
        <v>37255</v>
      </c>
      <c r="C3061">
        <v>5</v>
      </c>
      <c r="D3061">
        <v>5</v>
      </c>
    </row>
    <row r="3062" spans="1:4" x14ac:dyDescent="0.35">
      <c r="A3062">
        <v>1403</v>
      </c>
      <c r="B3062" s="2">
        <v>37397</v>
      </c>
      <c r="C3062">
        <v>6</v>
      </c>
      <c r="D3062">
        <v>6</v>
      </c>
    </row>
    <row r="3063" spans="1:4" x14ac:dyDescent="0.35">
      <c r="A3063">
        <v>1403</v>
      </c>
      <c r="B3063" s="2">
        <v>37406</v>
      </c>
      <c r="C3063">
        <v>7</v>
      </c>
      <c r="D3063">
        <v>7</v>
      </c>
    </row>
    <row r="3064" spans="1:4" x14ac:dyDescent="0.35">
      <c r="A3064">
        <v>1403</v>
      </c>
      <c r="B3064" s="2">
        <v>37406</v>
      </c>
      <c r="C3064">
        <v>7</v>
      </c>
      <c r="D3064">
        <v>7</v>
      </c>
    </row>
    <row r="3065" spans="1:4" x14ac:dyDescent="0.35">
      <c r="A3065">
        <v>1403</v>
      </c>
      <c r="B3065" s="2">
        <v>37559</v>
      </c>
      <c r="C3065">
        <v>7</v>
      </c>
      <c r="D3065">
        <v>7</v>
      </c>
    </row>
    <row r="3066" spans="1:4" x14ac:dyDescent="0.35">
      <c r="A3066">
        <v>1403</v>
      </c>
      <c r="B3066" s="2">
        <v>37590</v>
      </c>
      <c r="C3066">
        <v>6</v>
      </c>
      <c r="D3066">
        <v>6</v>
      </c>
    </row>
    <row r="3067" spans="1:4" x14ac:dyDescent="0.35">
      <c r="A3067">
        <v>1403</v>
      </c>
      <c r="B3067" s="2">
        <v>37620</v>
      </c>
      <c r="C3067">
        <v>8</v>
      </c>
      <c r="D3067">
        <v>8</v>
      </c>
    </row>
    <row r="3068" spans="1:4" x14ac:dyDescent="0.35">
      <c r="A3068">
        <v>1403</v>
      </c>
      <c r="B3068" s="2">
        <v>37762</v>
      </c>
      <c r="C3068">
        <v>0</v>
      </c>
      <c r="D3068">
        <v>8</v>
      </c>
    </row>
    <row r="3069" spans="1:4" x14ac:dyDescent="0.35">
      <c r="A3069">
        <v>1403</v>
      </c>
      <c r="B3069" s="2">
        <v>38290</v>
      </c>
      <c r="C3069">
        <v>7</v>
      </c>
      <c r="D3069">
        <v>8</v>
      </c>
    </row>
    <row r="3070" spans="1:4" x14ac:dyDescent="0.35">
      <c r="A3070">
        <v>1403</v>
      </c>
      <c r="B3070" s="2">
        <v>38686</v>
      </c>
      <c r="C3070">
        <v>6</v>
      </c>
      <c r="D3070">
        <v>8</v>
      </c>
    </row>
    <row r="3071" spans="1:4" x14ac:dyDescent="0.35">
      <c r="A3071">
        <v>1404</v>
      </c>
      <c r="B3071" s="2">
        <v>36301</v>
      </c>
      <c r="C3071">
        <v>6</v>
      </c>
      <c r="D3071">
        <v>6</v>
      </c>
    </row>
    <row r="3072" spans="1:4" x14ac:dyDescent="0.35">
      <c r="A3072">
        <v>1404</v>
      </c>
      <c r="B3072" s="2">
        <v>36310</v>
      </c>
      <c r="C3072">
        <v>6</v>
      </c>
      <c r="D3072">
        <v>6</v>
      </c>
    </row>
    <row r="3073" spans="1:4" x14ac:dyDescent="0.35">
      <c r="A3073">
        <v>1404</v>
      </c>
      <c r="B3073" s="2">
        <v>37529</v>
      </c>
      <c r="C3073">
        <v>6</v>
      </c>
      <c r="D3073">
        <v>6</v>
      </c>
    </row>
    <row r="3074" spans="1:4" x14ac:dyDescent="0.35">
      <c r="A3074">
        <v>1404</v>
      </c>
      <c r="B3074" s="2">
        <v>37620</v>
      </c>
      <c r="C3074">
        <v>7</v>
      </c>
      <c r="D3074">
        <v>7</v>
      </c>
    </row>
    <row r="3075" spans="1:4" x14ac:dyDescent="0.35">
      <c r="A3075">
        <v>1404</v>
      </c>
      <c r="B3075" s="2">
        <v>37955</v>
      </c>
      <c r="C3075">
        <v>7</v>
      </c>
      <c r="D3075">
        <v>7</v>
      </c>
    </row>
    <row r="3076" spans="1:4" x14ac:dyDescent="0.35">
      <c r="A3076">
        <v>1404</v>
      </c>
      <c r="B3076" s="2">
        <v>38290</v>
      </c>
      <c r="C3076">
        <v>0</v>
      </c>
      <c r="D3076">
        <v>0</v>
      </c>
    </row>
    <row r="3077" spans="1:4" x14ac:dyDescent="0.35">
      <c r="A3077">
        <v>1405</v>
      </c>
      <c r="B3077" s="2">
        <v>36364</v>
      </c>
      <c r="C3077">
        <v>2</v>
      </c>
      <c r="D3077">
        <v>2</v>
      </c>
    </row>
    <row r="3078" spans="1:4" x14ac:dyDescent="0.35">
      <c r="A3078">
        <v>1405</v>
      </c>
      <c r="B3078" s="2">
        <v>37762</v>
      </c>
      <c r="C3078">
        <v>2</v>
      </c>
      <c r="D3078">
        <v>2</v>
      </c>
    </row>
    <row r="3079" spans="1:4" x14ac:dyDescent="0.35">
      <c r="A3079">
        <v>1406</v>
      </c>
      <c r="B3079" s="2">
        <v>37255</v>
      </c>
      <c r="C3079">
        <v>3</v>
      </c>
      <c r="D3079">
        <v>3</v>
      </c>
    </row>
    <row r="3080" spans="1:4" x14ac:dyDescent="0.35">
      <c r="A3080">
        <v>1407</v>
      </c>
      <c r="B3080" s="2">
        <v>36820</v>
      </c>
      <c r="C3080">
        <v>2</v>
      </c>
      <c r="D3080">
        <v>2</v>
      </c>
    </row>
    <row r="3081" spans="1:4" x14ac:dyDescent="0.35">
      <c r="A3081">
        <v>1407</v>
      </c>
      <c r="B3081" s="2">
        <v>37771</v>
      </c>
      <c r="C3081">
        <v>2</v>
      </c>
      <c r="D3081">
        <v>2</v>
      </c>
    </row>
    <row r="3082" spans="1:4" x14ac:dyDescent="0.35">
      <c r="A3082">
        <v>1408</v>
      </c>
      <c r="B3082" s="2">
        <v>37397</v>
      </c>
      <c r="C3082">
        <v>6</v>
      </c>
      <c r="D3082">
        <v>6</v>
      </c>
    </row>
    <row r="3083" spans="1:4" x14ac:dyDescent="0.35">
      <c r="A3083">
        <v>1409</v>
      </c>
      <c r="B3083" s="2">
        <v>37032</v>
      </c>
      <c r="C3083">
        <v>2</v>
      </c>
      <c r="D3083">
        <v>2</v>
      </c>
    </row>
    <row r="3084" spans="1:4" x14ac:dyDescent="0.35">
      <c r="A3084">
        <v>1409</v>
      </c>
      <c r="B3084" s="2">
        <v>37559</v>
      </c>
      <c r="C3084">
        <v>2</v>
      </c>
      <c r="D3084">
        <v>2</v>
      </c>
    </row>
    <row r="3085" spans="1:4" x14ac:dyDescent="0.35">
      <c r="A3085">
        <v>1410</v>
      </c>
      <c r="B3085" s="2">
        <v>37164</v>
      </c>
      <c r="C3085">
        <v>2</v>
      </c>
      <c r="D3085">
        <v>2</v>
      </c>
    </row>
    <row r="3086" spans="1:4" x14ac:dyDescent="0.35">
      <c r="A3086">
        <v>1411</v>
      </c>
      <c r="B3086" s="2">
        <v>37559</v>
      </c>
      <c r="C3086">
        <v>6</v>
      </c>
      <c r="D3086">
        <v>6</v>
      </c>
    </row>
    <row r="3087" spans="1:4" x14ac:dyDescent="0.35">
      <c r="A3087">
        <v>1411</v>
      </c>
      <c r="B3087" s="2">
        <v>38351</v>
      </c>
      <c r="C3087">
        <v>5</v>
      </c>
      <c r="D3087">
        <v>5</v>
      </c>
    </row>
    <row r="3088" spans="1:4" x14ac:dyDescent="0.35">
      <c r="A3088">
        <v>1412</v>
      </c>
      <c r="B3088" s="2">
        <v>36310</v>
      </c>
      <c r="C3088">
        <v>4</v>
      </c>
      <c r="D3088">
        <v>4</v>
      </c>
    </row>
    <row r="3089" spans="1:4" x14ac:dyDescent="0.35">
      <c r="A3089">
        <v>1412</v>
      </c>
      <c r="B3089" s="2">
        <v>37255</v>
      </c>
      <c r="C3089">
        <v>4</v>
      </c>
      <c r="D3089">
        <v>4</v>
      </c>
    </row>
    <row r="3090" spans="1:4" x14ac:dyDescent="0.35">
      <c r="A3090">
        <v>1413</v>
      </c>
      <c r="B3090" s="2">
        <v>36667</v>
      </c>
      <c r="C3090">
        <v>4</v>
      </c>
      <c r="D3090">
        <v>4</v>
      </c>
    </row>
    <row r="3091" spans="1:4" x14ac:dyDescent="0.35">
      <c r="A3091">
        <v>1413</v>
      </c>
      <c r="B3091" s="2">
        <v>38128</v>
      </c>
      <c r="C3091">
        <v>4</v>
      </c>
      <c r="D3091">
        <v>4</v>
      </c>
    </row>
    <row r="3092" spans="1:4" x14ac:dyDescent="0.35">
      <c r="A3092">
        <v>1413</v>
      </c>
      <c r="B3092" s="2">
        <v>38137</v>
      </c>
      <c r="C3092">
        <v>5</v>
      </c>
      <c r="D3092">
        <v>5</v>
      </c>
    </row>
    <row r="3093" spans="1:4" x14ac:dyDescent="0.35">
      <c r="A3093">
        <v>1413</v>
      </c>
      <c r="B3093" s="2">
        <v>38686</v>
      </c>
      <c r="C3093">
        <v>4</v>
      </c>
      <c r="D3093">
        <v>4</v>
      </c>
    </row>
    <row r="3094" spans="1:4" x14ac:dyDescent="0.35">
      <c r="A3094">
        <v>1414</v>
      </c>
      <c r="B3094" s="2">
        <v>36524</v>
      </c>
      <c r="C3094">
        <v>4</v>
      </c>
      <c r="D3094">
        <v>4</v>
      </c>
    </row>
    <row r="3095" spans="1:4" x14ac:dyDescent="0.35">
      <c r="A3095">
        <v>1415</v>
      </c>
      <c r="B3095" s="2">
        <v>36301</v>
      </c>
      <c r="C3095">
        <v>5</v>
      </c>
      <c r="D3095">
        <v>5</v>
      </c>
    </row>
    <row r="3096" spans="1:4" x14ac:dyDescent="0.35">
      <c r="A3096">
        <v>1415</v>
      </c>
      <c r="B3096" s="2">
        <v>37894</v>
      </c>
      <c r="C3096">
        <v>6</v>
      </c>
      <c r="D3096">
        <v>6</v>
      </c>
    </row>
    <row r="3097" spans="1:4" x14ac:dyDescent="0.35">
      <c r="A3097">
        <v>1416</v>
      </c>
      <c r="B3097" s="2">
        <v>38347</v>
      </c>
      <c r="C3097">
        <v>3</v>
      </c>
      <c r="D3097">
        <v>3</v>
      </c>
    </row>
    <row r="3098" spans="1:4" x14ac:dyDescent="0.35">
      <c r="A3098">
        <v>1417</v>
      </c>
      <c r="B3098" s="2">
        <v>37831</v>
      </c>
      <c r="C3098">
        <v>6</v>
      </c>
      <c r="D3098">
        <v>6</v>
      </c>
    </row>
    <row r="3099" spans="1:4" x14ac:dyDescent="0.35">
      <c r="A3099">
        <v>1418</v>
      </c>
      <c r="B3099" s="2">
        <v>37400</v>
      </c>
      <c r="C3099">
        <v>2</v>
      </c>
      <c r="D3099">
        <v>2</v>
      </c>
    </row>
    <row r="3100" spans="1:4" x14ac:dyDescent="0.35">
      <c r="A3100">
        <v>1419</v>
      </c>
      <c r="B3100" s="2">
        <v>37041</v>
      </c>
      <c r="C3100">
        <v>2</v>
      </c>
      <c r="D3100">
        <v>2</v>
      </c>
    </row>
    <row r="3101" spans="1:4" x14ac:dyDescent="0.35">
      <c r="A3101">
        <v>1419</v>
      </c>
      <c r="B3101" s="2">
        <v>37559</v>
      </c>
      <c r="C3101">
        <v>4</v>
      </c>
      <c r="D3101">
        <v>4</v>
      </c>
    </row>
    <row r="3102" spans="1:4" x14ac:dyDescent="0.35">
      <c r="A3102">
        <v>1419</v>
      </c>
      <c r="B3102" s="2">
        <v>37620</v>
      </c>
      <c r="C3102">
        <v>3</v>
      </c>
      <c r="D3102">
        <v>3</v>
      </c>
    </row>
    <row r="3103" spans="1:4" x14ac:dyDescent="0.35">
      <c r="A3103">
        <v>1419</v>
      </c>
      <c r="B3103" s="2">
        <v>37620</v>
      </c>
      <c r="C3103">
        <v>4</v>
      </c>
      <c r="D3103">
        <v>4</v>
      </c>
    </row>
    <row r="3104" spans="1:4" x14ac:dyDescent="0.35">
      <c r="A3104">
        <v>1419</v>
      </c>
      <c r="B3104" s="2">
        <v>37620</v>
      </c>
      <c r="C3104">
        <v>5</v>
      </c>
      <c r="D3104">
        <v>5</v>
      </c>
    </row>
    <row r="3105" spans="1:4" x14ac:dyDescent="0.35">
      <c r="A3105">
        <v>1419</v>
      </c>
      <c r="B3105" s="2">
        <v>37620</v>
      </c>
      <c r="C3105">
        <v>6</v>
      </c>
      <c r="D3105">
        <v>6</v>
      </c>
    </row>
    <row r="3106" spans="1:4" x14ac:dyDescent="0.35">
      <c r="A3106">
        <v>1419</v>
      </c>
      <c r="B3106" s="2">
        <v>38134</v>
      </c>
      <c r="C3106">
        <v>5</v>
      </c>
      <c r="D3106">
        <v>5</v>
      </c>
    </row>
    <row r="3107" spans="1:4" x14ac:dyDescent="0.35">
      <c r="A3107">
        <v>1420</v>
      </c>
      <c r="B3107" s="2">
        <v>36524</v>
      </c>
      <c r="C3107">
        <v>3</v>
      </c>
      <c r="D3107">
        <v>3</v>
      </c>
    </row>
    <row r="3108" spans="1:4" x14ac:dyDescent="0.35">
      <c r="A3108">
        <v>1421</v>
      </c>
      <c r="B3108" s="2">
        <v>37771</v>
      </c>
      <c r="C3108">
        <v>0</v>
      </c>
      <c r="D3108">
        <v>0</v>
      </c>
    </row>
    <row r="3109" spans="1:4" x14ac:dyDescent="0.35">
      <c r="A3109">
        <v>1422</v>
      </c>
      <c r="B3109" s="2">
        <v>36524</v>
      </c>
      <c r="C3109">
        <v>3</v>
      </c>
      <c r="D3109">
        <v>3</v>
      </c>
    </row>
    <row r="3110" spans="1:4" x14ac:dyDescent="0.35">
      <c r="A3110">
        <v>1422</v>
      </c>
      <c r="B3110" s="2">
        <v>36667</v>
      </c>
      <c r="C3110">
        <v>0</v>
      </c>
      <c r="D3110">
        <v>0</v>
      </c>
    </row>
    <row r="3111" spans="1:4" x14ac:dyDescent="0.35">
      <c r="A3111">
        <v>1423</v>
      </c>
      <c r="B3111" s="2">
        <v>36667</v>
      </c>
      <c r="C3111">
        <v>0</v>
      </c>
      <c r="D3111">
        <v>0</v>
      </c>
    </row>
    <row r="3112" spans="1:4" x14ac:dyDescent="0.35">
      <c r="A3112">
        <v>1424</v>
      </c>
      <c r="B3112" s="2">
        <v>36890</v>
      </c>
      <c r="C3112">
        <v>7</v>
      </c>
      <c r="D3112">
        <v>7</v>
      </c>
    </row>
    <row r="3113" spans="1:4" x14ac:dyDescent="0.35">
      <c r="A3113">
        <v>1424</v>
      </c>
      <c r="B3113" s="2">
        <v>36890</v>
      </c>
      <c r="C3113">
        <v>8</v>
      </c>
      <c r="D3113">
        <v>8</v>
      </c>
    </row>
    <row r="3114" spans="1:4" x14ac:dyDescent="0.35">
      <c r="A3114">
        <v>1424</v>
      </c>
      <c r="B3114" s="2">
        <v>37185</v>
      </c>
      <c r="C3114">
        <v>0</v>
      </c>
      <c r="D3114">
        <v>8</v>
      </c>
    </row>
    <row r="3115" spans="1:4" x14ac:dyDescent="0.35">
      <c r="A3115">
        <v>1425</v>
      </c>
      <c r="B3115" s="2">
        <v>36676</v>
      </c>
      <c r="C3115">
        <v>3</v>
      </c>
      <c r="D3115">
        <v>3</v>
      </c>
    </row>
    <row r="3116" spans="1:4" x14ac:dyDescent="0.35">
      <c r="A3116">
        <v>1425</v>
      </c>
      <c r="B3116" s="2">
        <v>37397</v>
      </c>
      <c r="C3116">
        <v>4</v>
      </c>
      <c r="D3116">
        <v>4</v>
      </c>
    </row>
    <row r="3117" spans="1:4" x14ac:dyDescent="0.35">
      <c r="A3117">
        <v>1426</v>
      </c>
      <c r="B3117" s="2">
        <v>37771</v>
      </c>
      <c r="C3117">
        <v>0</v>
      </c>
      <c r="D3117">
        <v>0</v>
      </c>
    </row>
    <row r="3118" spans="1:4" x14ac:dyDescent="0.35">
      <c r="A3118">
        <v>1427</v>
      </c>
      <c r="B3118" s="2">
        <v>36820</v>
      </c>
      <c r="C3118">
        <v>6</v>
      </c>
      <c r="D3118">
        <v>6</v>
      </c>
    </row>
    <row r="3119" spans="1:4" x14ac:dyDescent="0.35">
      <c r="A3119">
        <v>1427</v>
      </c>
      <c r="B3119" s="2">
        <v>37255</v>
      </c>
      <c r="C3119">
        <v>6</v>
      </c>
      <c r="D3119">
        <v>6</v>
      </c>
    </row>
    <row r="3120" spans="1:4" x14ac:dyDescent="0.35">
      <c r="A3120">
        <v>1427</v>
      </c>
      <c r="B3120" s="2">
        <v>38168</v>
      </c>
      <c r="C3120">
        <v>7</v>
      </c>
      <c r="D3120">
        <v>7</v>
      </c>
    </row>
    <row r="3121" spans="1:4" x14ac:dyDescent="0.35">
      <c r="A3121">
        <v>1427</v>
      </c>
      <c r="B3121" s="2">
        <v>38351</v>
      </c>
      <c r="C3121">
        <v>6</v>
      </c>
      <c r="D3121">
        <v>6</v>
      </c>
    </row>
    <row r="3122" spans="1:4" x14ac:dyDescent="0.35">
      <c r="A3122">
        <v>1428</v>
      </c>
      <c r="B3122" s="2">
        <v>36890</v>
      </c>
      <c r="C3122">
        <v>5</v>
      </c>
      <c r="D3122">
        <v>5</v>
      </c>
    </row>
    <row r="3123" spans="1:4" x14ac:dyDescent="0.35">
      <c r="A3123">
        <v>1428</v>
      </c>
      <c r="B3123" s="2">
        <v>36890</v>
      </c>
      <c r="C3123">
        <v>8</v>
      </c>
      <c r="D3123">
        <v>8</v>
      </c>
    </row>
    <row r="3124" spans="1:4" x14ac:dyDescent="0.35">
      <c r="A3124">
        <v>1429</v>
      </c>
      <c r="B3124" s="2">
        <v>37771</v>
      </c>
      <c r="C3124">
        <v>5</v>
      </c>
      <c r="D3124">
        <v>5</v>
      </c>
    </row>
    <row r="3125" spans="1:4" x14ac:dyDescent="0.35">
      <c r="A3125">
        <v>1430</v>
      </c>
      <c r="B3125" s="2">
        <v>37762</v>
      </c>
      <c r="C3125">
        <v>3</v>
      </c>
      <c r="D3125">
        <v>3</v>
      </c>
    </row>
    <row r="3126" spans="1:4" x14ac:dyDescent="0.35">
      <c r="A3126">
        <v>1431</v>
      </c>
      <c r="B3126" s="2">
        <v>37036</v>
      </c>
      <c r="C3126">
        <v>4</v>
      </c>
      <c r="D3126">
        <v>4</v>
      </c>
    </row>
    <row r="3127" spans="1:4" x14ac:dyDescent="0.35">
      <c r="A3127">
        <v>1431</v>
      </c>
      <c r="B3127" s="2">
        <v>37102</v>
      </c>
      <c r="C3127">
        <v>7</v>
      </c>
      <c r="D3127">
        <v>7</v>
      </c>
    </row>
    <row r="3128" spans="1:4" x14ac:dyDescent="0.35">
      <c r="A3128">
        <v>1431</v>
      </c>
      <c r="B3128" s="2">
        <v>37977</v>
      </c>
      <c r="C3128">
        <v>5</v>
      </c>
      <c r="D3128">
        <v>5</v>
      </c>
    </row>
    <row r="3129" spans="1:4" x14ac:dyDescent="0.35">
      <c r="A3129">
        <v>1431</v>
      </c>
      <c r="B3129" s="2">
        <v>37985</v>
      </c>
      <c r="C3129">
        <v>6</v>
      </c>
      <c r="D3129">
        <v>6</v>
      </c>
    </row>
    <row r="3130" spans="1:4" x14ac:dyDescent="0.35">
      <c r="A3130">
        <v>1431</v>
      </c>
      <c r="B3130" s="2">
        <v>38128</v>
      </c>
      <c r="C3130">
        <v>4</v>
      </c>
      <c r="D3130">
        <v>4</v>
      </c>
    </row>
    <row r="3131" spans="1:4" x14ac:dyDescent="0.35">
      <c r="A3131">
        <v>1431</v>
      </c>
      <c r="B3131" s="2">
        <v>38493</v>
      </c>
      <c r="C3131">
        <v>4</v>
      </c>
      <c r="D3131">
        <v>4</v>
      </c>
    </row>
    <row r="3132" spans="1:4" x14ac:dyDescent="0.35">
      <c r="A3132">
        <v>1432</v>
      </c>
      <c r="B3132" s="2">
        <v>37041</v>
      </c>
      <c r="C3132">
        <v>4</v>
      </c>
      <c r="D3132">
        <v>4</v>
      </c>
    </row>
    <row r="3133" spans="1:4" x14ac:dyDescent="0.35">
      <c r="A3133">
        <v>1432</v>
      </c>
      <c r="B3133" s="2">
        <v>37406</v>
      </c>
      <c r="C3133">
        <v>4</v>
      </c>
      <c r="D3133">
        <v>4</v>
      </c>
    </row>
    <row r="3134" spans="1:4" x14ac:dyDescent="0.35">
      <c r="A3134">
        <v>1432</v>
      </c>
      <c r="B3134" s="2">
        <v>37406</v>
      </c>
      <c r="C3134">
        <v>5</v>
      </c>
      <c r="D3134">
        <v>5</v>
      </c>
    </row>
    <row r="3135" spans="1:4" x14ac:dyDescent="0.35">
      <c r="A3135">
        <v>1432</v>
      </c>
      <c r="B3135" s="2">
        <v>37406</v>
      </c>
      <c r="C3135">
        <v>6</v>
      </c>
      <c r="D3135">
        <v>6</v>
      </c>
    </row>
    <row r="3136" spans="1:4" x14ac:dyDescent="0.35">
      <c r="A3136">
        <v>1432</v>
      </c>
      <c r="B3136" s="2">
        <v>37520</v>
      </c>
      <c r="C3136">
        <v>4</v>
      </c>
      <c r="D3136">
        <v>4</v>
      </c>
    </row>
    <row r="3137" spans="1:4" x14ac:dyDescent="0.35">
      <c r="A3137">
        <v>1432</v>
      </c>
      <c r="B3137" s="2">
        <v>37985</v>
      </c>
      <c r="C3137">
        <v>6</v>
      </c>
      <c r="D3137">
        <v>6</v>
      </c>
    </row>
    <row r="3138" spans="1:4" x14ac:dyDescent="0.35">
      <c r="A3138">
        <v>1432</v>
      </c>
      <c r="B3138" s="2">
        <v>38135</v>
      </c>
      <c r="C3138">
        <v>5</v>
      </c>
      <c r="D3138">
        <v>5</v>
      </c>
    </row>
    <row r="3139" spans="1:4" x14ac:dyDescent="0.35">
      <c r="A3139">
        <v>1432</v>
      </c>
      <c r="B3139" s="2">
        <v>38223</v>
      </c>
      <c r="C3139">
        <v>3</v>
      </c>
      <c r="D3139">
        <v>3</v>
      </c>
    </row>
    <row r="3140" spans="1:4" x14ac:dyDescent="0.35">
      <c r="A3140">
        <v>1433</v>
      </c>
      <c r="B3140" s="2">
        <v>37406</v>
      </c>
      <c r="C3140">
        <v>0</v>
      </c>
      <c r="D3140">
        <v>0</v>
      </c>
    </row>
    <row r="3141" spans="1:4" x14ac:dyDescent="0.35">
      <c r="A3141">
        <v>1434</v>
      </c>
      <c r="B3141" s="2">
        <v>37406</v>
      </c>
      <c r="C3141">
        <v>4</v>
      </c>
      <c r="D3141">
        <v>4</v>
      </c>
    </row>
    <row r="3142" spans="1:4" x14ac:dyDescent="0.35">
      <c r="A3142">
        <v>1434</v>
      </c>
      <c r="B3142" s="2">
        <v>37458</v>
      </c>
      <c r="C3142">
        <v>5</v>
      </c>
      <c r="D3142">
        <v>5</v>
      </c>
    </row>
    <row r="3143" spans="1:4" x14ac:dyDescent="0.35">
      <c r="A3143">
        <v>1434</v>
      </c>
      <c r="B3143" s="2">
        <v>37529</v>
      </c>
      <c r="C3143">
        <v>4</v>
      </c>
      <c r="D3143">
        <v>4</v>
      </c>
    </row>
    <row r="3144" spans="1:4" x14ac:dyDescent="0.35">
      <c r="A3144">
        <v>1434</v>
      </c>
      <c r="B3144" s="2">
        <v>37559</v>
      </c>
      <c r="C3144">
        <v>3</v>
      </c>
      <c r="D3144">
        <v>3</v>
      </c>
    </row>
    <row r="3145" spans="1:4" x14ac:dyDescent="0.35">
      <c r="A3145">
        <v>1435</v>
      </c>
      <c r="B3145" s="2">
        <v>37216</v>
      </c>
      <c r="C3145">
        <v>4</v>
      </c>
      <c r="D3145">
        <v>4</v>
      </c>
    </row>
    <row r="3146" spans="1:4" x14ac:dyDescent="0.35">
      <c r="A3146">
        <v>1436</v>
      </c>
      <c r="B3146" s="2">
        <v>36768</v>
      </c>
      <c r="C3146">
        <v>0</v>
      </c>
      <c r="D3146">
        <v>0</v>
      </c>
    </row>
    <row r="3147" spans="1:4" x14ac:dyDescent="0.35">
      <c r="A3147">
        <v>1437</v>
      </c>
      <c r="B3147" s="2">
        <v>36524</v>
      </c>
      <c r="C3147">
        <v>2</v>
      </c>
      <c r="D3147">
        <v>2</v>
      </c>
    </row>
    <row r="3148" spans="1:4" x14ac:dyDescent="0.35">
      <c r="A3148">
        <v>1437</v>
      </c>
      <c r="B3148" s="2">
        <v>37832</v>
      </c>
      <c r="C3148">
        <v>3</v>
      </c>
      <c r="D3148">
        <v>3</v>
      </c>
    </row>
    <row r="3149" spans="1:4" x14ac:dyDescent="0.35">
      <c r="A3149">
        <v>1437</v>
      </c>
      <c r="B3149" s="2">
        <v>38251</v>
      </c>
      <c r="C3149">
        <v>3</v>
      </c>
      <c r="D3149">
        <v>3</v>
      </c>
    </row>
    <row r="3150" spans="1:4" x14ac:dyDescent="0.35">
      <c r="A3150">
        <v>1438</v>
      </c>
      <c r="B3150" s="2">
        <v>36790</v>
      </c>
      <c r="C3150">
        <v>4</v>
      </c>
      <c r="D3150">
        <v>4</v>
      </c>
    </row>
    <row r="3151" spans="1:4" x14ac:dyDescent="0.35">
      <c r="A3151">
        <v>1439</v>
      </c>
      <c r="B3151" s="2">
        <v>36310</v>
      </c>
      <c r="C3151">
        <v>6</v>
      </c>
      <c r="D3151">
        <v>6</v>
      </c>
    </row>
    <row r="3152" spans="1:4" x14ac:dyDescent="0.35">
      <c r="A3152">
        <v>1439</v>
      </c>
      <c r="B3152" s="2">
        <v>36310</v>
      </c>
      <c r="C3152">
        <v>6</v>
      </c>
      <c r="D3152">
        <v>6</v>
      </c>
    </row>
    <row r="3153" spans="1:4" x14ac:dyDescent="0.35">
      <c r="A3153">
        <v>1439</v>
      </c>
      <c r="B3153" s="2">
        <v>36667</v>
      </c>
      <c r="C3153">
        <v>5</v>
      </c>
      <c r="D3153">
        <v>5</v>
      </c>
    </row>
    <row r="3154" spans="1:4" x14ac:dyDescent="0.35">
      <c r="A3154">
        <v>1439</v>
      </c>
      <c r="B3154" s="2">
        <v>36799</v>
      </c>
      <c r="C3154">
        <v>6</v>
      </c>
      <c r="D3154">
        <v>6</v>
      </c>
    </row>
    <row r="3155" spans="1:4" x14ac:dyDescent="0.35">
      <c r="A3155">
        <v>1439</v>
      </c>
      <c r="B3155" s="2">
        <v>37033</v>
      </c>
      <c r="C3155">
        <v>5</v>
      </c>
      <c r="D3155">
        <v>5</v>
      </c>
    </row>
    <row r="3156" spans="1:4" x14ac:dyDescent="0.35">
      <c r="A3156">
        <v>1440</v>
      </c>
      <c r="B3156" s="2">
        <v>36728</v>
      </c>
      <c r="C3156">
        <v>7</v>
      </c>
      <c r="D3156">
        <v>7</v>
      </c>
    </row>
    <row r="3157" spans="1:4" x14ac:dyDescent="0.35">
      <c r="A3157">
        <v>1440</v>
      </c>
      <c r="B3157" s="2">
        <v>37041</v>
      </c>
      <c r="C3157">
        <v>8</v>
      </c>
      <c r="D3157">
        <v>8</v>
      </c>
    </row>
    <row r="3158" spans="1:4" x14ac:dyDescent="0.35">
      <c r="A3158">
        <v>1440</v>
      </c>
      <c r="B3158" s="2">
        <v>37185</v>
      </c>
      <c r="C3158">
        <v>0</v>
      </c>
      <c r="D3158">
        <v>8</v>
      </c>
    </row>
    <row r="3159" spans="1:4" x14ac:dyDescent="0.35">
      <c r="A3159">
        <v>1441</v>
      </c>
      <c r="B3159" s="2">
        <v>36734</v>
      </c>
      <c r="C3159">
        <v>2</v>
      </c>
      <c r="D3159">
        <v>2</v>
      </c>
    </row>
    <row r="3160" spans="1:4" x14ac:dyDescent="0.35">
      <c r="A3160">
        <v>1441</v>
      </c>
      <c r="B3160" s="2">
        <v>37255</v>
      </c>
      <c r="C3160">
        <v>2</v>
      </c>
      <c r="D3160">
        <v>2</v>
      </c>
    </row>
    <row r="3161" spans="1:4" x14ac:dyDescent="0.35">
      <c r="A3161">
        <v>1442</v>
      </c>
      <c r="B3161" s="2">
        <v>37255</v>
      </c>
      <c r="C3161">
        <v>3</v>
      </c>
      <c r="D3161">
        <v>3</v>
      </c>
    </row>
    <row r="3162" spans="1:4" x14ac:dyDescent="0.35">
      <c r="A3162">
        <v>1442</v>
      </c>
      <c r="B3162" s="2">
        <v>37529</v>
      </c>
      <c r="C3162">
        <v>4</v>
      </c>
      <c r="D3162">
        <v>4</v>
      </c>
    </row>
    <row r="3163" spans="1:4" x14ac:dyDescent="0.35">
      <c r="A3163">
        <v>1442</v>
      </c>
      <c r="B3163" s="2">
        <v>38128</v>
      </c>
      <c r="C3163">
        <v>4</v>
      </c>
      <c r="D3163">
        <v>4</v>
      </c>
    </row>
    <row r="3164" spans="1:4" x14ac:dyDescent="0.35">
      <c r="A3164">
        <v>1443</v>
      </c>
      <c r="B3164" s="2">
        <v>37620</v>
      </c>
      <c r="C3164">
        <v>4</v>
      </c>
      <c r="D3164">
        <v>4</v>
      </c>
    </row>
    <row r="3165" spans="1:4" x14ac:dyDescent="0.35">
      <c r="A3165">
        <v>1444</v>
      </c>
      <c r="B3165" s="2">
        <v>36301</v>
      </c>
      <c r="C3165">
        <v>4</v>
      </c>
      <c r="D3165">
        <v>4</v>
      </c>
    </row>
    <row r="3166" spans="1:4" x14ac:dyDescent="0.35">
      <c r="A3166">
        <v>1444</v>
      </c>
      <c r="B3166" s="2">
        <v>37397</v>
      </c>
      <c r="C3166">
        <v>5</v>
      </c>
      <c r="D3166">
        <v>5</v>
      </c>
    </row>
    <row r="3167" spans="1:4" x14ac:dyDescent="0.35">
      <c r="A3167">
        <v>1444</v>
      </c>
      <c r="B3167" s="2">
        <v>37769</v>
      </c>
      <c r="C3167">
        <v>4</v>
      </c>
      <c r="D3167">
        <v>4</v>
      </c>
    </row>
    <row r="3168" spans="1:4" x14ac:dyDescent="0.35">
      <c r="A3168">
        <v>1445</v>
      </c>
      <c r="B3168" s="2">
        <v>36310</v>
      </c>
      <c r="C3168">
        <v>3</v>
      </c>
      <c r="D3168">
        <v>3</v>
      </c>
    </row>
    <row r="3169" spans="1:4" x14ac:dyDescent="0.35">
      <c r="A3169">
        <v>1445</v>
      </c>
      <c r="B3169" s="2">
        <v>36860</v>
      </c>
      <c r="C3169">
        <v>2</v>
      </c>
      <c r="D3169">
        <v>2</v>
      </c>
    </row>
    <row r="3170" spans="1:4" x14ac:dyDescent="0.35">
      <c r="A3170">
        <v>1446</v>
      </c>
      <c r="B3170" s="2">
        <v>36676</v>
      </c>
      <c r="C3170">
        <v>7</v>
      </c>
      <c r="D3170">
        <v>7</v>
      </c>
    </row>
    <row r="3171" spans="1:4" x14ac:dyDescent="0.35">
      <c r="A3171">
        <v>1446</v>
      </c>
      <c r="B3171" s="2">
        <v>36737</v>
      </c>
      <c r="C3171">
        <v>7</v>
      </c>
      <c r="D3171">
        <v>7</v>
      </c>
    </row>
    <row r="3172" spans="1:4" x14ac:dyDescent="0.35">
      <c r="A3172">
        <v>1446</v>
      </c>
      <c r="B3172" s="2">
        <v>37032</v>
      </c>
      <c r="C3172">
        <v>0</v>
      </c>
      <c r="D3172">
        <v>0</v>
      </c>
    </row>
    <row r="3173" spans="1:4" x14ac:dyDescent="0.35">
      <c r="A3173">
        <v>1447</v>
      </c>
      <c r="B3173" s="2">
        <v>37133</v>
      </c>
      <c r="C3173">
        <v>0</v>
      </c>
      <c r="D3173">
        <v>0</v>
      </c>
    </row>
    <row r="3174" spans="1:4" x14ac:dyDescent="0.35">
      <c r="A3174">
        <v>1448</v>
      </c>
      <c r="B3174" s="2">
        <v>36362</v>
      </c>
      <c r="C3174">
        <v>7</v>
      </c>
      <c r="D3174">
        <v>7</v>
      </c>
    </row>
    <row r="3175" spans="1:4" x14ac:dyDescent="0.35">
      <c r="A3175">
        <v>1448</v>
      </c>
      <c r="B3175" s="2">
        <v>38168</v>
      </c>
      <c r="C3175">
        <v>6</v>
      </c>
      <c r="D3175">
        <v>6</v>
      </c>
    </row>
    <row r="3176" spans="1:4" x14ac:dyDescent="0.35">
      <c r="A3176">
        <v>1449</v>
      </c>
      <c r="B3176" s="2">
        <v>36676</v>
      </c>
      <c r="C3176">
        <v>4</v>
      </c>
      <c r="D3176">
        <v>4</v>
      </c>
    </row>
    <row r="3177" spans="1:4" x14ac:dyDescent="0.35">
      <c r="A3177">
        <v>1449</v>
      </c>
      <c r="B3177" s="2">
        <v>37559</v>
      </c>
      <c r="C3177">
        <v>4</v>
      </c>
      <c r="D3177">
        <v>4</v>
      </c>
    </row>
    <row r="3178" spans="1:4" x14ac:dyDescent="0.35">
      <c r="A3178">
        <v>1449</v>
      </c>
      <c r="B3178" s="2">
        <v>37620</v>
      </c>
      <c r="C3178">
        <v>0</v>
      </c>
      <c r="D3178">
        <v>0</v>
      </c>
    </row>
    <row r="3179" spans="1:4" x14ac:dyDescent="0.35">
      <c r="A3179">
        <v>1450</v>
      </c>
      <c r="B3179" s="2">
        <v>38229</v>
      </c>
      <c r="C3179">
        <v>0</v>
      </c>
      <c r="D3179">
        <v>0</v>
      </c>
    </row>
    <row r="3180" spans="1:4" x14ac:dyDescent="0.35">
      <c r="A3180">
        <v>1451</v>
      </c>
      <c r="B3180" s="2">
        <v>36524</v>
      </c>
      <c r="C3180">
        <v>6</v>
      </c>
      <c r="D3180">
        <v>6</v>
      </c>
    </row>
    <row r="3181" spans="1:4" x14ac:dyDescent="0.35">
      <c r="A3181">
        <v>1451</v>
      </c>
      <c r="B3181" s="2">
        <v>37032</v>
      </c>
      <c r="C3181">
        <v>6</v>
      </c>
      <c r="D3181">
        <v>6</v>
      </c>
    </row>
    <row r="3182" spans="1:4" x14ac:dyDescent="0.35">
      <c r="A3182">
        <v>1451</v>
      </c>
      <c r="B3182" s="2">
        <v>37397</v>
      </c>
      <c r="C3182">
        <v>7</v>
      </c>
      <c r="D3182">
        <v>7</v>
      </c>
    </row>
    <row r="3183" spans="1:4" x14ac:dyDescent="0.35">
      <c r="A3183">
        <v>1451</v>
      </c>
      <c r="B3183" s="2">
        <v>38137</v>
      </c>
      <c r="C3183">
        <v>0</v>
      </c>
      <c r="D3183">
        <v>0</v>
      </c>
    </row>
    <row r="3184" spans="1:4" x14ac:dyDescent="0.35">
      <c r="A3184">
        <v>1452</v>
      </c>
      <c r="B3184" s="2">
        <v>37034</v>
      </c>
      <c r="C3184">
        <v>3</v>
      </c>
      <c r="D3184">
        <v>3</v>
      </c>
    </row>
    <row r="3185" spans="1:4" x14ac:dyDescent="0.35">
      <c r="A3185">
        <v>1452</v>
      </c>
      <c r="B3185" s="2">
        <v>38128</v>
      </c>
      <c r="C3185">
        <v>3</v>
      </c>
      <c r="D3185">
        <v>3</v>
      </c>
    </row>
    <row r="3186" spans="1:4" x14ac:dyDescent="0.35">
      <c r="A3186">
        <v>1453</v>
      </c>
      <c r="B3186" s="2">
        <v>37832</v>
      </c>
      <c r="C3186">
        <v>0</v>
      </c>
      <c r="D3186">
        <v>0</v>
      </c>
    </row>
    <row r="3187" spans="1:4" x14ac:dyDescent="0.35">
      <c r="A3187">
        <v>1454</v>
      </c>
      <c r="B3187" s="2">
        <v>36301</v>
      </c>
      <c r="C3187">
        <v>0</v>
      </c>
      <c r="D3187">
        <v>0</v>
      </c>
    </row>
    <row r="3188" spans="1:4" x14ac:dyDescent="0.35">
      <c r="A3188">
        <v>1454</v>
      </c>
      <c r="B3188" s="2">
        <v>37771</v>
      </c>
      <c r="C3188">
        <v>8</v>
      </c>
      <c r="D3188">
        <v>8</v>
      </c>
    </row>
    <row r="3189" spans="1:4" x14ac:dyDescent="0.35">
      <c r="A3189">
        <v>1454</v>
      </c>
      <c r="B3189" s="2">
        <v>37985</v>
      </c>
      <c r="C3189">
        <v>7</v>
      </c>
      <c r="D3189">
        <v>8</v>
      </c>
    </row>
    <row r="3190" spans="1:4" x14ac:dyDescent="0.35">
      <c r="A3190">
        <v>1454</v>
      </c>
      <c r="B3190" s="2">
        <v>38137</v>
      </c>
      <c r="C3190">
        <v>0</v>
      </c>
      <c r="D3190">
        <v>8</v>
      </c>
    </row>
    <row r="3191" spans="1:4" x14ac:dyDescent="0.35">
      <c r="A3191">
        <v>1455</v>
      </c>
      <c r="B3191" s="2">
        <v>36667</v>
      </c>
      <c r="C3191">
        <v>0</v>
      </c>
      <c r="D3191">
        <v>0</v>
      </c>
    </row>
    <row r="3192" spans="1:4" x14ac:dyDescent="0.35">
      <c r="A3192">
        <v>1456</v>
      </c>
      <c r="B3192" s="2">
        <v>36494</v>
      </c>
      <c r="C3192">
        <v>3</v>
      </c>
      <c r="D3192">
        <v>3</v>
      </c>
    </row>
    <row r="3193" spans="1:4" x14ac:dyDescent="0.35">
      <c r="A3193">
        <v>1456</v>
      </c>
      <c r="B3193" s="2">
        <v>37255</v>
      </c>
      <c r="C3193">
        <v>4</v>
      </c>
      <c r="D3193">
        <v>4</v>
      </c>
    </row>
    <row r="3194" spans="1:4" x14ac:dyDescent="0.35">
      <c r="A3194">
        <v>1457</v>
      </c>
      <c r="B3194" s="2">
        <v>36524</v>
      </c>
      <c r="C3194">
        <v>3</v>
      </c>
      <c r="D3194">
        <v>3</v>
      </c>
    </row>
    <row r="3195" spans="1:4" x14ac:dyDescent="0.35">
      <c r="A3195">
        <v>1457</v>
      </c>
      <c r="B3195" s="2">
        <v>36676</v>
      </c>
      <c r="C3195">
        <v>4</v>
      </c>
      <c r="D3195">
        <v>4</v>
      </c>
    </row>
    <row r="3196" spans="1:4" x14ac:dyDescent="0.35">
      <c r="A3196">
        <v>1457</v>
      </c>
      <c r="B3196" s="2">
        <v>36820</v>
      </c>
      <c r="C3196">
        <v>4</v>
      </c>
      <c r="D3196">
        <v>4</v>
      </c>
    </row>
    <row r="3197" spans="1:4" x14ac:dyDescent="0.35">
      <c r="A3197">
        <v>1457</v>
      </c>
      <c r="B3197" s="2">
        <v>37032</v>
      </c>
      <c r="C3197">
        <v>5</v>
      </c>
      <c r="D3197">
        <v>5</v>
      </c>
    </row>
    <row r="3198" spans="1:4" x14ac:dyDescent="0.35">
      <c r="A3198">
        <v>1457</v>
      </c>
      <c r="B3198" s="2">
        <v>37400</v>
      </c>
      <c r="C3198">
        <v>5</v>
      </c>
      <c r="D3198">
        <v>5</v>
      </c>
    </row>
    <row r="3199" spans="1:4" x14ac:dyDescent="0.35">
      <c r="A3199">
        <v>1457</v>
      </c>
      <c r="B3199" s="2">
        <v>38137</v>
      </c>
      <c r="C3199">
        <v>5</v>
      </c>
      <c r="D3199">
        <v>5</v>
      </c>
    </row>
    <row r="3200" spans="1:4" x14ac:dyDescent="0.35">
      <c r="A3200">
        <v>1457</v>
      </c>
      <c r="B3200" s="2">
        <v>38493</v>
      </c>
      <c r="C3200">
        <v>5</v>
      </c>
      <c r="D3200">
        <v>5</v>
      </c>
    </row>
    <row r="3201" spans="1:4" x14ac:dyDescent="0.35">
      <c r="A3201">
        <v>1458</v>
      </c>
      <c r="B3201" s="2">
        <v>36463</v>
      </c>
      <c r="C3201">
        <v>3</v>
      </c>
      <c r="D3201">
        <v>3</v>
      </c>
    </row>
    <row r="3202" spans="1:4" x14ac:dyDescent="0.35">
      <c r="A3202">
        <v>1458</v>
      </c>
      <c r="B3202" s="2">
        <v>38128</v>
      </c>
      <c r="C3202">
        <v>4</v>
      </c>
      <c r="D3202">
        <v>4</v>
      </c>
    </row>
    <row r="3203" spans="1:4" x14ac:dyDescent="0.35">
      <c r="A3203">
        <v>1459</v>
      </c>
      <c r="B3203" s="2">
        <v>36515</v>
      </c>
      <c r="C3203">
        <v>1</v>
      </c>
      <c r="D3203">
        <v>1</v>
      </c>
    </row>
    <row r="3204" spans="1:4" x14ac:dyDescent="0.35">
      <c r="A3204">
        <v>1459</v>
      </c>
      <c r="B3204" s="2">
        <v>37823</v>
      </c>
      <c r="C3204">
        <v>0</v>
      </c>
      <c r="D3204">
        <v>0</v>
      </c>
    </row>
    <row r="3205" spans="1:4" x14ac:dyDescent="0.35">
      <c r="A3205">
        <v>1460</v>
      </c>
      <c r="B3205" s="2">
        <v>36524</v>
      </c>
      <c r="C3205">
        <v>4</v>
      </c>
      <c r="D3205">
        <v>4</v>
      </c>
    </row>
    <row r="3206" spans="1:4" x14ac:dyDescent="0.35">
      <c r="A3206">
        <v>1460</v>
      </c>
      <c r="B3206" s="2">
        <v>37397</v>
      </c>
      <c r="C3206">
        <v>4</v>
      </c>
      <c r="D3206">
        <v>4</v>
      </c>
    </row>
    <row r="3207" spans="1:4" x14ac:dyDescent="0.35">
      <c r="A3207">
        <v>1460</v>
      </c>
      <c r="B3207" s="2">
        <v>37552</v>
      </c>
      <c r="C3207">
        <v>0</v>
      </c>
      <c r="D3207">
        <v>0</v>
      </c>
    </row>
    <row r="3208" spans="1:4" x14ac:dyDescent="0.35">
      <c r="A3208">
        <v>1461</v>
      </c>
      <c r="B3208" s="2">
        <v>37771</v>
      </c>
      <c r="C3208">
        <v>4</v>
      </c>
      <c r="D3208">
        <v>4</v>
      </c>
    </row>
    <row r="3209" spans="1:4" x14ac:dyDescent="0.35">
      <c r="A3209">
        <v>1462</v>
      </c>
      <c r="B3209" s="2">
        <v>36759</v>
      </c>
      <c r="C3209">
        <v>4</v>
      </c>
      <c r="D3209">
        <v>4</v>
      </c>
    </row>
    <row r="3210" spans="1:4" x14ac:dyDescent="0.35">
      <c r="A3210">
        <v>1463</v>
      </c>
      <c r="B3210" s="2">
        <v>36698</v>
      </c>
      <c r="C3210">
        <v>3</v>
      </c>
      <c r="D3210">
        <v>3</v>
      </c>
    </row>
    <row r="3211" spans="1:4" x14ac:dyDescent="0.35">
      <c r="A3211">
        <v>1464</v>
      </c>
      <c r="B3211" s="2">
        <v>36310</v>
      </c>
      <c r="C3211">
        <v>5</v>
      </c>
      <c r="D3211">
        <v>5</v>
      </c>
    </row>
    <row r="3212" spans="1:4" x14ac:dyDescent="0.35">
      <c r="A3212">
        <v>1464</v>
      </c>
      <c r="B3212" s="2">
        <v>36393</v>
      </c>
      <c r="C3212">
        <v>4</v>
      </c>
      <c r="D3212">
        <v>4</v>
      </c>
    </row>
    <row r="3213" spans="1:4" x14ac:dyDescent="0.35">
      <c r="A3213">
        <v>1464</v>
      </c>
      <c r="B3213" s="2">
        <v>36698</v>
      </c>
      <c r="C3213">
        <v>4</v>
      </c>
      <c r="D3213">
        <v>4</v>
      </c>
    </row>
    <row r="3214" spans="1:4" x14ac:dyDescent="0.35">
      <c r="A3214">
        <v>1464</v>
      </c>
      <c r="B3214" s="2">
        <v>37157</v>
      </c>
      <c r="C3214">
        <v>4</v>
      </c>
      <c r="D3214">
        <v>4</v>
      </c>
    </row>
    <row r="3215" spans="1:4" x14ac:dyDescent="0.35">
      <c r="A3215">
        <v>1465</v>
      </c>
      <c r="B3215" s="2">
        <v>36454</v>
      </c>
      <c r="C3215">
        <v>4</v>
      </c>
      <c r="D3215">
        <v>4</v>
      </c>
    </row>
    <row r="3216" spans="1:4" x14ac:dyDescent="0.35">
      <c r="A3216">
        <v>1465</v>
      </c>
      <c r="B3216" s="2">
        <v>37225</v>
      </c>
      <c r="C3216">
        <v>4</v>
      </c>
      <c r="D3216">
        <v>4</v>
      </c>
    </row>
    <row r="3217" spans="1:4" x14ac:dyDescent="0.35">
      <c r="A3217">
        <v>1466</v>
      </c>
      <c r="B3217" s="2">
        <v>36310</v>
      </c>
      <c r="C3217">
        <v>4</v>
      </c>
      <c r="D3217">
        <v>4</v>
      </c>
    </row>
    <row r="3218" spans="1:4" x14ac:dyDescent="0.35">
      <c r="A3218">
        <v>1467</v>
      </c>
      <c r="B3218" s="2">
        <v>36667</v>
      </c>
      <c r="C3218">
        <v>3</v>
      </c>
      <c r="D3218">
        <v>3</v>
      </c>
    </row>
    <row r="3219" spans="1:4" x14ac:dyDescent="0.35">
      <c r="A3219">
        <v>1467</v>
      </c>
      <c r="B3219" s="2">
        <v>37428</v>
      </c>
      <c r="C3219">
        <v>3</v>
      </c>
      <c r="D3219">
        <v>3</v>
      </c>
    </row>
    <row r="3220" spans="1:4" x14ac:dyDescent="0.35">
      <c r="A3220">
        <v>1468</v>
      </c>
      <c r="B3220" s="2">
        <v>36341</v>
      </c>
      <c r="C3220">
        <v>4</v>
      </c>
      <c r="D3220">
        <v>4</v>
      </c>
    </row>
    <row r="3221" spans="1:4" x14ac:dyDescent="0.35">
      <c r="A3221">
        <v>1468</v>
      </c>
      <c r="B3221" s="2">
        <v>36860</v>
      </c>
      <c r="C3221">
        <v>5</v>
      </c>
      <c r="D3221">
        <v>5</v>
      </c>
    </row>
    <row r="3222" spans="1:4" x14ac:dyDescent="0.35">
      <c r="A3222">
        <v>1468</v>
      </c>
      <c r="B3222" s="2">
        <v>36890</v>
      </c>
      <c r="C3222">
        <v>5</v>
      </c>
      <c r="D3222">
        <v>5</v>
      </c>
    </row>
    <row r="3223" spans="1:4" x14ac:dyDescent="0.35">
      <c r="A3223">
        <v>1468</v>
      </c>
      <c r="B3223" s="2">
        <v>37072</v>
      </c>
      <c r="C3223">
        <v>6</v>
      </c>
      <c r="D3223">
        <v>6</v>
      </c>
    </row>
    <row r="3224" spans="1:4" x14ac:dyDescent="0.35">
      <c r="A3224">
        <v>1468</v>
      </c>
      <c r="B3224" s="2">
        <v>37590</v>
      </c>
      <c r="C3224">
        <v>6</v>
      </c>
      <c r="D3224">
        <v>6</v>
      </c>
    </row>
    <row r="3225" spans="1:4" x14ac:dyDescent="0.35">
      <c r="A3225">
        <v>1469</v>
      </c>
      <c r="B3225" s="2">
        <v>37041</v>
      </c>
      <c r="C3225">
        <v>2</v>
      </c>
      <c r="D3225">
        <v>2</v>
      </c>
    </row>
    <row r="3226" spans="1:4" x14ac:dyDescent="0.35">
      <c r="A3226">
        <v>1470</v>
      </c>
      <c r="B3226" s="2">
        <v>37985</v>
      </c>
      <c r="C3226">
        <v>0</v>
      </c>
      <c r="D3226">
        <v>0</v>
      </c>
    </row>
    <row r="3227" spans="1:4" x14ac:dyDescent="0.35">
      <c r="A3227">
        <v>1471</v>
      </c>
      <c r="B3227" s="2">
        <v>38290</v>
      </c>
      <c r="C3227">
        <v>2</v>
      </c>
      <c r="D3227">
        <v>2</v>
      </c>
    </row>
    <row r="3228" spans="1:4" x14ac:dyDescent="0.35">
      <c r="A3228">
        <v>1472</v>
      </c>
      <c r="B3228" s="2">
        <v>36524</v>
      </c>
      <c r="C3228">
        <v>5</v>
      </c>
      <c r="D3228">
        <v>5</v>
      </c>
    </row>
    <row r="3229" spans="1:4" x14ac:dyDescent="0.35">
      <c r="A3229">
        <v>1472</v>
      </c>
      <c r="B3229" s="2">
        <v>36759</v>
      </c>
      <c r="C3229">
        <v>6</v>
      </c>
      <c r="D3229">
        <v>6</v>
      </c>
    </row>
    <row r="3230" spans="1:4" x14ac:dyDescent="0.35">
      <c r="A3230">
        <v>1473</v>
      </c>
      <c r="B3230" s="2">
        <v>37771</v>
      </c>
      <c r="C3230">
        <v>0</v>
      </c>
      <c r="D3230">
        <v>0</v>
      </c>
    </row>
    <row r="3231" spans="1:4" x14ac:dyDescent="0.35">
      <c r="A3231">
        <v>1473</v>
      </c>
      <c r="B3231" s="2">
        <v>37863</v>
      </c>
      <c r="C3231">
        <v>3</v>
      </c>
      <c r="D3231">
        <v>3</v>
      </c>
    </row>
    <row r="3232" spans="1:4" x14ac:dyDescent="0.35">
      <c r="A3232">
        <v>1474</v>
      </c>
      <c r="B3232" s="2">
        <v>36890</v>
      </c>
      <c r="C3232">
        <v>0</v>
      </c>
      <c r="D3232">
        <v>0</v>
      </c>
    </row>
    <row r="3233" spans="1:4" x14ac:dyDescent="0.35">
      <c r="A3233">
        <v>1475</v>
      </c>
      <c r="B3233" s="2">
        <v>36829</v>
      </c>
      <c r="C3233">
        <v>2</v>
      </c>
      <c r="D3233">
        <v>2</v>
      </c>
    </row>
    <row r="3234" spans="1:4" x14ac:dyDescent="0.35">
      <c r="A3234">
        <v>1475</v>
      </c>
      <c r="B3234" s="2">
        <v>37406</v>
      </c>
      <c r="C3234">
        <v>1</v>
      </c>
      <c r="D3234">
        <v>1</v>
      </c>
    </row>
    <row r="3235" spans="1:4" x14ac:dyDescent="0.35">
      <c r="A3235">
        <v>1475</v>
      </c>
      <c r="B3235" s="2">
        <v>37762</v>
      </c>
      <c r="C3235">
        <v>0</v>
      </c>
      <c r="D3235">
        <v>0</v>
      </c>
    </row>
    <row r="3236" spans="1:4" x14ac:dyDescent="0.35">
      <c r="A3236">
        <v>1476</v>
      </c>
      <c r="B3236" s="2">
        <v>36759</v>
      </c>
      <c r="C3236">
        <v>6</v>
      </c>
      <c r="D3236">
        <v>6</v>
      </c>
    </row>
    <row r="3237" spans="1:4" x14ac:dyDescent="0.35">
      <c r="A3237">
        <v>1476</v>
      </c>
      <c r="B3237" s="2">
        <v>37255</v>
      </c>
      <c r="C3237">
        <v>5</v>
      </c>
      <c r="D3237">
        <v>5</v>
      </c>
    </row>
    <row r="3238" spans="1:4" x14ac:dyDescent="0.35">
      <c r="A3238">
        <v>1476</v>
      </c>
      <c r="B3238" s="2">
        <v>37620</v>
      </c>
      <c r="C3238">
        <v>5</v>
      </c>
      <c r="D3238">
        <v>5</v>
      </c>
    </row>
    <row r="3239" spans="1:4" x14ac:dyDescent="0.35">
      <c r="A3239">
        <v>1476</v>
      </c>
      <c r="B3239" s="2">
        <v>38159</v>
      </c>
      <c r="C3239">
        <v>5</v>
      </c>
      <c r="D3239">
        <v>5</v>
      </c>
    </row>
    <row r="3240" spans="1:4" x14ac:dyDescent="0.35">
      <c r="A3240">
        <v>1477</v>
      </c>
      <c r="B3240" s="2">
        <v>36310</v>
      </c>
      <c r="C3240">
        <v>3</v>
      </c>
      <c r="D3240">
        <v>3</v>
      </c>
    </row>
    <row r="3241" spans="1:4" x14ac:dyDescent="0.35">
      <c r="A3241">
        <v>1477</v>
      </c>
      <c r="B3241" s="2">
        <v>37069</v>
      </c>
      <c r="C3241">
        <v>4</v>
      </c>
      <c r="D3241">
        <v>4</v>
      </c>
    </row>
    <row r="3242" spans="1:4" x14ac:dyDescent="0.35">
      <c r="A3242">
        <v>1477</v>
      </c>
      <c r="B3242" s="2">
        <v>37072</v>
      </c>
      <c r="C3242">
        <v>4</v>
      </c>
      <c r="D3242">
        <v>4</v>
      </c>
    </row>
    <row r="3243" spans="1:4" x14ac:dyDescent="0.35">
      <c r="A3243">
        <v>1477</v>
      </c>
      <c r="B3243" s="2">
        <v>38655</v>
      </c>
      <c r="C3243">
        <v>4</v>
      </c>
      <c r="D3243">
        <v>4</v>
      </c>
    </row>
    <row r="3244" spans="1:4" x14ac:dyDescent="0.35">
      <c r="A3244">
        <v>1478</v>
      </c>
      <c r="B3244" s="2">
        <v>36308</v>
      </c>
      <c r="C3244">
        <v>0</v>
      </c>
      <c r="D3244">
        <v>0</v>
      </c>
    </row>
    <row r="3245" spans="1:4" x14ac:dyDescent="0.35">
      <c r="A3245">
        <v>1479</v>
      </c>
      <c r="B3245" s="2">
        <v>36310</v>
      </c>
      <c r="C3245">
        <v>4</v>
      </c>
      <c r="D3245">
        <v>4</v>
      </c>
    </row>
    <row r="3246" spans="1:4" x14ac:dyDescent="0.35">
      <c r="A3246">
        <v>1479</v>
      </c>
      <c r="B3246" s="2">
        <v>38655</v>
      </c>
      <c r="C3246">
        <v>4</v>
      </c>
      <c r="D3246">
        <v>4</v>
      </c>
    </row>
    <row r="3247" spans="1:4" x14ac:dyDescent="0.35">
      <c r="A3247">
        <v>1480</v>
      </c>
      <c r="B3247" s="2">
        <v>37035</v>
      </c>
      <c r="C3247">
        <v>3</v>
      </c>
      <c r="D3247">
        <v>3</v>
      </c>
    </row>
    <row r="3248" spans="1:4" x14ac:dyDescent="0.35">
      <c r="A3248">
        <v>1481</v>
      </c>
      <c r="B3248" s="2">
        <v>36301</v>
      </c>
      <c r="C3248">
        <v>2</v>
      </c>
      <c r="D3248">
        <v>2</v>
      </c>
    </row>
    <row r="3249" spans="1:4" x14ac:dyDescent="0.35">
      <c r="A3249">
        <v>1481</v>
      </c>
      <c r="B3249" s="2">
        <v>37397</v>
      </c>
      <c r="C3249">
        <v>0</v>
      </c>
      <c r="D3249">
        <v>0</v>
      </c>
    </row>
    <row r="3250" spans="1:4" x14ac:dyDescent="0.35">
      <c r="A3250">
        <v>1482</v>
      </c>
      <c r="B3250" s="2">
        <v>37771</v>
      </c>
      <c r="C3250">
        <v>4</v>
      </c>
      <c r="D3250">
        <v>4</v>
      </c>
    </row>
    <row r="3251" spans="1:4" x14ac:dyDescent="0.35">
      <c r="A3251">
        <v>1482</v>
      </c>
      <c r="B3251" s="2">
        <v>37955</v>
      </c>
      <c r="C3251">
        <v>4</v>
      </c>
      <c r="D3251">
        <v>4</v>
      </c>
    </row>
    <row r="3252" spans="1:4" x14ac:dyDescent="0.35">
      <c r="A3252">
        <v>1483</v>
      </c>
      <c r="B3252" s="2">
        <v>37255</v>
      </c>
      <c r="C3252">
        <v>0</v>
      </c>
      <c r="D3252">
        <v>0</v>
      </c>
    </row>
    <row r="3253" spans="1:4" x14ac:dyDescent="0.35">
      <c r="A3253">
        <v>1484</v>
      </c>
      <c r="B3253" s="2">
        <v>37762</v>
      </c>
      <c r="C3253">
        <v>4</v>
      </c>
      <c r="D3253">
        <v>4</v>
      </c>
    </row>
    <row r="3254" spans="1:4" x14ac:dyDescent="0.35">
      <c r="A3254">
        <v>1484</v>
      </c>
      <c r="B3254" s="2">
        <v>37771</v>
      </c>
      <c r="C3254">
        <v>4</v>
      </c>
      <c r="D3254">
        <v>4</v>
      </c>
    </row>
    <row r="3255" spans="1:4" x14ac:dyDescent="0.35">
      <c r="A3255">
        <v>1485</v>
      </c>
      <c r="B3255" s="2">
        <v>38229</v>
      </c>
      <c r="C3255">
        <v>5</v>
      </c>
      <c r="D3255">
        <v>5</v>
      </c>
    </row>
    <row r="3256" spans="1:4" x14ac:dyDescent="0.35">
      <c r="A3256">
        <v>1485</v>
      </c>
      <c r="B3256" s="2">
        <v>38493</v>
      </c>
      <c r="C3256">
        <v>6</v>
      </c>
      <c r="D3256">
        <v>6</v>
      </c>
    </row>
    <row r="3257" spans="1:4" x14ac:dyDescent="0.35">
      <c r="A3257">
        <v>1486</v>
      </c>
      <c r="B3257" s="2">
        <v>36829</v>
      </c>
      <c r="C3257">
        <v>4</v>
      </c>
      <c r="D3257">
        <v>4</v>
      </c>
    </row>
    <row r="3258" spans="1:4" x14ac:dyDescent="0.35">
      <c r="A3258">
        <v>1486</v>
      </c>
      <c r="B3258" s="2">
        <v>37255</v>
      </c>
      <c r="C3258">
        <v>3</v>
      </c>
      <c r="D3258">
        <v>3</v>
      </c>
    </row>
    <row r="3259" spans="1:4" x14ac:dyDescent="0.35">
      <c r="A3259">
        <v>1487</v>
      </c>
      <c r="B3259" s="2">
        <v>37955</v>
      </c>
      <c r="C3259">
        <v>6</v>
      </c>
      <c r="D3259">
        <v>6</v>
      </c>
    </row>
    <row r="3260" spans="1:4" x14ac:dyDescent="0.35">
      <c r="A3260">
        <v>1488</v>
      </c>
      <c r="B3260" s="2">
        <v>37620</v>
      </c>
      <c r="C3260">
        <v>4</v>
      </c>
      <c r="D3260">
        <v>4</v>
      </c>
    </row>
    <row r="3261" spans="1:4" x14ac:dyDescent="0.35">
      <c r="A3261">
        <v>1489</v>
      </c>
      <c r="B3261" s="2">
        <v>36454</v>
      </c>
      <c r="C3261">
        <v>6</v>
      </c>
      <c r="D3261">
        <v>6</v>
      </c>
    </row>
    <row r="3262" spans="1:4" x14ac:dyDescent="0.35">
      <c r="A3262">
        <v>1489</v>
      </c>
      <c r="B3262" s="2">
        <v>37041</v>
      </c>
      <c r="C3262">
        <v>7</v>
      </c>
      <c r="D3262">
        <v>7</v>
      </c>
    </row>
    <row r="3263" spans="1:4" x14ac:dyDescent="0.35">
      <c r="A3263">
        <v>1489</v>
      </c>
      <c r="B3263" s="2">
        <v>37458</v>
      </c>
      <c r="C3263">
        <v>8</v>
      </c>
      <c r="D3263">
        <v>8</v>
      </c>
    </row>
    <row r="3264" spans="1:4" x14ac:dyDescent="0.35">
      <c r="A3264">
        <v>1489</v>
      </c>
      <c r="B3264" s="2">
        <v>37559</v>
      </c>
      <c r="C3264">
        <v>8</v>
      </c>
      <c r="D3264">
        <v>8</v>
      </c>
    </row>
    <row r="3265" spans="1:4" x14ac:dyDescent="0.35">
      <c r="A3265">
        <v>1489</v>
      </c>
      <c r="B3265" s="2">
        <v>38128</v>
      </c>
      <c r="C3265">
        <v>0</v>
      </c>
      <c r="D3265">
        <v>8</v>
      </c>
    </row>
    <row r="3266" spans="1:4" x14ac:dyDescent="0.35">
      <c r="A3266">
        <v>1490</v>
      </c>
      <c r="B3266" s="2">
        <v>37985</v>
      </c>
      <c r="C3266">
        <v>3</v>
      </c>
      <c r="D3266">
        <v>3</v>
      </c>
    </row>
    <row r="3267" spans="1:4" x14ac:dyDescent="0.35">
      <c r="A3267">
        <v>1491</v>
      </c>
      <c r="B3267" s="2">
        <v>36310</v>
      </c>
      <c r="C3267">
        <v>5</v>
      </c>
      <c r="D3267">
        <v>5</v>
      </c>
    </row>
    <row r="3268" spans="1:4" x14ac:dyDescent="0.35">
      <c r="A3268">
        <v>1491</v>
      </c>
      <c r="B3268" s="2">
        <v>36433</v>
      </c>
      <c r="C3268">
        <v>5</v>
      </c>
      <c r="D3268">
        <v>5</v>
      </c>
    </row>
    <row r="3269" spans="1:4" x14ac:dyDescent="0.35">
      <c r="A3269">
        <v>1491</v>
      </c>
      <c r="B3269" s="2">
        <v>37771</v>
      </c>
      <c r="C3269">
        <v>6</v>
      </c>
      <c r="D3269">
        <v>6</v>
      </c>
    </row>
    <row r="3270" spans="1:4" x14ac:dyDescent="0.35">
      <c r="A3270">
        <v>1491</v>
      </c>
      <c r="B3270" s="2">
        <v>38655</v>
      </c>
      <c r="C3270">
        <v>5</v>
      </c>
      <c r="D3270">
        <v>5</v>
      </c>
    </row>
    <row r="3271" spans="1:4" x14ac:dyDescent="0.35">
      <c r="A3271">
        <v>1492</v>
      </c>
      <c r="B3271" s="2">
        <v>36393</v>
      </c>
      <c r="C3271">
        <v>0</v>
      </c>
      <c r="D3271">
        <v>0</v>
      </c>
    </row>
    <row r="3272" spans="1:4" x14ac:dyDescent="0.35">
      <c r="A3272">
        <v>1493</v>
      </c>
      <c r="B3272" s="2">
        <v>37032</v>
      </c>
      <c r="C3272">
        <v>4</v>
      </c>
      <c r="D3272">
        <v>4</v>
      </c>
    </row>
    <row r="3273" spans="1:4" x14ac:dyDescent="0.35">
      <c r="A3273">
        <v>1494</v>
      </c>
      <c r="B3273" s="2">
        <v>36799</v>
      </c>
      <c r="C3273">
        <v>2</v>
      </c>
      <c r="D3273">
        <v>2</v>
      </c>
    </row>
    <row r="3274" spans="1:4" x14ac:dyDescent="0.35">
      <c r="A3274">
        <v>1495</v>
      </c>
      <c r="B3274" s="2">
        <v>37985</v>
      </c>
      <c r="C3274">
        <v>5</v>
      </c>
      <c r="D3274">
        <v>5</v>
      </c>
    </row>
    <row r="3275" spans="1:4" x14ac:dyDescent="0.35">
      <c r="A3275">
        <v>1496</v>
      </c>
      <c r="B3275" s="2">
        <v>37093</v>
      </c>
      <c r="C3275">
        <v>0</v>
      </c>
      <c r="D3275">
        <v>0</v>
      </c>
    </row>
    <row r="3276" spans="1:4" x14ac:dyDescent="0.35">
      <c r="A3276">
        <v>1497</v>
      </c>
      <c r="B3276" s="2">
        <v>38137</v>
      </c>
      <c r="C3276">
        <v>6</v>
      </c>
      <c r="D3276">
        <v>6</v>
      </c>
    </row>
    <row r="3277" spans="1:4" x14ac:dyDescent="0.35">
      <c r="A3277">
        <v>1498</v>
      </c>
      <c r="B3277" s="2">
        <v>37041</v>
      </c>
      <c r="C3277">
        <v>5</v>
      </c>
      <c r="D3277">
        <v>5</v>
      </c>
    </row>
    <row r="3278" spans="1:4" x14ac:dyDescent="0.35">
      <c r="A3278">
        <v>1499</v>
      </c>
      <c r="B3278" s="2">
        <v>36524</v>
      </c>
      <c r="C3278">
        <v>4</v>
      </c>
      <c r="D3278">
        <v>4</v>
      </c>
    </row>
    <row r="3279" spans="1:4" x14ac:dyDescent="0.35">
      <c r="A3279">
        <v>1499</v>
      </c>
      <c r="B3279" s="2">
        <v>37620</v>
      </c>
      <c r="C3279">
        <v>3</v>
      </c>
      <c r="D3279">
        <v>3</v>
      </c>
    </row>
    <row r="3280" spans="1:4" x14ac:dyDescent="0.35">
      <c r="A3280">
        <v>1500</v>
      </c>
      <c r="B3280" s="2">
        <v>36301</v>
      </c>
      <c r="C3280">
        <v>5</v>
      </c>
      <c r="D3280">
        <v>5</v>
      </c>
    </row>
    <row r="3281" spans="1:4" x14ac:dyDescent="0.35">
      <c r="A3281">
        <v>1500</v>
      </c>
      <c r="B3281" s="2">
        <v>37032</v>
      </c>
      <c r="C3281">
        <v>6</v>
      </c>
      <c r="D3281">
        <v>6</v>
      </c>
    </row>
    <row r="3282" spans="1:4" x14ac:dyDescent="0.35">
      <c r="A3282">
        <v>1500</v>
      </c>
      <c r="B3282" s="2">
        <v>37255</v>
      </c>
      <c r="C3282">
        <v>7</v>
      </c>
      <c r="D3282">
        <v>7</v>
      </c>
    </row>
    <row r="3283" spans="1:4" x14ac:dyDescent="0.35">
      <c r="A3283">
        <v>1500</v>
      </c>
      <c r="B3283" s="2">
        <v>37985</v>
      </c>
      <c r="C3283">
        <v>0</v>
      </c>
      <c r="D3283">
        <v>0</v>
      </c>
    </row>
    <row r="3284" spans="1:4" x14ac:dyDescent="0.35">
      <c r="A3284">
        <v>1501</v>
      </c>
      <c r="B3284" s="2">
        <v>37405</v>
      </c>
      <c r="C3284">
        <v>5</v>
      </c>
      <c r="D3284">
        <v>5</v>
      </c>
    </row>
    <row r="3285" spans="1:4" x14ac:dyDescent="0.35">
      <c r="A3285">
        <v>1501</v>
      </c>
      <c r="B3285" s="2">
        <v>37620</v>
      </c>
      <c r="C3285">
        <v>0</v>
      </c>
      <c r="D3285">
        <v>0</v>
      </c>
    </row>
    <row r="3286" spans="1:4" x14ac:dyDescent="0.35">
      <c r="A3286">
        <v>1501</v>
      </c>
      <c r="B3286" s="2">
        <v>37771</v>
      </c>
      <c r="C3286">
        <v>5</v>
      </c>
      <c r="D3286">
        <v>5</v>
      </c>
    </row>
    <row r="3287" spans="1:4" x14ac:dyDescent="0.35">
      <c r="A3287">
        <v>1502</v>
      </c>
      <c r="B3287" s="2">
        <v>37041</v>
      </c>
      <c r="C3287">
        <v>4</v>
      </c>
      <c r="D3287">
        <v>4</v>
      </c>
    </row>
    <row r="3288" spans="1:4" x14ac:dyDescent="0.35">
      <c r="A3288">
        <v>1502</v>
      </c>
      <c r="B3288" s="2">
        <v>37398</v>
      </c>
      <c r="C3288">
        <v>4</v>
      </c>
      <c r="D3288">
        <v>4</v>
      </c>
    </row>
    <row r="3289" spans="1:4" x14ac:dyDescent="0.35">
      <c r="A3289">
        <v>1503</v>
      </c>
      <c r="B3289" s="2">
        <v>38229</v>
      </c>
      <c r="C3289">
        <v>7</v>
      </c>
      <c r="D3289">
        <v>7</v>
      </c>
    </row>
    <row r="3290" spans="1:4" x14ac:dyDescent="0.35">
      <c r="A3290">
        <v>1504</v>
      </c>
      <c r="B3290" s="2">
        <v>36676</v>
      </c>
      <c r="C3290">
        <v>2</v>
      </c>
      <c r="D3290">
        <v>2</v>
      </c>
    </row>
    <row r="3291" spans="1:4" x14ac:dyDescent="0.35">
      <c r="A3291">
        <v>1505</v>
      </c>
      <c r="B3291" s="2">
        <v>37985</v>
      </c>
      <c r="C3291">
        <v>3</v>
      </c>
      <c r="D3291">
        <v>3</v>
      </c>
    </row>
    <row r="3292" spans="1:4" x14ac:dyDescent="0.35">
      <c r="A3292">
        <v>1506</v>
      </c>
      <c r="B3292" s="2">
        <v>37194</v>
      </c>
      <c r="C3292">
        <v>4</v>
      </c>
      <c r="D3292">
        <v>4</v>
      </c>
    </row>
    <row r="3293" spans="1:4" x14ac:dyDescent="0.35">
      <c r="A3293">
        <v>1506</v>
      </c>
      <c r="B3293" s="2">
        <v>38351</v>
      </c>
      <c r="C3293">
        <v>5</v>
      </c>
      <c r="D3293">
        <v>5</v>
      </c>
    </row>
    <row r="3294" spans="1:4" x14ac:dyDescent="0.35">
      <c r="A3294">
        <v>1507</v>
      </c>
      <c r="B3294" s="2">
        <v>37437</v>
      </c>
      <c r="C3294">
        <v>4</v>
      </c>
      <c r="D3294">
        <v>4</v>
      </c>
    </row>
    <row r="3295" spans="1:4" x14ac:dyDescent="0.35">
      <c r="A3295">
        <v>1507</v>
      </c>
      <c r="B3295" s="2">
        <v>37581</v>
      </c>
      <c r="C3295">
        <v>5</v>
      </c>
      <c r="D3295">
        <v>5</v>
      </c>
    </row>
    <row r="3296" spans="1:4" x14ac:dyDescent="0.35">
      <c r="A3296">
        <v>1508</v>
      </c>
      <c r="B3296" s="2">
        <v>36676</v>
      </c>
      <c r="C3296">
        <v>3</v>
      </c>
      <c r="D3296">
        <v>3</v>
      </c>
    </row>
    <row r="3297" spans="1:4" x14ac:dyDescent="0.35">
      <c r="A3297">
        <v>1508</v>
      </c>
      <c r="B3297" s="2">
        <v>37620</v>
      </c>
      <c r="C3297">
        <v>4</v>
      </c>
      <c r="D3297">
        <v>4</v>
      </c>
    </row>
    <row r="3298" spans="1:4" x14ac:dyDescent="0.35">
      <c r="A3298">
        <v>1508</v>
      </c>
      <c r="B3298" s="2">
        <v>37885</v>
      </c>
      <c r="C3298">
        <v>4</v>
      </c>
      <c r="D3298">
        <v>4</v>
      </c>
    </row>
    <row r="3299" spans="1:4" x14ac:dyDescent="0.35">
      <c r="A3299">
        <v>1509</v>
      </c>
      <c r="B3299" s="2">
        <v>37885</v>
      </c>
      <c r="C3299">
        <v>4</v>
      </c>
      <c r="D3299">
        <v>4</v>
      </c>
    </row>
    <row r="3300" spans="1:4" x14ac:dyDescent="0.35">
      <c r="A3300">
        <v>1510</v>
      </c>
      <c r="B3300" s="2">
        <v>38493</v>
      </c>
      <c r="C3300">
        <v>6</v>
      </c>
      <c r="D3300">
        <v>6</v>
      </c>
    </row>
    <row r="3301" spans="1:4" x14ac:dyDescent="0.35">
      <c r="A3301">
        <v>1511</v>
      </c>
      <c r="B3301" s="2">
        <v>37194</v>
      </c>
      <c r="C3301">
        <v>3</v>
      </c>
      <c r="D3301">
        <v>3</v>
      </c>
    </row>
    <row r="3302" spans="1:4" x14ac:dyDescent="0.35">
      <c r="A3302">
        <v>1512</v>
      </c>
      <c r="B3302" s="2">
        <v>37823</v>
      </c>
      <c r="C3302">
        <v>0</v>
      </c>
      <c r="D3302">
        <v>0</v>
      </c>
    </row>
    <row r="3303" spans="1:4" x14ac:dyDescent="0.35">
      <c r="A3303">
        <v>1513</v>
      </c>
      <c r="B3303" s="2">
        <v>37397</v>
      </c>
      <c r="C3303">
        <v>0</v>
      </c>
      <c r="D3303">
        <v>0</v>
      </c>
    </row>
    <row r="3304" spans="1:4" x14ac:dyDescent="0.35">
      <c r="A3304">
        <v>1514</v>
      </c>
      <c r="B3304" s="2">
        <v>36890</v>
      </c>
      <c r="C3304">
        <v>4</v>
      </c>
      <c r="D3304">
        <v>4</v>
      </c>
    </row>
    <row r="3305" spans="1:4" x14ac:dyDescent="0.35">
      <c r="A3305">
        <v>1514</v>
      </c>
      <c r="B3305" s="2">
        <v>37620</v>
      </c>
      <c r="C3305">
        <v>5</v>
      </c>
      <c r="D3305">
        <v>5</v>
      </c>
    </row>
    <row r="3306" spans="1:4" x14ac:dyDescent="0.35">
      <c r="A3306">
        <v>1514</v>
      </c>
      <c r="B3306" s="2">
        <v>37620</v>
      </c>
      <c r="C3306">
        <v>6</v>
      </c>
      <c r="D3306">
        <v>6</v>
      </c>
    </row>
    <row r="3307" spans="1:4" x14ac:dyDescent="0.35">
      <c r="A3307">
        <v>1514</v>
      </c>
      <c r="B3307" s="2">
        <v>38137</v>
      </c>
      <c r="C3307">
        <v>6</v>
      </c>
      <c r="D3307">
        <v>6</v>
      </c>
    </row>
    <row r="3308" spans="1:4" x14ac:dyDescent="0.35">
      <c r="A3308">
        <v>1515</v>
      </c>
      <c r="B3308" s="2">
        <v>36310</v>
      </c>
      <c r="C3308">
        <v>5</v>
      </c>
      <c r="D3308">
        <v>5</v>
      </c>
    </row>
    <row r="3309" spans="1:4" x14ac:dyDescent="0.35">
      <c r="A3309">
        <v>1515</v>
      </c>
      <c r="B3309" s="2">
        <v>36728</v>
      </c>
      <c r="C3309">
        <v>0</v>
      </c>
      <c r="D3309">
        <v>0</v>
      </c>
    </row>
    <row r="3310" spans="1:4" x14ac:dyDescent="0.35">
      <c r="A3310">
        <v>1516</v>
      </c>
      <c r="B3310" s="2">
        <v>37771</v>
      </c>
      <c r="C3310">
        <v>0</v>
      </c>
      <c r="D3310">
        <v>0</v>
      </c>
    </row>
    <row r="3311" spans="1:4" x14ac:dyDescent="0.35">
      <c r="A3311">
        <v>1517</v>
      </c>
      <c r="B3311" s="2">
        <v>37255</v>
      </c>
      <c r="C3311">
        <v>0</v>
      </c>
      <c r="D3311">
        <v>0</v>
      </c>
    </row>
    <row r="3312" spans="1:4" x14ac:dyDescent="0.35">
      <c r="A3312">
        <v>1517</v>
      </c>
      <c r="B3312" s="2">
        <v>37976</v>
      </c>
      <c r="C3312">
        <v>2</v>
      </c>
      <c r="D3312">
        <v>2</v>
      </c>
    </row>
    <row r="3313" spans="1:4" x14ac:dyDescent="0.35">
      <c r="A3313">
        <v>1518</v>
      </c>
      <c r="B3313" s="2">
        <v>37041</v>
      </c>
      <c r="C3313">
        <v>2</v>
      </c>
      <c r="D3313">
        <v>2</v>
      </c>
    </row>
    <row r="3314" spans="1:4" x14ac:dyDescent="0.35">
      <c r="A3314">
        <v>1519</v>
      </c>
      <c r="B3314" s="2">
        <v>37762</v>
      </c>
      <c r="C3314">
        <v>3</v>
      </c>
      <c r="D3314">
        <v>3</v>
      </c>
    </row>
    <row r="3315" spans="1:4" x14ac:dyDescent="0.35">
      <c r="A3315">
        <v>1520</v>
      </c>
      <c r="B3315" s="2">
        <v>38159</v>
      </c>
      <c r="C3315">
        <v>0</v>
      </c>
      <c r="D3315">
        <v>0</v>
      </c>
    </row>
    <row r="3316" spans="1:4" x14ac:dyDescent="0.35">
      <c r="A3316">
        <v>1521</v>
      </c>
      <c r="B3316" s="2">
        <v>37041</v>
      </c>
      <c r="C3316">
        <v>0</v>
      </c>
      <c r="D3316">
        <v>0</v>
      </c>
    </row>
    <row r="3317" spans="1:4" x14ac:dyDescent="0.35">
      <c r="A3317">
        <v>1521</v>
      </c>
      <c r="B3317" s="2">
        <v>37255</v>
      </c>
      <c r="C3317">
        <v>4</v>
      </c>
      <c r="D3317">
        <v>4</v>
      </c>
    </row>
    <row r="3318" spans="1:4" x14ac:dyDescent="0.35">
      <c r="A3318">
        <v>1521</v>
      </c>
      <c r="B3318" s="2">
        <v>37559</v>
      </c>
      <c r="C3318">
        <v>4</v>
      </c>
      <c r="D3318">
        <v>4</v>
      </c>
    </row>
    <row r="3319" spans="1:4" x14ac:dyDescent="0.35">
      <c r="A3319">
        <v>1521</v>
      </c>
      <c r="B3319" s="2">
        <v>37771</v>
      </c>
      <c r="C3319">
        <v>5</v>
      </c>
      <c r="D3319">
        <v>5</v>
      </c>
    </row>
    <row r="3320" spans="1:4" x14ac:dyDescent="0.35">
      <c r="A3320">
        <v>1521</v>
      </c>
      <c r="B3320" s="2">
        <v>38159</v>
      </c>
      <c r="C3320">
        <v>3</v>
      </c>
      <c r="D3320">
        <v>3</v>
      </c>
    </row>
    <row r="3321" spans="1:4" x14ac:dyDescent="0.35">
      <c r="A3321">
        <v>1522</v>
      </c>
      <c r="B3321" s="2">
        <v>38502</v>
      </c>
      <c r="C3321">
        <v>2</v>
      </c>
      <c r="D3321">
        <v>2</v>
      </c>
    </row>
    <row r="3322" spans="1:4" x14ac:dyDescent="0.35">
      <c r="A3322">
        <v>1523</v>
      </c>
      <c r="B3322" s="2">
        <v>38137</v>
      </c>
      <c r="C3322">
        <v>3</v>
      </c>
      <c r="D3322">
        <v>3</v>
      </c>
    </row>
    <row r="3323" spans="1:4" x14ac:dyDescent="0.35">
      <c r="A3323">
        <v>1524</v>
      </c>
      <c r="B3323" s="2">
        <v>38137</v>
      </c>
      <c r="C3323">
        <v>3</v>
      </c>
      <c r="D3323">
        <v>3</v>
      </c>
    </row>
    <row r="3324" spans="1:4" x14ac:dyDescent="0.35">
      <c r="A3324">
        <v>1525</v>
      </c>
      <c r="B3324" s="2">
        <v>38137</v>
      </c>
      <c r="C3324">
        <v>4</v>
      </c>
      <c r="D3324">
        <v>4</v>
      </c>
    </row>
    <row r="3325" spans="1:4" x14ac:dyDescent="0.35">
      <c r="A3325">
        <v>1526</v>
      </c>
      <c r="B3325" s="2">
        <v>37428</v>
      </c>
      <c r="C3325">
        <v>4</v>
      </c>
      <c r="D3325">
        <v>4</v>
      </c>
    </row>
    <row r="3326" spans="1:4" x14ac:dyDescent="0.35">
      <c r="A3326">
        <v>1526</v>
      </c>
      <c r="B3326" s="2">
        <v>38128</v>
      </c>
      <c r="C3326">
        <v>4</v>
      </c>
      <c r="D3326">
        <v>4</v>
      </c>
    </row>
    <row r="3327" spans="1:4" x14ac:dyDescent="0.35">
      <c r="A3327">
        <v>1527</v>
      </c>
      <c r="B3327" s="2">
        <v>37041</v>
      </c>
      <c r="C3327">
        <v>7</v>
      </c>
      <c r="D3327">
        <v>7</v>
      </c>
    </row>
    <row r="3328" spans="1:4" x14ac:dyDescent="0.35">
      <c r="A3328">
        <v>1527</v>
      </c>
      <c r="B3328" s="2">
        <v>38220</v>
      </c>
      <c r="C3328">
        <v>7</v>
      </c>
      <c r="D3328">
        <v>7</v>
      </c>
    </row>
    <row r="3329" spans="1:4" x14ac:dyDescent="0.35">
      <c r="A3329">
        <v>1527</v>
      </c>
      <c r="B3329" s="2">
        <v>38351</v>
      </c>
      <c r="C3329">
        <v>0</v>
      </c>
      <c r="D3329">
        <v>0</v>
      </c>
    </row>
    <row r="3330" spans="1:4" x14ac:dyDescent="0.35">
      <c r="A3330">
        <v>1528</v>
      </c>
      <c r="B3330" s="2">
        <v>36301</v>
      </c>
      <c r="C3330">
        <v>4</v>
      </c>
      <c r="D3330">
        <v>4</v>
      </c>
    </row>
    <row r="3331" spans="1:4" x14ac:dyDescent="0.35">
      <c r="A3331">
        <v>1528</v>
      </c>
      <c r="B3331" s="2">
        <v>36676</v>
      </c>
      <c r="C3331">
        <v>4</v>
      </c>
      <c r="D3331">
        <v>4</v>
      </c>
    </row>
    <row r="3332" spans="1:4" x14ac:dyDescent="0.35">
      <c r="A3332">
        <v>1529</v>
      </c>
      <c r="B3332" s="2">
        <v>37194</v>
      </c>
      <c r="C3332">
        <v>4</v>
      </c>
      <c r="D3332">
        <v>4</v>
      </c>
    </row>
    <row r="3333" spans="1:4" x14ac:dyDescent="0.35">
      <c r="A3333">
        <v>1529</v>
      </c>
      <c r="B3333" s="2">
        <v>37559</v>
      </c>
      <c r="C3333">
        <v>5</v>
      </c>
      <c r="D3333">
        <v>5</v>
      </c>
    </row>
    <row r="3334" spans="1:4" x14ac:dyDescent="0.35">
      <c r="A3334">
        <v>1530</v>
      </c>
      <c r="B3334" s="2">
        <v>36667</v>
      </c>
      <c r="C3334">
        <v>5</v>
      </c>
      <c r="D3334">
        <v>5</v>
      </c>
    </row>
    <row r="3335" spans="1:4" x14ac:dyDescent="0.35">
      <c r="A3335">
        <v>1530</v>
      </c>
      <c r="B3335" s="2">
        <v>37164</v>
      </c>
      <c r="C3335">
        <v>5</v>
      </c>
      <c r="D3335">
        <v>5</v>
      </c>
    </row>
    <row r="3336" spans="1:4" x14ac:dyDescent="0.35">
      <c r="A3336">
        <v>1530</v>
      </c>
      <c r="B3336" s="2">
        <v>37255</v>
      </c>
      <c r="C3336">
        <v>4</v>
      </c>
      <c r="D3336">
        <v>4</v>
      </c>
    </row>
    <row r="3337" spans="1:4" x14ac:dyDescent="0.35">
      <c r="A3337">
        <v>1531</v>
      </c>
      <c r="B3337" s="2">
        <v>36396</v>
      </c>
      <c r="C3337">
        <v>4</v>
      </c>
      <c r="D3337">
        <v>4</v>
      </c>
    </row>
    <row r="3338" spans="1:4" x14ac:dyDescent="0.35">
      <c r="A3338">
        <v>1531</v>
      </c>
      <c r="B3338" s="2">
        <v>38290</v>
      </c>
      <c r="C3338">
        <v>4</v>
      </c>
      <c r="D3338">
        <v>4</v>
      </c>
    </row>
    <row r="3339" spans="1:4" x14ac:dyDescent="0.35">
      <c r="A3339">
        <v>1532</v>
      </c>
      <c r="B3339" s="2">
        <v>37762</v>
      </c>
      <c r="C3339">
        <v>4</v>
      </c>
      <c r="D3339">
        <v>4</v>
      </c>
    </row>
    <row r="3340" spans="1:4" x14ac:dyDescent="0.35">
      <c r="A3340">
        <v>1533</v>
      </c>
      <c r="B3340" s="2">
        <v>37620</v>
      </c>
      <c r="C3340">
        <v>4</v>
      </c>
      <c r="D3340">
        <v>4</v>
      </c>
    </row>
    <row r="3341" spans="1:4" x14ac:dyDescent="0.35">
      <c r="A3341">
        <v>1534</v>
      </c>
      <c r="B3341" s="2">
        <v>36402</v>
      </c>
      <c r="C3341">
        <v>4</v>
      </c>
      <c r="D3341">
        <v>4</v>
      </c>
    </row>
    <row r="3342" spans="1:4" x14ac:dyDescent="0.35">
      <c r="A3342">
        <v>1534</v>
      </c>
      <c r="B3342" s="2">
        <v>36667</v>
      </c>
      <c r="C3342">
        <v>3</v>
      </c>
      <c r="D3342">
        <v>3</v>
      </c>
    </row>
    <row r="3343" spans="1:4" x14ac:dyDescent="0.35">
      <c r="A3343">
        <v>1534</v>
      </c>
      <c r="B3343" s="2">
        <v>38137</v>
      </c>
      <c r="C3343">
        <v>3</v>
      </c>
      <c r="D3343">
        <v>3</v>
      </c>
    </row>
    <row r="3344" spans="1:4" x14ac:dyDescent="0.35">
      <c r="A3344">
        <v>1535</v>
      </c>
      <c r="B3344" s="2">
        <v>36301</v>
      </c>
      <c r="C3344">
        <v>0</v>
      </c>
      <c r="D3344">
        <v>0</v>
      </c>
    </row>
    <row r="3345" spans="1:4" x14ac:dyDescent="0.35">
      <c r="A3345">
        <v>1536</v>
      </c>
      <c r="B3345" s="2">
        <v>36829</v>
      </c>
      <c r="C3345">
        <v>3</v>
      </c>
      <c r="D3345">
        <v>3</v>
      </c>
    </row>
    <row r="3346" spans="1:4" x14ac:dyDescent="0.35">
      <c r="A3346">
        <v>1536</v>
      </c>
      <c r="B3346" s="2">
        <v>37403</v>
      </c>
      <c r="C3346">
        <v>0</v>
      </c>
      <c r="D3346">
        <v>0</v>
      </c>
    </row>
    <row r="3347" spans="1:4" x14ac:dyDescent="0.35">
      <c r="A3347">
        <v>1536</v>
      </c>
      <c r="B3347" s="2">
        <v>37406</v>
      </c>
      <c r="C3347">
        <v>3</v>
      </c>
      <c r="D3347">
        <v>3</v>
      </c>
    </row>
    <row r="3348" spans="1:4" x14ac:dyDescent="0.35">
      <c r="A3348">
        <v>1537</v>
      </c>
      <c r="B3348" s="2">
        <v>38321</v>
      </c>
      <c r="C3348">
        <v>0</v>
      </c>
      <c r="D3348">
        <v>0</v>
      </c>
    </row>
    <row r="3349" spans="1:4" x14ac:dyDescent="0.35">
      <c r="A3349">
        <v>1538</v>
      </c>
      <c r="B3349" s="2">
        <v>36890</v>
      </c>
      <c r="C3349">
        <v>3</v>
      </c>
      <c r="D3349">
        <v>3</v>
      </c>
    </row>
    <row r="3350" spans="1:4" x14ac:dyDescent="0.35">
      <c r="A3350">
        <v>1538</v>
      </c>
      <c r="B3350" s="2">
        <v>37255</v>
      </c>
      <c r="C3350">
        <v>3</v>
      </c>
      <c r="D3350">
        <v>3</v>
      </c>
    </row>
    <row r="3351" spans="1:4" x14ac:dyDescent="0.35">
      <c r="A3351">
        <v>1539</v>
      </c>
      <c r="B3351" s="2">
        <v>37550</v>
      </c>
      <c r="C3351">
        <v>0</v>
      </c>
      <c r="D3351">
        <v>0</v>
      </c>
    </row>
    <row r="3352" spans="1:4" x14ac:dyDescent="0.35">
      <c r="A3352">
        <v>1539</v>
      </c>
      <c r="B3352" s="2">
        <v>37620</v>
      </c>
      <c r="C3352">
        <v>5</v>
      </c>
      <c r="D3352">
        <v>5</v>
      </c>
    </row>
    <row r="3353" spans="1:4" x14ac:dyDescent="0.35">
      <c r="A3353">
        <v>1540</v>
      </c>
      <c r="B3353" s="2">
        <v>37039</v>
      </c>
      <c r="C3353">
        <v>3</v>
      </c>
      <c r="D3353">
        <v>3</v>
      </c>
    </row>
    <row r="3354" spans="1:4" x14ac:dyDescent="0.35">
      <c r="A3354">
        <v>1541</v>
      </c>
      <c r="B3354" s="2">
        <v>37458</v>
      </c>
      <c r="C3354">
        <v>1</v>
      </c>
      <c r="D3354">
        <v>1</v>
      </c>
    </row>
    <row r="3355" spans="1:4" x14ac:dyDescent="0.35">
      <c r="A3355">
        <v>1542</v>
      </c>
      <c r="B3355" s="2">
        <v>36667</v>
      </c>
      <c r="C3355">
        <v>3</v>
      </c>
      <c r="D3355">
        <v>3</v>
      </c>
    </row>
    <row r="3356" spans="1:4" x14ac:dyDescent="0.35">
      <c r="A3356">
        <v>1542</v>
      </c>
      <c r="B3356" s="2">
        <v>37255</v>
      </c>
      <c r="C3356">
        <v>1</v>
      </c>
      <c r="D3356">
        <v>1</v>
      </c>
    </row>
    <row r="3357" spans="1:4" x14ac:dyDescent="0.35">
      <c r="A3357">
        <v>1542</v>
      </c>
      <c r="B3357" s="2">
        <v>37620</v>
      </c>
      <c r="C3357">
        <v>0</v>
      </c>
      <c r="D3357">
        <v>0</v>
      </c>
    </row>
    <row r="3358" spans="1:4" x14ac:dyDescent="0.35">
      <c r="A3358">
        <v>1543</v>
      </c>
      <c r="B3358" s="2">
        <v>36524</v>
      </c>
      <c r="C3358">
        <v>4</v>
      </c>
      <c r="D3358">
        <v>4</v>
      </c>
    </row>
    <row r="3359" spans="1:4" x14ac:dyDescent="0.35">
      <c r="A3359">
        <v>1543</v>
      </c>
      <c r="B3359" s="2">
        <v>37225</v>
      </c>
      <c r="C3359">
        <v>4</v>
      </c>
      <c r="D3359">
        <v>4</v>
      </c>
    </row>
    <row r="3360" spans="1:4" x14ac:dyDescent="0.35">
      <c r="A3360">
        <v>1544</v>
      </c>
      <c r="B3360" s="2">
        <v>36676</v>
      </c>
      <c r="C3360">
        <v>3</v>
      </c>
      <c r="D3360">
        <v>3</v>
      </c>
    </row>
    <row r="3361" spans="1:4" x14ac:dyDescent="0.35">
      <c r="A3361">
        <v>1544</v>
      </c>
      <c r="B3361" s="2">
        <v>38128</v>
      </c>
      <c r="C3361">
        <v>3</v>
      </c>
      <c r="D3361">
        <v>3</v>
      </c>
    </row>
    <row r="3362" spans="1:4" x14ac:dyDescent="0.35">
      <c r="A3362">
        <v>1545</v>
      </c>
      <c r="B3362" s="2">
        <v>36768</v>
      </c>
      <c r="C3362">
        <v>0</v>
      </c>
      <c r="D3362">
        <v>0</v>
      </c>
    </row>
    <row r="3363" spans="1:4" x14ac:dyDescent="0.35">
      <c r="A3363">
        <v>1546</v>
      </c>
      <c r="B3363" s="2">
        <v>36303</v>
      </c>
      <c r="C3363">
        <v>6</v>
      </c>
      <c r="D3363">
        <v>6</v>
      </c>
    </row>
    <row r="3364" spans="1:4" x14ac:dyDescent="0.35">
      <c r="A3364">
        <v>1546</v>
      </c>
      <c r="B3364" s="2">
        <v>36524</v>
      </c>
      <c r="C3364">
        <v>5</v>
      </c>
      <c r="D3364">
        <v>5</v>
      </c>
    </row>
    <row r="3365" spans="1:4" x14ac:dyDescent="0.35">
      <c r="A3365">
        <v>1546</v>
      </c>
      <c r="B3365" s="2">
        <v>36676</v>
      </c>
      <c r="C3365">
        <v>0</v>
      </c>
      <c r="D3365">
        <v>0</v>
      </c>
    </row>
    <row r="3366" spans="1:4" x14ac:dyDescent="0.35">
      <c r="A3366">
        <v>1547</v>
      </c>
      <c r="B3366" s="2">
        <v>36768</v>
      </c>
      <c r="C3366">
        <v>4</v>
      </c>
      <c r="D3366">
        <v>4</v>
      </c>
    </row>
    <row r="3367" spans="1:4" x14ac:dyDescent="0.35">
      <c r="A3367">
        <v>1547</v>
      </c>
      <c r="B3367" s="2">
        <v>37762</v>
      </c>
      <c r="C3367">
        <v>0</v>
      </c>
      <c r="D3367">
        <v>0</v>
      </c>
    </row>
    <row r="3368" spans="1:4" x14ac:dyDescent="0.35">
      <c r="A3368">
        <v>1548</v>
      </c>
      <c r="B3368" s="2">
        <v>36667</v>
      </c>
      <c r="C3368">
        <v>2</v>
      </c>
      <c r="D3368">
        <v>2</v>
      </c>
    </row>
    <row r="3369" spans="1:4" x14ac:dyDescent="0.35">
      <c r="A3369">
        <v>1548</v>
      </c>
      <c r="B3369" s="2">
        <v>37397</v>
      </c>
      <c r="C3369">
        <v>3</v>
      </c>
      <c r="D3369">
        <v>3</v>
      </c>
    </row>
    <row r="3370" spans="1:4" x14ac:dyDescent="0.35">
      <c r="A3370">
        <v>1549</v>
      </c>
      <c r="B3370" s="2">
        <v>37985</v>
      </c>
      <c r="C3370">
        <v>5</v>
      </c>
      <c r="D3370">
        <v>5</v>
      </c>
    </row>
    <row r="3371" spans="1:4" x14ac:dyDescent="0.35">
      <c r="A3371">
        <v>1549</v>
      </c>
      <c r="B3371" s="2">
        <v>37985</v>
      </c>
      <c r="C3371">
        <v>6</v>
      </c>
      <c r="D3371">
        <v>6</v>
      </c>
    </row>
    <row r="3372" spans="1:4" x14ac:dyDescent="0.35">
      <c r="A3372">
        <v>1550</v>
      </c>
      <c r="B3372" s="2">
        <v>37985</v>
      </c>
      <c r="C3372">
        <v>3</v>
      </c>
      <c r="D3372">
        <v>3</v>
      </c>
    </row>
    <row r="3373" spans="1:4" x14ac:dyDescent="0.35">
      <c r="A3373">
        <v>1550</v>
      </c>
      <c r="B3373" s="2">
        <v>38251</v>
      </c>
      <c r="C3373">
        <v>3</v>
      </c>
      <c r="D3373">
        <v>3</v>
      </c>
    </row>
    <row r="3374" spans="1:4" x14ac:dyDescent="0.35">
      <c r="A3374">
        <v>1551</v>
      </c>
      <c r="B3374" s="2">
        <v>37041</v>
      </c>
      <c r="C3374">
        <v>4</v>
      </c>
      <c r="D3374">
        <v>4</v>
      </c>
    </row>
    <row r="3375" spans="1:4" x14ac:dyDescent="0.35">
      <c r="A3375">
        <v>1551</v>
      </c>
      <c r="B3375" s="2">
        <v>37924</v>
      </c>
      <c r="C3375">
        <v>0</v>
      </c>
      <c r="D3375">
        <v>0</v>
      </c>
    </row>
    <row r="3376" spans="1:4" x14ac:dyDescent="0.35">
      <c r="A3376">
        <v>1552</v>
      </c>
      <c r="B3376" s="2">
        <v>36667</v>
      </c>
      <c r="C3376">
        <v>5</v>
      </c>
      <c r="D3376">
        <v>5</v>
      </c>
    </row>
    <row r="3377" spans="1:4" x14ac:dyDescent="0.35">
      <c r="A3377">
        <v>1552</v>
      </c>
      <c r="B3377" s="2">
        <v>36728</v>
      </c>
      <c r="C3377">
        <v>7</v>
      </c>
      <c r="D3377">
        <v>7</v>
      </c>
    </row>
    <row r="3378" spans="1:4" x14ac:dyDescent="0.35">
      <c r="A3378">
        <v>1552</v>
      </c>
      <c r="B3378" s="2">
        <v>36890</v>
      </c>
      <c r="C3378">
        <v>8</v>
      </c>
      <c r="D3378">
        <v>8</v>
      </c>
    </row>
    <row r="3379" spans="1:4" x14ac:dyDescent="0.35">
      <c r="A3379">
        <v>1552</v>
      </c>
      <c r="B3379" s="2">
        <v>36890</v>
      </c>
      <c r="C3379">
        <v>7</v>
      </c>
      <c r="D3379">
        <v>8</v>
      </c>
    </row>
    <row r="3380" spans="1:4" x14ac:dyDescent="0.35">
      <c r="A3380">
        <v>1552</v>
      </c>
      <c r="B3380" s="2">
        <v>37915</v>
      </c>
      <c r="C3380">
        <v>0</v>
      </c>
      <c r="D3380">
        <v>8</v>
      </c>
    </row>
    <row r="3381" spans="1:4" x14ac:dyDescent="0.35">
      <c r="A3381">
        <v>1553</v>
      </c>
      <c r="B3381" s="2">
        <v>36310</v>
      </c>
      <c r="C3381">
        <v>4</v>
      </c>
      <c r="D3381">
        <v>4</v>
      </c>
    </row>
    <row r="3382" spans="1:4" x14ac:dyDescent="0.35">
      <c r="A3382">
        <v>1553</v>
      </c>
      <c r="B3382" s="2">
        <v>38251</v>
      </c>
      <c r="C3382">
        <v>4</v>
      </c>
      <c r="D3382">
        <v>4</v>
      </c>
    </row>
    <row r="3383" spans="1:4" x14ac:dyDescent="0.35">
      <c r="A3383">
        <v>1554</v>
      </c>
      <c r="B3383" s="2">
        <v>37620</v>
      </c>
      <c r="C3383">
        <v>0</v>
      </c>
      <c r="D3383">
        <v>0</v>
      </c>
    </row>
    <row r="3384" spans="1:4" x14ac:dyDescent="0.35">
      <c r="A3384">
        <v>1555</v>
      </c>
      <c r="B3384" s="2">
        <v>38351</v>
      </c>
      <c r="C3384">
        <v>2</v>
      </c>
      <c r="D3384">
        <v>2</v>
      </c>
    </row>
    <row r="3385" spans="1:4" x14ac:dyDescent="0.35">
      <c r="A3385">
        <v>1556</v>
      </c>
      <c r="B3385" s="2">
        <v>36304</v>
      </c>
      <c r="C3385">
        <v>0</v>
      </c>
      <c r="D3385">
        <v>0</v>
      </c>
    </row>
    <row r="3386" spans="1:4" x14ac:dyDescent="0.35">
      <c r="A3386">
        <v>1557</v>
      </c>
      <c r="B3386" s="2">
        <v>38137</v>
      </c>
      <c r="C3386">
        <v>0</v>
      </c>
      <c r="D3386">
        <v>0</v>
      </c>
    </row>
    <row r="3387" spans="1:4" x14ac:dyDescent="0.35">
      <c r="A3387">
        <v>1558</v>
      </c>
      <c r="B3387" s="2">
        <v>36310</v>
      </c>
      <c r="C3387">
        <v>6</v>
      </c>
      <c r="D3387">
        <v>6</v>
      </c>
    </row>
    <row r="3388" spans="1:4" x14ac:dyDescent="0.35">
      <c r="A3388">
        <v>1558</v>
      </c>
      <c r="B3388" s="2">
        <v>36768</v>
      </c>
      <c r="C3388">
        <v>7</v>
      </c>
      <c r="D3388">
        <v>7</v>
      </c>
    </row>
    <row r="3389" spans="1:4" x14ac:dyDescent="0.35">
      <c r="A3389">
        <v>1558</v>
      </c>
      <c r="B3389" s="2">
        <v>37072</v>
      </c>
      <c r="C3389">
        <v>7</v>
      </c>
      <c r="D3389">
        <v>7</v>
      </c>
    </row>
    <row r="3390" spans="1:4" x14ac:dyDescent="0.35">
      <c r="A3390">
        <v>1558</v>
      </c>
      <c r="B3390" s="2">
        <v>37133</v>
      </c>
      <c r="C3390">
        <v>7</v>
      </c>
      <c r="D3390">
        <v>7</v>
      </c>
    </row>
    <row r="3391" spans="1:4" x14ac:dyDescent="0.35">
      <c r="A3391">
        <v>1558</v>
      </c>
      <c r="B3391" s="2">
        <v>37401</v>
      </c>
      <c r="C3391">
        <v>8</v>
      </c>
      <c r="D3391">
        <v>8</v>
      </c>
    </row>
    <row r="3392" spans="1:4" x14ac:dyDescent="0.35">
      <c r="A3392">
        <v>1558</v>
      </c>
      <c r="B3392" s="2">
        <v>38128</v>
      </c>
      <c r="C3392">
        <v>7</v>
      </c>
      <c r="D3392">
        <v>8</v>
      </c>
    </row>
    <row r="3393" spans="1:4" x14ac:dyDescent="0.35">
      <c r="A3393">
        <v>1558</v>
      </c>
      <c r="B3393" s="2">
        <v>38351</v>
      </c>
      <c r="C3393">
        <v>7</v>
      </c>
      <c r="D3393">
        <v>8</v>
      </c>
    </row>
    <row r="3394" spans="1:4" x14ac:dyDescent="0.35">
      <c r="A3394">
        <v>1559</v>
      </c>
      <c r="B3394" s="2">
        <v>36667</v>
      </c>
      <c r="C3394">
        <v>3</v>
      </c>
      <c r="D3394">
        <v>3</v>
      </c>
    </row>
    <row r="3395" spans="1:4" x14ac:dyDescent="0.35">
      <c r="A3395">
        <v>1559</v>
      </c>
      <c r="B3395" s="2">
        <v>37037</v>
      </c>
      <c r="C3395">
        <v>3</v>
      </c>
      <c r="D3395">
        <v>3</v>
      </c>
    </row>
    <row r="3396" spans="1:4" x14ac:dyDescent="0.35">
      <c r="A3396">
        <v>1559</v>
      </c>
      <c r="B3396" s="2">
        <v>37620</v>
      </c>
      <c r="C3396">
        <v>3</v>
      </c>
      <c r="D3396">
        <v>3</v>
      </c>
    </row>
    <row r="3397" spans="1:4" x14ac:dyDescent="0.35">
      <c r="A3397">
        <v>1559</v>
      </c>
      <c r="B3397" s="2">
        <v>37771</v>
      </c>
      <c r="C3397">
        <v>0</v>
      </c>
      <c r="D3397">
        <v>0</v>
      </c>
    </row>
    <row r="3398" spans="1:4" x14ac:dyDescent="0.35">
      <c r="A3398">
        <v>1560</v>
      </c>
      <c r="B3398" s="2">
        <v>36851</v>
      </c>
      <c r="C3398">
        <v>0</v>
      </c>
      <c r="D3398">
        <v>0</v>
      </c>
    </row>
    <row r="3399" spans="1:4" x14ac:dyDescent="0.35">
      <c r="A3399">
        <v>1561</v>
      </c>
      <c r="B3399" s="2">
        <v>36676</v>
      </c>
      <c r="C3399">
        <v>3</v>
      </c>
      <c r="D3399">
        <v>3</v>
      </c>
    </row>
    <row r="3400" spans="1:4" x14ac:dyDescent="0.35">
      <c r="A3400">
        <v>1561</v>
      </c>
      <c r="B3400" s="2">
        <v>37185</v>
      </c>
      <c r="C3400">
        <v>3</v>
      </c>
      <c r="D3400">
        <v>3</v>
      </c>
    </row>
    <row r="3401" spans="1:4" x14ac:dyDescent="0.35">
      <c r="A3401">
        <v>1561</v>
      </c>
      <c r="B3401" s="2">
        <v>37194</v>
      </c>
      <c r="C3401">
        <v>3</v>
      </c>
      <c r="D3401">
        <v>3</v>
      </c>
    </row>
    <row r="3402" spans="1:4" x14ac:dyDescent="0.35">
      <c r="A3402">
        <v>1561</v>
      </c>
      <c r="B3402" s="2">
        <v>38290</v>
      </c>
      <c r="C3402">
        <v>0</v>
      </c>
      <c r="D3402">
        <v>0</v>
      </c>
    </row>
    <row r="3403" spans="1:4" x14ac:dyDescent="0.35">
      <c r="A3403">
        <v>1562</v>
      </c>
      <c r="B3403" s="2">
        <v>36701</v>
      </c>
      <c r="C3403">
        <v>5</v>
      </c>
      <c r="D3403">
        <v>5</v>
      </c>
    </row>
    <row r="3404" spans="1:4" x14ac:dyDescent="0.35">
      <c r="A3404">
        <v>1562</v>
      </c>
      <c r="B3404" s="2">
        <v>38351</v>
      </c>
      <c r="C3404">
        <v>5</v>
      </c>
      <c r="D3404">
        <v>5</v>
      </c>
    </row>
    <row r="3405" spans="1:4" x14ac:dyDescent="0.35">
      <c r="A3405">
        <v>1562</v>
      </c>
      <c r="B3405" s="2">
        <v>38594</v>
      </c>
      <c r="C3405">
        <v>5</v>
      </c>
      <c r="D3405">
        <v>5</v>
      </c>
    </row>
    <row r="3406" spans="1:4" x14ac:dyDescent="0.35">
      <c r="A3406">
        <v>1563</v>
      </c>
      <c r="B3406" s="2">
        <v>36362</v>
      </c>
      <c r="C3406">
        <v>6</v>
      </c>
      <c r="D3406">
        <v>6</v>
      </c>
    </row>
    <row r="3407" spans="1:4" x14ac:dyDescent="0.35">
      <c r="A3407">
        <v>1563</v>
      </c>
      <c r="B3407" s="2">
        <v>36424</v>
      </c>
      <c r="C3407">
        <v>4</v>
      </c>
      <c r="D3407">
        <v>4</v>
      </c>
    </row>
    <row r="3408" spans="1:4" x14ac:dyDescent="0.35">
      <c r="A3408">
        <v>1563</v>
      </c>
      <c r="B3408" s="2">
        <v>36524</v>
      </c>
      <c r="C3408">
        <v>5</v>
      </c>
      <c r="D3408">
        <v>5</v>
      </c>
    </row>
    <row r="3409" spans="1:4" x14ac:dyDescent="0.35">
      <c r="A3409">
        <v>1563</v>
      </c>
      <c r="B3409" s="2">
        <v>36676</v>
      </c>
      <c r="C3409">
        <v>6</v>
      </c>
      <c r="D3409">
        <v>6</v>
      </c>
    </row>
    <row r="3410" spans="1:4" x14ac:dyDescent="0.35">
      <c r="A3410">
        <v>1563</v>
      </c>
      <c r="B3410" s="2">
        <v>36676</v>
      </c>
      <c r="C3410">
        <v>7</v>
      </c>
      <c r="D3410">
        <v>7</v>
      </c>
    </row>
    <row r="3411" spans="1:4" x14ac:dyDescent="0.35">
      <c r="A3411">
        <v>1563</v>
      </c>
      <c r="B3411" s="2">
        <v>36890</v>
      </c>
      <c r="C3411">
        <v>7</v>
      </c>
      <c r="D3411">
        <v>7</v>
      </c>
    </row>
    <row r="3412" spans="1:4" x14ac:dyDescent="0.35">
      <c r="A3412">
        <v>1563</v>
      </c>
      <c r="B3412" s="2">
        <v>37063</v>
      </c>
      <c r="C3412">
        <v>7</v>
      </c>
      <c r="D3412">
        <v>7</v>
      </c>
    </row>
    <row r="3413" spans="1:4" x14ac:dyDescent="0.35">
      <c r="A3413">
        <v>1563</v>
      </c>
      <c r="B3413" s="2">
        <v>37985</v>
      </c>
      <c r="C3413">
        <v>7</v>
      </c>
      <c r="D3413">
        <v>7</v>
      </c>
    </row>
    <row r="3414" spans="1:4" x14ac:dyDescent="0.35">
      <c r="A3414">
        <v>1563</v>
      </c>
      <c r="B3414" s="2">
        <v>38131</v>
      </c>
      <c r="C3414">
        <v>7</v>
      </c>
      <c r="D3414">
        <v>7</v>
      </c>
    </row>
    <row r="3415" spans="1:4" x14ac:dyDescent="0.35">
      <c r="A3415">
        <v>1564</v>
      </c>
      <c r="B3415" s="2">
        <v>37072</v>
      </c>
      <c r="C3415">
        <v>3</v>
      </c>
      <c r="D3415">
        <v>3</v>
      </c>
    </row>
    <row r="3416" spans="1:4" x14ac:dyDescent="0.35">
      <c r="A3416">
        <v>1564</v>
      </c>
      <c r="B3416" s="2">
        <v>37955</v>
      </c>
      <c r="C3416">
        <v>0</v>
      </c>
      <c r="D3416">
        <v>0</v>
      </c>
    </row>
    <row r="3417" spans="1:4" x14ac:dyDescent="0.35">
      <c r="A3417">
        <v>1565</v>
      </c>
      <c r="B3417" s="2">
        <v>37034</v>
      </c>
      <c r="C3417">
        <v>2</v>
      </c>
      <c r="D3417">
        <v>2</v>
      </c>
    </row>
    <row r="3418" spans="1:4" x14ac:dyDescent="0.35">
      <c r="A3418">
        <v>1565</v>
      </c>
      <c r="B3418" s="2">
        <v>37041</v>
      </c>
      <c r="C3418">
        <v>2</v>
      </c>
      <c r="D3418">
        <v>2</v>
      </c>
    </row>
    <row r="3419" spans="1:4" x14ac:dyDescent="0.35">
      <c r="A3419">
        <v>1566</v>
      </c>
      <c r="B3419" s="2">
        <v>37590</v>
      </c>
      <c r="C3419">
        <v>4</v>
      </c>
      <c r="D3419">
        <v>4</v>
      </c>
    </row>
    <row r="3420" spans="1:4" x14ac:dyDescent="0.35">
      <c r="A3420">
        <v>1566</v>
      </c>
      <c r="B3420" s="2">
        <v>38493</v>
      </c>
      <c r="C3420">
        <v>4</v>
      </c>
      <c r="D3420">
        <v>4</v>
      </c>
    </row>
    <row r="3421" spans="1:4" x14ac:dyDescent="0.35">
      <c r="A3421">
        <v>1567</v>
      </c>
      <c r="B3421" s="2">
        <v>36676</v>
      </c>
      <c r="C3421">
        <v>4</v>
      </c>
      <c r="D3421">
        <v>4</v>
      </c>
    </row>
    <row r="3422" spans="1:4" x14ac:dyDescent="0.35">
      <c r="A3422">
        <v>1567</v>
      </c>
      <c r="B3422" s="2">
        <v>37762</v>
      </c>
      <c r="C3422">
        <v>0</v>
      </c>
      <c r="D3422">
        <v>0</v>
      </c>
    </row>
    <row r="3423" spans="1:4" x14ac:dyDescent="0.35">
      <c r="A3423">
        <v>1568</v>
      </c>
      <c r="B3423" s="2">
        <v>36524</v>
      </c>
      <c r="C3423">
        <v>5</v>
      </c>
      <c r="D3423">
        <v>5</v>
      </c>
    </row>
    <row r="3424" spans="1:4" x14ac:dyDescent="0.35">
      <c r="A3424">
        <v>1568</v>
      </c>
      <c r="B3424" s="2">
        <v>37155</v>
      </c>
      <c r="C3424">
        <v>6</v>
      </c>
      <c r="D3424">
        <v>6</v>
      </c>
    </row>
    <row r="3425" spans="1:4" x14ac:dyDescent="0.35">
      <c r="A3425">
        <v>1568</v>
      </c>
      <c r="B3425" s="2">
        <v>37216</v>
      </c>
      <c r="C3425">
        <v>8</v>
      </c>
      <c r="D3425">
        <v>8</v>
      </c>
    </row>
    <row r="3426" spans="1:4" x14ac:dyDescent="0.35">
      <c r="A3426">
        <v>1568</v>
      </c>
      <c r="B3426" s="2">
        <v>37406</v>
      </c>
      <c r="C3426">
        <v>0</v>
      </c>
      <c r="D3426">
        <v>8</v>
      </c>
    </row>
    <row r="3427" spans="1:4" x14ac:dyDescent="0.35">
      <c r="A3427">
        <v>1569</v>
      </c>
      <c r="B3427" s="2">
        <v>36306</v>
      </c>
      <c r="C3427">
        <v>3</v>
      </c>
      <c r="D3427">
        <v>3</v>
      </c>
    </row>
    <row r="3428" spans="1:4" x14ac:dyDescent="0.35">
      <c r="A3428">
        <v>1570</v>
      </c>
      <c r="B3428" s="2">
        <v>37255</v>
      </c>
      <c r="C3428">
        <v>3</v>
      </c>
      <c r="D3428">
        <v>3</v>
      </c>
    </row>
    <row r="3429" spans="1:4" x14ac:dyDescent="0.35">
      <c r="A3429">
        <v>1570</v>
      </c>
      <c r="B3429" s="2">
        <v>37860</v>
      </c>
      <c r="C3429">
        <v>3</v>
      </c>
      <c r="D3429">
        <v>3</v>
      </c>
    </row>
    <row r="3430" spans="1:4" x14ac:dyDescent="0.35">
      <c r="A3430">
        <v>1571</v>
      </c>
      <c r="B3430" s="2">
        <v>36433</v>
      </c>
      <c r="C3430">
        <v>3</v>
      </c>
      <c r="D3430">
        <v>3</v>
      </c>
    </row>
    <row r="3431" spans="1:4" x14ac:dyDescent="0.35">
      <c r="A3431">
        <v>1572</v>
      </c>
      <c r="B3431" s="2">
        <v>37400</v>
      </c>
      <c r="C3431">
        <v>4</v>
      </c>
      <c r="D3431">
        <v>4</v>
      </c>
    </row>
    <row r="3432" spans="1:4" x14ac:dyDescent="0.35">
      <c r="A3432">
        <v>1572</v>
      </c>
      <c r="B3432" s="2">
        <v>37762</v>
      </c>
      <c r="C3432">
        <v>0</v>
      </c>
      <c r="D3432">
        <v>0</v>
      </c>
    </row>
    <row r="3433" spans="1:4" x14ac:dyDescent="0.35">
      <c r="A3433">
        <v>1573</v>
      </c>
      <c r="B3433" s="2">
        <v>37467</v>
      </c>
      <c r="C3433">
        <v>4</v>
      </c>
      <c r="D3433">
        <v>4</v>
      </c>
    </row>
    <row r="3434" spans="1:4" x14ac:dyDescent="0.35">
      <c r="A3434">
        <v>1574</v>
      </c>
      <c r="B3434" s="2">
        <v>37255</v>
      </c>
      <c r="C3434">
        <v>3</v>
      </c>
      <c r="D3434">
        <v>3</v>
      </c>
    </row>
    <row r="3435" spans="1:4" x14ac:dyDescent="0.35">
      <c r="A3435">
        <v>1574</v>
      </c>
      <c r="B3435" s="2">
        <v>37397</v>
      </c>
      <c r="C3435">
        <v>4</v>
      </c>
      <c r="D3435">
        <v>4</v>
      </c>
    </row>
    <row r="3436" spans="1:4" x14ac:dyDescent="0.35">
      <c r="A3436">
        <v>1574</v>
      </c>
      <c r="B3436" s="2">
        <v>37985</v>
      </c>
      <c r="C3436">
        <v>4</v>
      </c>
      <c r="D3436">
        <v>4</v>
      </c>
    </row>
    <row r="3437" spans="1:4" x14ac:dyDescent="0.35">
      <c r="A3437">
        <v>1575</v>
      </c>
      <c r="B3437" s="2">
        <v>36402</v>
      </c>
      <c r="C3437">
        <v>7</v>
      </c>
      <c r="D3437">
        <v>7</v>
      </c>
    </row>
    <row r="3438" spans="1:4" x14ac:dyDescent="0.35">
      <c r="A3438">
        <v>1575</v>
      </c>
      <c r="B3438" s="2">
        <v>37041</v>
      </c>
      <c r="C3438">
        <v>6</v>
      </c>
      <c r="D3438">
        <v>6</v>
      </c>
    </row>
    <row r="3439" spans="1:4" x14ac:dyDescent="0.35">
      <c r="A3439">
        <v>1575</v>
      </c>
      <c r="B3439" s="2">
        <v>37467</v>
      </c>
      <c r="C3439">
        <v>6</v>
      </c>
      <c r="D3439">
        <v>6</v>
      </c>
    </row>
    <row r="3440" spans="1:4" x14ac:dyDescent="0.35">
      <c r="A3440">
        <v>1575</v>
      </c>
      <c r="B3440" s="2">
        <v>37863</v>
      </c>
      <c r="C3440">
        <v>5</v>
      </c>
      <c r="D3440">
        <v>5</v>
      </c>
    </row>
    <row r="3441" spans="1:4" x14ac:dyDescent="0.35">
      <c r="A3441">
        <v>1575</v>
      </c>
      <c r="B3441" s="2">
        <v>38493</v>
      </c>
      <c r="C3441">
        <v>5</v>
      </c>
      <c r="D3441">
        <v>5</v>
      </c>
    </row>
    <row r="3442" spans="1:4" x14ac:dyDescent="0.35">
      <c r="A3442">
        <v>1576</v>
      </c>
      <c r="B3442" s="2">
        <v>37032</v>
      </c>
      <c r="C3442">
        <v>4</v>
      </c>
      <c r="D3442">
        <v>4</v>
      </c>
    </row>
    <row r="3443" spans="1:4" x14ac:dyDescent="0.35">
      <c r="A3443">
        <v>1576</v>
      </c>
      <c r="B3443" s="2">
        <v>38312</v>
      </c>
      <c r="C3443">
        <v>5</v>
      </c>
      <c r="D3443">
        <v>5</v>
      </c>
    </row>
    <row r="3444" spans="1:4" x14ac:dyDescent="0.35">
      <c r="A3444">
        <v>1577</v>
      </c>
      <c r="B3444" s="2">
        <v>36485</v>
      </c>
      <c r="C3444">
        <v>0</v>
      </c>
      <c r="D3444">
        <v>0</v>
      </c>
    </row>
    <row r="3445" spans="1:4" x14ac:dyDescent="0.35">
      <c r="A3445">
        <v>1578</v>
      </c>
      <c r="B3445" s="2">
        <v>36667</v>
      </c>
      <c r="C3445">
        <v>2</v>
      </c>
      <c r="D3445">
        <v>2</v>
      </c>
    </row>
    <row r="3446" spans="1:4" x14ac:dyDescent="0.35">
      <c r="A3446">
        <v>1578</v>
      </c>
      <c r="B3446" s="2">
        <v>37255</v>
      </c>
      <c r="C3446">
        <v>2</v>
      </c>
      <c r="D3446">
        <v>2</v>
      </c>
    </row>
    <row r="3447" spans="1:4" x14ac:dyDescent="0.35">
      <c r="A3447">
        <v>1579</v>
      </c>
      <c r="B3447" s="2">
        <v>36669</v>
      </c>
      <c r="C3447">
        <v>2</v>
      </c>
      <c r="D3447">
        <v>2</v>
      </c>
    </row>
    <row r="3448" spans="1:4" x14ac:dyDescent="0.35">
      <c r="A3448">
        <v>1580</v>
      </c>
      <c r="B3448" s="2">
        <v>36433</v>
      </c>
      <c r="C3448">
        <v>0</v>
      </c>
      <c r="D3448">
        <v>0</v>
      </c>
    </row>
    <row r="3449" spans="1:4" x14ac:dyDescent="0.35">
      <c r="A3449">
        <v>1581</v>
      </c>
      <c r="B3449" s="2">
        <v>37041</v>
      </c>
      <c r="C3449">
        <v>3</v>
      </c>
      <c r="D3449">
        <v>3</v>
      </c>
    </row>
    <row r="3450" spans="1:4" x14ac:dyDescent="0.35">
      <c r="A3450">
        <v>1581</v>
      </c>
      <c r="B3450" s="2">
        <v>37072</v>
      </c>
      <c r="C3450">
        <v>3</v>
      </c>
      <c r="D3450">
        <v>3</v>
      </c>
    </row>
    <row r="3451" spans="1:4" x14ac:dyDescent="0.35">
      <c r="A3451">
        <v>1581</v>
      </c>
      <c r="B3451" s="2">
        <v>37520</v>
      </c>
      <c r="C3451">
        <v>4</v>
      </c>
      <c r="D3451">
        <v>4</v>
      </c>
    </row>
    <row r="3452" spans="1:4" x14ac:dyDescent="0.35">
      <c r="A3452">
        <v>1581</v>
      </c>
      <c r="B3452" s="2">
        <v>37520</v>
      </c>
      <c r="C3452">
        <v>5</v>
      </c>
      <c r="D3452">
        <v>5</v>
      </c>
    </row>
    <row r="3453" spans="1:4" x14ac:dyDescent="0.35">
      <c r="A3453">
        <v>1581</v>
      </c>
      <c r="B3453" s="2">
        <v>37985</v>
      </c>
      <c r="C3453">
        <v>0</v>
      </c>
      <c r="D3453">
        <v>0</v>
      </c>
    </row>
    <row r="3454" spans="1:4" x14ac:dyDescent="0.35">
      <c r="A3454">
        <v>1582</v>
      </c>
      <c r="B3454" s="2">
        <v>38312</v>
      </c>
      <c r="C3454">
        <v>4</v>
      </c>
      <c r="D3454">
        <v>4</v>
      </c>
    </row>
    <row r="3455" spans="1:4" x14ac:dyDescent="0.35">
      <c r="A3455">
        <v>1583</v>
      </c>
      <c r="B3455" s="2">
        <v>36494</v>
      </c>
      <c r="C3455">
        <v>0</v>
      </c>
      <c r="D3455">
        <v>0</v>
      </c>
    </row>
    <row r="3456" spans="1:4" x14ac:dyDescent="0.35">
      <c r="A3456">
        <v>1583</v>
      </c>
      <c r="B3456" s="2">
        <v>36524</v>
      </c>
      <c r="C3456">
        <v>5</v>
      </c>
      <c r="D3456">
        <v>5</v>
      </c>
    </row>
    <row r="3457" spans="1:4" x14ac:dyDescent="0.35">
      <c r="A3457">
        <v>1583</v>
      </c>
      <c r="B3457" s="2">
        <v>36676</v>
      </c>
      <c r="C3457">
        <v>0</v>
      </c>
      <c r="D3457">
        <v>0</v>
      </c>
    </row>
    <row r="3458" spans="1:4" x14ac:dyDescent="0.35">
      <c r="A3458">
        <v>1583</v>
      </c>
      <c r="B3458" s="2">
        <v>36890</v>
      </c>
      <c r="C3458">
        <v>3</v>
      </c>
      <c r="D3458">
        <v>3</v>
      </c>
    </row>
    <row r="3459" spans="1:4" x14ac:dyDescent="0.35">
      <c r="A3459">
        <v>1584</v>
      </c>
      <c r="B3459" s="2">
        <v>37041</v>
      </c>
      <c r="C3459">
        <v>2</v>
      </c>
      <c r="D3459">
        <v>2</v>
      </c>
    </row>
    <row r="3460" spans="1:4" x14ac:dyDescent="0.35">
      <c r="A3460">
        <v>1584</v>
      </c>
      <c r="B3460" s="2">
        <v>38159</v>
      </c>
      <c r="C3460">
        <v>0</v>
      </c>
      <c r="D3460">
        <v>0</v>
      </c>
    </row>
    <row r="3461" spans="1:4" x14ac:dyDescent="0.35">
      <c r="A3461">
        <v>1585</v>
      </c>
      <c r="B3461" s="2">
        <v>37102</v>
      </c>
      <c r="C3461">
        <v>5</v>
      </c>
      <c r="D3461">
        <v>5</v>
      </c>
    </row>
    <row r="3462" spans="1:4" x14ac:dyDescent="0.35">
      <c r="A3462">
        <v>1586</v>
      </c>
      <c r="B3462" s="2">
        <v>37032</v>
      </c>
      <c r="C3462">
        <v>4</v>
      </c>
      <c r="D3462">
        <v>4</v>
      </c>
    </row>
    <row r="3463" spans="1:4" x14ac:dyDescent="0.35">
      <c r="A3463">
        <v>1586</v>
      </c>
      <c r="B3463" s="2">
        <v>37039</v>
      </c>
      <c r="C3463">
        <v>7</v>
      </c>
      <c r="D3463">
        <v>7</v>
      </c>
    </row>
    <row r="3464" spans="1:4" x14ac:dyDescent="0.35">
      <c r="A3464">
        <v>1586</v>
      </c>
      <c r="B3464" s="2">
        <v>37498</v>
      </c>
      <c r="C3464">
        <v>5</v>
      </c>
      <c r="D3464">
        <v>5</v>
      </c>
    </row>
    <row r="3465" spans="1:4" x14ac:dyDescent="0.35">
      <c r="A3465">
        <v>1586</v>
      </c>
      <c r="B3465" s="2">
        <v>37823</v>
      </c>
      <c r="C3465">
        <v>4</v>
      </c>
      <c r="D3465">
        <v>4</v>
      </c>
    </row>
    <row r="3466" spans="1:4" x14ac:dyDescent="0.35">
      <c r="A3466">
        <v>1586</v>
      </c>
      <c r="B3466" s="2">
        <v>37985</v>
      </c>
      <c r="C3466">
        <v>0</v>
      </c>
      <c r="D3466">
        <v>0</v>
      </c>
    </row>
    <row r="3467" spans="1:4" x14ac:dyDescent="0.35">
      <c r="A3467">
        <v>1587</v>
      </c>
      <c r="B3467" s="2">
        <v>37185</v>
      </c>
      <c r="C3467">
        <v>0</v>
      </c>
      <c r="D3467">
        <v>0</v>
      </c>
    </row>
    <row r="3468" spans="1:4" x14ac:dyDescent="0.35">
      <c r="A3468">
        <v>1588</v>
      </c>
      <c r="B3468" s="2">
        <v>36304</v>
      </c>
      <c r="C3468">
        <v>0</v>
      </c>
      <c r="D3468">
        <v>0</v>
      </c>
    </row>
    <row r="3469" spans="1:4" x14ac:dyDescent="0.35">
      <c r="A3469">
        <v>1589</v>
      </c>
      <c r="B3469" s="2">
        <v>36402</v>
      </c>
      <c r="C3469">
        <v>2</v>
      </c>
      <c r="D3469">
        <v>2</v>
      </c>
    </row>
    <row r="3470" spans="1:4" x14ac:dyDescent="0.35">
      <c r="A3470">
        <v>1589</v>
      </c>
      <c r="B3470" s="2">
        <v>36707</v>
      </c>
      <c r="C3470">
        <v>2</v>
      </c>
      <c r="D3470">
        <v>2</v>
      </c>
    </row>
    <row r="3471" spans="1:4" x14ac:dyDescent="0.35">
      <c r="A3471">
        <v>1589</v>
      </c>
      <c r="B3471" s="2">
        <v>36820</v>
      </c>
      <c r="C3471">
        <v>3</v>
      </c>
      <c r="D3471">
        <v>3</v>
      </c>
    </row>
    <row r="3472" spans="1:4" x14ac:dyDescent="0.35">
      <c r="A3472">
        <v>1589</v>
      </c>
      <c r="B3472" s="2">
        <v>37041</v>
      </c>
      <c r="C3472">
        <v>3</v>
      </c>
      <c r="D3472">
        <v>3</v>
      </c>
    </row>
    <row r="3473" spans="1:4" x14ac:dyDescent="0.35">
      <c r="A3473">
        <v>1589</v>
      </c>
      <c r="B3473" s="2">
        <v>37072</v>
      </c>
      <c r="C3473">
        <v>3</v>
      </c>
      <c r="D3473">
        <v>3</v>
      </c>
    </row>
    <row r="3474" spans="1:4" x14ac:dyDescent="0.35">
      <c r="A3474">
        <v>1589</v>
      </c>
      <c r="B3474" s="2">
        <v>38137</v>
      </c>
      <c r="C3474">
        <v>4</v>
      </c>
      <c r="D3474">
        <v>4</v>
      </c>
    </row>
    <row r="3475" spans="1:4" x14ac:dyDescent="0.35">
      <c r="A3475">
        <v>1590</v>
      </c>
      <c r="B3475" s="2">
        <v>37255</v>
      </c>
      <c r="C3475">
        <v>3</v>
      </c>
      <c r="D3475">
        <v>3</v>
      </c>
    </row>
    <row r="3476" spans="1:4" x14ac:dyDescent="0.35">
      <c r="A3476">
        <v>1590</v>
      </c>
      <c r="B3476" s="2">
        <v>37985</v>
      </c>
      <c r="C3476">
        <v>3</v>
      </c>
      <c r="D3476">
        <v>3</v>
      </c>
    </row>
    <row r="3477" spans="1:4" x14ac:dyDescent="0.35">
      <c r="A3477">
        <v>1591</v>
      </c>
      <c r="B3477" s="2">
        <v>36494</v>
      </c>
      <c r="C3477">
        <v>6</v>
      </c>
      <c r="D3477">
        <v>6</v>
      </c>
    </row>
    <row r="3478" spans="1:4" x14ac:dyDescent="0.35">
      <c r="A3478">
        <v>1591</v>
      </c>
      <c r="B3478" s="2">
        <v>36524</v>
      </c>
      <c r="C3478">
        <v>6</v>
      </c>
      <c r="D3478">
        <v>6</v>
      </c>
    </row>
    <row r="3479" spans="1:4" x14ac:dyDescent="0.35">
      <c r="A3479">
        <v>1591</v>
      </c>
      <c r="B3479" s="2">
        <v>37127</v>
      </c>
      <c r="C3479">
        <v>7</v>
      </c>
      <c r="D3479">
        <v>7</v>
      </c>
    </row>
    <row r="3480" spans="1:4" x14ac:dyDescent="0.35">
      <c r="A3480">
        <v>1591</v>
      </c>
      <c r="B3480" s="2">
        <v>37985</v>
      </c>
      <c r="C3480">
        <v>6</v>
      </c>
      <c r="D3480">
        <v>6</v>
      </c>
    </row>
    <row r="3481" spans="1:4" x14ac:dyDescent="0.35">
      <c r="A3481">
        <v>1591</v>
      </c>
      <c r="B3481" s="2">
        <v>38351</v>
      </c>
      <c r="C3481">
        <v>6</v>
      </c>
      <c r="D3481">
        <v>6</v>
      </c>
    </row>
    <row r="3482" spans="1:4" x14ac:dyDescent="0.35">
      <c r="A3482">
        <v>1592</v>
      </c>
      <c r="B3482" s="2">
        <v>36524</v>
      </c>
      <c r="C3482">
        <v>4</v>
      </c>
      <c r="D3482">
        <v>4</v>
      </c>
    </row>
    <row r="3483" spans="1:4" x14ac:dyDescent="0.35">
      <c r="A3483">
        <v>1592</v>
      </c>
      <c r="B3483" s="2">
        <v>37041</v>
      </c>
      <c r="C3483">
        <v>4</v>
      </c>
      <c r="D3483">
        <v>4</v>
      </c>
    </row>
    <row r="3484" spans="1:4" x14ac:dyDescent="0.35">
      <c r="A3484">
        <v>1592</v>
      </c>
      <c r="B3484" s="2">
        <v>37406</v>
      </c>
      <c r="C3484">
        <v>4</v>
      </c>
      <c r="D3484">
        <v>4</v>
      </c>
    </row>
    <row r="3485" spans="1:4" x14ac:dyDescent="0.35">
      <c r="A3485">
        <v>1592</v>
      </c>
      <c r="B3485" s="2">
        <v>37767</v>
      </c>
      <c r="C3485">
        <v>3</v>
      </c>
      <c r="D3485">
        <v>3</v>
      </c>
    </row>
    <row r="3486" spans="1:4" x14ac:dyDescent="0.35">
      <c r="A3486">
        <v>1592</v>
      </c>
      <c r="B3486" s="2">
        <v>37771</v>
      </c>
      <c r="C3486">
        <v>0</v>
      </c>
      <c r="D3486">
        <v>0</v>
      </c>
    </row>
    <row r="3487" spans="1:4" x14ac:dyDescent="0.35">
      <c r="A3487">
        <v>1593</v>
      </c>
      <c r="B3487" s="2">
        <v>36524</v>
      </c>
      <c r="C3487">
        <v>3</v>
      </c>
      <c r="D3487">
        <v>3</v>
      </c>
    </row>
    <row r="3488" spans="1:4" x14ac:dyDescent="0.35">
      <c r="A3488">
        <v>1593</v>
      </c>
      <c r="B3488" s="2">
        <v>37458</v>
      </c>
      <c r="C3488">
        <v>3</v>
      </c>
      <c r="D3488">
        <v>3</v>
      </c>
    </row>
    <row r="3489" spans="1:4" x14ac:dyDescent="0.35">
      <c r="A3489">
        <v>1594</v>
      </c>
      <c r="B3489" s="2">
        <v>38351</v>
      </c>
      <c r="C3489">
        <v>0</v>
      </c>
      <c r="D3489">
        <v>0</v>
      </c>
    </row>
    <row r="3490" spans="1:4" x14ac:dyDescent="0.35">
      <c r="A3490">
        <v>1595</v>
      </c>
      <c r="B3490" s="2">
        <v>37620</v>
      </c>
      <c r="C3490">
        <v>3</v>
      </c>
      <c r="D3490">
        <v>3</v>
      </c>
    </row>
    <row r="3491" spans="1:4" x14ac:dyDescent="0.35">
      <c r="A3491">
        <v>1595</v>
      </c>
      <c r="B3491" s="2">
        <v>37985</v>
      </c>
      <c r="C3491">
        <v>2</v>
      </c>
      <c r="D3491">
        <v>2</v>
      </c>
    </row>
    <row r="3492" spans="1:4" x14ac:dyDescent="0.35">
      <c r="A3492">
        <v>1596</v>
      </c>
      <c r="B3492" s="2">
        <v>36309</v>
      </c>
      <c r="C3492">
        <v>3</v>
      </c>
      <c r="D3492">
        <v>3</v>
      </c>
    </row>
    <row r="3493" spans="1:4" x14ac:dyDescent="0.35">
      <c r="A3493">
        <v>1596</v>
      </c>
      <c r="B3493" s="2">
        <v>36332</v>
      </c>
      <c r="C3493">
        <v>3</v>
      </c>
      <c r="D3493">
        <v>3</v>
      </c>
    </row>
    <row r="3494" spans="1:4" x14ac:dyDescent="0.35">
      <c r="A3494">
        <v>1596</v>
      </c>
      <c r="B3494" s="2">
        <v>37255</v>
      </c>
      <c r="C3494">
        <v>3</v>
      </c>
      <c r="D3494">
        <v>3</v>
      </c>
    </row>
    <row r="3495" spans="1:4" x14ac:dyDescent="0.35">
      <c r="A3495">
        <v>1597</v>
      </c>
      <c r="B3495" s="2">
        <v>36301</v>
      </c>
      <c r="C3495">
        <v>3</v>
      </c>
      <c r="D3495">
        <v>3</v>
      </c>
    </row>
    <row r="3496" spans="1:4" x14ac:dyDescent="0.35">
      <c r="A3496">
        <v>1597</v>
      </c>
      <c r="B3496" s="2">
        <v>36304</v>
      </c>
      <c r="C3496">
        <v>3</v>
      </c>
      <c r="D3496">
        <v>3</v>
      </c>
    </row>
    <row r="3497" spans="1:4" x14ac:dyDescent="0.35">
      <c r="A3497">
        <v>1597</v>
      </c>
      <c r="B3497" s="2">
        <v>37255</v>
      </c>
      <c r="C3497">
        <v>2</v>
      </c>
      <c r="D3497">
        <v>2</v>
      </c>
    </row>
    <row r="3498" spans="1:4" x14ac:dyDescent="0.35">
      <c r="A3498">
        <v>1597</v>
      </c>
      <c r="B3498" s="2">
        <v>38135</v>
      </c>
      <c r="C3498">
        <v>0</v>
      </c>
      <c r="D3498">
        <v>0</v>
      </c>
    </row>
    <row r="3499" spans="1:4" x14ac:dyDescent="0.35">
      <c r="A3499">
        <v>1598</v>
      </c>
      <c r="B3499" s="2">
        <v>36306</v>
      </c>
      <c r="C3499">
        <v>3</v>
      </c>
      <c r="D3499">
        <v>3</v>
      </c>
    </row>
    <row r="3500" spans="1:4" x14ac:dyDescent="0.35">
      <c r="A3500">
        <v>1598</v>
      </c>
      <c r="B3500" s="2">
        <v>36524</v>
      </c>
      <c r="C3500">
        <v>3</v>
      </c>
      <c r="D3500">
        <v>3</v>
      </c>
    </row>
    <row r="3501" spans="1:4" x14ac:dyDescent="0.35">
      <c r="A3501">
        <v>1598</v>
      </c>
      <c r="B3501" s="2">
        <v>38351</v>
      </c>
      <c r="C3501">
        <v>3</v>
      </c>
      <c r="D3501">
        <v>3</v>
      </c>
    </row>
    <row r="3502" spans="1:4" x14ac:dyDescent="0.35">
      <c r="A3502">
        <v>1599</v>
      </c>
      <c r="B3502" s="2">
        <v>36890</v>
      </c>
      <c r="C3502">
        <v>3</v>
      </c>
      <c r="D3502">
        <v>3</v>
      </c>
    </row>
    <row r="3503" spans="1:4" x14ac:dyDescent="0.35">
      <c r="A3503">
        <v>1600</v>
      </c>
      <c r="B3503" s="2">
        <v>36341</v>
      </c>
      <c r="C3503">
        <v>5</v>
      </c>
      <c r="D3503">
        <v>5</v>
      </c>
    </row>
    <row r="3504" spans="1:4" x14ac:dyDescent="0.35">
      <c r="A3504">
        <v>1600</v>
      </c>
      <c r="B3504" s="2">
        <v>37771</v>
      </c>
      <c r="C3504">
        <v>4</v>
      </c>
      <c r="D3504">
        <v>4</v>
      </c>
    </row>
    <row r="3505" spans="1:4" x14ac:dyDescent="0.35">
      <c r="A3505">
        <v>1601</v>
      </c>
      <c r="B3505" s="2">
        <v>36362</v>
      </c>
      <c r="C3505">
        <v>5</v>
      </c>
      <c r="D3505">
        <v>5</v>
      </c>
    </row>
    <row r="3506" spans="1:4" x14ac:dyDescent="0.35">
      <c r="A3506">
        <v>1602</v>
      </c>
      <c r="B3506" s="2">
        <v>38198</v>
      </c>
      <c r="C3506">
        <v>6</v>
      </c>
      <c r="D3506">
        <v>6</v>
      </c>
    </row>
    <row r="3507" spans="1:4" x14ac:dyDescent="0.35">
      <c r="A3507">
        <v>1603</v>
      </c>
      <c r="B3507" s="2">
        <v>38137</v>
      </c>
      <c r="C3507">
        <v>0</v>
      </c>
      <c r="D3507">
        <v>0</v>
      </c>
    </row>
    <row r="3508" spans="1:4" x14ac:dyDescent="0.35">
      <c r="A3508">
        <v>1604</v>
      </c>
      <c r="B3508" s="2">
        <v>37802</v>
      </c>
      <c r="C3508">
        <v>3</v>
      </c>
      <c r="D3508">
        <v>3</v>
      </c>
    </row>
    <row r="3509" spans="1:4" x14ac:dyDescent="0.35">
      <c r="A3509">
        <v>1604</v>
      </c>
      <c r="B3509" s="2">
        <v>38128</v>
      </c>
      <c r="C3509">
        <v>4</v>
      </c>
      <c r="D3509">
        <v>4</v>
      </c>
    </row>
    <row r="3510" spans="1:4" x14ac:dyDescent="0.35">
      <c r="A3510">
        <v>1605</v>
      </c>
      <c r="B3510" s="2">
        <v>37255</v>
      </c>
      <c r="C3510">
        <v>2</v>
      </c>
      <c r="D3510">
        <v>2</v>
      </c>
    </row>
    <row r="3511" spans="1:4" x14ac:dyDescent="0.35">
      <c r="A3511">
        <v>1605</v>
      </c>
      <c r="B3511" s="2">
        <v>37437</v>
      </c>
      <c r="C3511">
        <v>3</v>
      </c>
      <c r="D3511">
        <v>3</v>
      </c>
    </row>
    <row r="3512" spans="1:4" x14ac:dyDescent="0.35">
      <c r="A3512">
        <v>1606</v>
      </c>
      <c r="B3512" s="2">
        <v>37093</v>
      </c>
      <c r="C3512">
        <v>3</v>
      </c>
      <c r="D3512">
        <v>3</v>
      </c>
    </row>
    <row r="3513" spans="1:4" x14ac:dyDescent="0.35">
      <c r="A3513">
        <v>1606</v>
      </c>
      <c r="B3513" s="2">
        <v>37611</v>
      </c>
      <c r="C3513">
        <v>3</v>
      </c>
      <c r="D3513">
        <v>3</v>
      </c>
    </row>
    <row r="3514" spans="1:4" x14ac:dyDescent="0.35">
      <c r="A3514">
        <v>1607</v>
      </c>
      <c r="B3514" s="2">
        <v>38502</v>
      </c>
      <c r="C3514">
        <v>4</v>
      </c>
      <c r="D3514">
        <v>4</v>
      </c>
    </row>
    <row r="3515" spans="1:4" x14ac:dyDescent="0.35">
      <c r="A3515">
        <v>1608</v>
      </c>
      <c r="B3515" s="2">
        <v>37762</v>
      </c>
      <c r="C3515">
        <v>2</v>
      </c>
      <c r="D3515">
        <v>2</v>
      </c>
    </row>
    <row r="3516" spans="1:4" x14ac:dyDescent="0.35">
      <c r="A3516">
        <v>1609</v>
      </c>
      <c r="B3516" s="2">
        <v>36362</v>
      </c>
      <c r="C3516">
        <v>8</v>
      </c>
      <c r="D3516">
        <v>8</v>
      </c>
    </row>
    <row r="3517" spans="1:4" x14ac:dyDescent="0.35">
      <c r="A3517">
        <v>1609</v>
      </c>
      <c r="B3517" s="2">
        <v>37041</v>
      </c>
      <c r="C3517">
        <v>0</v>
      </c>
      <c r="D3517">
        <v>8</v>
      </c>
    </row>
    <row r="3518" spans="1:4" x14ac:dyDescent="0.35">
      <c r="A3518">
        <v>1610</v>
      </c>
      <c r="B3518" s="2">
        <v>37581</v>
      </c>
      <c r="C3518">
        <v>6</v>
      </c>
      <c r="D3518">
        <v>6</v>
      </c>
    </row>
    <row r="3519" spans="1:4" x14ac:dyDescent="0.35">
      <c r="A3519">
        <v>1610</v>
      </c>
      <c r="B3519" s="2">
        <v>37793</v>
      </c>
      <c r="C3519">
        <v>6</v>
      </c>
      <c r="D3519">
        <v>6</v>
      </c>
    </row>
    <row r="3520" spans="1:4" x14ac:dyDescent="0.35">
      <c r="A3520">
        <v>1611</v>
      </c>
      <c r="B3520" s="2">
        <v>38137</v>
      </c>
      <c r="C3520">
        <v>0</v>
      </c>
      <c r="D3520">
        <v>0</v>
      </c>
    </row>
    <row r="3521" spans="1:4" x14ac:dyDescent="0.35">
      <c r="A3521">
        <v>1612</v>
      </c>
      <c r="B3521" s="2">
        <v>36890</v>
      </c>
      <c r="C3521">
        <v>5</v>
      </c>
      <c r="D3521">
        <v>5</v>
      </c>
    </row>
    <row r="3522" spans="1:4" x14ac:dyDescent="0.35">
      <c r="A3522">
        <v>1612</v>
      </c>
      <c r="B3522" s="2">
        <v>37498</v>
      </c>
      <c r="C3522">
        <v>5</v>
      </c>
      <c r="D3522">
        <v>5</v>
      </c>
    </row>
    <row r="3523" spans="1:4" x14ac:dyDescent="0.35">
      <c r="A3523">
        <v>1612</v>
      </c>
      <c r="B3523" s="2">
        <v>37771</v>
      </c>
      <c r="C3523">
        <v>0</v>
      </c>
      <c r="D3523">
        <v>0</v>
      </c>
    </row>
    <row r="3524" spans="1:4" x14ac:dyDescent="0.35">
      <c r="A3524">
        <v>1613</v>
      </c>
      <c r="B3524" s="2">
        <v>37762</v>
      </c>
      <c r="C3524">
        <v>3</v>
      </c>
      <c r="D3524">
        <v>3</v>
      </c>
    </row>
    <row r="3525" spans="1:4" x14ac:dyDescent="0.35">
      <c r="A3525">
        <v>1613</v>
      </c>
      <c r="B3525" s="2">
        <v>37955</v>
      </c>
      <c r="C3525">
        <v>0</v>
      </c>
      <c r="D3525">
        <v>0</v>
      </c>
    </row>
    <row r="3526" spans="1:4" x14ac:dyDescent="0.35">
      <c r="A3526">
        <v>1614</v>
      </c>
      <c r="B3526" s="2">
        <v>37041</v>
      </c>
      <c r="C3526">
        <v>4</v>
      </c>
      <c r="D3526">
        <v>4</v>
      </c>
    </row>
    <row r="3527" spans="1:4" x14ac:dyDescent="0.35">
      <c r="A3527">
        <v>1614</v>
      </c>
      <c r="B3527" s="2">
        <v>37406</v>
      </c>
      <c r="C3527">
        <v>0</v>
      </c>
      <c r="D3527">
        <v>0</v>
      </c>
    </row>
    <row r="3528" spans="1:4" x14ac:dyDescent="0.35">
      <c r="A3528">
        <v>1615</v>
      </c>
      <c r="B3528" s="2">
        <v>37133</v>
      </c>
      <c r="C3528">
        <v>4</v>
      </c>
      <c r="D3528">
        <v>4</v>
      </c>
    </row>
    <row r="3529" spans="1:4" x14ac:dyDescent="0.35">
      <c r="A3529">
        <v>1615</v>
      </c>
      <c r="B3529" s="2">
        <v>37405</v>
      </c>
      <c r="C3529">
        <v>0</v>
      </c>
      <c r="D3529">
        <v>0</v>
      </c>
    </row>
    <row r="3530" spans="1:4" x14ac:dyDescent="0.35">
      <c r="A3530">
        <v>1615</v>
      </c>
      <c r="B3530" s="2">
        <v>37406</v>
      </c>
      <c r="C3530">
        <v>4</v>
      </c>
      <c r="D3530">
        <v>4</v>
      </c>
    </row>
    <row r="3531" spans="1:4" x14ac:dyDescent="0.35">
      <c r="A3531">
        <v>1615</v>
      </c>
      <c r="B3531" s="2">
        <v>37406</v>
      </c>
      <c r="C3531">
        <v>5</v>
      </c>
      <c r="D3531">
        <v>5</v>
      </c>
    </row>
    <row r="3532" spans="1:4" x14ac:dyDescent="0.35">
      <c r="A3532">
        <v>1616</v>
      </c>
      <c r="B3532" s="2">
        <v>37550</v>
      </c>
      <c r="C3532">
        <v>3</v>
      </c>
      <c r="D3532">
        <v>3</v>
      </c>
    </row>
    <row r="3533" spans="1:4" x14ac:dyDescent="0.35">
      <c r="A3533">
        <v>1616</v>
      </c>
      <c r="B3533" s="2">
        <v>38494</v>
      </c>
      <c r="C3533">
        <v>0</v>
      </c>
      <c r="D3533">
        <v>0</v>
      </c>
    </row>
    <row r="3534" spans="1:4" x14ac:dyDescent="0.35">
      <c r="A3534">
        <v>1617</v>
      </c>
      <c r="B3534" s="2">
        <v>37164</v>
      </c>
      <c r="C3534">
        <v>4</v>
      </c>
      <c r="D3534">
        <v>4</v>
      </c>
    </row>
    <row r="3535" spans="1:4" x14ac:dyDescent="0.35">
      <c r="A3535">
        <v>1618</v>
      </c>
      <c r="B3535" s="2">
        <v>37620</v>
      </c>
      <c r="C3535">
        <v>4</v>
      </c>
      <c r="D3535">
        <v>4</v>
      </c>
    </row>
    <row r="3536" spans="1:4" x14ac:dyDescent="0.35">
      <c r="A3536">
        <v>1618</v>
      </c>
      <c r="B3536" s="2">
        <v>38251</v>
      </c>
      <c r="C3536">
        <v>4</v>
      </c>
      <c r="D3536">
        <v>4</v>
      </c>
    </row>
    <row r="3537" spans="1:4" x14ac:dyDescent="0.35">
      <c r="A3537">
        <v>1618</v>
      </c>
      <c r="B3537" s="2">
        <v>38625</v>
      </c>
      <c r="C3537">
        <v>5</v>
      </c>
      <c r="D3537">
        <v>5</v>
      </c>
    </row>
    <row r="3538" spans="1:4" x14ac:dyDescent="0.35">
      <c r="A3538">
        <v>1619</v>
      </c>
      <c r="B3538" s="2">
        <v>36485</v>
      </c>
      <c r="C3538">
        <v>3</v>
      </c>
      <c r="D3538">
        <v>3</v>
      </c>
    </row>
    <row r="3539" spans="1:4" x14ac:dyDescent="0.35">
      <c r="A3539">
        <v>1619</v>
      </c>
      <c r="B3539" s="2">
        <v>37397</v>
      </c>
      <c r="C3539">
        <v>4</v>
      </c>
      <c r="D3539">
        <v>4</v>
      </c>
    </row>
    <row r="3540" spans="1:4" x14ac:dyDescent="0.35">
      <c r="A3540">
        <v>1619</v>
      </c>
      <c r="B3540" s="2">
        <v>38351</v>
      </c>
      <c r="C3540">
        <v>4</v>
      </c>
      <c r="D3540">
        <v>4</v>
      </c>
    </row>
    <row r="3541" spans="1:4" x14ac:dyDescent="0.35">
      <c r="A3541">
        <v>1619</v>
      </c>
      <c r="B3541" s="2">
        <v>38499</v>
      </c>
      <c r="C3541">
        <v>5</v>
      </c>
      <c r="D3541">
        <v>5</v>
      </c>
    </row>
    <row r="3542" spans="1:4" x14ac:dyDescent="0.35">
      <c r="A3542">
        <v>1620</v>
      </c>
      <c r="B3542" s="2">
        <v>38220</v>
      </c>
      <c r="C3542">
        <v>3</v>
      </c>
      <c r="D3542">
        <v>3</v>
      </c>
    </row>
    <row r="3543" spans="1:4" x14ac:dyDescent="0.35">
      <c r="A3543">
        <v>1621</v>
      </c>
      <c r="B3543" s="2">
        <v>37985</v>
      </c>
      <c r="C3543">
        <v>2</v>
      </c>
      <c r="D3543">
        <v>2</v>
      </c>
    </row>
    <row r="3544" spans="1:4" x14ac:dyDescent="0.35">
      <c r="A3544">
        <v>1622</v>
      </c>
      <c r="B3544" s="2">
        <v>37255</v>
      </c>
      <c r="C3544">
        <v>5</v>
      </c>
      <c r="D3544">
        <v>5</v>
      </c>
    </row>
    <row r="3545" spans="1:4" x14ac:dyDescent="0.35">
      <c r="A3545">
        <v>1622</v>
      </c>
      <c r="B3545" s="2">
        <v>37985</v>
      </c>
      <c r="C3545">
        <v>6</v>
      </c>
      <c r="D3545">
        <v>6</v>
      </c>
    </row>
    <row r="3546" spans="1:4" x14ac:dyDescent="0.35">
      <c r="A3546">
        <v>1623</v>
      </c>
      <c r="B3546" s="2">
        <v>36362</v>
      </c>
      <c r="C3546">
        <v>4</v>
      </c>
      <c r="D3546">
        <v>4</v>
      </c>
    </row>
    <row r="3547" spans="1:4" x14ac:dyDescent="0.35">
      <c r="A3547">
        <v>1623</v>
      </c>
      <c r="B3547" s="2">
        <v>36672</v>
      </c>
      <c r="C3547">
        <v>5</v>
      </c>
      <c r="D3547">
        <v>5</v>
      </c>
    </row>
    <row r="3548" spans="1:4" x14ac:dyDescent="0.35">
      <c r="A3548">
        <v>1623</v>
      </c>
      <c r="B3548" s="2">
        <v>36676</v>
      </c>
      <c r="C3548">
        <v>5</v>
      </c>
      <c r="D3548">
        <v>5</v>
      </c>
    </row>
    <row r="3549" spans="1:4" x14ac:dyDescent="0.35">
      <c r="A3549">
        <v>1623</v>
      </c>
      <c r="B3549" s="2">
        <v>36890</v>
      </c>
      <c r="C3549">
        <v>6</v>
      </c>
      <c r="D3549">
        <v>6</v>
      </c>
    </row>
    <row r="3550" spans="1:4" x14ac:dyDescent="0.35">
      <c r="A3550">
        <v>1623</v>
      </c>
      <c r="B3550" s="2">
        <v>38281</v>
      </c>
      <c r="C3550">
        <v>5</v>
      </c>
      <c r="D3550">
        <v>5</v>
      </c>
    </row>
    <row r="3551" spans="1:4" x14ac:dyDescent="0.35">
      <c r="A3551">
        <v>1624</v>
      </c>
      <c r="B3551" s="2">
        <v>36433</v>
      </c>
      <c r="C3551">
        <v>7</v>
      </c>
      <c r="D3551">
        <v>7</v>
      </c>
    </row>
    <row r="3552" spans="1:4" x14ac:dyDescent="0.35">
      <c r="A3552">
        <v>1624</v>
      </c>
      <c r="B3552" s="2">
        <v>36667</v>
      </c>
      <c r="C3552">
        <v>0</v>
      </c>
      <c r="D3552">
        <v>0</v>
      </c>
    </row>
    <row r="3553" spans="1:4" x14ac:dyDescent="0.35">
      <c r="A3553">
        <v>1625</v>
      </c>
      <c r="B3553" s="2">
        <v>36332</v>
      </c>
      <c r="C3553">
        <v>3</v>
      </c>
      <c r="D3553">
        <v>3</v>
      </c>
    </row>
    <row r="3554" spans="1:4" x14ac:dyDescent="0.35">
      <c r="A3554">
        <v>1625</v>
      </c>
      <c r="B3554" s="2">
        <v>36790</v>
      </c>
      <c r="C3554">
        <v>3</v>
      </c>
      <c r="D3554">
        <v>3</v>
      </c>
    </row>
    <row r="3555" spans="1:4" x14ac:dyDescent="0.35">
      <c r="A3555">
        <v>1625</v>
      </c>
      <c r="B3555" s="2">
        <v>37985</v>
      </c>
      <c r="C3555">
        <v>2</v>
      </c>
      <c r="D3555">
        <v>2</v>
      </c>
    </row>
    <row r="3556" spans="1:4" x14ac:dyDescent="0.35">
      <c r="A3556">
        <v>1626</v>
      </c>
      <c r="B3556" s="2">
        <v>36310</v>
      </c>
      <c r="C3556">
        <v>3</v>
      </c>
      <c r="D3556">
        <v>3</v>
      </c>
    </row>
    <row r="3557" spans="1:4" x14ac:dyDescent="0.35">
      <c r="A3557">
        <v>1626</v>
      </c>
      <c r="B3557" s="2">
        <v>36766</v>
      </c>
      <c r="C3557">
        <v>3</v>
      </c>
      <c r="D3557">
        <v>3</v>
      </c>
    </row>
    <row r="3558" spans="1:4" x14ac:dyDescent="0.35">
      <c r="A3558">
        <v>1626</v>
      </c>
      <c r="B3558" s="2">
        <v>37985</v>
      </c>
      <c r="C3558">
        <v>3</v>
      </c>
      <c r="D3558">
        <v>3</v>
      </c>
    </row>
    <row r="3559" spans="1:4" x14ac:dyDescent="0.35">
      <c r="A3559">
        <v>1627</v>
      </c>
      <c r="B3559" s="2">
        <v>37194</v>
      </c>
      <c r="C3559">
        <v>0</v>
      </c>
      <c r="D3559">
        <v>0</v>
      </c>
    </row>
    <row r="3560" spans="1:4" x14ac:dyDescent="0.35">
      <c r="A3560">
        <v>1628</v>
      </c>
      <c r="B3560" s="2">
        <v>38128</v>
      </c>
      <c r="C3560">
        <v>2</v>
      </c>
      <c r="D3560">
        <v>2</v>
      </c>
    </row>
    <row r="3561" spans="1:4" x14ac:dyDescent="0.35">
      <c r="A3561">
        <v>1629</v>
      </c>
      <c r="B3561" s="2">
        <v>37405</v>
      </c>
      <c r="C3561">
        <v>3</v>
      </c>
      <c r="D3561">
        <v>3</v>
      </c>
    </row>
    <row r="3562" spans="1:4" x14ac:dyDescent="0.35">
      <c r="A3562">
        <v>1629</v>
      </c>
      <c r="B3562" s="2">
        <v>37620</v>
      </c>
      <c r="C3562">
        <v>3</v>
      </c>
      <c r="D3562">
        <v>3</v>
      </c>
    </row>
    <row r="3563" spans="1:4" x14ac:dyDescent="0.35">
      <c r="A3563">
        <v>1630</v>
      </c>
      <c r="B3563" s="2">
        <v>36524</v>
      </c>
      <c r="C3563">
        <v>6</v>
      </c>
      <c r="D3563">
        <v>6</v>
      </c>
    </row>
    <row r="3564" spans="1:4" x14ac:dyDescent="0.35">
      <c r="A3564">
        <v>1630</v>
      </c>
      <c r="B3564" s="2">
        <v>38351</v>
      </c>
      <c r="C3564">
        <v>5</v>
      </c>
      <c r="D3564">
        <v>5</v>
      </c>
    </row>
    <row r="3565" spans="1:4" x14ac:dyDescent="0.35">
      <c r="A3565">
        <v>1631</v>
      </c>
      <c r="B3565" s="2">
        <v>38351</v>
      </c>
      <c r="C3565">
        <v>4</v>
      </c>
      <c r="D3565">
        <v>4</v>
      </c>
    </row>
    <row r="3566" spans="1:4" x14ac:dyDescent="0.35">
      <c r="A3566">
        <v>1631</v>
      </c>
      <c r="B3566" s="2">
        <v>38351</v>
      </c>
      <c r="C3566">
        <v>0</v>
      </c>
      <c r="D3566">
        <v>0</v>
      </c>
    </row>
    <row r="3567" spans="1:4" x14ac:dyDescent="0.35">
      <c r="A3567">
        <v>1632</v>
      </c>
      <c r="B3567" s="2">
        <v>36310</v>
      </c>
      <c r="C3567">
        <v>4</v>
      </c>
      <c r="D3567">
        <v>4</v>
      </c>
    </row>
    <row r="3568" spans="1:4" x14ac:dyDescent="0.35">
      <c r="A3568">
        <v>1632</v>
      </c>
      <c r="B3568" s="2">
        <v>36667</v>
      </c>
      <c r="C3568">
        <v>0</v>
      </c>
      <c r="D3568">
        <v>0</v>
      </c>
    </row>
    <row r="3569" spans="1:4" x14ac:dyDescent="0.35">
      <c r="A3569">
        <v>1633</v>
      </c>
      <c r="B3569" s="2">
        <v>37620</v>
      </c>
      <c r="C3569">
        <v>3</v>
      </c>
      <c r="D3569">
        <v>3</v>
      </c>
    </row>
    <row r="3570" spans="1:4" x14ac:dyDescent="0.35">
      <c r="A3570">
        <v>1634</v>
      </c>
      <c r="B3570" s="2">
        <v>36494</v>
      </c>
      <c r="C3570">
        <v>6</v>
      </c>
      <c r="D3570">
        <v>6</v>
      </c>
    </row>
    <row r="3571" spans="1:4" x14ac:dyDescent="0.35">
      <c r="A3571">
        <v>1634</v>
      </c>
      <c r="B3571" s="2">
        <v>36676</v>
      </c>
      <c r="C3571">
        <v>7</v>
      </c>
      <c r="D3571">
        <v>7</v>
      </c>
    </row>
    <row r="3572" spans="1:4" x14ac:dyDescent="0.35">
      <c r="A3572">
        <v>1634</v>
      </c>
      <c r="B3572" s="2">
        <v>37255</v>
      </c>
      <c r="C3572">
        <v>0</v>
      </c>
      <c r="D3572">
        <v>0</v>
      </c>
    </row>
    <row r="3573" spans="1:4" x14ac:dyDescent="0.35">
      <c r="A3573">
        <v>1635</v>
      </c>
      <c r="B3573" s="2">
        <v>36301</v>
      </c>
      <c r="C3573">
        <v>2</v>
      </c>
      <c r="D3573">
        <v>2</v>
      </c>
    </row>
    <row r="3574" spans="1:4" x14ac:dyDescent="0.35">
      <c r="A3574">
        <v>1636</v>
      </c>
      <c r="B3574" s="2">
        <v>37397</v>
      </c>
      <c r="C3574">
        <v>5</v>
      </c>
      <c r="D3574">
        <v>5</v>
      </c>
    </row>
    <row r="3575" spans="1:4" x14ac:dyDescent="0.35">
      <c r="A3575">
        <v>1636</v>
      </c>
      <c r="B3575" s="2">
        <v>37406</v>
      </c>
      <c r="C3575">
        <v>6</v>
      </c>
      <c r="D3575">
        <v>6</v>
      </c>
    </row>
    <row r="3576" spans="1:4" x14ac:dyDescent="0.35">
      <c r="A3576">
        <v>1637</v>
      </c>
      <c r="B3576" s="2">
        <v>37041</v>
      </c>
      <c r="C3576">
        <v>8</v>
      </c>
      <c r="D3576">
        <v>8</v>
      </c>
    </row>
    <row r="3577" spans="1:4" x14ac:dyDescent="0.35">
      <c r="A3577">
        <v>1637</v>
      </c>
      <c r="B3577" s="2">
        <v>37194</v>
      </c>
      <c r="C3577">
        <v>6</v>
      </c>
      <c r="D3577">
        <v>8</v>
      </c>
    </row>
    <row r="3578" spans="1:4" x14ac:dyDescent="0.35">
      <c r="A3578">
        <v>1637</v>
      </c>
      <c r="B3578" s="2">
        <v>38137</v>
      </c>
      <c r="C3578">
        <v>7</v>
      </c>
      <c r="D3578">
        <v>8</v>
      </c>
    </row>
    <row r="3579" spans="1:4" x14ac:dyDescent="0.35">
      <c r="A3579">
        <v>1638</v>
      </c>
      <c r="B3579" s="2">
        <v>37763</v>
      </c>
      <c r="C3579">
        <v>3</v>
      </c>
      <c r="D3579">
        <v>3</v>
      </c>
    </row>
    <row r="3580" spans="1:4" x14ac:dyDescent="0.35">
      <c r="A3580">
        <v>1638</v>
      </c>
      <c r="B3580" s="2">
        <v>38260</v>
      </c>
      <c r="C3580">
        <v>2</v>
      </c>
      <c r="D3580">
        <v>2</v>
      </c>
    </row>
    <row r="3581" spans="1:4" x14ac:dyDescent="0.35">
      <c r="A3581">
        <v>1639</v>
      </c>
      <c r="B3581" s="2">
        <v>36759</v>
      </c>
      <c r="C3581">
        <v>3</v>
      </c>
      <c r="D3581">
        <v>3</v>
      </c>
    </row>
    <row r="3582" spans="1:4" x14ac:dyDescent="0.35">
      <c r="A3582">
        <v>1639</v>
      </c>
      <c r="B3582" s="2">
        <v>37797</v>
      </c>
      <c r="C3582">
        <v>3</v>
      </c>
      <c r="D3582">
        <v>3</v>
      </c>
    </row>
    <row r="3583" spans="1:4" x14ac:dyDescent="0.35">
      <c r="A3583">
        <v>1640</v>
      </c>
      <c r="B3583" s="2">
        <v>38563</v>
      </c>
      <c r="C3583">
        <v>2</v>
      </c>
      <c r="D3583">
        <v>2</v>
      </c>
    </row>
    <row r="3584" spans="1:4" x14ac:dyDescent="0.35">
      <c r="A3584">
        <v>1641</v>
      </c>
      <c r="B3584" s="2">
        <v>37124</v>
      </c>
      <c r="C3584">
        <v>2</v>
      </c>
      <c r="D3584">
        <v>2</v>
      </c>
    </row>
    <row r="3585" spans="1:4" x14ac:dyDescent="0.35">
      <c r="A3585">
        <v>1641</v>
      </c>
      <c r="B3585" s="2">
        <v>38594</v>
      </c>
      <c r="C3585">
        <v>2</v>
      </c>
      <c r="D3585">
        <v>2</v>
      </c>
    </row>
    <row r="3586" spans="1:4" x14ac:dyDescent="0.35">
      <c r="A3586">
        <v>1642</v>
      </c>
      <c r="B3586" s="2">
        <v>38493</v>
      </c>
      <c r="C3586">
        <v>2</v>
      </c>
      <c r="D3586">
        <v>2</v>
      </c>
    </row>
    <row r="3587" spans="1:4" x14ac:dyDescent="0.35">
      <c r="A3587">
        <v>1643</v>
      </c>
      <c r="B3587" s="2">
        <v>37401</v>
      </c>
      <c r="C3587">
        <v>1</v>
      </c>
      <c r="D3587">
        <v>1</v>
      </c>
    </row>
    <row r="3588" spans="1:4" x14ac:dyDescent="0.35">
      <c r="A3588">
        <v>1644</v>
      </c>
      <c r="B3588" s="2">
        <v>37255</v>
      </c>
      <c r="C3588">
        <v>3</v>
      </c>
      <c r="D3588">
        <v>3</v>
      </c>
    </row>
    <row r="3589" spans="1:4" x14ac:dyDescent="0.35">
      <c r="A3589">
        <v>1645</v>
      </c>
      <c r="B3589" s="2">
        <v>36524</v>
      </c>
      <c r="C3589">
        <v>0</v>
      </c>
      <c r="D3589">
        <v>0</v>
      </c>
    </row>
    <row r="3590" spans="1:4" x14ac:dyDescent="0.35">
      <c r="A3590">
        <v>1646</v>
      </c>
      <c r="B3590" s="2">
        <v>37032</v>
      </c>
      <c r="C3590">
        <v>3</v>
      </c>
      <c r="D3590">
        <v>3</v>
      </c>
    </row>
    <row r="3591" spans="1:4" x14ac:dyDescent="0.35">
      <c r="A3591">
        <v>1647</v>
      </c>
      <c r="B3591" s="2">
        <v>38351</v>
      </c>
      <c r="C3591">
        <v>3</v>
      </c>
      <c r="D3591">
        <v>3</v>
      </c>
    </row>
    <row r="3592" spans="1:4" x14ac:dyDescent="0.35">
      <c r="A3592">
        <v>1648</v>
      </c>
      <c r="B3592" s="2">
        <v>37039</v>
      </c>
      <c r="C3592">
        <v>5</v>
      </c>
      <c r="D3592">
        <v>5</v>
      </c>
    </row>
    <row r="3593" spans="1:4" x14ac:dyDescent="0.35">
      <c r="A3593">
        <v>1648</v>
      </c>
      <c r="B3593" s="2">
        <v>37762</v>
      </c>
      <c r="C3593">
        <v>5</v>
      </c>
      <c r="D3593">
        <v>5</v>
      </c>
    </row>
    <row r="3594" spans="1:4" x14ac:dyDescent="0.35">
      <c r="A3594">
        <v>1648</v>
      </c>
      <c r="B3594" s="2">
        <v>38351</v>
      </c>
      <c r="C3594">
        <v>4</v>
      </c>
      <c r="D3594">
        <v>4</v>
      </c>
    </row>
    <row r="3595" spans="1:4" x14ac:dyDescent="0.35">
      <c r="A3595">
        <v>1649</v>
      </c>
      <c r="B3595" s="2">
        <v>37255</v>
      </c>
      <c r="C3595">
        <v>4</v>
      </c>
      <c r="D3595">
        <v>4</v>
      </c>
    </row>
    <row r="3596" spans="1:4" x14ac:dyDescent="0.35">
      <c r="A3596">
        <v>1650</v>
      </c>
      <c r="B3596" s="2">
        <v>37985</v>
      </c>
      <c r="C3596">
        <v>2</v>
      </c>
      <c r="D3596">
        <v>2</v>
      </c>
    </row>
    <row r="3597" spans="1:4" x14ac:dyDescent="0.35">
      <c r="A3597">
        <v>1650</v>
      </c>
      <c r="B3597" s="2">
        <v>38351</v>
      </c>
      <c r="C3597">
        <v>1</v>
      </c>
      <c r="D3597">
        <v>1</v>
      </c>
    </row>
    <row r="3598" spans="1:4" x14ac:dyDescent="0.35">
      <c r="A3598">
        <v>1651</v>
      </c>
      <c r="B3598" s="2">
        <v>37406</v>
      </c>
      <c r="C3598">
        <v>3</v>
      </c>
      <c r="D3598">
        <v>3</v>
      </c>
    </row>
    <row r="3599" spans="1:4" x14ac:dyDescent="0.35">
      <c r="A3599">
        <v>1652</v>
      </c>
      <c r="B3599" s="2">
        <v>36820</v>
      </c>
      <c r="C3599">
        <v>3</v>
      </c>
      <c r="D3599">
        <v>3</v>
      </c>
    </row>
    <row r="3600" spans="1:4" x14ac:dyDescent="0.35">
      <c r="A3600">
        <v>1652</v>
      </c>
      <c r="B3600" s="2">
        <v>37489</v>
      </c>
      <c r="C3600">
        <v>2</v>
      </c>
      <c r="D3600">
        <v>2</v>
      </c>
    </row>
    <row r="3601" spans="1:4" x14ac:dyDescent="0.35">
      <c r="A3601">
        <v>1653</v>
      </c>
      <c r="B3601" s="2">
        <v>36707</v>
      </c>
      <c r="C3601">
        <v>2</v>
      </c>
      <c r="D3601">
        <v>2</v>
      </c>
    </row>
    <row r="3602" spans="1:4" x14ac:dyDescent="0.35">
      <c r="A3602">
        <v>1653</v>
      </c>
      <c r="B3602" s="2">
        <v>37771</v>
      </c>
      <c r="C3602">
        <v>2</v>
      </c>
      <c r="D3602">
        <v>2</v>
      </c>
    </row>
    <row r="3603" spans="1:4" x14ac:dyDescent="0.35">
      <c r="A3603">
        <v>1653</v>
      </c>
      <c r="B3603" s="2">
        <v>38189</v>
      </c>
      <c r="C3603">
        <v>3</v>
      </c>
      <c r="D3603">
        <v>3</v>
      </c>
    </row>
    <row r="3604" spans="1:4" x14ac:dyDescent="0.35">
      <c r="A3604">
        <v>1654</v>
      </c>
      <c r="B3604" s="2">
        <v>36890</v>
      </c>
      <c r="C3604">
        <v>5</v>
      </c>
      <c r="D3604">
        <v>5</v>
      </c>
    </row>
    <row r="3605" spans="1:4" x14ac:dyDescent="0.35">
      <c r="A3605">
        <v>1654</v>
      </c>
      <c r="B3605" s="2">
        <v>37041</v>
      </c>
      <c r="C3605">
        <v>0</v>
      </c>
      <c r="D3605">
        <v>0</v>
      </c>
    </row>
    <row r="3606" spans="1:4" x14ac:dyDescent="0.35">
      <c r="A3606">
        <v>1654</v>
      </c>
      <c r="B3606" s="2">
        <v>38493</v>
      </c>
      <c r="C3606">
        <v>4</v>
      </c>
      <c r="D3606">
        <v>4</v>
      </c>
    </row>
    <row r="3607" spans="1:4" x14ac:dyDescent="0.35">
      <c r="A3607">
        <v>1655</v>
      </c>
      <c r="B3607" s="2">
        <v>36310</v>
      </c>
      <c r="C3607">
        <v>0</v>
      </c>
      <c r="D3607">
        <v>0</v>
      </c>
    </row>
    <row r="3608" spans="1:4" x14ac:dyDescent="0.35">
      <c r="A3608">
        <v>1656</v>
      </c>
      <c r="B3608" s="2">
        <v>37041</v>
      </c>
      <c r="C3608">
        <v>4</v>
      </c>
      <c r="D3608">
        <v>4</v>
      </c>
    </row>
    <row r="3609" spans="1:4" x14ac:dyDescent="0.35">
      <c r="A3609">
        <v>1656</v>
      </c>
      <c r="B3609" s="2">
        <v>37406</v>
      </c>
      <c r="C3609">
        <v>4</v>
      </c>
      <c r="D3609">
        <v>4</v>
      </c>
    </row>
    <row r="3610" spans="1:4" x14ac:dyDescent="0.35">
      <c r="A3610">
        <v>1656</v>
      </c>
      <c r="B3610" s="2">
        <v>37769</v>
      </c>
      <c r="C3610">
        <v>5</v>
      </c>
      <c r="D3610">
        <v>5</v>
      </c>
    </row>
    <row r="3611" spans="1:4" x14ac:dyDescent="0.35">
      <c r="A3611">
        <v>1657</v>
      </c>
      <c r="B3611" s="2">
        <v>37406</v>
      </c>
      <c r="C3611">
        <v>3</v>
      </c>
      <c r="D3611">
        <v>3</v>
      </c>
    </row>
    <row r="3612" spans="1:4" x14ac:dyDescent="0.35">
      <c r="A3612">
        <v>1657</v>
      </c>
      <c r="B3612" s="2">
        <v>38189</v>
      </c>
      <c r="C3612">
        <v>2</v>
      </c>
      <c r="D3612">
        <v>2</v>
      </c>
    </row>
    <row r="3613" spans="1:4" x14ac:dyDescent="0.35">
      <c r="A3613">
        <v>1658</v>
      </c>
      <c r="B3613" s="2">
        <v>37255</v>
      </c>
      <c r="C3613">
        <v>4</v>
      </c>
      <c r="D3613">
        <v>4</v>
      </c>
    </row>
    <row r="3614" spans="1:4" x14ac:dyDescent="0.35">
      <c r="A3614">
        <v>1659</v>
      </c>
      <c r="B3614" s="2">
        <v>36676</v>
      </c>
      <c r="C3614">
        <v>2</v>
      </c>
      <c r="D3614">
        <v>2</v>
      </c>
    </row>
    <row r="3615" spans="1:4" x14ac:dyDescent="0.35">
      <c r="A3615">
        <v>1659</v>
      </c>
      <c r="B3615" s="2">
        <v>37771</v>
      </c>
      <c r="C3615">
        <v>2</v>
      </c>
      <c r="D3615">
        <v>2</v>
      </c>
    </row>
    <row r="3616" spans="1:4" x14ac:dyDescent="0.35">
      <c r="A3616">
        <v>1659</v>
      </c>
      <c r="B3616" s="2">
        <v>38137</v>
      </c>
      <c r="C3616">
        <v>3</v>
      </c>
      <c r="D3616">
        <v>3</v>
      </c>
    </row>
    <row r="3617" spans="1:4" x14ac:dyDescent="0.35">
      <c r="A3617">
        <v>1660</v>
      </c>
      <c r="B3617" s="2">
        <v>37041</v>
      </c>
      <c r="C3617">
        <v>7</v>
      </c>
      <c r="D3617">
        <v>7</v>
      </c>
    </row>
    <row r="3618" spans="1:4" x14ac:dyDescent="0.35">
      <c r="A3618">
        <v>1660</v>
      </c>
      <c r="B3618" s="2">
        <v>37397</v>
      </c>
      <c r="C3618">
        <v>5</v>
      </c>
      <c r="D3618">
        <v>5</v>
      </c>
    </row>
    <row r="3619" spans="1:4" x14ac:dyDescent="0.35">
      <c r="A3619">
        <v>1660</v>
      </c>
      <c r="B3619" s="2">
        <v>37950</v>
      </c>
      <c r="C3619">
        <v>4</v>
      </c>
      <c r="D3619">
        <v>4</v>
      </c>
    </row>
    <row r="3620" spans="1:4" x14ac:dyDescent="0.35">
      <c r="A3620">
        <v>1660</v>
      </c>
      <c r="B3620" s="2">
        <v>38137</v>
      </c>
      <c r="C3620">
        <v>4</v>
      </c>
      <c r="D3620">
        <v>4</v>
      </c>
    </row>
    <row r="3621" spans="1:4" x14ac:dyDescent="0.35">
      <c r="A3621">
        <v>1661</v>
      </c>
      <c r="B3621" s="2">
        <v>37255</v>
      </c>
      <c r="C3621">
        <v>0</v>
      </c>
      <c r="D3621">
        <v>0</v>
      </c>
    </row>
    <row r="3622" spans="1:4" x14ac:dyDescent="0.35">
      <c r="A3622">
        <v>1662</v>
      </c>
      <c r="B3622" s="2">
        <v>36790</v>
      </c>
      <c r="C3622">
        <v>3</v>
      </c>
      <c r="D3622">
        <v>3</v>
      </c>
    </row>
    <row r="3623" spans="1:4" x14ac:dyDescent="0.35">
      <c r="A3623">
        <v>1662</v>
      </c>
      <c r="B3623" s="2">
        <v>37550</v>
      </c>
      <c r="C3623">
        <v>4</v>
      </c>
      <c r="D3623">
        <v>4</v>
      </c>
    </row>
    <row r="3624" spans="1:4" x14ac:dyDescent="0.35">
      <c r="A3624">
        <v>1663</v>
      </c>
      <c r="B3624" s="2">
        <v>37041</v>
      </c>
      <c r="C3624">
        <v>3</v>
      </c>
      <c r="D3624">
        <v>3</v>
      </c>
    </row>
    <row r="3625" spans="1:4" x14ac:dyDescent="0.35">
      <c r="A3625">
        <v>1664</v>
      </c>
      <c r="B3625" s="2">
        <v>36341</v>
      </c>
      <c r="C3625">
        <v>3</v>
      </c>
      <c r="D3625">
        <v>3</v>
      </c>
    </row>
    <row r="3626" spans="1:4" x14ac:dyDescent="0.35">
      <c r="A3626">
        <v>1664</v>
      </c>
      <c r="B3626" s="2">
        <v>36454</v>
      </c>
      <c r="C3626">
        <v>4</v>
      </c>
      <c r="D3626">
        <v>4</v>
      </c>
    </row>
    <row r="3627" spans="1:4" x14ac:dyDescent="0.35">
      <c r="A3627">
        <v>1664</v>
      </c>
      <c r="B3627" s="2">
        <v>37620</v>
      </c>
      <c r="C3627">
        <v>4</v>
      </c>
      <c r="D3627">
        <v>4</v>
      </c>
    </row>
    <row r="3628" spans="1:4" x14ac:dyDescent="0.35">
      <c r="A3628">
        <v>1664</v>
      </c>
      <c r="B3628" s="2">
        <v>37955</v>
      </c>
      <c r="C3628">
        <v>6</v>
      </c>
      <c r="D3628">
        <v>6</v>
      </c>
    </row>
    <row r="3629" spans="1:4" x14ac:dyDescent="0.35">
      <c r="A3629">
        <v>1665</v>
      </c>
      <c r="B3629" s="2">
        <v>36485</v>
      </c>
      <c r="C3629">
        <v>4</v>
      </c>
      <c r="D3629">
        <v>4</v>
      </c>
    </row>
    <row r="3630" spans="1:4" x14ac:dyDescent="0.35">
      <c r="A3630">
        <v>1665</v>
      </c>
      <c r="B3630" s="2">
        <v>37520</v>
      </c>
      <c r="C3630">
        <v>4</v>
      </c>
      <c r="D3630">
        <v>4</v>
      </c>
    </row>
    <row r="3631" spans="1:4" x14ac:dyDescent="0.35">
      <c r="A3631">
        <v>1665</v>
      </c>
      <c r="B3631" s="2">
        <v>37620</v>
      </c>
      <c r="C3631">
        <v>5</v>
      </c>
      <c r="D3631">
        <v>5</v>
      </c>
    </row>
    <row r="3632" spans="1:4" x14ac:dyDescent="0.35">
      <c r="A3632">
        <v>1665</v>
      </c>
      <c r="B3632" s="2">
        <v>37762</v>
      </c>
      <c r="C3632">
        <v>7</v>
      </c>
      <c r="D3632">
        <v>7</v>
      </c>
    </row>
    <row r="3633" spans="1:4" x14ac:dyDescent="0.35">
      <c r="A3633">
        <v>1666</v>
      </c>
      <c r="B3633" s="2">
        <v>36524</v>
      </c>
      <c r="C3633">
        <v>2</v>
      </c>
      <c r="D3633">
        <v>2</v>
      </c>
    </row>
    <row r="3634" spans="1:4" x14ac:dyDescent="0.35">
      <c r="A3634">
        <v>1666</v>
      </c>
      <c r="B3634" s="2">
        <v>37802</v>
      </c>
      <c r="C3634">
        <v>2</v>
      </c>
      <c r="D3634">
        <v>2</v>
      </c>
    </row>
    <row r="3635" spans="1:4" x14ac:dyDescent="0.35">
      <c r="A3635">
        <v>1666</v>
      </c>
      <c r="B3635" s="2">
        <v>38137</v>
      </c>
      <c r="C3635">
        <v>3</v>
      </c>
      <c r="D3635">
        <v>3</v>
      </c>
    </row>
    <row r="3636" spans="1:4" x14ac:dyDescent="0.35">
      <c r="A3636">
        <v>1666</v>
      </c>
      <c r="B3636" s="2">
        <v>38189</v>
      </c>
      <c r="C3636">
        <v>3</v>
      </c>
      <c r="D3636">
        <v>3</v>
      </c>
    </row>
    <row r="3637" spans="1:4" x14ac:dyDescent="0.35">
      <c r="A3637">
        <v>1667</v>
      </c>
      <c r="B3637" s="2">
        <v>36310</v>
      </c>
      <c r="C3637">
        <v>2</v>
      </c>
      <c r="D3637">
        <v>2</v>
      </c>
    </row>
    <row r="3638" spans="1:4" x14ac:dyDescent="0.35">
      <c r="A3638">
        <v>1667</v>
      </c>
      <c r="B3638" s="2">
        <v>37762</v>
      </c>
      <c r="C3638">
        <v>3</v>
      </c>
      <c r="D3638">
        <v>3</v>
      </c>
    </row>
    <row r="3639" spans="1:4" x14ac:dyDescent="0.35">
      <c r="A3639">
        <v>1667</v>
      </c>
      <c r="B3639" s="2">
        <v>38128</v>
      </c>
      <c r="C3639">
        <v>3</v>
      </c>
      <c r="D3639">
        <v>3</v>
      </c>
    </row>
    <row r="3640" spans="1:4" x14ac:dyDescent="0.35">
      <c r="A3640">
        <v>1668</v>
      </c>
      <c r="B3640" s="2">
        <v>37985</v>
      </c>
      <c r="C3640">
        <v>3</v>
      </c>
      <c r="D3640">
        <v>3</v>
      </c>
    </row>
    <row r="3641" spans="1:4" x14ac:dyDescent="0.35">
      <c r="A3641">
        <v>1669</v>
      </c>
      <c r="B3641" s="2">
        <v>38351</v>
      </c>
      <c r="C3641">
        <v>6</v>
      </c>
      <c r="D3641">
        <v>6</v>
      </c>
    </row>
    <row r="3642" spans="1:4" x14ac:dyDescent="0.35">
      <c r="A3642">
        <v>1670</v>
      </c>
      <c r="B3642" s="2">
        <v>36424</v>
      </c>
      <c r="C3642">
        <v>4</v>
      </c>
      <c r="D3642">
        <v>4</v>
      </c>
    </row>
    <row r="3643" spans="1:4" x14ac:dyDescent="0.35">
      <c r="A3643">
        <v>1670</v>
      </c>
      <c r="B3643" s="2">
        <v>37406</v>
      </c>
      <c r="C3643">
        <v>4</v>
      </c>
      <c r="D3643">
        <v>4</v>
      </c>
    </row>
    <row r="3644" spans="1:4" x14ac:dyDescent="0.35">
      <c r="A3644">
        <v>1671</v>
      </c>
      <c r="B3644" s="2">
        <v>36424</v>
      </c>
      <c r="C3644">
        <v>5</v>
      </c>
      <c r="D3644">
        <v>5</v>
      </c>
    </row>
    <row r="3645" spans="1:4" x14ac:dyDescent="0.35">
      <c r="A3645">
        <v>1671</v>
      </c>
      <c r="B3645" s="2">
        <v>36829</v>
      </c>
      <c r="C3645">
        <v>4</v>
      </c>
      <c r="D3645">
        <v>4</v>
      </c>
    </row>
    <row r="3646" spans="1:4" x14ac:dyDescent="0.35">
      <c r="A3646">
        <v>1671</v>
      </c>
      <c r="B3646" s="2">
        <v>37397</v>
      </c>
      <c r="C3646">
        <v>4</v>
      </c>
      <c r="D3646">
        <v>4</v>
      </c>
    </row>
    <row r="3647" spans="1:4" x14ac:dyDescent="0.35">
      <c r="A3647">
        <v>1672</v>
      </c>
      <c r="B3647" s="2">
        <v>36890</v>
      </c>
      <c r="C3647">
        <v>4</v>
      </c>
      <c r="D3647">
        <v>4</v>
      </c>
    </row>
    <row r="3648" spans="1:4" x14ac:dyDescent="0.35">
      <c r="A3648">
        <v>1672</v>
      </c>
      <c r="B3648" s="2">
        <v>37032</v>
      </c>
      <c r="C3648">
        <v>4</v>
      </c>
      <c r="D3648">
        <v>4</v>
      </c>
    </row>
    <row r="3649" spans="1:4" x14ac:dyDescent="0.35">
      <c r="A3649">
        <v>1672</v>
      </c>
      <c r="B3649" s="2">
        <v>37620</v>
      </c>
      <c r="C3649">
        <v>5</v>
      </c>
      <c r="D3649">
        <v>5</v>
      </c>
    </row>
    <row r="3650" spans="1:4" x14ac:dyDescent="0.35">
      <c r="A3650">
        <v>1672</v>
      </c>
      <c r="B3650" s="2">
        <v>37955</v>
      </c>
      <c r="C3650">
        <v>6</v>
      </c>
      <c r="D3650">
        <v>6</v>
      </c>
    </row>
    <row r="3651" spans="1:4" x14ac:dyDescent="0.35">
      <c r="A3651">
        <v>1672</v>
      </c>
      <c r="B3651" s="2">
        <v>38137</v>
      </c>
      <c r="C3651">
        <v>6</v>
      </c>
      <c r="D3651">
        <v>6</v>
      </c>
    </row>
    <row r="3652" spans="1:4" x14ac:dyDescent="0.35">
      <c r="A3652">
        <v>1673</v>
      </c>
      <c r="B3652" s="2">
        <v>36371</v>
      </c>
      <c r="C3652">
        <v>3</v>
      </c>
      <c r="D3652">
        <v>3</v>
      </c>
    </row>
    <row r="3653" spans="1:4" x14ac:dyDescent="0.35">
      <c r="A3653">
        <v>1674</v>
      </c>
      <c r="B3653" s="2">
        <v>36371</v>
      </c>
      <c r="C3653">
        <v>0</v>
      </c>
      <c r="D3653">
        <v>0</v>
      </c>
    </row>
    <row r="3654" spans="1:4" x14ac:dyDescent="0.35">
      <c r="A3654">
        <v>1675</v>
      </c>
      <c r="B3654" s="2">
        <v>37398</v>
      </c>
      <c r="C3654">
        <v>3</v>
      </c>
      <c r="D3654">
        <v>3</v>
      </c>
    </row>
    <row r="3655" spans="1:4" x14ac:dyDescent="0.35">
      <c r="A3655">
        <v>1675</v>
      </c>
      <c r="B3655" s="2">
        <v>38312</v>
      </c>
      <c r="C3655">
        <v>0</v>
      </c>
      <c r="D3655">
        <v>0</v>
      </c>
    </row>
    <row r="3656" spans="1:4" x14ac:dyDescent="0.35">
      <c r="A3656">
        <v>1676</v>
      </c>
      <c r="B3656" s="2">
        <v>36524</v>
      </c>
      <c r="C3656">
        <v>2</v>
      </c>
      <c r="D3656">
        <v>2</v>
      </c>
    </row>
    <row r="3657" spans="1:4" x14ac:dyDescent="0.35">
      <c r="A3657">
        <v>1676</v>
      </c>
      <c r="B3657" s="2">
        <v>37762</v>
      </c>
      <c r="C3657">
        <v>3</v>
      </c>
      <c r="D3657">
        <v>3</v>
      </c>
    </row>
    <row r="3658" spans="1:4" x14ac:dyDescent="0.35">
      <c r="A3658">
        <v>1676</v>
      </c>
      <c r="B3658" s="2">
        <v>38159</v>
      </c>
      <c r="C3658">
        <v>3</v>
      </c>
      <c r="D3658">
        <v>3</v>
      </c>
    </row>
    <row r="3659" spans="1:4" x14ac:dyDescent="0.35">
      <c r="A3659">
        <v>1677</v>
      </c>
      <c r="B3659" s="2">
        <v>36524</v>
      </c>
      <c r="C3659">
        <v>2</v>
      </c>
      <c r="D3659">
        <v>2</v>
      </c>
    </row>
    <row r="3660" spans="1:4" x14ac:dyDescent="0.35">
      <c r="A3660">
        <v>1677</v>
      </c>
      <c r="B3660" s="2">
        <v>37863</v>
      </c>
      <c r="C3660">
        <v>3</v>
      </c>
      <c r="D3660">
        <v>3</v>
      </c>
    </row>
    <row r="3661" spans="1:4" x14ac:dyDescent="0.35">
      <c r="A3661">
        <v>1677</v>
      </c>
      <c r="B3661" s="2">
        <v>38159</v>
      </c>
      <c r="C3661">
        <v>3</v>
      </c>
      <c r="D3661">
        <v>3</v>
      </c>
    </row>
    <row r="3662" spans="1:4" x14ac:dyDescent="0.35">
      <c r="A3662">
        <v>1678</v>
      </c>
      <c r="B3662" s="2">
        <v>36301</v>
      </c>
      <c r="C3662">
        <v>3</v>
      </c>
      <c r="D3662">
        <v>3</v>
      </c>
    </row>
    <row r="3663" spans="1:4" x14ac:dyDescent="0.35">
      <c r="A3663">
        <v>1679</v>
      </c>
      <c r="B3663" s="2">
        <v>36341</v>
      </c>
      <c r="C3663">
        <v>2</v>
      </c>
      <c r="D3663">
        <v>2</v>
      </c>
    </row>
    <row r="3664" spans="1:4" x14ac:dyDescent="0.35">
      <c r="A3664">
        <v>1679</v>
      </c>
      <c r="B3664" s="2">
        <v>37762</v>
      </c>
      <c r="C3664">
        <v>2</v>
      </c>
      <c r="D3664">
        <v>2</v>
      </c>
    </row>
    <row r="3665" spans="1:4" x14ac:dyDescent="0.35">
      <c r="A3665">
        <v>1679</v>
      </c>
      <c r="B3665" s="2">
        <v>38159</v>
      </c>
      <c r="C3665">
        <v>3</v>
      </c>
      <c r="D3665">
        <v>3</v>
      </c>
    </row>
    <row r="3666" spans="1:4" x14ac:dyDescent="0.35">
      <c r="A3666">
        <v>1679</v>
      </c>
      <c r="B3666" s="2">
        <v>38351</v>
      </c>
      <c r="C3666">
        <v>3</v>
      </c>
      <c r="D3666">
        <v>3</v>
      </c>
    </row>
    <row r="3667" spans="1:4" x14ac:dyDescent="0.35">
      <c r="A3667">
        <v>1680</v>
      </c>
      <c r="B3667" s="2">
        <v>36698</v>
      </c>
      <c r="C3667">
        <v>3</v>
      </c>
      <c r="D3667">
        <v>3</v>
      </c>
    </row>
    <row r="3668" spans="1:4" x14ac:dyDescent="0.35">
      <c r="A3668">
        <v>1680</v>
      </c>
      <c r="B3668" s="2">
        <v>37771</v>
      </c>
      <c r="C3668">
        <v>4</v>
      </c>
      <c r="D3668">
        <v>4</v>
      </c>
    </row>
    <row r="3669" spans="1:4" x14ac:dyDescent="0.35">
      <c r="A3669">
        <v>1681</v>
      </c>
      <c r="B3669" s="2">
        <v>37102</v>
      </c>
      <c r="C3669">
        <v>4</v>
      </c>
      <c r="D3669">
        <v>4</v>
      </c>
    </row>
    <row r="3670" spans="1:4" x14ac:dyDescent="0.35">
      <c r="A3670">
        <v>1681</v>
      </c>
      <c r="B3670" s="2">
        <v>37406</v>
      </c>
      <c r="C3670">
        <v>5</v>
      </c>
      <c r="D3670">
        <v>5</v>
      </c>
    </row>
    <row r="3671" spans="1:4" x14ac:dyDescent="0.35">
      <c r="A3671">
        <v>1682</v>
      </c>
      <c r="B3671" s="2">
        <v>36759</v>
      </c>
      <c r="C3671">
        <v>4</v>
      </c>
      <c r="D3671">
        <v>4</v>
      </c>
    </row>
    <row r="3672" spans="1:4" x14ac:dyDescent="0.35">
      <c r="A3672">
        <v>1682</v>
      </c>
      <c r="B3672" s="2">
        <v>37397</v>
      </c>
      <c r="C3672">
        <v>5</v>
      </c>
      <c r="D3672">
        <v>5</v>
      </c>
    </row>
    <row r="3673" spans="1:4" x14ac:dyDescent="0.35">
      <c r="A3673">
        <v>1682</v>
      </c>
      <c r="B3673" s="2">
        <v>37406</v>
      </c>
      <c r="C3673">
        <v>6</v>
      </c>
      <c r="D3673">
        <v>6</v>
      </c>
    </row>
    <row r="3674" spans="1:4" x14ac:dyDescent="0.35">
      <c r="A3674">
        <v>1682</v>
      </c>
      <c r="B3674" s="2">
        <v>37406</v>
      </c>
      <c r="C3674">
        <v>6</v>
      </c>
      <c r="D3674">
        <v>6</v>
      </c>
    </row>
    <row r="3675" spans="1:4" x14ac:dyDescent="0.35">
      <c r="A3675">
        <v>1682</v>
      </c>
      <c r="B3675" s="2">
        <v>38189</v>
      </c>
      <c r="C3675">
        <v>6</v>
      </c>
      <c r="D3675">
        <v>6</v>
      </c>
    </row>
    <row r="3676" spans="1:4" x14ac:dyDescent="0.35">
      <c r="A3676">
        <v>1683</v>
      </c>
      <c r="B3676" s="2">
        <v>36301</v>
      </c>
      <c r="C3676">
        <v>7</v>
      </c>
      <c r="D3676">
        <v>7</v>
      </c>
    </row>
    <row r="3677" spans="1:4" x14ac:dyDescent="0.35">
      <c r="A3677">
        <v>1683</v>
      </c>
      <c r="B3677" s="2">
        <v>36676</v>
      </c>
      <c r="C3677">
        <v>0</v>
      </c>
      <c r="D3677">
        <v>0</v>
      </c>
    </row>
    <row r="3678" spans="1:4" x14ac:dyDescent="0.35">
      <c r="A3678">
        <v>1684</v>
      </c>
      <c r="B3678" s="2">
        <v>36890</v>
      </c>
      <c r="C3678">
        <v>3</v>
      </c>
      <c r="D3678">
        <v>3</v>
      </c>
    </row>
    <row r="3679" spans="1:4" x14ac:dyDescent="0.35">
      <c r="A3679">
        <v>1684</v>
      </c>
      <c r="B3679" s="2">
        <v>37620</v>
      </c>
      <c r="C3679">
        <v>4</v>
      </c>
      <c r="D3679">
        <v>4</v>
      </c>
    </row>
    <row r="3680" spans="1:4" x14ac:dyDescent="0.35">
      <c r="A3680">
        <v>1685</v>
      </c>
      <c r="B3680" s="2">
        <v>36524</v>
      </c>
      <c r="C3680">
        <v>5</v>
      </c>
      <c r="D3680">
        <v>5</v>
      </c>
    </row>
    <row r="3681" spans="1:4" x14ac:dyDescent="0.35">
      <c r="A3681">
        <v>1685</v>
      </c>
      <c r="B3681" s="2">
        <v>36799</v>
      </c>
      <c r="C3681">
        <v>4</v>
      </c>
      <c r="D3681">
        <v>4</v>
      </c>
    </row>
    <row r="3682" spans="1:4" x14ac:dyDescent="0.35">
      <c r="A3682">
        <v>1685</v>
      </c>
      <c r="B3682" s="2">
        <v>37559</v>
      </c>
      <c r="C3682">
        <v>4</v>
      </c>
      <c r="D3682">
        <v>4</v>
      </c>
    </row>
    <row r="3683" spans="1:4" x14ac:dyDescent="0.35">
      <c r="A3683">
        <v>1685</v>
      </c>
      <c r="B3683" s="2">
        <v>38502</v>
      </c>
      <c r="C3683">
        <v>4</v>
      </c>
      <c r="D3683">
        <v>4</v>
      </c>
    </row>
    <row r="3684" spans="1:4" x14ac:dyDescent="0.35">
      <c r="A3684">
        <v>1686</v>
      </c>
      <c r="B3684" s="2">
        <v>37255</v>
      </c>
      <c r="C3684">
        <v>1</v>
      </c>
      <c r="D3684">
        <v>1</v>
      </c>
    </row>
    <row r="3685" spans="1:4" x14ac:dyDescent="0.35">
      <c r="A3685">
        <v>1687</v>
      </c>
      <c r="B3685" s="2">
        <v>36890</v>
      </c>
      <c r="C3685">
        <v>2</v>
      </c>
      <c r="D3685">
        <v>2</v>
      </c>
    </row>
    <row r="3686" spans="1:4" x14ac:dyDescent="0.35">
      <c r="A3686">
        <v>1688</v>
      </c>
      <c r="B3686" s="2">
        <v>36737</v>
      </c>
      <c r="C3686">
        <v>3</v>
      </c>
      <c r="D3686">
        <v>3</v>
      </c>
    </row>
    <row r="3687" spans="1:4" x14ac:dyDescent="0.35">
      <c r="A3687">
        <v>1689</v>
      </c>
      <c r="B3687" s="2">
        <v>38137</v>
      </c>
      <c r="C3687">
        <v>3</v>
      </c>
      <c r="D3687">
        <v>3</v>
      </c>
    </row>
    <row r="3688" spans="1:4" x14ac:dyDescent="0.35">
      <c r="A3688">
        <v>1690</v>
      </c>
      <c r="B3688" s="2">
        <v>36301</v>
      </c>
      <c r="C3688">
        <v>2</v>
      </c>
      <c r="D3688">
        <v>2</v>
      </c>
    </row>
    <row r="3689" spans="1:4" x14ac:dyDescent="0.35">
      <c r="A3689">
        <v>1691</v>
      </c>
      <c r="B3689" s="2">
        <v>37041</v>
      </c>
      <c r="C3689">
        <v>3</v>
      </c>
      <c r="D3689">
        <v>3</v>
      </c>
    </row>
    <row r="3690" spans="1:4" x14ac:dyDescent="0.35">
      <c r="A3690">
        <v>1691</v>
      </c>
      <c r="B3690" s="2">
        <v>38168</v>
      </c>
      <c r="C3690">
        <v>3</v>
      </c>
      <c r="D3690">
        <v>3</v>
      </c>
    </row>
    <row r="3691" spans="1:4" x14ac:dyDescent="0.35">
      <c r="A3691">
        <v>1692</v>
      </c>
      <c r="B3691" s="2">
        <v>36371</v>
      </c>
      <c r="C3691">
        <v>3</v>
      </c>
      <c r="D3691">
        <v>3</v>
      </c>
    </row>
    <row r="3692" spans="1:4" x14ac:dyDescent="0.35">
      <c r="A3692">
        <v>1692</v>
      </c>
      <c r="B3692" s="2">
        <v>37255</v>
      </c>
      <c r="C3692">
        <v>3</v>
      </c>
      <c r="D3692">
        <v>3</v>
      </c>
    </row>
    <row r="3693" spans="1:4" x14ac:dyDescent="0.35">
      <c r="A3693">
        <v>1692</v>
      </c>
      <c r="B3693" s="2">
        <v>38281</v>
      </c>
      <c r="C3693">
        <v>2</v>
      </c>
      <c r="D3693">
        <v>2</v>
      </c>
    </row>
    <row r="3694" spans="1:4" x14ac:dyDescent="0.35">
      <c r="A3694">
        <v>1693</v>
      </c>
      <c r="B3694" s="2">
        <v>36301</v>
      </c>
      <c r="C3694">
        <v>3</v>
      </c>
      <c r="D3694">
        <v>3</v>
      </c>
    </row>
    <row r="3695" spans="1:4" x14ac:dyDescent="0.35">
      <c r="A3695">
        <v>1693</v>
      </c>
      <c r="B3695" s="2">
        <v>36402</v>
      </c>
      <c r="C3695">
        <v>3</v>
      </c>
      <c r="D3695">
        <v>3</v>
      </c>
    </row>
    <row r="3696" spans="1:4" x14ac:dyDescent="0.35">
      <c r="A3696">
        <v>1693</v>
      </c>
      <c r="B3696" s="2">
        <v>36860</v>
      </c>
      <c r="C3696">
        <v>0</v>
      </c>
      <c r="D3696">
        <v>0</v>
      </c>
    </row>
    <row r="3697" spans="1:4" x14ac:dyDescent="0.35">
      <c r="A3697">
        <v>1694</v>
      </c>
      <c r="B3697" s="2">
        <v>36890</v>
      </c>
      <c r="C3697">
        <v>4</v>
      </c>
      <c r="D3697">
        <v>4</v>
      </c>
    </row>
    <row r="3698" spans="1:4" x14ac:dyDescent="0.35">
      <c r="A3698">
        <v>1694</v>
      </c>
      <c r="B3698" s="2">
        <v>37397</v>
      </c>
      <c r="C3698">
        <v>4</v>
      </c>
      <c r="D3698">
        <v>4</v>
      </c>
    </row>
    <row r="3699" spans="1:4" x14ac:dyDescent="0.35">
      <c r="A3699">
        <v>1694</v>
      </c>
      <c r="B3699" s="2">
        <v>37397</v>
      </c>
      <c r="C3699">
        <v>5</v>
      </c>
      <c r="D3699">
        <v>5</v>
      </c>
    </row>
    <row r="3700" spans="1:4" x14ac:dyDescent="0.35">
      <c r="A3700">
        <v>1694</v>
      </c>
      <c r="B3700" s="2">
        <v>37397</v>
      </c>
      <c r="C3700">
        <v>5</v>
      </c>
      <c r="D3700">
        <v>5</v>
      </c>
    </row>
    <row r="3701" spans="1:4" x14ac:dyDescent="0.35">
      <c r="A3701">
        <v>1694</v>
      </c>
      <c r="B3701" s="2">
        <v>37985</v>
      </c>
      <c r="C3701">
        <v>5</v>
      </c>
      <c r="D3701">
        <v>5</v>
      </c>
    </row>
    <row r="3702" spans="1:4" x14ac:dyDescent="0.35">
      <c r="A3702">
        <v>1694</v>
      </c>
      <c r="B3702" s="2">
        <v>37985</v>
      </c>
      <c r="C3702">
        <v>0</v>
      </c>
      <c r="D3702">
        <v>0</v>
      </c>
    </row>
    <row r="3703" spans="1:4" x14ac:dyDescent="0.35">
      <c r="A3703">
        <v>1695</v>
      </c>
      <c r="B3703" s="2">
        <v>36667</v>
      </c>
      <c r="C3703">
        <v>3</v>
      </c>
      <c r="D3703">
        <v>3</v>
      </c>
    </row>
    <row r="3704" spans="1:4" x14ac:dyDescent="0.35">
      <c r="A3704">
        <v>1695</v>
      </c>
      <c r="B3704" s="2">
        <v>37762</v>
      </c>
      <c r="C3704">
        <v>0</v>
      </c>
      <c r="D3704">
        <v>0</v>
      </c>
    </row>
    <row r="3705" spans="1:4" x14ac:dyDescent="0.35">
      <c r="A3705">
        <v>1696</v>
      </c>
      <c r="B3705" s="2">
        <v>36524</v>
      </c>
      <c r="C3705">
        <v>0</v>
      </c>
      <c r="D3705">
        <v>0</v>
      </c>
    </row>
    <row r="3706" spans="1:4" x14ac:dyDescent="0.35">
      <c r="A3706">
        <v>1696</v>
      </c>
      <c r="B3706" s="2">
        <v>37915</v>
      </c>
      <c r="C3706">
        <v>4</v>
      </c>
      <c r="D3706">
        <v>4</v>
      </c>
    </row>
    <row r="3707" spans="1:4" x14ac:dyDescent="0.35">
      <c r="A3707">
        <v>1696</v>
      </c>
      <c r="B3707" s="2">
        <v>38254</v>
      </c>
      <c r="C3707">
        <v>0</v>
      </c>
      <c r="D3707">
        <v>0</v>
      </c>
    </row>
    <row r="3708" spans="1:4" x14ac:dyDescent="0.35">
      <c r="A3708">
        <v>1697</v>
      </c>
      <c r="B3708" s="2">
        <v>37620</v>
      </c>
      <c r="C3708">
        <v>3</v>
      </c>
      <c r="D3708">
        <v>3</v>
      </c>
    </row>
    <row r="3709" spans="1:4" x14ac:dyDescent="0.35">
      <c r="A3709">
        <v>1698</v>
      </c>
      <c r="B3709" s="2">
        <v>37127</v>
      </c>
      <c r="C3709">
        <v>0</v>
      </c>
      <c r="D3709">
        <v>0</v>
      </c>
    </row>
    <row r="3710" spans="1:4" x14ac:dyDescent="0.35">
      <c r="A3710">
        <v>1699</v>
      </c>
      <c r="B3710" s="2">
        <v>38260</v>
      </c>
      <c r="C3710">
        <v>4</v>
      </c>
      <c r="D3710">
        <v>4</v>
      </c>
    </row>
    <row r="3711" spans="1:4" x14ac:dyDescent="0.35">
      <c r="A3711">
        <v>1699</v>
      </c>
      <c r="B3711" s="2">
        <v>38716</v>
      </c>
      <c r="C3711">
        <v>4</v>
      </c>
      <c r="D3711">
        <v>4</v>
      </c>
    </row>
    <row r="3712" spans="1:4" x14ac:dyDescent="0.35">
      <c r="A3712">
        <v>1700</v>
      </c>
      <c r="B3712" s="2">
        <v>36524</v>
      </c>
      <c r="C3712">
        <v>6</v>
      </c>
      <c r="D3712">
        <v>6</v>
      </c>
    </row>
    <row r="3713" spans="1:4" x14ac:dyDescent="0.35">
      <c r="A3713">
        <v>1700</v>
      </c>
      <c r="B3713" s="2">
        <v>37406</v>
      </c>
      <c r="C3713">
        <v>6</v>
      </c>
      <c r="D3713">
        <v>6</v>
      </c>
    </row>
    <row r="3714" spans="1:4" x14ac:dyDescent="0.35">
      <c r="A3714">
        <v>1701</v>
      </c>
      <c r="B3714" s="2">
        <v>36524</v>
      </c>
      <c r="C3714">
        <v>3</v>
      </c>
      <c r="D3714">
        <v>3</v>
      </c>
    </row>
    <row r="3715" spans="1:4" x14ac:dyDescent="0.35">
      <c r="A3715">
        <v>1701</v>
      </c>
      <c r="B3715" s="2">
        <v>37225</v>
      </c>
      <c r="C3715">
        <v>3</v>
      </c>
      <c r="D3715">
        <v>3</v>
      </c>
    </row>
    <row r="3716" spans="1:4" x14ac:dyDescent="0.35">
      <c r="A3716">
        <v>1702</v>
      </c>
      <c r="B3716" s="2">
        <v>37063</v>
      </c>
      <c r="C3716">
        <v>0</v>
      </c>
      <c r="D3716">
        <v>0</v>
      </c>
    </row>
    <row r="3717" spans="1:4" x14ac:dyDescent="0.35">
      <c r="A3717">
        <v>1703</v>
      </c>
      <c r="B3717" s="2">
        <v>37428</v>
      </c>
      <c r="C3717">
        <v>3</v>
      </c>
      <c r="D3717">
        <v>3</v>
      </c>
    </row>
    <row r="3718" spans="1:4" x14ac:dyDescent="0.35">
      <c r="A3718">
        <v>1704</v>
      </c>
      <c r="B3718" s="2">
        <v>36310</v>
      </c>
      <c r="C3718">
        <v>5</v>
      </c>
      <c r="D3718">
        <v>5</v>
      </c>
    </row>
    <row r="3719" spans="1:4" x14ac:dyDescent="0.35">
      <c r="A3719">
        <v>1704</v>
      </c>
      <c r="B3719" s="2">
        <v>36524</v>
      </c>
      <c r="C3719">
        <v>5</v>
      </c>
      <c r="D3719">
        <v>5</v>
      </c>
    </row>
    <row r="3720" spans="1:4" x14ac:dyDescent="0.35">
      <c r="A3720">
        <v>1704</v>
      </c>
      <c r="B3720" s="2">
        <v>37946</v>
      </c>
      <c r="C3720">
        <v>6</v>
      </c>
      <c r="D3720">
        <v>6</v>
      </c>
    </row>
    <row r="3721" spans="1:4" x14ac:dyDescent="0.35">
      <c r="A3721">
        <v>1705</v>
      </c>
      <c r="B3721" s="2">
        <v>37041</v>
      </c>
      <c r="C3721">
        <v>3</v>
      </c>
      <c r="D3721">
        <v>3</v>
      </c>
    </row>
    <row r="3722" spans="1:4" x14ac:dyDescent="0.35">
      <c r="A3722">
        <v>1705</v>
      </c>
      <c r="B3722" s="2">
        <v>38251</v>
      </c>
      <c r="C3722">
        <v>0</v>
      </c>
      <c r="D3722">
        <v>0</v>
      </c>
    </row>
    <row r="3723" spans="1:4" x14ac:dyDescent="0.35">
      <c r="A3723">
        <v>1706</v>
      </c>
      <c r="B3723" s="2">
        <v>36667</v>
      </c>
      <c r="C3723">
        <v>3</v>
      </c>
      <c r="D3723">
        <v>3</v>
      </c>
    </row>
    <row r="3724" spans="1:4" x14ac:dyDescent="0.35">
      <c r="A3724">
        <v>1706</v>
      </c>
      <c r="B3724" s="2">
        <v>36890</v>
      </c>
      <c r="C3724">
        <v>0</v>
      </c>
      <c r="D3724">
        <v>0</v>
      </c>
    </row>
    <row r="3725" spans="1:4" x14ac:dyDescent="0.35">
      <c r="A3725">
        <v>1706</v>
      </c>
      <c r="B3725" s="2">
        <v>37406</v>
      </c>
      <c r="C3725">
        <v>2</v>
      </c>
      <c r="D3725">
        <v>2</v>
      </c>
    </row>
    <row r="3726" spans="1:4" x14ac:dyDescent="0.35">
      <c r="A3726">
        <v>1707</v>
      </c>
      <c r="B3726" s="2">
        <v>37620</v>
      </c>
      <c r="C3726">
        <v>1</v>
      </c>
      <c r="D3726">
        <v>1</v>
      </c>
    </row>
    <row r="3727" spans="1:4" x14ac:dyDescent="0.35">
      <c r="A3727">
        <v>1708</v>
      </c>
      <c r="B3727" s="2">
        <v>37032</v>
      </c>
      <c r="C3727">
        <v>3</v>
      </c>
      <c r="D3727">
        <v>3</v>
      </c>
    </row>
    <row r="3728" spans="1:4" x14ac:dyDescent="0.35">
      <c r="A3728">
        <v>1709</v>
      </c>
      <c r="B3728" s="2">
        <v>36301</v>
      </c>
      <c r="C3728">
        <v>7</v>
      </c>
      <c r="D3728">
        <v>7</v>
      </c>
    </row>
    <row r="3729" spans="1:4" x14ac:dyDescent="0.35">
      <c r="A3729">
        <v>1709</v>
      </c>
      <c r="B3729" s="2">
        <v>36424</v>
      </c>
      <c r="C3729">
        <v>7</v>
      </c>
      <c r="D3729">
        <v>7</v>
      </c>
    </row>
    <row r="3730" spans="1:4" x14ac:dyDescent="0.35">
      <c r="A3730">
        <v>1709</v>
      </c>
      <c r="B3730" s="2">
        <v>37041</v>
      </c>
      <c r="C3730">
        <v>0</v>
      </c>
      <c r="D3730">
        <v>0</v>
      </c>
    </row>
    <row r="3731" spans="1:4" x14ac:dyDescent="0.35">
      <c r="A3731">
        <v>1709</v>
      </c>
      <c r="B3731" s="2">
        <v>37255</v>
      </c>
      <c r="C3731">
        <v>8</v>
      </c>
      <c r="D3731">
        <v>8</v>
      </c>
    </row>
    <row r="3732" spans="1:4" x14ac:dyDescent="0.35">
      <c r="A3732">
        <v>1710</v>
      </c>
      <c r="B3732" s="2">
        <v>37620</v>
      </c>
      <c r="C3732">
        <v>3</v>
      </c>
      <c r="D3732">
        <v>3</v>
      </c>
    </row>
    <row r="3733" spans="1:4" x14ac:dyDescent="0.35">
      <c r="A3733">
        <v>1711</v>
      </c>
      <c r="B3733" s="2">
        <v>36676</v>
      </c>
      <c r="C3733">
        <v>3</v>
      </c>
      <c r="D3733">
        <v>3</v>
      </c>
    </row>
    <row r="3734" spans="1:4" x14ac:dyDescent="0.35">
      <c r="A3734">
        <v>1712</v>
      </c>
      <c r="B3734" s="2">
        <v>37620</v>
      </c>
      <c r="C3734">
        <v>3</v>
      </c>
      <c r="D3734">
        <v>3</v>
      </c>
    </row>
    <row r="3735" spans="1:4" x14ac:dyDescent="0.35">
      <c r="A3735">
        <v>1712</v>
      </c>
      <c r="B3735" s="2">
        <v>37985</v>
      </c>
      <c r="C3735">
        <v>4</v>
      </c>
      <c r="D3735">
        <v>4</v>
      </c>
    </row>
    <row r="3736" spans="1:4" x14ac:dyDescent="0.35">
      <c r="A3736">
        <v>1712</v>
      </c>
      <c r="B3736" s="2">
        <v>37985</v>
      </c>
      <c r="C3736">
        <v>0</v>
      </c>
      <c r="D3736">
        <v>0</v>
      </c>
    </row>
    <row r="3737" spans="1:4" x14ac:dyDescent="0.35">
      <c r="A3737">
        <v>1713</v>
      </c>
      <c r="B3737" s="2">
        <v>37041</v>
      </c>
      <c r="C3737">
        <v>2</v>
      </c>
      <c r="D3737">
        <v>2</v>
      </c>
    </row>
    <row r="3738" spans="1:4" x14ac:dyDescent="0.35">
      <c r="A3738">
        <v>1713</v>
      </c>
      <c r="B3738" s="2">
        <v>37155</v>
      </c>
      <c r="C3738">
        <v>3</v>
      </c>
      <c r="D3738">
        <v>3</v>
      </c>
    </row>
    <row r="3739" spans="1:4" x14ac:dyDescent="0.35">
      <c r="A3739">
        <v>1713</v>
      </c>
      <c r="B3739" s="2">
        <v>37397</v>
      </c>
      <c r="C3739">
        <v>3</v>
      </c>
      <c r="D3739">
        <v>3</v>
      </c>
    </row>
    <row r="3740" spans="1:4" x14ac:dyDescent="0.35">
      <c r="A3740">
        <v>1713</v>
      </c>
      <c r="B3740" s="2">
        <v>37406</v>
      </c>
      <c r="C3740">
        <v>5</v>
      </c>
      <c r="D3740">
        <v>5</v>
      </c>
    </row>
    <row r="3741" spans="1:4" x14ac:dyDescent="0.35">
      <c r="A3741">
        <v>1713</v>
      </c>
      <c r="B3741" s="2">
        <v>37489</v>
      </c>
      <c r="C3741">
        <v>6</v>
      </c>
      <c r="D3741">
        <v>6</v>
      </c>
    </row>
    <row r="3742" spans="1:4" x14ac:dyDescent="0.35">
      <c r="A3742">
        <v>1713</v>
      </c>
      <c r="B3742" s="2">
        <v>37529</v>
      </c>
      <c r="C3742">
        <v>4</v>
      </c>
      <c r="D3742">
        <v>4</v>
      </c>
    </row>
    <row r="3743" spans="1:4" x14ac:dyDescent="0.35">
      <c r="A3743">
        <v>1713</v>
      </c>
      <c r="B3743" s="2">
        <v>37620</v>
      </c>
      <c r="C3743">
        <v>4</v>
      </c>
      <c r="D3743">
        <v>4</v>
      </c>
    </row>
    <row r="3744" spans="1:4" x14ac:dyDescent="0.35">
      <c r="A3744">
        <v>1713</v>
      </c>
      <c r="B3744" s="2">
        <v>38351</v>
      </c>
      <c r="C3744">
        <v>5</v>
      </c>
      <c r="D3744">
        <v>5</v>
      </c>
    </row>
    <row r="3745" spans="1:4" x14ac:dyDescent="0.35">
      <c r="A3745">
        <v>1714</v>
      </c>
      <c r="B3745" s="2">
        <v>36890</v>
      </c>
      <c r="C3745">
        <v>0</v>
      </c>
      <c r="D3745">
        <v>0</v>
      </c>
    </row>
    <row r="3746" spans="1:4" x14ac:dyDescent="0.35">
      <c r="A3746">
        <v>1714</v>
      </c>
      <c r="B3746" s="2">
        <v>37255</v>
      </c>
      <c r="C3746">
        <v>4</v>
      </c>
      <c r="D3746">
        <v>4</v>
      </c>
    </row>
    <row r="3747" spans="1:4" x14ac:dyDescent="0.35">
      <c r="A3747">
        <v>1714</v>
      </c>
      <c r="B3747" s="2">
        <v>38222</v>
      </c>
      <c r="C3747">
        <v>4</v>
      </c>
      <c r="D3747">
        <v>4</v>
      </c>
    </row>
    <row r="3748" spans="1:4" x14ac:dyDescent="0.35">
      <c r="A3748">
        <v>1715</v>
      </c>
      <c r="B3748" s="2">
        <v>36301</v>
      </c>
      <c r="C3748">
        <v>3</v>
      </c>
      <c r="D3748">
        <v>3</v>
      </c>
    </row>
    <row r="3749" spans="1:4" x14ac:dyDescent="0.35">
      <c r="A3749">
        <v>1715</v>
      </c>
      <c r="B3749" s="2">
        <v>38351</v>
      </c>
      <c r="C3749">
        <v>3</v>
      </c>
      <c r="D3749">
        <v>3</v>
      </c>
    </row>
    <row r="3750" spans="1:4" x14ac:dyDescent="0.35">
      <c r="A3750">
        <v>1716</v>
      </c>
      <c r="B3750" s="2">
        <v>36341</v>
      </c>
      <c r="C3750">
        <v>4</v>
      </c>
      <c r="D3750">
        <v>4</v>
      </c>
    </row>
    <row r="3751" spans="1:4" x14ac:dyDescent="0.35">
      <c r="A3751">
        <v>1716</v>
      </c>
      <c r="B3751" s="2">
        <v>36759</v>
      </c>
      <c r="C3751">
        <v>0</v>
      </c>
      <c r="D3751">
        <v>0</v>
      </c>
    </row>
    <row r="3752" spans="1:4" x14ac:dyDescent="0.35">
      <c r="A3752">
        <v>1717</v>
      </c>
      <c r="B3752" s="2">
        <v>37255</v>
      </c>
      <c r="C3752">
        <v>0</v>
      </c>
      <c r="D3752">
        <v>0</v>
      </c>
    </row>
    <row r="3753" spans="1:4" x14ac:dyDescent="0.35">
      <c r="A3753">
        <v>1718</v>
      </c>
      <c r="B3753" s="2">
        <v>36393</v>
      </c>
      <c r="C3753">
        <v>0</v>
      </c>
      <c r="D3753">
        <v>0</v>
      </c>
    </row>
    <row r="3754" spans="1:4" x14ac:dyDescent="0.35">
      <c r="A3754">
        <v>1719</v>
      </c>
      <c r="B3754" s="2">
        <v>38351</v>
      </c>
      <c r="C3754">
        <v>3</v>
      </c>
      <c r="D3754">
        <v>3</v>
      </c>
    </row>
    <row r="3755" spans="1:4" x14ac:dyDescent="0.35">
      <c r="A3755">
        <v>1720</v>
      </c>
      <c r="B3755" s="2">
        <v>38493</v>
      </c>
      <c r="C3755">
        <v>3</v>
      </c>
      <c r="D3755">
        <v>3</v>
      </c>
    </row>
    <row r="3756" spans="1:4" x14ac:dyDescent="0.35">
      <c r="A3756">
        <v>1721</v>
      </c>
      <c r="B3756" s="2">
        <v>38493</v>
      </c>
      <c r="C3756">
        <v>3</v>
      </c>
      <c r="D3756">
        <v>3</v>
      </c>
    </row>
    <row r="3757" spans="1:4" x14ac:dyDescent="0.35">
      <c r="A3757">
        <v>1722</v>
      </c>
      <c r="B3757" s="2">
        <v>36310</v>
      </c>
      <c r="C3757">
        <v>3</v>
      </c>
      <c r="D3757">
        <v>3</v>
      </c>
    </row>
    <row r="3758" spans="1:4" x14ac:dyDescent="0.35">
      <c r="A3758">
        <v>1723</v>
      </c>
      <c r="B3758" s="2">
        <v>36304</v>
      </c>
      <c r="C3758">
        <v>3</v>
      </c>
      <c r="D3758">
        <v>3</v>
      </c>
    </row>
    <row r="3759" spans="1:4" x14ac:dyDescent="0.35">
      <c r="A3759">
        <v>1723</v>
      </c>
      <c r="B3759" s="2">
        <v>38312</v>
      </c>
      <c r="C3759">
        <v>3</v>
      </c>
      <c r="D3759">
        <v>3</v>
      </c>
    </row>
    <row r="3760" spans="1:4" x14ac:dyDescent="0.35">
      <c r="A3760">
        <v>1724</v>
      </c>
      <c r="B3760" s="2">
        <v>37620</v>
      </c>
      <c r="C3760">
        <v>2</v>
      </c>
      <c r="D3760">
        <v>2</v>
      </c>
    </row>
    <row r="3761" spans="1:4" x14ac:dyDescent="0.35">
      <c r="A3761">
        <v>1724</v>
      </c>
      <c r="B3761" s="2">
        <v>38134</v>
      </c>
      <c r="C3761">
        <v>0</v>
      </c>
      <c r="D3761">
        <v>0</v>
      </c>
    </row>
    <row r="3762" spans="1:4" x14ac:dyDescent="0.35">
      <c r="A3762">
        <v>1725</v>
      </c>
      <c r="B3762" s="2">
        <v>38321</v>
      </c>
      <c r="C3762">
        <v>5</v>
      </c>
      <c r="D3762">
        <v>5</v>
      </c>
    </row>
    <row r="3763" spans="1:4" x14ac:dyDescent="0.35">
      <c r="A3763">
        <v>1726</v>
      </c>
      <c r="B3763" s="2">
        <v>37832</v>
      </c>
      <c r="C3763">
        <v>4</v>
      </c>
      <c r="D3763">
        <v>4</v>
      </c>
    </row>
    <row r="3764" spans="1:4" x14ac:dyDescent="0.35">
      <c r="A3764">
        <v>1726</v>
      </c>
      <c r="B3764" s="2">
        <v>38351</v>
      </c>
      <c r="C3764">
        <v>3</v>
      </c>
      <c r="D3764">
        <v>3</v>
      </c>
    </row>
    <row r="3765" spans="1:4" x14ac:dyDescent="0.35">
      <c r="A3765">
        <v>1727</v>
      </c>
      <c r="B3765" s="2">
        <v>37397</v>
      </c>
      <c r="C3765">
        <v>2</v>
      </c>
      <c r="D3765">
        <v>2</v>
      </c>
    </row>
    <row r="3766" spans="1:4" x14ac:dyDescent="0.35">
      <c r="A3766">
        <v>1728</v>
      </c>
      <c r="B3766" s="2">
        <v>36393</v>
      </c>
      <c r="C3766">
        <v>6</v>
      </c>
      <c r="D3766">
        <v>6</v>
      </c>
    </row>
    <row r="3767" spans="1:4" x14ac:dyDescent="0.35">
      <c r="A3767">
        <v>1728</v>
      </c>
      <c r="B3767" s="2">
        <v>36463</v>
      </c>
      <c r="C3767">
        <v>5</v>
      </c>
      <c r="D3767">
        <v>5</v>
      </c>
    </row>
    <row r="3768" spans="1:4" x14ac:dyDescent="0.35">
      <c r="A3768">
        <v>1728</v>
      </c>
      <c r="B3768" s="2">
        <v>36524</v>
      </c>
      <c r="C3768">
        <v>5</v>
      </c>
      <c r="D3768">
        <v>5</v>
      </c>
    </row>
    <row r="3769" spans="1:4" x14ac:dyDescent="0.35">
      <c r="A3769">
        <v>1728</v>
      </c>
      <c r="B3769" s="2">
        <v>38260</v>
      </c>
      <c r="C3769">
        <v>5</v>
      </c>
      <c r="D3769">
        <v>5</v>
      </c>
    </row>
    <row r="3770" spans="1:4" x14ac:dyDescent="0.35">
      <c r="A3770">
        <v>1729</v>
      </c>
      <c r="B3770" s="2">
        <v>36820</v>
      </c>
      <c r="C3770">
        <v>2</v>
      </c>
      <c r="D3770">
        <v>2</v>
      </c>
    </row>
    <row r="3771" spans="1:4" x14ac:dyDescent="0.35">
      <c r="A3771">
        <v>1730</v>
      </c>
      <c r="B3771" s="2">
        <v>37437</v>
      </c>
      <c r="C3771">
        <v>3</v>
      </c>
      <c r="D3771">
        <v>3</v>
      </c>
    </row>
    <row r="3772" spans="1:4" x14ac:dyDescent="0.35">
      <c r="A3772">
        <v>1730</v>
      </c>
      <c r="B3772" s="2">
        <v>37985</v>
      </c>
      <c r="C3772">
        <v>3</v>
      </c>
      <c r="D3772">
        <v>3</v>
      </c>
    </row>
    <row r="3773" spans="1:4" x14ac:dyDescent="0.35">
      <c r="A3773">
        <v>1731</v>
      </c>
      <c r="B3773" s="2">
        <v>36424</v>
      </c>
      <c r="C3773">
        <v>3</v>
      </c>
      <c r="D3773">
        <v>3</v>
      </c>
    </row>
    <row r="3774" spans="1:4" x14ac:dyDescent="0.35">
      <c r="A3774">
        <v>1731</v>
      </c>
      <c r="B3774" s="2">
        <v>37550</v>
      </c>
      <c r="C3774">
        <v>0</v>
      </c>
      <c r="D3774">
        <v>0</v>
      </c>
    </row>
    <row r="3775" spans="1:4" x14ac:dyDescent="0.35">
      <c r="A3775">
        <v>1732</v>
      </c>
      <c r="B3775" s="2">
        <v>36524</v>
      </c>
      <c r="C3775">
        <v>7</v>
      </c>
      <c r="D3775">
        <v>7</v>
      </c>
    </row>
    <row r="3776" spans="1:4" x14ac:dyDescent="0.35">
      <c r="A3776">
        <v>1732</v>
      </c>
      <c r="B3776" s="2">
        <v>36890</v>
      </c>
      <c r="C3776">
        <v>8</v>
      </c>
      <c r="D3776">
        <v>8</v>
      </c>
    </row>
    <row r="3777" spans="1:4" x14ac:dyDescent="0.35">
      <c r="A3777">
        <v>1732</v>
      </c>
      <c r="B3777" s="2">
        <v>37032</v>
      </c>
      <c r="C3777">
        <v>0</v>
      </c>
      <c r="D3777">
        <v>8</v>
      </c>
    </row>
    <row r="3778" spans="1:4" x14ac:dyDescent="0.35">
      <c r="A3778">
        <v>1732</v>
      </c>
      <c r="B3778" s="2">
        <v>37133</v>
      </c>
      <c r="C3778">
        <v>8</v>
      </c>
      <c r="D3778">
        <v>8</v>
      </c>
    </row>
    <row r="3779" spans="1:4" x14ac:dyDescent="0.35">
      <c r="A3779">
        <v>1733</v>
      </c>
      <c r="B3779" s="2">
        <v>36881</v>
      </c>
      <c r="C3779">
        <v>5</v>
      </c>
      <c r="D3779">
        <v>5</v>
      </c>
    </row>
    <row r="3780" spans="1:4" x14ac:dyDescent="0.35">
      <c r="A3780">
        <v>1733</v>
      </c>
      <c r="B3780" s="2">
        <v>37985</v>
      </c>
      <c r="C3780">
        <v>0</v>
      </c>
      <c r="D3780">
        <v>0</v>
      </c>
    </row>
    <row r="3781" spans="1:4" x14ac:dyDescent="0.35">
      <c r="A3781">
        <v>1734</v>
      </c>
      <c r="B3781" s="2">
        <v>36829</v>
      </c>
      <c r="C3781">
        <v>4</v>
      </c>
      <c r="D3781">
        <v>4</v>
      </c>
    </row>
    <row r="3782" spans="1:4" x14ac:dyDescent="0.35">
      <c r="A3782">
        <v>1734</v>
      </c>
      <c r="B3782" s="2">
        <v>37823</v>
      </c>
      <c r="C3782">
        <v>4</v>
      </c>
      <c r="D3782">
        <v>4</v>
      </c>
    </row>
    <row r="3783" spans="1:4" x14ac:dyDescent="0.35">
      <c r="A3783">
        <v>1734</v>
      </c>
      <c r="B3783" s="2">
        <v>38351</v>
      </c>
      <c r="C3783">
        <v>4</v>
      </c>
      <c r="D3783">
        <v>4</v>
      </c>
    </row>
    <row r="3784" spans="1:4" x14ac:dyDescent="0.35">
      <c r="A3784">
        <v>1735</v>
      </c>
      <c r="B3784" s="2">
        <v>36524</v>
      </c>
      <c r="C3784">
        <v>7</v>
      </c>
      <c r="D3784">
        <v>7</v>
      </c>
    </row>
    <row r="3785" spans="1:4" x14ac:dyDescent="0.35">
      <c r="A3785">
        <v>1735</v>
      </c>
      <c r="B3785" s="2">
        <v>36759</v>
      </c>
      <c r="C3785">
        <v>0</v>
      </c>
      <c r="D3785">
        <v>0</v>
      </c>
    </row>
    <row r="3786" spans="1:4" x14ac:dyDescent="0.35">
      <c r="A3786">
        <v>1735</v>
      </c>
      <c r="B3786" s="2">
        <v>37397</v>
      </c>
      <c r="C3786">
        <v>6</v>
      </c>
      <c r="D3786">
        <v>6</v>
      </c>
    </row>
    <row r="3787" spans="1:4" x14ac:dyDescent="0.35">
      <c r="A3787">
        <v>1735</v>
      </c>
      <c r="B3787" s="2">
        <v>38251</v>
      </c>
      <c r="C3787">
        <v>6</v>
      </c>
      <c r="D3787">
        <v>6</v>
      </c>
    </row>
    <row r="3788" spans="1:4" x14ac:dyDescent="0.35">
      <c r="A3788">
        <v>1735</v>
      </c>
      <c r="B3788" s="2">
        <v>38312</v>
      </c>
      <c r="C3788">
        <v>6</v>
      </c>
      <c r="D3788">
        <v>6</v>
      </c>
    </row>
    <row r="3789" spans="1:4" x14ac:dyDescent="0.35">
      <c r="A3789">
        <v>1736</v>
      </c>
      <c r="B3789" s="2">
        <v>36310</v>
      </c>
      <c r="C3789">
        <v>2</v>
      </c>
      <c r="D3789">
        <v>2</v>
      </c>
    </row>
    <row r="3790" spans="1:4" x14ac:dyDescent="0.35">
      <c r="A3790">
        <v>1736</v>
      </c>
      <c r="B3790" s="2">
        <v>37406</v>
      </c>
      <c r="C3790">
        <v>1</v>
      </c>
      <c r="D3790">
        <v>1</v>
      </c>
    </row>
    <row r="3791" spans="1:4" x14ac:dyDescent="0.35">
      <c r="A3791">
        <v>1737</v>
      </c>
      <c r="B3791" s="2">
        <v>36365</v>
      </c>
      <c r="C3791">
        <v>2</v>
      </c>
      <c r="D3791">
        <v>2</v>
      </c>
    </row>
    <row r="3792" spans="1:4" x14ac:dyDescent="0.35">
      <c r="A3792">
        <v>1737</v>
      </c>
      <c r="B3792" s="2">
        <v>36667</v>
      </c>
      <c r="C3792">
        <v>2</v>
      </c>
      <c r="D3792">
        <v>2</v>
      </c>
    </row>
    <row r="3793" spans="1:4" x14ac:dyDescent="0.35">
      <c r="A3793">
        <v>1737</v>
      </c>
      <c r="B3793" s="2">
        <v>37762</v>
      </c>
      <c r="C3793">
        <v>2</v>
      </c>
      <c r="D3793">
        <v>2</v>
      </c>
    </row>
    <row r="3794" spans="1:4" x14ac:dyDescent="0.35">
      <c r="A3794">
        <v>1738</v>
      </c>
      <c r="B3794" s="2">
        <v>37255</v>
      </c>
      <c r="C3794">
        <v>2</v>
      </c>
      <c r="D3794">
        <v>2</v>
      </c>
    </row>
    <row r="3795" spans="1:4" x14ac:dyDescent="0.35">
      <c r="A3795">
        <v>1738</v>
      </c>
      <c r="B3795" s="2">
        <v>38290</v>
      </c>
      <c r="C3795">
        <v>2</v>
      </c>
      <c r="D3795">
        <v>2</v>
      </c>
    </row>
    <row r="3796" spans="1:4" x14ac:dyDescent="0.35">
      <c r="A3796">
        <v>1739</v>
      </c>
      <c r="B3796" s="2">
        <v>37072</v>
      </c>
      <c r="C3796">
        <v>0</v>
      </c>
      <c r="D3796">
        <v>0</v>
      </c>
    </row>
    <row r="3797" spans="1:4" x14ac:dyDescent="0.35">
      <c r="A3797">
        <v>1739</v>
      </c>
      <c r="B3797" s="2">
        <v>38189</v>
      </c>
      <c r="C3797">
        <v>7</v>
      </c>
      <c r="D3797">
        <v>7</v>
      </c>
    </row>
    <row r="3798" spans="1:4" x14ac:dyDescent="0.35">
      <c r="A3798">
        <v>1739</v>
      </c>
      <c r="B3798" s="2">
        <v>38220</v>
      </c>
      <c r="C3798">
        <v>0</v>
      </c>
      <c r="D3798">
        <v>0</v>
      </c>
    </row>
    <row r="3799" spans="1:4" x14ac:dyDescent="0.35">
      <c r="A3799">
        <v>1740</v>
      </c>
      <c r="B3799" s="2">
        <v>38351</v>
      </c>
      <c r="C3799">
        <v>4</v>
      </c>
      <c r="D3799">
        <v>4</v>
      </c>
    </row>
    <row r="3800" spans="1:4" x14ac:dyDescent="0.35">
      <c r="A3800">
        <v>1741</v>
      </c>
      <c r="B3800" s="2">
        <v>37489</v>
      </c>
      <c r="C3800">
        <v>3</v>
      </c>
      <c r="D3800">
        <v>3</v>
      </c>
    </row>
    <row r="3801" spans="1:4" x14ac:dyDescent="0.35">
      <c r="A3801">
        <v>1741</v>
      </c>
      <c r="B3801" s="2">
        <v>37924</v>
      </c>
      <c r="C3801">
        <v>4</v>
      </c>
      <c r="D3801">
        <v>4</v>
      </c>
    </row>
    <row r="3802" spans="1:4" x14ac:dyDescent="0.35">
      <c r="A3802">
        <v>1741</v>
      </c>
      <c r="B3802" s="2">
        <v>38128</v>
      </c>
      <c r="C3802">
        <v>4</v>
      </c>
      <c r="D3802">
        <v>4</v>
      </c>
    </row>
    <row r="3803" spans="1:4" x14ac:dyDescent="0.35">
      <c r="A3803">
        <v>1742</v>
      </c>
      <c r="B3803" s="2">
        <v>37164</v>
      </c>
      <c r="C3803">
        <v>3</v>
      </c>
      <c r="D3803">
        <v>3</v>
      </c>
    </row>
    <row r="3804" spans="1:4" x14ac:dyDescent="0.35">
      <c r="A3804">
        <v>1742</v>
      </c>
      <c r="B3804" s="2">
        <v>37620</v>
      </c>
      <c r="C3804">
        <v>4</v>
      </c>
      <c r="D3804">
        <v>4</v>
      </c>
    </row>
    <row r="3805" spans="1:4" x14ac:dyDescent="0.35">
      <c r="A3805">
        <v>1742</v>
      </c>
      <c r="B3805" s="2">
        <v>38135</v>
      </c>
      <c r="C3805">
        <v>5</v>
      </c>
      <c r="D3805">
        <v>5</v>
      </c>
    </row>
    <row r="3806" spans="1:4" x14ac:dyDescent="0.35">
      <c r="A3806">
        <v>1743</v>
      </c>
      <c r="B3806" s="2">
        <v>37769</v>
      </c>
      <c r="C3806">
        <v>0</v>
      </c>
      <c r="D3806">
        <v>0</v>
      </c>
    </row>
    <row r="3807" spans="1:4" x14ac:dyDescent="0.35">
      <c r="A3807">
        <v>1744</v>
      </c>
      <c r="B3807" s="2">
        <v>36402</v>
      </c>
      <c r="C3807">
        <v>3</v>
      </c>
      <c r="D3807">
        <v>3</v>
      </c>
    </row>
    <row r="3808" spans="1:4" x14ac:dyDescent="0.35">
      <c r="A3808">
        <v>1744</v>
      </c>
      <c r="B3808" s="2">
        <v>37620</v>
      </c>
      <c r="C3808">
        <v>3</v>
      </c>
      <c r="D3808">
        <v>3</v>
      </c>
    </row>
    <row r="3809" spans="1:4" x14ac:dyDescent="0.35">
      <c r="A3809">
        <v>1745</v>
      </c>
      <c r="B3809" s="2">
        <v>36402</v>
      </c>
      <c r="C3809">
        <v>3</v>
      </c>
      <c r="D3809">
        <v>3</v>
      </c>
    </row>
    <row r="3810" spans="1:4" x14ac:dyDescent="0.35">
      <c r="A3810">
        <v>1745</v>
      </c>
      <c r="B3810" s="2">
        <v>36890</v>
      </c>
      <c r="C3810">
        <v>3</v>
      </c>
      <c r="D3810">
        <v>3</v>
      </c>
    </row>
    <row r="3811" spans="1:4" x14ac:dyDescent="0.35">
      <c r="A3811">
        <v>1745</v>
      </c>
      <c r="B3811" s="2">
        <v>37041</v>
      </c>
      <c r="C3811">
        <v>4</v>
      </c>
      <c r="D3811">
        <v>4</v>
      </c>
    </row>
    <row r="3812" spans="1:4" x14ac:dyDescent="0.35">
      <c r="A3812">
        <v>1745</v>
      </c>
      <c r="B3812" s="2">
        <v>37093</v>
      </c>
      <c r="C3812">
        <v>4</v>
      </c>
      <c r="D3812">
        <v>4</v>
      </c>
    </row>
    <row r="3813" spans="1:4" x14ac:dyDescent="0.35">
      <c r="A3813">
        <v>1745</v>
      </c>
      <c r="B3813" s="2">
        <v>37620</v>
      </c>
      <c r="C3813">
        <v>4</v>
      </c>
      <c r="D3813">
        <v>4</v>
      </c>
    </row>
    <row r="3814" spans="1:4" x14ac:dyDescent="0.35">
      <c r="A3814">
        <v>1745</v>
      </c>
      <c r="B3814" s="2">
        <v>38502</v>
      </c>
      <c r="C3814">
        <v>4</v>
      </c>
      <c r="D3814">
        <v>4</v>
      </c>
    </row>
    <row r="3815" spans="1:4" x14ac:dyDescent="0.35">
      <c r="A3815">
        <v>1746</v>
      </c>
      <c r="B3815" s="2">
        <v>36860</v>
      </c>
      <c r="C3815">
        <v>3</v>
      </c>
      <c r="D3815">
        <v>3</v>
      </c>
    </row>
    <row r="3816" spans="1:4" x14ac:dyDescent="0.35">
      <c r="A3816">
        <v>1746</v>
      </c>
      <c r="B3816" s="2">
        <v>37771</v>
      </c>
      <c r="C3816">
        <v>4</v>
      </c>
      <c r="D3816">
        <v>4</v>
      </c>
    </row>
    <row r="3817" spans="1:4" x14ac:dyDescent="0.35">
      <c r="A3817">
        <v>1747</v>
      </c>
      <c r="B3817" s="2">
        <v>36310</v>
      </c>
      <c r="C3817">
        <v>6</v>
      </c>
      <c r="D3817">
        <v>6</v>
      </c>
    </row>
    <row r="3818" spans="1:4" x14ac:dyDescent="0.35">
      <c r="A3818">
        <v>1747</v>
      </c>
      <c r="B3818" s="2">
        <v>37802</v>
      </c>
      <c r="C3818">
        <v>0</v>
      </c>
      <c r="D3818">
        <v>0</v>
      </c>
    </row>
    <row r="3819" spans="1:4" x14ac:dyDescent="0.35">
      <c r="A3819">
        <v>1748</v>
      </c>
      <c r="B3819" s="2">
        <v>36463</v>
      </c>
      <c r="C3819">
        <v>4</v>
      </c>
      <c r="D3819">
        <v>4</v>
      </c>
    </row>
    <row r="3820" spans="1:4" x14ac:dyDescent="0.35">
      <c r="A3820">
        <v>1748</v>
      </c>
      <c r="B3820" s="2">
        <v>37404</v>
      </c>
      <c r="C3820">
        <v>4</v>
      </c>
      <c r="D3820">
        <v>4</v>
      </c>
    </row>
    <row r="3821" spans="1:4" x14ac:dyDescent="0.35">
      <c r="A3821">
        <v>1749</v>
      </c>
      <c r="B3821" s="2">
        <v>37032</v>
      </c>
      <c r="C3821">
        <v>3</v>
      </c>
      <c r="D3821">
        <v>3</v>
      </c>
    </row>
    <row r="3822" spans="1:4" x14ac:dyDescent="0.35">
      <c r="A3822">
        <v>1749</v>
      </c>
      <c r="B3822" s="2">
        <v>37093</v>
      </c>
      <c r="C3822">
        <v>4</v>
      </c>
      <c r="D3822">
        <v>4</v>
      </c>
    </row>
    <row r="3823" spans="1:4" x14ac:dyDescent="0.35">
      <c r="A3823">
        <v>1749</v>
      </c>
      <c r="B3823" s="2">
        <v>37397</v>
      </c>
      <c r="C3823">
        <v>4</v>
      </c>
      <c r="D3823">
        <v>4</v>
      </c>
    </row>
    <row r="3824" spans="1:4" x14ac:dyDescent="0.35">
      <c r="A3824">
        <v>1749</v>
      </c>
      <c r="B3824" s="2">
        <v>37397</v>
      </c>
      <c r="C3824">
        <v>4</v>
      </c>
      <c r="D3824">
        <v>4</v>
      </c>
    </row>
    <row r="3825" spans="1:4" x14ac:dyDescent="0.35">
      <c r="A3825">
        <v>1749</v>
      </c>
      <c r="B3825" s="2">
        <v>37406</v>
      </c>
      <c r="C3825">
        <v>5</v>
      </c>
      <c r="D3825">
        <v>5</v>
      </c>
    </row>
    <row r="3826" spans="1:4" x14ac:dyDescent="0.35">
      <c r="A3826">
        <v>1749</v>
      </c>
      <c r="B3826" s="2">
        <v>38288</v>
      </c>
      <c r="C3826">
        <v>5</v>
      </c>
      <c r="D3826">
        <v>5</v>
      </c>
    </row>
    <row r="3827" spans="1:4" x14ac:dyDescent="0.35">
      <c r="A3827">
        <v>1749</v>
      </c>
      <c r="B3827" s="2">
        <v>38493</v>
      </c>
      <c r="C3827">
        <v>5</v>
      </c>
      <c r="D3827">
        <v>5</v>
      </c>
    </row>
    <row r="3828" spans="1:4" x14ac:dyDescent="0.35">
      <c r="A3828">
        <v>1749</v>
      </c>
      <c r="B3828" s="2">
        <v>38493</v>
      </c>
      <c r="C3828">
        <v>4</v>
      </c>
      <c r="D3828">
        <v>4</v>
      </c>
    </row>
    <row r="3829" spans="1:4" x14ac:dyDescent="0.35">
      <c r="A3829">
        <v>1750</v>
      </c>
      <c r="B3829" s="2">
        <v>36524</v>
      </c>
      <c r="C3829">
        <v>4</v>
      </c>
      <c r="D3829">
        <v>4</v>
      </c>
    </row>
    <row r="3830" spans="1:4" x14ac:dyDescent="0.35">
      <c r="A3830">
        <v>1750</v>
      </c>
      <c r="B3830" s="2">
        <v>37428</v>
      </c>
      <c r="C3830">
        <v>5</v>
      </c>
      <c r="D3830">
        <v>5</v>
      </c>
    </row>
    <row r="3831" spans="1:4" x14ac:dyDescent="0.35">
      <c r="A3831">
        <v>1750</v>
      </c>
      <c r="B3831" s="2">
        <v>37863</v>
      </c>
      <c r="C3831">
        <v>6</v>
      </c>
      <c r="D3831">
        <v>6</v>
      </c>
    </row>
    <row r="3832" spans="1:4" x14ac:dyDescent="0.35">
      <c r="A3832">
        <v>1751</v>
      </c>
      <c r="B3832" s="2">
        <v>37762</v>
      </c>
      <c r="C3832">
        <v>0</v>
      </c>
      <c r="D3832">
        <v>0</v>
      </c>
    </row>
    <row r="3833" spans="1:4" x14ac:dyDescent="0.35">
      <c r="A3833">
        <v>1752</v>
      </c>
      <c r="B3833" s="2">
        <v>36524</v>
      </c>
      <c r="C3833">
        <v>5</v>
      </c>
      <c r="D3833">
        <v>5</v>
      </c>
    </row>
    <row r="3834" spans="1:4" x14ac:dyDescent="0.35">
      <c r="A3834">
        <v>1752</v>
      </c>
      <c r="B3834" s="2">
        <v>37406</v>
      </c>
      <c r="C3834">
        <v>6</v>
      </c>
      <c r="D3834">
        <v>6</v>
      </c>
    </row>
    <row r="3835" spans="1:4" x14ac:dyDescent="0.35">
      <c r="A3835">
        <v>1752</v>
      </c>
      <c r="B3835" s="2">
        <v>37620</v>
      </c>
      <c r="C3835">
        <v>6</v>
      </c>
      <c r="D3835">
        <v>6</v>
      </c>
    </row>
    <row r="3836" spans="1:4" x14ac:dyDescent="0.35">
      <c r="A3836">
        <v>1753</v>
      </c>
      <c r="B3836" s="2">
        <v>37041</v>
      </c>
      <c r="C3836">
        <v>2</v>
      </c>
      <c r="D3836">
        <v>2</v>
      </c>
    </row>
    <row r="3837" spans="1:4" x14ac:dyDescent="0.35">
      <c r="A3837">
        <v>1754</v>
      </c>
      <c r="B3837" s="2">
        <v>36820</v>
      </c>
      <c r="C3837">
        <v>3</v>
      </c>
      <c r="D3837">
        <v>3</v>
      </c>
    </row>
    <row r="3838" spans="1:4" x14ac:dyDescent="0.35">
      <c r="A3838">
        <v>1755</v>
      </c>
      <c r="B3838" s="2">
        <v>37124</v>
      </c>
      <c r="C3838">
        <v>2</v>
      </c>
      <c r="D3838">
        <v>2</v>
      </c>
    </row>
    <row r="3839" spans="1:4" x14ac:dyDescent="0.35">
      <c r="A3839">
        <v>1756</v>
      </c>
      <c r="B3839" s="2">
        <v>36341</v>
      </c>
      <c r="C3839">
        <v>5</v>
      </c>
      <c r="D3839">
        <v>5</v>
      </c>
    </row>
    <row r="3840" spans="1:4" x14ac:dyDescent="0.35">
      <c r="A3840">
        <v>1756</v>
      </c>
      <c r="B3840" s="2">
        <v>37216</v>
      </c>
      <c r="C3840">
        <v>4</v>
      </c>
      <c r="D3840">
        <v>4</v>
      </c>
    </row>
    <row r="3841" spans="1:4" x14ac:dyDescent="0.35">
      <c r="A3841">
        <v>1756</v>
      </c>
      <c r="B3841" s="2">
        <v>38132</v>
      </c>
      <c r="C3841">
        <v>4</v>
      </c>
      <c r="D3841">
        <v>4</v>
      </c>
    </row>
    <row r="3842" spans="1:4" x14ac:dyDescent="0.35">
      <c r="A3842">
        <v>1757</v>
      </c>
      <c r="B3842" s="2">
        <v>37194</v>
      </c>
      <c r="C3842">
        <v>2</v>
      </c>
      <c r="D3842">
        <v>2</v>
      </c>
    </row>
    <row r="3843" spans="1:4" x14ac:dyDescent="0.35">
      <c r="A3843">
        <v>1757</v>
      </c>
      <c r="B3843" s="2">
        <v>37769</v>
      </c>
      <c r="C3843">
        <v>3</v>
      </c>
      <c r="D3843">
        <v>3</v>
      </c>
    </row>
    <row r="3844" spans="1:4" x14ac:dyDescent="0.35">
      <c r="A3844">
        <v>1757</v>
      </c>
      <c r="B3844" s="2">
        <v>37771</v>
      </c>
      <c r="C3844">
        <v>4</v>
      </c>
      <c r="D3844">
        <v>4</v>
      </c>
    </row>
    <row r="3845" spans="1:4" x14ac:dyDescent="0.35">
      <c r="A3845">
        <v>1757</v>
      </c>
      <c r="B3845" s="2">
        <v>37793</v>
      </c>
      <c r="C3845">
        <v>0</v>
      </c>
      <c r="D3845">
        <v>0</v>
      </c>
    </row>
    <row r="3846" spans="1:4" x14ac:dyDescent="0.35">
      <c r="A3846">
        <v>1757</v>
      </c>
      <c r="B3846" s="2">
        <v>38321</v>
      </c>
      <c r="C3846">
        <v>3</v>
      </c>
      <c r="D3846">
        <v>3</v>
      </c>
    </row>
    <row r="3847" spans="1:4" x14ac:dyDescent="0.35">
      <c r="A3847">
        <v>1758</v>
      </c>
      <c r="B3847" s="2">
        <v>37613</v>
      </c>
      <c r="C3847">
        <v>4</v>
      </c>
      <c r="D3847">
        <v>4</v>
      </c>
    </row>
    <row r="3848" spans="1:4" x14ac:dyDescent="0.35">
      <c r="A3848">
        <v>1758</v>
      </c>
      <c r="B3848" s="2">
        <v>37985</v>
      </c>
      <c r="C3848">
        <v>4</v>
      </c>
      <c r="D3848">
        <v>4</v>
      </c>
    </row>
    <row r="3849" spans="1:4" x14ac:dyDescent="0.35">
      <c r="A3849">
        <v>1759</v>
      </c>
      <c r="B3849" s="2">
        <v>36667</v>
      </c>
      <c r="C3849">
        <v>3</v>
      </c>
      <c r="D3849">
        <v>3</v>
      </c>
    </row>
    <row r="3850" spans="1:4" x14ac:dyDescent="0.35">
      <c r="A3850">
        <v>1760</v>
      </c>
      <c r="B3850" s="2">
        <v>37397</v>
      </c>
      <c r="C3850">
        <v>5</v>
      </c>
      <c r="D3850">
        <v>5</v>
      </c>
    </row>
    <row r="3851" spans="1:4" x14ac:dyDescent="0.35">
      <c r="A3851">
        <v>1760</v>
      </c>
      <c r="B3851" s="2">
        <v>37406</v>
      </c>
      <c r="C3851">
        <v>4</v>
      </c>
      <c r="D3851">
        <v>4</v>
      </c>
    </row>
    <row r="3852" spans="1:4" x14ac:dyDescent="0.35">
      <c r="A3852">
        <v>1760</v>
      </c>
      <c r="B3852" s="2">
        <v>37762</v>
      </c>
      <c r="C3852">
        <v>4</v>
      </c>
      <c r="D3852">
        <v>4</v>
      </c>
    </row>
    <row r="3853" spans="1:4" x14ac:dyDescent="0.35">
      <c r="A3853">
        <v>1761</v>
      </c>
      <c r="B3853" s="2">
        <v>37581</v>
      </c>
      <c r="C3853">
        <v>5</v>
      </c>
      <c r="D3853">
        <v>5</v>
      </c>
    </row>
    <row r="3854" spans="1:4" x14ac:dyDescent="0.35">
      <c r="A3854">
        <v>1761</v>
      </c>
      <c r="B3854" s="2">
        <v>37793</v>
      </c>
      <c r="C3854">
        <v>6</v>
      </c>
      <c r="D3854">
        <v>6</v>
      </c>
    </row>
    <row r="3855" spans="1:4" x14ac:dyDescent="0.35">
      <c r="A3855">
        <v>1761</v>
      </c>
      <c r="B3855" s="2">
        <v>37955</v>
      </c>
      <c r="C3855">
        <v>6</v>
      </c>
      <c r="D3855">
        <v>6</v>
      </c>
    </row>
    <row r="3856" spans="1:4" x14ac:dyDescent="0.35">
      <c r="A3856">
        <v>1761</v>
      </c>
      <c r="B3856" s="2">
        <v>37955</v>
      </c>
      <c r="C3856">
        <v>6</v>
      </c>
      <c r="D3856">
        <v>6</v>
      </c>
    </row>
    <row r="3857" spans="1:4" x14ac:dyDescent="0.35">
      <c r="A3857">
        <v>1762</v>
      </c>
      <c r="B3857" s="2">
        <v>36851</v>
      </c>
      <c r="C3857">
        <v>3</v>
      </c>
      <c r="D3857">
        <v>3</v>
      </c>
    </row>
    <row r="3858" spans="1:4" x14ac:dyDescent="0.35">
      <c r="A3858">
        <v>1763</v>
      </c>
      <c r="B3858" s="2">
        <v>37550</v>
      </c>
      <c r="C3858">
        <v>5</v>
      </c>
      <c r="D3858">
        <v>5</v>
      </c>
    </row>
    <row r="3859" spans="1:4" x14ac:dyDescent="0.35">
      <c r="A3859">
        <v>1764</v>
      </c>
      <c r="B3859" s="2">
        <v>37620</v>
      </c>
      <c r="C3859">
        <v>4</v>
      </c>
      <c r="D3859">
        <v>4</v>
      </c>
    </row>
    <row r="3860" spans="1:4" x14ac:dyDescent="0.35">
      <c r="A3860">
        <v>1765</v>
      </c>
      <c r="B3860" s="2">
        <v>36524</v>
      </c>
      <c r="C3860">
        <v>6</v>
      </c>
      <c r="D3860">
        <v>6</v>
      </c>
    </row>
    <row r="3861" spans="1:4" x14ac:dyDescent="0.35">
      <c r="A3861">
        <v>1765</v>
      </c>
      <c r="B3861" s="2">
        <v>36768</v>
      </c>
      <c r="C3861">
        <v>6</v>
      </c>
      <c r="D3861">
        <v>6</v>
      </c>
    </row>
    <row r="3862" spans="1:4" x14ac:dyDescent="0.35">
      <c r="A3862">
        <v>1765</v>
      </c>
      <c r="B3862" s="2">
        <v>36890</v>
      </c>
      <c r="C3862">
        <v>0</v>
      </c>
      <c r="D3862">
        <v>0</v>
      </c>
    </row>
    <row r="3863" spans="1:4" x14ac:dyDescent="0.35">
      <c r="A3863">
        <v>1766</v>
      </c>
      <c r="B3863" s="2">
        <v>36301</v>
      </c>
      <c r="C3863">
        <v>3</v>
      </c>
      <c r="D3863">
        <v>3</v>
      </c>
    </row>
    <row r="3864" spans="1:4" x14ac:dyDescent="0.35">
      <c r="A3864">
        <v>1766</v>
      </c>
      <c r="B3864" s="2">
        <v>37102</v>
      </c>
      <c r="C3864">
        <v>3</v>
      </c>
      <c r="D3864">
        <v>3</v>
      </c>
    </row>
    <row r="3865" spans="1:4" x14ac:dyDescent="0.35">
      <c r="A3865">
        <v>1767</v>
      </c>
      <c r="B3865" s="2">
        <v>36829</v>
      </c>
      <c r="C3865">
        <v>4</v>
      </c>
      <c r="D3865">
        <v>4</v>
      </c>
    </row>
    <row r="3866" spans="1:4" x14ac:dyDescent="0.35">
      <c r="A3866">
        <v>1767</v>
      </c>
      <c r="B3866" s="2">
        <v>37985</v>
      </c>
      <c r="C3866">
        <v>4</v>
      </c>
      <c r="D3866">
        <v>4</v>
      </c>
    </row>
    <row r="3867" spans="1:4" x14ac:dyDescent="0.35">
      <c r="A3867">
        <v>1768</v>
      </c>
      <c r="B3867" s="2">
        <v>36494</v>
      </c>
      <c r="C3867">
        <v>0</v>
      </c>
      <c r="D3867">
        <v>0</v>
      </c>
    </row>
    <row r="3868" spans="1:4" x14ac:dyDescent="0.35">
      <c r="A3868">
        <v>1769</v>
      </c>
      <c r="B3868" s="2">
        <v>37854</v>
      </c>
      <c r="C3868">
        <v>5</v>
      </c>
      <c r="D3868">
        <v>5</v>
      </c>
    </row>
    <row r="3869" spans="1:4" x14ac:dyDescent="0.35">
      <c r="A3869">
        <v>1770</v>
      </c>
      <c r="B3869" s="2">
        <v>37225</v>
      </c>
      <c r="C3869">
        <v>4</v>
      </c>
      <c r="D3869">
        <v>4</v>
      </c>
    </row>
    <row r="3870" spans="1:4" x14ac:dyDescent="0.35">
      <c r="A3870">
        <v>1770</v>
      </c>
      <c r="B3870" s="2">
        <v>37762</v>
      </c>
      <c r="C3870">
        <v>4</v>
      </c>
      <c r="D3870">
        <v>4</v>
      </c>
    </row>
    <row r="3871" spans="1:4" x14ac:dyDescent="0.35">
      <c r="A3871">
        <v>1770</v>
      </c>
      <c r="B3871" s="2">
        <v>38281</v>
      </c>
      <c r="C3871">
        <v>4</v>
      </c>
      <c r="D3871">
        <v>4</v>
      </c>
    </row>
    <row r="3872" spans="1:4" x14ac:dyDescent="0.35">
      <c r="A3872">
        <v>1771</v>
      </c>
      <c r="B3872" s="2">
        <v>36676</v>
      </c>
      <c r="C3872">
        <v>3</v>
      </c>
      <c r="D3872">
        <v>3</v>
      </c>
    </row>
    <row r="3873" spans="1:4" x14ac:dyDescent="0.35">
      <c r="A3873">
        <v>1772</v>
      </c>
      <c r="B3873" s="2">
        <v>38351</v>
      </c>
      <c r="C3873">
        <v>4</v>
      </c>
      <c r="D3873">
        <v>4</v>
      </c>
    </row>
    <row r="3874" spans="1:4" x14ac:dyDescent="0.35">
      <c r="A3874">
        <v>1773</v>
      </c>
      <c r="B3874" s="2">
        <v>37032</v>
      </c>
      <c r="C3874">
        <v>4</v>
      </c>
      <c r="D3874">
        <v>4</v>
      </c>
    </row>
    <row r="3875" spans="1:4" x14ac:dyDescent="0.35">
      <c r="A3875">
        <v>1773</v>
      </c>
      <c r="B3875" s="2">
        <v>37771</v>
      </c>
      <c r="C3875">
        <v>4</v>
      </c>
      <c r="D3875">
        <v>4</v>
      </c>
    </row>
    <row r="3876" spans="1:4" x14ac:dyDescent="0.35">
      <c r="A3876">
        <v>1774</v>
      </c>
      <c r="B3876" s="2">
        <v>36494</v>
      </c>
      <c r="C3876">
        <v>4</v>
      </c>
      <c r="D3876">
        <v>4</v>
      </c>
    </row>
    <row r="3877" spans="1:4" x14ac:dyDescent="0.35">
      <c r="A3877">
        <v>1774</v>
      </c>
      <c r="B3877" s="2">
        <v>36890</v>
      </c>
      <c r="C3877">
        <v>3</v>
      </c>
      <c r="D3877">
        <v>3</v>
      </c>
    </row>
    <row r="3878" spans="1:4" x14ac:dyDescent="0.35">
      <c r="A3878">
        <v>1774</v>
      </c>
      <c r="B3878" s="2">
        <v>38128</v>
      </c>
      <c r="C3878">
        <v>0</v>
      </c>
      <c r="D3878">
        <v>0</v>
      </c>
    </row>
    <row r="3879" spans="1:4" x14ac:dyDescent="0.35">
      <c r="A3879">
        <v>1775</v>
      </c>
      <c r="B3879" s="2">
        <v>36371</v>
      </c>
      <c r="C3879">
        <v>4</v>
      </c>
      <c r="D3879">
        <v>4</v>
      </c>
    </row>
    <row r="3880" spans="1:4" x14ac:dyDescent="0.35">
      <c r="A3880">
        <v>1775</v>
      </c>
      <c r="B3880" s="2">
        <v>36890</v>
      </c>
      <c r="C3880">
        <v>3</v>
      </c>
      <c r="D3880">
        <v>3</v>
      </c>
    </row>
    <row r="3881" spans="1:4" x14ac:dyDescent="0.35">
      <c r="A3881">
        <v>1775</v>
      </c>
      <c r="B3881" s="2">
        <v>38351</v>
      </c>
      <c r="C3881">
        <v>0</v>
      </c>
      <c r="D3881">
        <v>0</v>
      </c>
    </row>
    <row r="3882" spans="1:4" x14ac:dyDescent="0.35">
      <c r="A3882">
        <v>1776</v>
      </c>
      <c r="B3882" s="2">
        <v>36424</v>
      </c>
      <c r="C3882">
        <v>6</v>
      </c>
      <c r="D3882">
        <v>6</v>
      </c>
    </row>
    <row r="3883" spans="1:4" x14ac:dyDescent="0.35">
      <c r="A3883">
        <v>1776</v>
      </c>
      <c r="B3883" s="2">
        <v>36463</v>
      </c>
      <c r="C3883">
        <v>6</v>
      </c>
      <c r="D3883">
        <v>6</v>
      </c>
    </row>
    <row r="3884" spans="1:4" x14ac:dyDescent="0.35">
      <c r="A3884">
        <v>1776</v>
      </c>
      <c r="B3884" s="2">
        <v>36675</v>
      </c>
      <c r="C3884">
        <v>7</v>
      </c>
      <c r="D3884">
        <v>7</v>
      </c>
    </row>
    <row r="3885" spans="1:4" x14ac:dyDescent="0.35">
      <c r="A3885">
        <v>1776</v>
      </c>
      <c r="B3885" s="2">
        <v>36890</v>
      </c>
      <c r="C3885">
        <v>0</v>
      </c>
      <c r="D3885">
        <v>0</v>
      </c>
    </row>
    <row r="3886" spans="1:4" x14ac:dyDescent="0.35">
      <c r="A3886">
        <v>1776</v>
      </c>
      <c r="B3886" s="2">
        <v>37032</v>
      </c>
      <c r="C3886">
        <v>7</v>
      </c>
      <c r="D3886">
        <v>7</v>
      </c>
    </row>
    <row r="3887" spans="1:4" x14ac:dyDescent="0.35">
      <c r="A3887">
        <v>1776</v>
      </c>
      <c r="B3887" s="2">
        <v>37559</v>
      </c>
      <c r="C3887">
        <v>8</v>
      </c>
      <c r="D3887">
        <v>8</v>
      </c>
    </row>
    <row r="3888" spans="1:4" x14ac:dyDescent="0.35">
      <c r="A3888">
        <v>1776</v>
      </c>
      <c r="B3888" s="2">
        <v>37581</v>
      </c>
      <c r="C3888">
        <v>0</v>
      </c>
      <c r="D3888">
        <v>8</v>
      </c>
    </row>
    <row r="3889" spans="1:4" x14ac:dyDescent="0.35">
      <c r="A3889">
        <v>1777</v>
      </c>
      <c r="B3889" s="2">
        <v>37824</v>
      </c>
      <c r="C3889">
        <v>0</v>
      </c>
      <c r="D3889">
        <v>0</v>
      </c>
    </row>
    <row r="3890" spans="1:4" x14ac:dyDescent="0.35">
      <c r="A3890">
        <v>1778</v>
      </c>
      <c r="B3890" s="2">
        <v>36310</v>
      </c>
      <c r="C3890">
        <v>3</v>
      </c>
      <c r="D3890">
        <v>3</v>
      </c>
    </row>
    <row r="3891" spans="1:4" x14ac:dyDescent="0.35">
      <c r="A3891">
        <v>1778</v>
      </c>
      <c r="B3891" s="2">
        <v>36667</v>
      </c>
      <c r="C3891">
        <v>2</v>
      </c>
      <c r="D3891">
        <v>2</v>
      </c>
    </row>
    <row r="3892" spans="1:4" x14ac:dyDescent="0.35">
      <c r="A3892">
        <v>1778</v>
      </c>
      <c r="B3892" s="2">
        <v>36890</v>
      </c>
      <c r="C3892">
        <v>0</v>
      </c>
      <c r="D3892">
        <v>0</v>
      </c>
    </row>
    <row r="3893" spans="1:4" x14ac:dyDescent="0.35">
      <c r="A3893">
        <v>1779</v>
      </c>
      <c r="B3893" s="2">
        <v>36890</v>
      </c>
      <c r="C3893">
        <v>5</v>
      </c>
      <c r="D3893">
        <v>5</v>
      </c>
    </row>
    <row r="3894" spans="1:4" x14ac:dyDescent="0.35">
      <c r="A3894">
        <v>1779</v>
      </c>
      <c r="B3894" s="2">
        <v>37093</v>
      </c>
      <c r="C3894">
        <v>4</v>
      </c>
      <c r="D3894">
        <v>4</v>
      </c>
    </row>
    <row r="3895" spans="1:4" x14ac:dyDescent="0.35">
      <c r="A3895">
        <v>1780</v>
      </c>
      <c r="B3895" s="2">
        <v>36524</v>
      </c>
      <c r="C3895">
        <v>4</v>
      </c>
      <c r="D3895">
        <v>4</v>
      </c>
    </row>
    <row r="3896" spans="1:4" x14ac:dyDescent="0.35">
      <c r="A3896">
        <v>1780</v>
      </c>
      <c r="B3896" s="2">
        <v>38502</v>
      </c>
      <c r="C3896">
        <v>0</v>
      </c>
      <c r="D3896">
        <v>0</v>
      </c>
    </row>
    <row r="3897" spans="1:4" x14ac:dyDescent="0.35">
      <c r="A3897">
        <v>1781</v>
      </c>
      <c r="B3897" s="2">
        <v>36698</v>
      </c>
      <c r="C3897">
        <v>6</v>
      </c>
      <c r="D3897">
        <v>6</v>
      </c>
    </row>
    <row r="3898" spans="1:4" x14ac:dyDescent="0.35">
      <c r="A3898">
        <v>1782</v>
      </c>
      <c r="B3898" s="2">
        <v>38342</v>
      </c>
      <c r="C3898">
        <v>3</v>
      </c>
      <c r="D3898">
        <v>3</v>
      </c>
    </row>
    <row r="3899" spans="1:4" x14ac:dyDescent="0.35">
      <c r="A3899">
        <v>1783</v>
      </c>
      <c r="B3899" s="2">
        <v>37397</v>
      </c>
      <c r="C3899">
        <v>3</v>
      </c>
      <c r="D3899">
        <v>3</v>
      </c>
    </row>
    <row r="3900" spans="1:4" x14ac:dyDescent="0.35">
      <c r="A3900">
        <v>1784</v>
      </c>
      <c r="B3900" s="2">
        <v>37823</v>
      </c>
      <c r="C3900">
        <v>0</v>
      </c>
      <c r="D3900">
        <v>0</v>
      </c>
    </row>
    <row r="3901" spans="1:4" x14ac:dyDescent="0.35">
      <c r="A3901">
        <v>1785</v>
      </c>
      <c r="B3901" s="2">
        <v>37255</v>
      </c>
      <c r="C3901">
        <v>4</v>
      </c>
      <c r="D3901">
        <v>4</v>
      </c>
    </row>
    <row r="3902" spans="1:4" x14ac:dyDescent="0.35">
      <c r="A3902">
        <v>1786</v>
      </c>
      <c r="B3902" s="2">
        <v>37406</v>
      </c>
      <c r="C3902">
        <v>4</v>
      </c>
      <c r="D3902">
        <v>4</v>
      </c>
    </row>
    <row r="3903" spans="1:4" x14ac:dyDescent="0.35">
      <c r="A3903">
        <v>1786</v>
      </c>
      <c r="B3903" s="2">
        <v>37406</v>
      </c>
      <c r="C3903">
        <v>5</v>
      </c>
      <c r="D3903">
        <v>5</v>
      </c>
    </row>
    <row r="3904" spans="1:4" x14ac:dyDescent="0.35">
      <c r="A3904">
        <v>1786</v>
      </c>
      <c r="B3904" s="2">
        <v>37620</v>
      </c>
      <c r="C3904">
        <v>6</v>
      </c>
      <c r="D3904">
        <v>6</v>
      </c>
    </row>
    <row r="3905" spans="1:4" x14ac:dyDescent="0.35">
      <c r="A3905">
        <v>1786</v>
      </c>
      <c r="B3905" s="2">
        <v>38128</v>
      </c>
      <c r="C3905">
        <v>5</v>
      </c>
      <c r="D3905">
        <v>5</v>
      </c>
    </row>
    <row r="3906" spans="1:4" x14ac:dyDescent="0.35">
      <c r="A3906">
        <v>1786</v>
      </c>
      <c r="B3906" s="2">
        <v>38137</v>
      </c>
      <c r="C3906">
        <v>5</v>
      </c>
      <c r="D3906">
        <v>5</v>
      </c>
    </row>
    <row r="3907" spans="1:4" x14ac:dyDescent="0.35">
      <c r="A3907">
        <v>1786</v>
      </c>
      <c r="B3907" s="2">
        <v>38351</v>
      </c>
      <c r="C3907">
        <v>4</v>
      </c>
      <c r="D3907">
        <v>4</v>
      </c>
    </row>
    <row r="3908" spans="1:4" x14ac:dyDescent="0.35">
      <c r="A3908">
        <v>1787</v>
      </c>
      <c r="B3908" s="2">
        <v>36524</v>
      </c>
      <c r="C3908">
        <v>3</v>
      </c>
      <c r="D3908">
        <v>3</v>
      </c>
    </row>
    <row r="3909" spans="1:4" x14ac:dyDescent="0.35">
      <c r="A3909">
        <v>1787</v>
      </c>
      <c r="B3909" s="2">
        <v>37437</v>
      </c>
      <c r="C3909">
        <v>4</v>
      </c>
      <c r="D3909">
        <v>4</v>
      </c>
    </row>
    <row r="3910" spans="1:4" x14ac:dyDescent="0.35">
      <c r="A3910">
        <v>1788</v>
      </c>
      <c r="B3910" s="2">
        <v>37133</v>
      </c>
      <c r="C3910">
        <v>4</v>
      </c>
      <c r="D3910">
        <v>4</v>
      </c>
    </row>
    <row r="3911" spans="1:4" x14ac:dyDescent="0.35">
      <c r="A3911">
        <v>1788</v>
      </c>
      <c r="B3911" s="2">
        <v>37255</v>
      </c>
      <c r="C3911">
        <v>3</v>
      </c>
      <c r="D3911">
        <v>3</v>
      </c>
    </row>
    <row r="3912" spans="1:4" x14ac:dyDescent="0.35">
      <c r="A3912">
        <v>1788</v>
      </c>
      <c r="B3912" s="2">
        <v>38198</v>
      </c>
      <c r="C3912">
        <v>4</v>
      </c>
      <c r="D3912">
        <v>4</v>
      </c>
    </row>
    <row r="3913" spans="1:4" x14ac:dyDescent="0.35">
      <c r="A3913">
        <v>1788</v>
      </c>
      <c r="B3913" s="2">
        <v>38220</v>
      </c>
      <c r="C3913">
        <v>3</v>
      </c>
      <c r="D3913">
        <v>3</v>
      </c>
    </row>
    <row r="3914" spans="1:4" x14ac:dyDescent="0.35">
      <c r="A3914">
        <v>1788</v>
      </c>
      <c r="B3914" s="2">
        <v>38351</v>
      </c>
      <c r="C3914">
        <v>3</v>
      </c>
      <c r="D3914">
        <v>3</v>
      </c>
    </row>
    <row r="3915" spans="1:4" x14ac:dyDescent="0.35">
      <c r="A3915">
        <v>1789</v>
      </c>
      <c r="B3915" s="2">
        <v>37041</v>
      </c>
      <c r="C3915">
        <v>4</v>
      </c>
      <c r="D3915">
        <v>4</v>
      </c>
    </row>
    <row r="3916" spans="1:4" x14ac:dyDescent="0.35">
      <c r="A3916">
        <v>1789</v>
      </c>
      <c r="B3916" s="2">
        <v>38137</v>
      </c>
      <c r="C3916">
        <v>3</v>
      </c>
      <c r="D3916">
        <v>3</v>
      </c>
    </row>
    <row r="3917" spans="1:4" x14ac:dyDescent="0.35">
      <c r="A3917">
        <v>1790</v>
      </c>
      <c r="B3917" s="2">
        <v>36301</v>
      </c>
      <c r="C3917">
        <v>3</v>
      </c>
      <c r="D3917">
        <v>3</v>
      </c>
    </row>
    <row r="3918" spans="1:4" x14ac:dyDescent="0.35">
      <c r="A3918">
        <v>1790</v>
      </c>
      <c r="B3918" s="2">
        <v>38251</v>
      </c>
      <c r="C3918">
        <v>3</v>
      </c>
      <c r="D3918">
        <v>3</v>
      </c>
    </row>
    <row r="3919" spans="1:4" x14ac:dyDescent="0.35">
      <c r="A3919">
        <v>1791</v>
      </c>
      <c r="B3919" s="2">
        <v>36301</v>
      </c>
      <c r="C3919">
        <v>7</v>
      </c>
      <c r="D3919">
        <v>7</v>
      </c>
    </row>
    <row r="3920" spans="1:4" x14ac:dyDescent="0.35">
      <c r="A3920">
        <v>1791</v>
      </c>
      <c r="B3920" s="2">
        <v>36890</v>
      </c>
      <c r="C3920">
        <v>7</v>
      </c>
      <c r="D3920">
        <v>7</v>
      </c>
    </row>
    <row r="3921" spans="1:4" x14ac:dyDescent="0.35">
      <c r="A3921">
        <v>1791</v>
      </c>
      <c r="B3921" s="2">
        <v>37185</v>
      </c>
      <c r="C3921">
        <v>0</v>
      </c>
      <c r="D3921">
        <v>0</v>
      </c>
    </row>
    <row r="3922" spans="1:4" x14ac:dyDescent="0.35">
      <c r="A3922">
        <v>1792</v>
      </c>
      <c r="B3922" s="2">
        <v>36768</v>
      </c>
      <c r="C3922">
        <v>3</v>
      </c>
      <c r="D3922">
        <v>3</v>
      </c>
    </row>
    <row r="3923" spans="1:4" x14ac:dyDescent="0.35">
      <c r="A3923">
        <v>1792</v>
      </c>
      <c r="B3923" s="2">
        <v>37185</v>
      </c>
      <c r="C3923">
        <v>4</v>
      </c>
      <c r="D3923">
        <v>4</v>
      </c>
    </row>
    <row r="3924" spans="1:4" x14ac:dyDescent="0.35">
      <c r="A3924">
        <v>1792</v>
      </c>
      <c r="B3924" s="2">
        <v>37404</v>
      </c>
      <c r="C3924">
        <v>4</v>
      </c>
      <c r="D3924">
        <v>4</v>
      </c>
    </row>
    <row r="3925" spans="1:4" x14ac:dyDescent="0.35">
      <c r="A3925">
        <v>1792</v>
      </c>
      <c r="B3925" s="2">
        <v>38128</v>
      </c>
      <c r="C3925">
        <v>5</v>
      </c>
      <c r="D3925">
        <v>5</v>
      </c>
    </row>
    <row r="3926" spans="1:4" x14ac:dyDescent="0.35">
      <c r="A3926">
        <v>1793</v>
      </c>
      <c r="B3926" s="2">
        <v>37771</v>
      </c>
      <c r="C3926">
        <v>1</v>
      </c>
      <c r="D3926">
        <v>1</v>
      </c>
    </row>
    <row r="3927" spans="1:4" x14ac:dyDescent="0.35">
      <c r="A3927">
        <v>1794</v>
      </c>
      <c r="B3927" s="2">
        <v>37766</v>
      </c>
      <c r="C3927">
        <v>1</v>
      </c>
      <c r="D3927">
        <v>1</v>
      </c>
    </row>
    <row r="3928" spans="1:4" x14ac:dyDescent="0.35">
      <c r="A3928">
        <v>1795</v>
      </c>
      <c r="B3928" s="2">
        <v>37771</v>
      </c>
      <c r="C3928">
        <v>1</v>
      </c>
      <c r="D3928">
        <v>1</v>
      </c>
    </row>
    <row r="3929" spans="1:4" x14ac:dyDescent="0.35">
      <c r="A3929">
        <v>1796</v>
      </c>
      <c r="B3929" s="2">
        <v>37255</v>
      </c>
      <c r="C3929">
        <v>2</v>
      </c>
      <c r="D3929">
        <v>2</v>
      </c>
    </row>
    <row r="3930" spans="1:4" x14ac:dyDescent="0.35">
      <c r="A3930">
        <v>1796</v>
      </c>
      <c r="B3930" s="2">
        <v>38128</v>
      </c>
      <c r="C3930">
        <v>0</v>
      </c>
      <c r="D3930">
        <v>0</v>
      </c>
    </row>
    <row r="3931" spans="1:4" x14ac:dyDescent="0.35">
      <c r="A3931">
        <v>1797</v>
      </c>
      <c r="B3931" s="2">
        <v>36524</v>
      </c>
      <c r="C3931">
        <v>3</v>
      </c>
      <c r="D3931">
        <v>3</v>
      </c>
    </row>
    <row r="3932" spans="1:4" x14ac:dyDescent="0.35">
      <c r="A3932">
        <v>1797</v>
      </c>
      <c r="B3932" s="2">
        <v>36829</v>
      </c>
      <c r="C3932">
        <v>3</v>
      </c>
      <c r="D3932">
        <v>3</v>
      </c>
    </row>
    <row r="3933" spans="1:4" x14ac:dyDescent="0.35">
      <c r="A3933">
        <v>1797</v>
      </c>
      <c r="B3933" s="2">
        <v>37620</v>
      </c>
      <c r="C3933">
        <v>2</v>
      </c>
      <c r="D3933">
        <v>2</v>
      </c>
    </row>
    <row r="3934" spans="1:4" x14ac:dyDescent="0.35">
      <c r="A3934">
        <v>1797</v>
      </c>
      <c r="B3934" s="2">
        <v>37985</v>
      </c>
      <c r="C3934">
        <v>0</v>
      </c>
      <c r="D3934">
        <v>0</v>
      </c>
    </row>
    <row r="3935" spans="1:4" x14ac:dyDescent="0.35">
      <c r="A3935">
        <v>1798</v>
      </c>
      <c r="B3935" s="2">
        <v>38502</v>
      </c>
      <c r="C3935">
        <v>2</v>
      </c>
      <c r="D3935">
        <v>2</v>
      </c>
    </row>
    <row r="3936" spans="1:4" x14ac:dyDescent="0.35">
      <c r="A3936">
        <v>1798</v>
      </c>
      <c r="B3936" s="2">
        <v>38686</v>
      </c>
      <c r="C3936">
        <v>2</v>
      </c>
      <c r="D3936">
        <v>2</v>
      </c>
    </row>
    <row r="3937" spans="1:4" x14ac:dyDescent="0.35">
      <c r="A3937">
        <v>1799</v>
      </c>
      <c r="B3937" s="2">
        <v>37039</v>
      </c>
      <c r="C3937">
        <v>7</v>
      </c>
      <c r="D3937">
        <v>7</v>
      </c>
    </row>
    <row r="3938" spans="1:4" x14ac:dyDescent="0.35">
      <c r="A3938">
        <v>1799</v>
      </c>
      <c r="B3938" s="2">
        <v>37793</v>
      </c>
      <c r="C3938">
        <v>0</v>
      </c>
      <c r="D3938">
        <v>0</v>
      </c>
    </row>
    <row r="3939" spans="1:4" x14ac:dyDescent="0.35">
      <c r="A3939">
        <v>1800</v>
      </c>
      <c r="B3939" s="2">
        <v>36310</v>
      </c>
      <c r="C3939">
        <v>3</v>
      </c>
      <c r="D3939">
        <v>3</v>
      </c>
    </row>
    <row r="3940" spans="1:4" x14ac:dyDescent="0.35">
      <c r="A3940">
        <v>1800</v>
      </c>
      <c r="B3940" s="2">
        <v>37620</v>
      </c>
      <c r="C3940">
        <v>3</v>
      </c>
      <c r="D3940">
        <v>3</v>
      </c>
    </row>
    <row r="3941" spans="1:4" x14ac:dyDescent="0.35">
      <c r="A3941">
        <v>1801</v>
      </c>
      <c r="B3941" s="2">
        <v>38128</v>
      </c>
      <c r="C3941">
        <v>3</v>
      </c>
      <c r="D3941">
        <v>3</v>
      </c>
    </row>
    <row r="3942" spans="1:4" x14ac:dyDescent="0.35">
      <c r="A3942">
        <v>1802</v>
      </c>
      <c r="B3942" s="2">
        <v>37406</v>
      </c>
      <c r="C3942">
        <v>7</v>
      </c>
      <c r="D3942">
        <v>7</v>
      </c>
    </row>
    <row r="3943" spans="1:4" x14ac:dyDescent="0.35">
      <c r="A3943">
        <v>1802</v>
      </c>
      <c r="B3943" s="2">
        <v>37620</v>
      </c>
      <c r="C3943">
        <v>4</v>
      </c>
      <c r="D3943">
        <v>4</v>
      </c>
    </row>
    <row r="3944" spans="1:4" x14ac:dyDescent="0.35">
      <c r="A3944">
        <v>1802</v>
      </c>
      <c r="B3944" s="2">
        <v>37620</v>
      </c>
      <c r="C3944">
        <v>6</v>
      </c>
      <c r="D3944">
        <v>6</v>
      </c>
    </row>
    <row r="3945" spans="1:4" x14ac:dyDescent="0.35">
      <c r="A3945">
        <v>1802</v>
      </c>
      <c r="B3945" s="2">
        <v>37823</v>
      </c>
      <c r="C3945">
        <v>6</v>
      </c>
      <c r="D3945">
        <v>6</v>
      </c>
    </row>
    <row r="3946" spans="1:4" x14ac:dyDescent="0.35">
      <c r="A3946">
        <v>1802</v>
      </c>
      <c r="B3946" s="2">
        <v>37985</v>
      </c>
      <c r="C3946">
        <v>6</v>
      </c>
      <c r="D3946">
        <v>6</v>
      </c>
    </row>
    <row r="3947" spans="1:4" x14ac:dyDescent="0.35">
      <c r="A3947">
        <v>1803</v>
      </c>
      <c r="B3947" s="2">
        <v>36332</v>
      </c>
      <c r="C3947">
        <v>5</v>
      </c>
      <c r="D3947">
        <v>5</v>
      </c>
    </row>
    <row r="3948" spans="1:4" x14ac:dyDescent="0.35">
      <c r="A3948">
        <v>1803</v>
      </c>
      <c r="B3948" s="2">
        <v>36524</v>
      </c>
      <c r="C3948">
        <v>6</v>
      </c>
      <c r="D3948">
        <v>6</v>
      </c>
    </row>
    <row r="3949" spans="1:4" x14ac:dyDescent="0.35">
      <c r="A3949">
        <v>1803</v>
      </c>
      <c r="B3949" s="2">
        <v>37032</v>
      </c>
      <c r="C3949">
        <v>6</v>
      </c>
      <c r="D3949">
        <v>6</v>
      </c>
    </row>
    <row r="3950" spans="1:4" x14ac:dyDescent="0.35">
      <c r="A3950">
        <v>1803</v>
      </c>
      <c r="B3950" s="2">
        <v>37823</v>
      </c>
      <c r="C3950">
        <v>7</v>
      </c>
      <c r="D3950">
        <v>7</v>
      </c>
    </row>
    <row r="3951" spans="1:4" x14ac:dyDescent="0.35">
      <c r="A3951">
        <v>1804</v>
      </c>
      <c r="B3951" s="2">
        <v>37397</v>
      </c>
      <c r="C3951">
        <v>5</v>
      </c>
      <c r="D3951">
        <v>5</v>
      </c>
    </row>
    <row r="3952" spans="1:4" x14ac:dyDescent="0.35">
      <c r="A3952">
        <v>1804</v>
      </c>
      <c r="B3952" s="2">
        <v>37406</v>
      </c>
      <c r="C3952">
        <v>4</v>
      </c>
      <c r="D3952">
        <v>4</v>
      </c>
    </row>
    <row r="3953" spans="1:4" x14ac:dyDescent="0.35">
      <c r="A3953">
        <v>1804</v>
      </c>
      <c r="B3953" s="2">
        <v>37550</v>
      </c>
      <c r="C3953">
        <v>6</v>
      </c>
      <c r="D3953">
        <v>6</v>
      </c>
    </row>
    <row r="3954" spans="1:4" x14ac:dyDescent="0.35">
      <c r="A3954">
        <v>1804</v>
      </c>
      <c r="B3954" s="2">
        <v>37762</v>
      </c>
      <c r="C3954">
        <v>6</v>
      </c>
      <c r="D3954">
        <v>6</v>
      </c>
    </row>
    <row r="3955" spans="1:4" x14ac:dyDescent="0.35">
      <c r="A3955">
        <v>1804</v>
      </c>
      <c r="B3955" s="2">
        <v>38281</v>
      </c>
      <c r="C3955">
        <v>5</v>
      </c>
      <c r="D3955">
        <v>5</v>
      </c>
    </row>
    <row r="3956" spans="1:4" x14ac:dyDescent="0.35">
      <c r="A3956">
        <v>1805</v>
      </c>
      <c r="B3956" s="2">
        <v>36676</v>
      </c>
      <c r="C3956">
        <v>6</v>
      </c>
      <c r="D3956">
        <v>6</v>
      </c>
    </row>
    <row r="3957" spans="1:4" x14ac:dyDescent="0.35">
      <c r="A3957">
        <v>1805</v>
      </c>
      <c r="B3957" s="2">
        <v>37590</v>
      </c>
      <c r="C3957">
        <v>7</v>
      </c>
      <c r="D3957">
        <v>7</v>
      </c>
    </row>
    <row r="3958" spans="1:4" x14ac:dyDescent="0.35">
      <c r="A3958">
        <v>1805</v>
      </c>
      <c r="B3958" s="2">
        <v>37771</v>
      </c>
      <c r="C3958">
        <v>8</v>
      </c>
      <c r="D3958">
        <v>8</v>
      </c>
    </row>
    <row r="3959" spans="1:4" x14ac:dyDescent="0.35">
      <c r="A3959">
        <v>1805</v>
      </c>
      <c r="B3959" s="2">
        <v>37985</v>
      </c>
      <c r="C3959">
        <v>7</v>
      </c>
      <c r="D3959">
        <v>8</v>
      </c>
    </row>
    <row r="3960" spans="1:4" x14ac:dyDescent="0.35">
      <c r="A3960">
        <v>1805</v>
      </c>
      <c r="B3960" s="2">
        <v>38137</v>
      </c>
      <c r="C3960">
        <v>7</v>
      </c>
      <c r="D3960">
        <v>8</v>
      </c>
    </row>
    <row r="3961" spans="1:4" x14ac:dyDescent="0.35">
      <c r="A3961">
        <v>1805</v>
      </c>
      <c r="B3961" s="2">
        <v>38220</v>
      </c>
      <c r="C3961">
        <v>7</v>
      </c>
      <c r="D3961">
        <v>8</v>
      </c>
    </row>
    <row r="3962" spans="1:4" x14ac:dyDescent="0.35">
      <c r="A3962">
        <v>1806</v>
      </c>
      <c r="B3962" s="2">
        <v>36524</v>
      </c>
      <c r="C3962">
        <v>4</v>
      </c>
      <c r="D3962">
        <v>4</v>
      </c>
    </row>
    <row r="3963" spans="1:4" x14ac:dyDescent="0.35">
      <c r="A3963">
        <v>1807</v>
      </c>
      <c r="B3963" s="2">
        <v>36676</v>
      </c>
      <c r="C3963">
        <v>7</v>
      </c>
      <c r="D3963">
        <v>7</v>
      </c>
    </row>
    <row r="3964" spans="1:4" x14ac:dyDescent="0.35">
      <c r="A3964">
        <v>1808</v>
      </c>
      <c r="B3964" s="2">
        <v>36667</v>
      </c>
      <c r="C3964">
        <v>0</v>
      </c>
      <c r="D3964">
        <v>0</v>
      </c>
    </row>
    <row r="3965" spans="1:4" x14ac:dyDescent="0.35">
      <c r="A3965">
        <v>1808</v>
      </c>
      <c r="B3965" s="2">
        <v>38351</v>
      </c>
      <c r="C3965">
        <v>6</v>
      </c>
      <c r="D3965">
        <v>6</v>
      </c>
    </row>
    <row r="3966" spans="1:4" x14ac:dyDescent="0.35">
      <c r="A3966">
        <v>1809</v>
      </c>
      <c r="B3966" s="2">
        <v>37590</v>
      </c>
      <c r="C3966">
        <v>6</v>
      </c>
      <c r="D3966">
        <v>6</v>
      </c>
    </row>
    <row r="3967" spans="1:4" x14ac:dyDescent="0.35">
      <c r="A3967">
        <v>1809</v>
      </c>
      <c r="B3967" s="2">
        <v>37766</v>
      </c>
      <c r="C3967">
        <v>7</v>
      </c>
      <c r="D3967">
        <v>7</v>
      </c>
    </row>
    <row r="3968" spans="1:4" x14ac:dyDescent="0.35">
      <c r="A3968">
        <v>1810</v>
      </c>
      <c r="B3968" s="2">
        <v>36301</v>
      </c>
      <c r="C3968">
        <v>5</v>
      </c>
      <c r="D3968">
        <v>5</v>
      </c>
    </row>
    <row r="3969" spans="1:4" x14ac:dyDescent="0.35">
      <c r="A3969">
        <v>1810</v>
      </c>
      <c r="B3969" s="2">
        <v>37620</v>
      </c>
      <c r="C3969">
        <v>6</v>
      </c>
      <c r="D3969">
        <v>6</v>
      </c>
    </row>
    <row r="3970" spans="1:4" x14ac:dyDescent="0.35">
      <c r="A3970">
        <v>1810</v>
      </c>
      <c r="B3970" s="2">
        <v>38128</v>
      </c>
      <c r="C3970">
        <v>5</v>
      </c>
      <c r="D3970">
        <v>5</v>
      </c>
    </row>
    <row r="3971" spans="1:4" x14ac:dyDescent="0.35">
      <c r="A3971">
        <v>1811</v>
      </c>
      <c r="B3971" s="2">
        <v>36667</v>
      </c>
      <c r="C3971">
        <v>0</v>
      </c>
      <c r="D3971">
        <v>0</v>
      </c>
    </row>
    <row r="3972" spans="1:4" x14ac:dyDescent="0.35">
      <c r="A3972">
        <v>1812</v>
      </c>
      <c r="B3972" s="2">
        <v>36362</v>
      </c>
      <c r="C3972">
        <v>6</v>
      </c>
      <c r="D3972">
        <v>6</v>
      </c>
    </row>
    <row r="3973" spans="1:4" x14ac:dyDescent="0.35">
      <c r="A3973">
        <v>1812</v>
      </c>
      <c r="B3973" s="2">
        <v>37032</v>
      </c>
      <c r="C3973">
        <v>6</v>
      </c>
      <c r="D3973">
        <v>6</v>
      </c>
    </row>
    <row r="3974" spans="1:4" x14ac:dyDescent="0.35">
      <c r="A3974">
        <v>1812</v>
      </c>
      <c r="B3974" s="2">
        <v>37620</v>
      </c>
      <c r="C3974">
        <v>0</v>
      </c>
      <c r="D3974">
        <v>0</v>
      </c>
    </row>
    <row r="3975" spans="1:4" x14ac:dyDescent="0.35">
      <c r="A3975">
        <v>1813</v>
      </c>
      <c r="B3975" s="2">
        <v>37620</v>
      </c>
      <c r="C3975">
        <v>3</v>
      </c>
      <c r="D3975">
        <v>3</v>
      </c>
    </row>
    <row r="3976" spans="1:4" x14ac:dyDescent="0.35">
      <c r="A3976">
        <v>1814</v>
      </c>
      <c r="B3976" s="2">
        <v>36820</v>
      </c>
      <c r="C3976">
        <v>2</v>
      </c>
      <c r="D3976">
        <v>2</v>
      </c>
    </row>
    <row r="3977" spans="1:4" x14ac:dyDescent="0.35">
      <c r="A3977">
        <v>1815</v>
      </c>
      <c r="B3977" s="2">
        <v>37620</v>
      </c>
      <c r="C3977">
        <v>3</v>
      </c>
      <c r="D3977">
        <v>3</v>
      </c>
    </row>
    <row r="3978" spans="1:4" x14ac:dyDescent="0.35">
      <c r="A3978">
        <v>1816</v>
      </c>
      <c r="B3978" s="2">
        <v>37185</v>
      </c>
      <c r="C3978">
        <v>5</v>
      </c>
      <c r="D3978">
        <v>5</v>
      </c>
    </row>
    <row r="3979" spans="1:4" x14ac:dyDescent="0.35">
      <c r="A3979">
        <v>1816</v>
      </c>
      <c r="B3979" s="2">
        <v>37985</v>
      </c>
      <c r="C3979">
        <v>5</v>
      </c>
      <c r="D3979">
        <v>5</v>
      </c>
    </row>
    <row r="3980" spans="1:4" x14ac:dyDescent="0.35">
      <c r="A3980">
        <v>1817</v>
      </c>
      <c r="B3980" s="2">
        <v>36728</v>
      </c>
      <c r="C3980">
        <v>0</v>
      </c>
      <c r="D3980">
        <v>0</v>
      </c>
    </row>
    <row r="3981" spans="1:4" x14ac:dyDescent="0.35">
      <c r="A3981">
        <v>1818</v>
      </c>
      <c r="B3981" s="2">
        <v>37397</v>
      </c>
      <c r="C3981">
        <v>2</v>
      </c>
      <c r="D3981">
        <v>2</v>
      </c>
    </row>
    <row r="3982" spans="1:4" x14ac:dyDescent="0.35">
      <c r="A3982">
        <v>1819</v>
      </c>
      <c r="B3982" s="2">
        <v>36301</v>
      </c>
      <c r="C3982">
        <v>4</v>
      </c>
      <c r="D3982">
        <v>4</v>
      </c>
    </row>
    <row r="3983" spans="1:4" x14ac:dyDescent="0.35">
      <c r="A3983">
        <v>1819</v>
      </c>
      <c r="B3983" s="2">
        <v>37032</v>
      </c>
      <c r="C3983">
        <v>4</v>
      </c>
      <c r="D3983">
        <v>4</v>
      </c>
    </row>
    <row r="3984" spans="1:4" x14ac:dyDescent="0.35">
      <c r="A3984">
        <v>1819</v>
      </c>
      <c r="B3984" s="2">
        <v>37581</v>
      </c>
      <c r="C3984">
        <v>4</v>
      </c>
      <c r="D3984">
        <v>4</v>
      </c>
    </row>
    <row r="3985" spans="1:4" x14ac:dyDescent="0.35">
      <c r="A3985">
        <v>1819</v>
      </c>
      <c r="B3985" s="2">
        <v>38351</v>
      </c>
      <c r="C3985">
        <v>4</v>
      </c>
      <c r="D3985">
        <v>4</v>
      </c>
    </row>
    <row r="3986" spans="1:4" x14ac:dyDescent="0.35">
      <c r="A3986">
        <v>1820</v>
      </c>
      <c r="B3986" s="2">
        <v>37032</v>
      </c>
      <c r="C3986">
        <v>0</v>
      </c>
      <c r="D3986">
        <v>0</v>
      </c>
    </row>
    <row r="3987" spans="1:4" x14ac:dyDescent="0.35">
      <c r="A3987">
        <v>1821</v>
      </c>
      <c r="B3987" s="2">
        <v>38493</v>
      </c>
      <c r="C3987">
        <v>5</v>
      </c>
      <c r="D3987">
        <v>5</v>
      </c>
    </row>
    <row r="3988" spans="1:4" x14ac:dyDescent="0.35">
      <c r="A3988">
        <v>1822</v>
      </c>
      <c r="B3988" s="2">
        <v>36890</v>
      </c>
      <c r="C3988">
        <v>4</v>
      </c>
      <c r="D3988">
        <v>4</v>
      </c>
    </row>
    <row r="3989" spans="1:4" x14ac:dyDescent="0.35">
      <c r="A3989">
        <v>1823</v>
      </c>
      <c r="B3989" s="2">
        <v>37406</v>
      </c>
      <c r="C3989">
        <v>4</v>
      </c>
      <c r="D3989">
        <v>4</v>
      </c>
    </row>
    <row r="3990" spans="1:4" x14ac:dyDescent="0.35">
      <c r="A3990">
        <v>1823</v>
      </c>
      <c r="B3990" s="2">
        <v>37406</v>
      </c>
      <c r="C3990">
        <v>5</v>
      </c>
      <c r="D3990">
        <v>5</v>
      </c>
    </row>
    <row r="3991" spans="1:4" x14ac:dyDescent="0.35">
      <c r="A3991">
        <v>1823</v>
      </c>
      <c r="B3991" s="2">
        <v>37559</v>
      </c>
      <c r="C3991">
        <v>4</v>
      </c>
      <c r="D3991">
        <v>4</v>
      </c>
    </row>
    <row r="3992" spans="1:4" x14ac:dyDescent="0.35">
      <c r="A3992">
        <v>1823</v>
      </c>
      <c r="B3992" s="2">
        <v>38351</v>
      </c>
      <c r="C3992">
        <v>4</v>
      </c>
      <c r="D3992">
        <v>4</v>
      </c>
    </row>
    <row r="3993" spans="1:4" x14ac:dyDescent="0.35">
      <c r="A3993">
        <v>1824</v>
      </c>
      <c r="B3993" s="2">
        <v>37036</v>
      </c>
      <c r="C3993">
        <v>2</v>
      </c>
      <c r="D3993">
        <v>2</v>
      </c>
    </row>
    <row r="3994" spans="1:4" x14ac:dyDescent="0.35">
      <c r="A3994">
        <v>1825</v>
      </c>
      <c r="B3994" s="2">
        <v>37063</v>
      </c>
      <c r="C3994">
        <v>2</v>
      </c>
      <c r="D3994">
        <v>2</v>
      </c>
    </row>
    <row r="3995" spans="1:4" x14ac:dyDescent="0.35">
      <c r="A3995">
        <v>1825</v>
      </c>
      <c r="B3995" s="2">
        <v>37620</v>
      </c>
      <c r="C3995">
        <v>0</v>
      </c>
      <c r="D3995">
        <v>0</v>
      </c>
    </row>
    <row r="3996" spans="1:4" x14ac:dyDescent="0.35">
      <c r="A3996">
        <v>1826</v>
      </c>
      <c r="B3996" s="2">
        <v>38625</v>
      </c>
      <c r="C3996">
        <v>2</v>
      </c>
      <c r="D3996">
        <v>2</v>
      </c>
    </row>
    <row r="3997" spans="1:4" x14ac:dyDescent="0.35">
      <c r="A3997">
        <v>1827</v>
      </c>
      <c r="B3997" s="2">
        <v>36890</v>
      </c>
      <c r="C3997">
        <v>0</v>
      </c>
      <c r="D3997">
        <v>0</v>
      </c>
    </row>
    <row r="3998" spans="1:4" x14ac:dyDescent="0.35">
      <c r="A3998">
        <v>1828</v>
      </c>
      <c r="B3998" s="2">
        <v>36454</v>
      </c>
      <c r="C3998">
        <v>4</v>
      </c>
      <c r="D3998">
        <v>4</v>
      </c>
    </row>
    <row r="3999" spans="1:4" x14ac:dyDescent="0.35">
      <c r="A3999">
        <v>1828</v>
      </c>
      <c r="B3999" s="2">
        <v>36890</v>
      </c>
      <c r="C3999">
        <v>0</v>
      </c>
      <c r="D3999">
        <v>0</v>
      </c>
    </row>
    <row r="4000" spans="1:4" x14ac:dyDescent="0.35">
      <c r="A4000">
        <v>1829</v>
      </c>
      <c r="B4000" s="2">
        <v>36524</v>
      </c>
      <c r="C4000">
        <v>4</v>
      </c>
      <c r="D4000">
        <v>4</v>
      </c>
    </row>
    <row r="4001" spans="1:4" x14ac:dyDescent="0.35">
      <c r="A4001">
        <v>1829</v>
      </c>
      <c r="B4001" s="2">
        <v>36768</v>
      </c>
      <c r="C4001">
        <v>3</v>
      </c>
      <c r="D40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4B921-1F2F-4216-BF82-4B9249832CF3}">
  <dimension ref="A3:X90"/>
  <sheetViews>
    <sheetView topLeftCell="C2" zoomScale="68" zoomScaleNormal="100" workbookViewId="0">
      <selection activeCell="O25" sqref="O25"/>
    </sheetView>
  </sheetViews>
  <sheetFormatPr defaultRowHeight="14.5" x14ac:dyDescent="0.35"/>
  <cols>
    <col min="1" max="1" width="13.08984375" bestFit="1" customWidth="1"/>
    <col min="2" max="2" width="15.90625" bestFit="1" customWidth="1"/>
    <col min="3" max="3" width="2.81640625" bestFit="1" customWidth="1"/>
    <col min="4" max="8" width="3.81640625" bestFit="1" customWidth="1"/>
    <col min="9" max="10" width="2.81640625" bestFit="1" customWidth="1"/>
    <col min="11" max="12" width="10.7265625" bestFit="1" customWidth="1"/>
    <col min="13" max="13" width="11.08984375" bestFit="1" customWidth="1"/>
    <col min="14" max="14" width="9.1796875" customWidth="1"/>
    <col min="15" max="15" width="13.81640625" customWidth="1"/>
    <col min="16" max="16" width="10.26953125" customWidth="1"/>
    <col min="17" max="17" width="11.08984375" bestFit="1" customWidth="1"/>
    <col min="18" max="18" width="12.54296875" bestFit="1" customWidth="1"/>
    <col min="19" max="19" width="8.453125" customWidth="1"/>
    <col min="20" max="20" width="7.7265625" customWidth="1"/>
    <col min="21" max="21" width="7.08984375" customWidth="1"/>
    <col min="22" max="22" width="11.453125" customWidth="1"/>
    <col min="23" max="23" width="15.90625" bestFit="1" customWidth="1"/>
  </cols>
  <sheetData>
    <row r="3" spans="1:24" x14ac:dyDescent="0.35">
      <c r="A3" s="3" t="s">
        <v>4</v>
      </c>
      <c r="B3" s="3" t="s">
        <v>7</v>
      </c>
      <c r="O3">
        <v>1</v>
      </c>
      <c r="P3">
        <v>2</v>
      </c>
      <c r="Q3">
        <v>3</v>
      </c>
      <c r="R3">
        <v>4</v>
      </c>
      <c r="S3">
        <v>5</v>
      </c>
      <c r="T3">
        <v>6</v>
      </c>
      <c r="U3">
        <v>7</v>
      </c>
      <c r="V3">
        <v>8</v>
      </c>
      <c r="W3">
        <v>0</v>
      </c>
    </row>
    <row r="4" spans="1:24" x14ac:dyDescent="0.35">
      <c r="A4" s="3" t="s">
        <v>5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 t="s">
        <v>6</v>
      </c>
      <c r="N4">
        <v>1</v>
      </c>
      <c r="O4" s="5">
        <f>(C6+C22+C37+C51+C66+C81)/(L6+L22+L37+L51+L66+K81)</f>
        <v>0.92307692307692313</v>
      </c>
      <c r="P4" s="5">
        <f>(D6+D22+D37+D51+D66+D81)/(K81+L66+L51+L37+L22+L6)</f>
        <v>1.5384615384615385E-2</v>
      </c>
      <c r="Q4" s="5">
        <f>(E6+E22+E37+E51+E66+E81)/(K81+L66+L51+L37+L22+L6)</f>
        <v>0</v>
      </c>
      <c r="R4" s="5">
        <f>(F6+F22+F37+F51+F66+F81)/(K81+L66+L51+L37+L22+L6)</f>
        <v>0</v>
      </c>
      <c r="S4" s="5">
        <f>(G6+G22+G37+G51+G66+G81)/(K81+L66+L51+L37+L22+L6)</f>
        <v>7.6923076923076927E-3</v>
      </c>
      <c r="T4" s="5">
        <f>(H6+H22+H37+H51+H66+H81)/(K81+L66+L51+L37+L22+L6)</f>
        <v>0</v>
      </c>
      <c r="U4" s="5">
        <f>(I6+I22+I37+I51+I66+I81)/($K$81+$L$66+$L$51+$L$37+$L$22+$L$6)</f>
        <v>0</v>
      </c>
      <c r="V4" s="5">
        <f>(J6+J22+J37+J51+J66+J81)/(K81+L66+L51+L37+L22+L6)</f>
        <v>0</v>
      </c>
      <c r="W4" s="5">
        <f>(B6+B22+B37+B51+B66+B81)/(L6+L22+L37+L51+L66+K81)</f>
        <v>5.3846153846153849E-2</v>
      </c>
      <c r="X4" s="5"/>
    </row>
    <row r="5" spans="1:24" x14ac:dyDescent="0.35">
      <c r="A5" s="4">
        <v>0</v>
      </c>
      <c r="B5">
        <v>54</v>
      </c>
      <c r="F5">
        <v>1</v>
      </c>
      <c r="G5">
        <v>1</v>
      </c>
      <c r="L5">
        <v>56</v>
      </c>
      <c r="N5">
        <v>2</v>
      </c>
      <c r="O5" s="5">
        <f t="shared" ref="O5:O11" si="0">(C7+C23+C38+C52+C67+C82)/(L7+L23+L38+L52+L67+K82)</f>
        <v>1.2087912087912088E-2</v>
      </c>
      <c r="P5" s="5">
        <f t="shared" ref="P5:P11" si="1">(D7+D23+D38+D52+D67+D82)/(K82+L67+L52+L38+L23+L7)</f>
        <v>0.88461538461538458</v>
      </c>
      <c r="Q5" s="5">
        <f t="shared" ref="Q5:Q11" si="2">(E7+E23+E38+E52+E67+E82)/(K82+L67+L52+L38+L23+L7)</f>
        <v>6.8131868131868126E-2</v>
      </c>
      <c r="R5" s="5">
        <f t="shared" ref="R5:R11" si="3">(F7+F23+F38+F52+F67+F82)/(K82+L67+L52+L38+L23+L7)</f>
        <v>1.0989010989010989E-3</v>
      </c>
      <c r="S5" s="5">
        <f t="shared" ref="S5:S11" si="4">(G7+G23+G38+G52+G67+G82)/(K82+L67+L52+L38+L23+L7)</f>
        <v>0</v>
      </c>
      <c r="T5" s="5">
        <f t="shared" ref="T5:T11" si="5">(H7+H23+H38+H52+H67+H82)/(K82+L67+L52+L38+L23+L7)</f>
        <v>1.0989010989010989E-3</v>
      </c>
      <c r="U5" s="5">
        <f t="shared" ref="U5:U11" si="6">(I7+I23+I38+I52+I67+I82)/(K82+L67+L52+L38+L23+L7)</f>
        <v>0</v>
      </c>
      <c r="V5" s="5">
        <f t="shared" ref="V5:V11" si="7">(J7+J23+J38+J52+J67+J82)/(K82+L67+L52+L38+L23+L7)</f>
        <v>0</v>
      </c>
      <c r="W5" s="5">
        <f t="shared" ref="W5:W11" si="8">(B7+B23+B38+B52+B67+B82)/(L7+L23+L38+L52+L67+K82)</f>
        <v>3.2967032967032968E-2</v>
      </c>
    </row>
    <row r="6" spans="1:24" x14ac:dyDescent="0.35">
      <c r="A6" s="4">
        <v>1</v>
      </c>
      <c r="C6">
        <v>7</v>
      </c>
      <c r="L6">
        <v>7</v>
      </c>
      <c r="N6">
        <v>3</v>
      </c>
      <c r="O6" s="5">
        <f t="shared" si="0"/>
        <v>1.0887316276537834E-3</v>
      </c>
      <c r="P6" s="5">
        <f t="shared" si="1"/>
        <v>2.3952095808383235E-2</v>
      </c>
      <c r="Q6" s="5">
        <f t="shared" si="2"/>
        <v>0.8873162765378334</v>
      </c>
      <c r="R6" s="5">
        <f t="shared" si="3"/>
        <v>4.6271094175285792E-2</v>
      </c>
      <c r="S6" s="5">
        <f t="shared" si="4"/>
        <v>2.7218290691344584E-3</v>
      </c>
      <c r="T6" s="5">
        <f t="shared" si="5"/>
        <v>1.0887316276537834E-3</v>
      </c>
      <c r="U6" s="5">
        <f t="shared" si="6"/>
        <v>0</v>
      </c>
      <c r="V6" s="5">
        <f t="shared" si="7"/>
        <v>5.4436581382689172E-4</v>
      </c>
      <c r="W6" s="5">
        <f t="shared" si="8"/>
        <v>3.7016875340228635E-2</v>
      </c>
    </row>
    <row r="7" spans="1:24" x14ac:dyDescent="0.35">
      <c r="A7" s="4">
        <v>2</v>
      </c>
      <c r="D7">
        <v>44</v>
      </c>
      <c r="E7">
        <v>2</v>
      </c>
      <c r="L7">
        <v>46</v>
      </c>
      <c r="N7">
        <v>4</v>
      </c>
      <c r="O7" s="5">
        <f t="shared" si="0"/>
        <v>0</v>
      </c>
      <c r="P7" s="5">
        <f t="shared" si="1"/>
        <v>0</v>
      </c>
      <c r="Q7" s="5">
        <f t="shared" si="2"/>
        <v>3.3536585365853661E-2</v>
      </c>
      <c r="R7" s="5">
        <f t="shared" si="3"/>
        <v>0.87378048780487805</v>
      </c>
      <c r="S7" s="5">
        <f t="shared" si="4"/>
        <v>5.24390243902439E-2</v>
      </c>
      <c r="T7" s="5">
        <f t="shared" si="5"/>
        <v>7.926829268292683E-3</v>
      </c>
      <c r="U7" s="5">
        <f t="shared" si="6"/>
        <v>6.0975609756097561E-4</v>
      </c>
      <c r="V7" s="5">
        <f t="shared" si="7"/>
        <v>2.4390243902439024E-3</v>
      </c>
      <c r="W7" s="5">
        <f t="shared" si="8"/>
        <v>2.9268292682926831E-2</v>
      </c>
    </row>
    <row r="8" spans="1:24" x14ac:dyDescent="0.35">
      <c r="A8" s="4">
        <v>3</v>
      </c>
      <c r="B8">
        <v>5</v>
      </c>
      <c r="D8">
        <v>9</v>
      </c>
      <c r="E8">
        <v>103</v>
      </c>
      <c r="F8">
        <v>1</v>
      </c>
      <c r="L8">
        <v>118</v>
      </c>
      <c r="N8">
        <v>5</v>
      </c>
      <c r="O8" s="5">
        <f t="shared" si="0"/>
        <v>0</v>
      </c>
      <c r="P8" s="5">
        <f t="shared" si="1"/>
        <v>0</v>
      </c>
      <c r="Q8" s="5">
        <f t="shared" si="2"/>
        <v>5.3333333333333332E-3</v>
      </c>
      <c r="R8" s="5">
        <f t="shared" si="3"/>
        <v>6.8000000000000005E-2</v>
      </c>
      <c r="S8" s="5">
        <f t="shared" si="4"/>
        <v>0.752</v>
      </c>
      <c r="T8" s="5">
        <f t="shared" si="5"/>
        <v>9.1999999999999998E-2</v>
      </c>
      <c r="U8" s="5">
        <f t="shared" si="6"/>
        <v>1.3333333333333334E-2</v>
      </c>
      <c r="V8" s="5">
        <f t="shared" si="7"/>
        <v>8.0000000000000002E-3</v>
      </c>
      <c r="W8" s="5">
        <f t="shared" si="8"/>
        <v>6.133333333333333E-2</v>
      </c>
    </row>
    <row r="9" spans="1:24" x14ac:dyDescent="0.35">
      <c r="A9" s="4">
        <v>4</v>
      </c>
      <c r="B9">
        <v>6</v>
      </c>
      <c r="E9">
        <v>18</v>
      </c>
      <c r="F9">
        <v>106</v>
      </c>
      <c r="G9">
        <v>5</v>
      </c>
      <c r="H9">
        <v>2</v>
      </c>
      <c r="L9">
        <v>137</v>
      </c>
      <c r="N9">
        <v>6</v>
      </c>
      <c r="O9" s="5">
        <f t="shared" si="0"/>
        <v>0</v>
      </c>
      <c r="P9" s="5">
        <f t="shared" si="1"/>
        <v>1.5649452269170579E-3</v>
      </c>
      <c r="Q9" s="5">
        <f t="shared" si="2"/>
        <v>3.1298904538341159E-3</v>
      </c>
      <c r="R9" s="5">
        <f t="shared" si="3"/>
        <v>6.2597809076682318E-3</v>
      </c>
      <c r="S9" s="5">
        <f t="shared" si="4"/>
        <v>6.729264475743349E-2</v>
      </c>
      <c r="T9" s="5">
        <f t="shared" si="5"/>
        <v>0.78560250391236308</v>
      </c>
      <c r="U9" s="5">
        <f t="shared" si="6"/>
        <v>6.5727699530516437E-2</v>
      </c>
      <c r="V9" s="5">
        <f t="shared" si="7"/>
        <v>1.4084507042253521E-2</v>
      </c>
      <c r="W9" s="5">
        <f t="shared" si="8"/>
        <v>5.6338028169014086E-2</v>
      </c>
    </row>
    <row r="10" spans="1:24" x14ac:dyDescent="0.35">
      <c r="A10" s="4">
        <v>5</v>
      </c>
      <c r="B10">
        <v>6</v>
      </c>
      <c r="E10">
        <v>1</v>
      </c>
      <c r="F10">
        <v>10</v>
      </c>
      <c r="G10">
        <v>61</v>
      </c>
      <c r="H10">
        <v>8</v>
      </c>
      <c r="I10">
        <v>3</v>
      </c>
      <c r="J10">
        <v>1</v>
      </c>
      <c r="L10">
        <v>90</v>
      </c>
      <c r="N10">
        <v>7</v>
      </c>
      <c r="O10" s="5">
        <f t="shared" si="0"/>
        <v>0</v>
      </c>
      <c r="P10" s="5">
        <f t="shared" si="1"/>
        <v>0</v>
      </c>
      <c r="Q10" s="5">
        <f t="shared" si="2"/>
        <v>0</v>
      </c>
      <c r="R10" s="5">
        <f t="shared" si="3"/>
        <v>0</v>
      </c>
      <c r="S10" s="5">
        <f t="shared" si="4"/>
        <v>1.5544041450777202E-2</v>
      </c>
      <c r="T10" s="5">
        <f t="shared" si="5"/>
        <v>6.7357512953367879E-2</v>
      </c>
      <c r="U10" s="5">
        <f t="shared" si="6"/>
        <v>0.65284974093264247</v>
      </c>
      <c r="V10" s="5">
        <f t="shared" si="7"/>
        <v>9.8445595854922283E-2</v>
      </c>
      <c r="W10" s="5">
        <f t="shared" si="8"/>
        <v>0.16580310880829016</v>
      </c>
    </row>
    <row r="11" spans="1:24" x14ac:dyDescent="0.35">
      <c r="A11" s="4">
        <v>6</v>
      </c>
      <c r="B11">
        <v>8</v>
      </c>
      <c r="D11">
        <v>1</v>
      </c>
      <c r="E11">
        <v>1</v>
      </c>
      <c r="G11">
        <v>3</v>
      </c>
      <c r="H11">
        <v>60</v>
      </c>
      <c r="I11">
        <v>7</v>
      </c>
      <c r="J11">
        <v>1</v>
      </c>
      <c r="L11">
        <v>81</v>
      </c>
      <c r="N11">
        <v>8</v>
      </c>
      <c r="O11" s="5">
        <f t="shared" si="0"/>
        <v>0</v>
      </c>
      <c r="P11" s="5">
        <f t="shared" si="1"/>
        <v>0</v>
      </c>
      <c r="Q11" s="5">
        <f t="shared" si="2"/>
        <v>0</v>
      </c>
      <c r="R11" s="5">
        <f t="shared" si="3"/>
        <v>0</v>
      </c>
      <c r="S11" s="5">
        <f t="shared" si="4"/>
        <v>0</v>
      </c>
      <c r="T11" s="5">
        <f t="shared" si="5"/>
        <v>0</v>
      </c>
      <c r="U11" s="5">
        <f t="shared" si="6"/>
        <v>0</v>
      </c>
      <c r="V11" s="5">
        <f t="shared" si="7"/>
        <v>1</v>
      </c>
      <c r="W11" s="5">
        <f t="shared" si="8"/>
        <v>0</v>
      </c>
    </row>
    <row r="12" spans="1:24" x14ac:dyDescent="0.35">
      <c r="A12" s="4">
        <v>7</v>
      </c>
      <c r="B12">
        <v>8</v>
      </c>
      <c r="H12">
        <v>2</v>
      </c>
      <c r="I12">
        <v>14</v>
      </c>
      <c r="J12">
        <v>1</v>
      </c>
      <c r="L12">
        <v>25</v>
      </c>
      <c r="O12" s="5"/>
      <c r="P12" s="5"/>
      <c r="Q12" s="5"/>
      <c r="R12" s="5"/>
      <c r="S12" s="5"/>
      <c r="T12" s="5"/>
      <c r="U12" s="5"/>
      <c r="V12" s="5"/>
      <c r="W12" s="5"/>
    </row>
    <row r="13" spans="1:24" x14ac:dyDescent="0.35">
      <c r="A13" s="4">
        <v>8</v>
      </c>
      <c r="J13">
        <v>8</v>
      </c>
      <c r="L13">
        <v>8</v>
      </c>
      <c r="O13">
        <v>1</v>
      </c>
      <c r="P13">
        <v>2</v>
      </c>
      <c r="Q13">
        <v>3</v>
      </c>
      <c r="R13">
        <v>4</v>
      </c>
      <c r="S13">
        <v>5</v>
      </c>
      <c r="T13">
        <v>6</v>
      </c>
      <c r="U13">
        <v>7</v>
      </c>
      <c r="V13">
        <v>8</v>
      </c>
      <c r="W13" t="s">
        <v>13</v>
      </c>
    </row>
    <row r="14" spans="1:24" x14ac:dyDescent="0.35">
      <c r="A14" s="4">
        <v>9</v>
      </c>
      <c r="B14">
        <v>43</v>
      </c>
      <c r="C14">
        <v>2</v>
      </c>
      <c r="D14">
        <v>74</v>
      </c>
      <c r="E14">
        <v>125</v>
      </c>
      <c r="F14">
        <v>79</v>
      </c>
      <c r="G14">
        <v>32</v>
      </c>
      <c r="H14">
        <v>20</v>
      </c>
      <c r="I14">
        <v>5</v>
      </c>
      <c r="J14">
        <v>7</v>
      </c>
      <c r="K14">
        <v>874</v>
      </c>
      <c r="L14">
        <v>1261</v>
      </c>
      <c r="N14">
        <v>1</v>
      </c>
      <c r="O14" s="5">
        <f>O4/W14</f>
        <v>0.97560975609756106</v>
      </c>
      <c r="P14" s="5">
        <f>P4/W14</f>
        <v>1.6260162601626018E-2</v>
      </c>
      <c r="Q14" s="5">
        <f>Q4/W14</f>
        <v>0</v>
      </c>
      <c r="R14" s="5">
        <f>R4/W14</f>
        <v>0</v>
      </c>
      <c r="S14" s="5">
        <f>S4/W14</f>
        <v>8.130081300813009E-3</v>
      </c>
      <c r="T14" s="5">
        <f>T4/W14</f>
        <v>0</v>
      </c>
      <c r="U14" s="5">
        <f>U4/W14</f>
        <v>0</v>
      </c>
      <c r="V14" s="5">
        <f>V4/W14</f>
        <v>0</v>
      </c>
      <c r="W14" s="5">
        <f>1-W4</f>
        <v>0.94615384615384612</v>
      </c>
    </row>
    <row r="15" spans="1:24" x14ac:dyDescent="0.35">
      <c r="A15" s="4" t="s">
        <v>6</v>
      </c>
      <c r="B15">
        <v>130</v>
      </c>
      <c r="C15">
        <v>9</v>
      </c>
      <c r="D15">
        <v>128</v>
      </c>
      <c r="E15">
        <v>250</v>
      </c>
      <c r="F15">
        <v>197</v>
      </c>
      <c r="G15">
        <v>102</v>
      </c>
      <c r="H15">
        <v>92</v>
      </c>
      <c r="I15">
        <v>29</v>
      </c>
      <c r="J15">
        <v>18</v>
      </c>
      <c r="K15">
        <v>874</v>
      </c>
      <c r="L15">
        <v>1829</v>
      </c>
      <c r="N15">
        <v>2</v>
      </c>
      <c r="O15" s="5">
        <f>O5/$W$15</f>
        <v>1.2500000000000001E-2</v>
      </c>
      <c r="P15" s="5">
        <f t="shared" ref="P15:P20" si="9">P5/W15</f>
        <v>0.91477272727272718</v>
      </c>
      <c r="Q15" s="5">
        <f t="shared" ref="Q15:Q20" si="10">Q5/W15</f>
        <v>7.045454545454545E-2</v>
      </c>
      <c r="R15" s="5">
        <f t="shared" ref="R15:R20" si="11">R5/W15</f>
        <v>1.1363636363636363E-3</v>
      </c>
      <c r="S15" s="5">
        <f t="shared" ref="S15:S20" si="12">S5/W15</f>
        <v>0</v>
      </c>
      <c r="T15" s="5">
        <f t="shared" ref="T15:T20" si="13">T5/W15</f>
        <v>1.1363636363636363E-3</v>
      </c>
      <c r="U15" s="5">
        <f t="shared" ref="U15:U20" si="14">U5/W15</f>
        <v>0</v>
      </c>
      <c r="V15" s="5">
        <f t="shared" ref="V15:V20" si="15">V5/W15</f>
        <v>0</v>
      </c>
      <c r="W15" s="5">
        <f t="shared" ref="W15:W20" si="16">1-W5</f>
        <v>0.96703296703296704</v>
      </c>
    </row>
    <row r="16" spans="1:24" x14ac:dyDescent="0.35">
      <c r="N16">
        <v>3</v>
      </c>
      <c r="O16" s="5">
        <f>O6/W16</f>
        <v>1.1305822498586774E-3</v>
      </c>
      <c r="P16" s="5">
        <f t="shared" si="9"/>
        <v>2.4872809496890903E-2</v>
      </c>
      <c r="Q16" s="5">
        <f t="shared" si="10"/>
        <v>0.92142453363482191</v>
      </c>
      <c r="R16" s="5">
        <f t="shared" si="11"/>
        <v>4.8049745618993785E-2</v>
      </c>
      <c r="S16" s="5">
        <f t="shared" si="12"/>
        <v>2.8264556246466932E-3</v>
      </c>
      <c r="T16" s="5">
        <f t="shared" si="13"/>
        <v>1.1305822498586774E-3</v>
      </c>
      <c r="U16" s="5">
        <f t="shared" si="14"/>
        <v>0</v>
      </c>
      <c r="V16" s="5">
        <f t="shared" si="15"/>
        <v>5.6529112492933868E-4</v>
      </c>
      <c r="W16" s="5">
        <f t="shared" si="16"/>
        <v>0.96298312465977132</v>
      </c>
    </row>
    <row r="17" spans="1:23" x14ac:dyDescent="0.35">
      <c r="N17">
        <v>4</v>
      </c>
      <c r="O17" s="5">
        <f>O7/W17</f>
        <v>0</v>
      </c>
      <c r="P17" s="5">
        <f t="shared" si="9"/>
        <v>0</v>
      </c>
      <c r="Q17" s="5">
        <f t="shared" si="10"/>
        <v>3.4547738693467341E-2</v>
      </c>
      <c r="R17" s="5">
        <f t="shared" si="11"/>
        <v>0.90012562814070352</v>
      </c>
      <c r="S17" s="5">
        <f t="shared" si="12"/>
        <v>5.4020100502512561E-2</v>
      </c>
      <c r="T17" s="5">
        <f t="shared" si="13"/>
        <v>8.1658291457286439E-3</v>
      </c>
      <c r="U17" s="5">
        <f t="shared" si="14"/>
        <v>6.2814070351758795E-4</v>
      </c>
      <c r="V17" s="5">
        <f t="shared" si="15"/>
        <v>2.5125628140703518E-3</v>
      </c>
      <c r="W17" s="5">
        <f t="shared" si="16"/>
        <v>0.97073170731707314</v>
      </c>
    </row>
    <row r="18" spans="1:23" x14ac:dyDescent="0.35">
      <c r="N18">
        <v>5</v>
      </c>
      <c r="O18" s="5">
        <f>O8/W18</f>
        <v>0</v>
      </c>
      <c r="P18" s="5">
        <f t="shared" si="9"/>
        <v>0</v>
      </c>
      <c r="Q18" s="5">
        <f t="shared" si="10"/>
        <v>5.681818181818182E-3</v>
      </c>
      <c r="R18" s="5">
        <f t="shared" si="11"/>
        <v>7.2443181818181823E-2</v>
      </c>
      <c r="S18" s="5">
        <f t="shared" si="12"/>
        <v>0.80113636363636365</v>
      </c>
      <c r="T18" s="5">
        <f t="shared" si="13"/>
        <v>9.8011363636363633E-2</v>
      </c>
      <c r="U18" s="5">
        <f t="shared" si="14"/>
        <v>1.4204545454545456E-2</v>
      </c>
      <c r="V18" s="5">
        <f t="shared" si="15"/>
        <v>8.5227272727272738E-3</v>
      </c>
      <c r="W18" s="5">
        <f t="shared" si="16"/>
        <v>0.93866666666666665</v>
      </c>
    </row>
    <row r="19" spans="1:23" x14ac:dyDescent="0.35">
      <c r="A19" s="3" t="s">
        <v>8</v>
      </c>
      <c r="B19" s="3" t="s">
        <v>7</v>
      </c>
      <c r="N19">
        <v>6</v>
      </c>
      <c r="O19" s="5">
        <f>O9/W19</f>
        <v>0</v>
      </c>
      <c r="P19" s="5">
        <f t="shared" si="9"/>
        <v>1.658374792703151E-3</v>
      </c>
      <c r="Q19" s="5">
        <f t="shared" si="10"/>
        <v>3.3167495854063019E-3</v>
      </c>
      <c r="R19" s="5">
        <f t="shared" si="11"/>
        <v>6.6334991708126038E-3</v>
      </c>
      <c r="S19" s="5">
        <f t="shared" si="12"/>
        <v>7.1310116086235498E-2</v>
      </c>
      <c r="T19" s="5">
        <f t="shared" si="13"/>
        <v>0.83250414593698185</v>
      </c>
      <c r="U19" s="5">
        <f t="shared" si="14"/>
        <v>6.965174129353234E-2</v>
      </c>
      <c r="V19" s="5">
        <f t="shared" si="15"/>
        <v>1.492537313432836E-2</v>
      </c>
      <c r="W19" s="5">
        <f t="shared" si="16"/>
        <v>0.94366197183098588</v>
      </c>
    </row>
    <row r="20" spans="1:23" x14ac:dyDescent="0.35">
      <c r="A20" s="3" t="s">
        <v>5</v>
      </c>
      <c r="B20">
        <v>0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 t="s">
        <v>6</v>
      </c>
      <c r="N20">
        <v>7</v>
      </c>
      <c r="O20" s="5">
        <f>O10/W20</f>
        <v>0</v>
      </c>
      <c r="P20" s="5">
        <f t="shared" si="9"/>
        <v>0</v>
      </c>
      <c r="Q20" s="5">
        <f t="shared" si="10"/>
        <v>0</v>
      </c>
      <c r="R20" s="5">
        <f t="shared" si="11"/>
        <v>0</v>
      </c>
      <c r="S20" s="5">
        <f t="shared" si="12"/>
        <v>1.8633540372670808E-2</v>
      </c>
      <c r="T20" s="5">
        <f t="shared" si="13"/>
        <v>8.0745341614906846E-2</v>
      </c>
      <c r="U20" s="5">
        <f t="shared" si="14"/>
        <v>0.78260869565217395</v>
      </c>
      <c r="V20" s="5">
        <f t="shared" si="15"/>
        <v>0.11801242236024846</v>
      </c>
      <c r="W20" s="5">
        <f t="shared" si="16"/>
        <v>0.83419689119170981</v>
      </c>
    </row>
    <row r="21" spans="1:23" x14ac:dyDescent="0.35">
      <c r="A21" s="4">
        <v>0</v>
      </c>
      <c r="B21">
        <v>127</v>
      </c>
      <c r="E21">
        <v>1</v>
      </c>
      <c r="F21">
        <v>1</v>
      </c>
      <c r="I21">
        <v>1</v>
      </c>
      <c r="L21">
        <v>130</v>
      </c>
      <c r="N21">
        <v>8</v>
      </c>
      <c r="O21" s="5">
        <f>O11/$W$21</f>
        <v>0</v>
      </c>
      <c r="P21" s="5">
        <f t="shared" ref="P21:V21" si="17">P11/$W$21</f>
        <v>0</v>
      </c>
      <c r="Q21" s="5">
        <f t="shared" si="17"/>
        <v>0</v>
      </c>
      <c r="R21" s="5">
        <f t="shared" si="17"/>
        <v>0</v>
      </c>
      <c r="S21" s="5">
        <f t="shared" si="17"/>
        <v>0</v>
      </c>
      <c r="T21" s="5">
        <f t="shared" si="17"/>
        <v>0</v>
      </c>
      <c r="U21" s="5">
        <f t="shared" si="17"/>
        <v>0</v>
      </c>
      <c r="V21" s="5">
        <f t="shared" si="17"/>
        <v>1</v>
      </c>
      <c r="W21" s="5">
        <f>1-W11</f>
        <v>1</v>
      </c>
    </row>
    <row r="22" spans="1:23" x14ac:dyDescent="0.35">
      <c r="A22" s="4">
        <v>1</v>
      </c>
      <c r="B22">
        <v>2</v>
      </c>
      <c r="C22">
        <v>7</v>
      </c>
      <c r="L22">
        <v>9</v>
      </c>
    </row>
    <row r="23" spans="1:23" x14ac:dyDescent="0.35">
      <c r="A23" s="4">
        <v>2</v>
      </c>
      <c r="B23">
        <v>2</v>
      </c>
      <c r="D23">
        <v>123</v>
      </c>
      <c r="E23">
        <v>2</v>
      </c>
      <c r="F23">
        <v>1</v>
      </c>
      <c r="L23">
        <v>128</v>
      </c>
    </row>
    <row r="24" spans="1:23" x14ac:dyDescent="0.35">
      <c r="A24" s="4">
        <v>3</v>
      </c>
      <c r="B24">
        <v>1</v>
      </c>
      <c r="C24">
        <v>1</v>
      </c>
      <c r="D24">
        <v>7</v>
      </c>
      <c r="E24">
        <v>220</v>
      </c>
      <c r="F24">
        <v>20</v>
      </c>
      <c r="H24">
        <v>1</v>
      </c>
      <c r="L24">
        <v>250</v>
      </c>
    </row>
    <row r="25" spans="1:23" x14ac:dyDescent="0.35">
      <c r="A25" s="4">
        <v>4</v>
      </c>
      <c r="B25">
        <v>4</v>
      </c>
      <c r="E25">
        <v>3</v>
      </c>
      <c r="F25">
        <v>178</v>
      </c>
      <c r="G25">
        <v>9</v>
      </c>
      <c r="J25">
        <v>3</v>
      </c>
      <c r="L25">
        <v>197</v>
      </c>
    </row>
    <row r="26" spans="1:23" x14ac:dyDescent="0.35">
      <c r="A26" s="4">
        <v>5</v>
      </c>
      <c r="B26">
        <v>5</v>
      </c>
      <c r="E26">
        <v>1</v>
      </c>
      <c r="F26">
        <v>10</v>
      </c>
      <c r="G26">
        <v>70</v>
      </c>
      <c r="H26">
        <v>13</v>
      </c>
      <c r="I26">
        <v>1</v>
      </c>
      <c r="J26">
        <v>2</v>
      </c>
      <c r="L26">
        <v>102</v>
      </c>
    </row>
    <row r="27" spans="1:23" x14ac:dyDescent="0.35">
      <c r="A27" s="4">
        <v>6</v>
      </c>
      <c r="B27">
        <v>4</v>
      </c>
      <c r="G27">
        <v>11</v>
      </c>
      <c r="H27">
        <v>64</v>
      </c>
      <c r="I27">
        <v>10</v>
      </c>
      <c r="J27">
        <v>3</v>
      </c>
      <c r="L27">
        <v>92</v>
      </c>
    </row>
    <row r="28" spans="1:23" x14ac:dyDescent="0.35">
      <c r="A28" s="4">
        <v>7</v>
      </c>
      <c r="B28">
        <v>8</v>
      </c>
      <c r="H28">
        <v>1</v>
      </c>
      <c r="I28">
        <v>16</v>
      </c>
      <c r="J28">
        <v>4</v>
      </c>
      <c r="L28">
        <v>29</v>
      </c>
    </row>
    <row r="29" spans="1:23" x14ac:dyDescent="0.35">
      <c r="A29" s="4">
        <v>8</v>
      </c>
      <c r="J29">
        <v>18</v>
      </c>
      <c r="L29">
        <v>18</v>
      </c>
    </row>
    <row r="30" spans="1:23" x14ac:dyDescent="0.35">
      <c r="A30" s="4">
        <v>9</v>
      </c>
      <c r="B30">
        <v>36</v>
      </c>
      <c r="C30">
        <v>8</v>
      </c>
      <c r="D30">
        <v>57</v>
      </c>
      <c r="E30">
        <v>81</v>
      </c>
      <c r="F30">
        <v>80</v>
      </c>
      <c r="G30">
        <v>26</v>
      </c>
      <c r="H30">
        <v>17</v>
      </c>
      <c r="I30">
        <v>8</v>
      </c>
      <c r="J30">
        <v>6</v>
      </c>
      <c r="K30">
        <v>555</v>
      </c>
      <c r="L30">
        <v>874</v>
      </c>
    </row>
    <row r="31" spans="1:23" x14ac:dyDescent="0.35">
      <c r="A31" s="4" t="s">
        <v>6</v>
      </c>
      <c r="B31">
        <v>189</v>
      </c>
      <c r="C31">
        <v>16</v>
      </c>
      <c r="D31">
        <v>187</v>
      </c>
      <c r="E31">
        <v>308</v>
      </c>
      <c r="F31">
        <v>290</v>
      </c>
      <c r="G31">
        <v>116</v>
      </c>
      <c r="H31">
        <v>96</v>
      </c>
      <c r="I31">
        <v>36</v>
      </c>
      <c r="J31">
        <v>36</v>
      </c>
      <c r="K31">
        <v>555</v>
      </c>
      <c r="L31">
        <v>1829</v>
      </c>
    </row>
    <row r="34" spans="1:12" x14ac:dyDescent="0.35">
      <c r="A34" s="3" t="s">
        <v>9</v>
      </c>
      <c r="B34" s="3" t="s">
        <v>7</v>
      </c>
    </row>
    <row r="35" spans="1:12" x14ac:dyDescent="0.35">
      <c r="A35" s="3" t="s">
        <v>5</v>
      </c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 t="s">
        <v>6</v>
      </c>
    </row>
    <row r="36" spans="1:12" x14ac:dyDescent="0.35">
      <c r="A36" s="4">
        <v>0</v>
      </c>
      <c r="B36">
        <v>182</v>
      </c>
      <c r="D36">
        <v>1</v>
      </c>
      <c r="E36">
        <v>2</v>
      </c>
      <c r="F36">
        <v>1</v>
      </c>
      <c r="G36">
        <v>1</v>
      </c>
      <c r="H36">
        <v>2</v>
      </c>
      <c r="L36">
        <v>189</v>
      </c>
    </row>
    <row r="37" spans="1:12" x14ac:dyDescent="0.35">
      <c r="A37" s="4">
        <v>1</v>
      </c>
      <c r="B37">
        <v>2</v>
      </c>
      <c r="C37">
        <v>14</v>
      </c>
      <c r="L37">
        <v>16</v>
      </c>
    </row>
    <row r="38" spans="1:12" x14ac:dyDescent="0.35">
      <c r="A38" s="4">
        <v>2</v>
      </c>
      <c r="B38">
        <v>9</v>
      </c>
      <c r="C38">
        <v>9</v>
      </c>
      <c r="D38">
        <v>137</v>
      </c>
      <c r="E38">
        <v>31</v>
      </c>
      <c r="H38">
        <v>1</v>
      </c>
      <c r="L38">
        <v>187</v>
      </c>
    </row>
    <row r="39" spans="1:12" x14ac:dyDescent="0.35">
      <c r="A39" s="4">
        <v>3</v>
      </c>
      <c r="B39">
        <v>17</v>
      </c>
      <c r="D39">
        <v>6</v>
      </c>
      <c r="E39">
        <v>250</v>
      </c>
      <c r="F39">
        <v>29</v>
      </c>
      <c r="G39">
        <v>4</v>
      </c>
      <c r="H39">
        <v>1</v>
      </c>
      <c r="J39">
        <v>1</v>
      </c>
      <c r="L39">
        <v>308</v>
      </c>
    </row>
    <row r="40" spans="1:12" x14ac:dyDescent="0.35">
      <c r="A40" s="4">
        <v>4</v>
      </c>
      <c r="B40">
        <v>11</v>
      </c>
      <c r="E40">
        <v>11</v>
      </c>
      <c r="F40">
        <v>223</v>
      </c>
      <c r="G40">
        <v>39</v>
      </c>
      <c r="H40">
        <v>4</v>
      </c>
      <c r="I40">
        <v>1</v>
      </c>
      <c r="J40">
        <v>1</v>
      </c>
      <c r="L40">
        <v>290</v>
      </c>
    </row>
    <row r="41" spans="1:12" x14ac:dyDescent="0.35">
      <c r="A41" s="4">
        <v>5</v>
      </c>
      <c r="B41">
        <v>9</v>
      </c>
      <c r="F41">
        <v>5</v>
      </c>
      <c r="G41">
        <v>86</v>
      </c>
      <c r="H41">
        <v>14</v>
      </c>
      <c r="I41">
        <v>1</v>
      </c>
      <c r="J41">
        <v>1</v>
      </c>
      <c r="L41">
        <v>116</v>
      </c>
    </row>
    <row r="42" spans="1:12" x14ac:dyDescent="0.35">
      <c r="A42" s="4">
        <v>6</v>
      </c>
      <c r="B42">
        <v>4</v>
      </c>
      <c r="F42">
        <v>2</v>
      </c>
      <c r="G42">
        <v>2</v>
      </c>
      <c r="H42">
        <v>76</v>
      </c>
      <c r="I42">
        <v>9</v>
      </c>
      <c r="J42">
        <v>3</v>
      </c>
      <c r="L42">
        <v>96</v>
      </c>
    </row>
    <row r="43" spans="1:12" x14ac:dyDescent="0.35">
      <c r="A43" s="4">
        <v>7</v>
      </c>
      <c r="B43">
        <v>6</v>
      </c>
      <c r="G43">
        <v>2</v>
      </c>
      <c r="I43">
        <v>21</v>
      </c>
      <c r="J43">
        <v>7</v>
      </c>
      <c r="L43">
        <v>36</v>
      </c>
    </row>
    <row r="44" spans="1:12" x14ac:dyDescent="0.35">
      <c r="A44" s="4">
        <v>8</v>
      </c>
      <c r="J44">
        <v>36</v>
      </c>
      <c r="L44">
        <v>36</v>
      </c>
    </row>
    <row r="45" spans="1:12" x14ac:dyDescent="0.35">
      <c r="A45" s="4">
        <v>9</v>
      </c>
      <c r="B45">
        <v>30</v>
      </c>
      <c r="C45">
        <v>8</v>
      </c>
      <c r="D45">
        <v>37</v>
      </c>
      <c r="E45">
        <v>79</v>
      </c>
      <c r="F45">
        <v>53</v>
      </c>
      <c r="G45">
        <v>23</v>
      </c>
      <c r="H45">
        <v>13</v>
      </c>
      <c r="I45">
        <v>3</v>
      </c>
      <c r="K45">
        <v>309</v>
      </c>
      <c r="L45">
        <v>555</v>
      </c>
    </row>
    <row r="46" spans="1:12" x14ac:dyDescent="0.35">
      <c r="A46" s="4" t="s">
        <v>6</v>
      </c>
      <c r="B46">
        <v>270</v>
      </c>
      <c r="C46">
        <v>31</v>
      </c>
      <c r="D46">
        <v>181</v>
      </c>
      <c r="E46">
        <v>373</v>
      </c>
      <c r="F46">
        <v>313</v>
      </c>
      <c r="G46">
        <v>157</v>
      </c>
      <c r="H46">
        <v>111</v>
      </c>
      <c r="I46">
        <v>35</v>
      </c>
      <c r="J46">
        <v>49</v>
      </c>
      <c r="K46">
        <v>309</v>
      </c>
      <c r="L46">
        <v>1829</v>
      </c>
    </row>
    <row r="48" spans="1:12" x14ac:dyDescent="0.35">
      <c r="A48" s="3" t="s">
        <v>10</v>
      </c>
      <c r="B48" s="3" t="s">
        <v>7</v>
      </c>
    </row>
    <row r="49" spans="1:12" x14ac:dyDescent="0.35">
      <c r="A49" s="3" t="s">
        <v>5</v>
      </c>
      <c r="B49">
        <v>0</v>
      </c>
      <c r="C49">
        <v>1</v>
      </c>
      <c r="D49">
        <v>2</v>
      </c>
      <c r="E49">
        <v>3</v>
      </c>
      <c r="F49">
        <v>4</v>
      </c>
      <c r="G49">
        <v>5</v>
      </c>
      <c r="H49">
        <v>6</v>
      </c>
      <c r="I49">
        <v>7</v>
      </c>
      <c r="J49">
        <v>8</v>
      </c>
      <c r="K49">
        <v>9</v>
      </c>
      <c r="L49" t="s">
        <v>6</v>
      </c>
    </row>
    <row r="50" spans="1:12" x14ac:dyDescent="0.35">
      <c r="A50" s="4">
        <v>0</v>
      </c>
      <c r="B50">
        <v>262</v>
      </c>
      <c r="D50">
        <v>1</v>
      </c>
      <c r="F50">
        <v>1</v>
      </c>
      <c r="G50">
        <v>1</v>
      </c>
      <c r="H50">
        <v>4</v>
      </c>
      <c r="J50">
        <v>1</v>
      </c>
      <c r="L50">
        <v>270</v>
      </c>
    </row>
    <row r="51" spans="1:12" x14ac:dyDescent="0.35">
      <c r="A51" s="4">
        <v>1</v>
      </c>
      <c r="B51">
        <v>2</v>
      </c>
      <c r="C51">
        <v>28</v>
      </c>
      <c r="G51">
        <v>1</v>
      </c>
      <c r="L51">
        <v>31</v>
      </c>
    </row>
    <row r="52" spans="1:12" x14ac:dyDescent="0.35">
      <c r="A52" s="4">
        <v>2</v>
      </c>
      <c r="B52">
        <v>11</v>
      </c>
      <c r="C52">
        <v>1</v>
      </c>
      <c r="D52">
        <v>150</v>
      </c>
      <c r="E52">
        <v>19</v>
      </c>
      <c r="L52">
        <v>181</v>
      </c>
    </row>
    <row r="53" spans="1:12" x14ac:dyDescent="0.35">
      <c r="A53" s="4">
        <v>3</v>
      </c>
      <c r="B53">
        <v>16</v>
      </c>
      <c r="C53">
        <v>1</v>
      </c>
      <c r="D53">
        <v>9</v>
      </c>
      <c r="E53">
        <v>326</v>
      </c>
      <c r="F53">
        <v>21</v>
      </c>
      <c r="L53">
        <v>373</v>
      </c>
    </row>
    <row r="54" spans="1:12" x14ac:dyDescent="0.35">
      <c r="A54" s="4">
        <v>4</v>
      </c>
      <c r="B54">
        <v>11</v>
      </c>
      <c r="E54">
        <v>3</v>
      </c>
      <c r="F54">
        <v>284</v>
      </c>
      <c r="G54">
        <v>10</v>
      </c>
      <c r="H54">
        <v>5</v>
      </c>
      <c r="L54">
        <v>313</v>
      </c>
    </row>
    <row r="55" spans="1:12" x14ac:dyDescent="0.35">
      <c r="A55" s="4">
        <v>5</v>
      </c>
      <c r="B55">
        <v>14</v>
      </c>
      <c r="F55">
        <v>6</v>
      </c>
      <c r="G55">
        <v>107</v>
      </c>
      <c r="H55">
        <v>24</v>
      </c>
      <c r="I55">
        <v>4</v>
      </c>
      <c r="J55">
        <v>2</v>
      </c>
      <c r="L55">
        <v>157</v>
      </c>
    </row>
    <row r="56" spans="1:12" x14ac:dyDescent="0.35">
      <c r="A56" s="4">
        <v>6</v>
      </c>
      <c r="B56">
        <v>12</v>
      </c>
      <c r="G56">
        <v>7</v>
      </c>
      <c r="H56">
        <v>78</v>
      </c>
      <c r="I56">
        <v>13</v>
      </c>
      <c r="J56">
        <v>1</v>
      </c>
      <c r="L56">
        <v>111</v>
      </c>
    </row>
    <row r="57" spans="1:12" x14ac:dyDescent="0.35">
      <c r="A57" s="4">
        <v>7</v>
      </c>
      <c r="B57">
        <v>5</v>
      </c>
      <c r="H57">
        <v>4</v>
      </c>
      <c r="I57">
        <v>21</v>
      </c>
      <c r="J57">
        <v>5</v>
      </c>
      <c r="L57">
        <v>35</v>
      </c>
    </row>
    <row r="58" spans="1:12" x14ac:dyDescent="0.35">
      <c r="A58" s="4">
        <v>8</v>
      </c>
      <c r="J58">
        <v>49</v>
      </c>
      <c r="L58">
        <v>49</v>
      </c>
    </row>
    <row r="59" spans="1:12" x14ac:dyDescent="0.35">
      <c r="A59" s="4">
        <v>9</v>
      </c>
      <c r="B59">
        <v>29</v>
      </c>
      <c r="C59">
        <v>3</v>
      </c>
      <c r="D59">
        <v>16</v>
      </c>
      <c r="E59">
        <v>43</v>
      </c>
      <c r="F59">
        <v>26</v>
      </c>
      <c r="G59">
        <v>12</v>
      </c>
      <c r="H59">
        <v>15</v>
      </c>
      <c r="K59">
        <v>165</v>
      </c>
      <c r="L59">
        <v>309</v>
      </c>
    </row>
    <row r="60" spans="1:12" x14ac:dyDescent="0.35">
      <c r="A60" s="4" t="s">
        <v>6</v>
      </c>
      <c r="B60">
        <v>362</v>
      </c>
      <c r="C60">
        <v>33</v>
      </c>
      <c r="D60">
        <v>176</v>
      </c>
      <c r="E60">
        <v>391</v>
      </c>
      <c r="F60">
        <v>338</v>
      </c>
      <c r="G60">
        <v>138</v>
      </c>
      <c r="H60">
        <v>130</v>
      </c>
      <c r="I60">
        <v>38</v>
      </c>
      <c r="J60">
        <v>58</v>
      </c>
      <c r="K60">
        <v>165</v>
      </c>
      <c r="L60">
        <v>1829</v>
      </c>
    </row>
    <row r="63" spans="1:12" x14ac:dyDescent="0.35">
      <c r="A63" s="3" t="s">
        <v>11</v>
      </c>
      <c r="B63" s="3" t="s">
        <v>7</v>
      </c>
    </row>
    <row r="64" spans="1:12" x14ac:dyDescent="0.35">
      <c r="A64" s="3" t="s">
        <v>5</v>
      </c>
      <c r="B64">
        <v>0</v>
      </c>
      <c r="C64">
        <v>1</v>
      </c>
      <c r="D64">
        <v>2</v>
      </c>
      <c r="E64">
        <v>3</v>
      </c>
      <c r="F64">
        <v>4</v>
      </c>
      <c r="G64">
        <v>5</v>
      </c>
      <c r="H64">
        <v>6</v>
      </c>
      <c r="I64">
        <v>7</v>
      </c>
      <c r="J64">
        <v>8</v>
      </c>
      <c r="K64">
        <v>9</v>
      </c>
      <c r="L64" t="s">
        <v>6</v>
      </c>
    </row>
    <row r="65" spans="1:12" x14ac:dyDescent="0.35">
      <c r="A65" s="4">
        <v>0</v>
      </c>
      <c r="B65">
        <v>356</v>
      </c>
      <c r="D65">
        <v>1</v>
      </c>
      <c r="E65">
        <v>1</v>
      </c>
      <c r="F65">
        <v>1</v>
      </c>
      <c r="H65">
        <v>3</v>
      </c>
      <c r="L65">
        <v>362</v>
      </c>
    </row>
    <row r="66" spans="1:12" x14ac:dyDescent="0.35">
      <c r="A66" s="4">
        <v>1</v>
      </c>
      <c r="B66">
        <v>1</v>
      </c>
      <c r="C66">
        <v>31</v>
      </c>
      <c r="D66">
        <v>1</v>
      </c>
      <c r="L66">
        <v>33</v>
      </c>
    </row>
    <row r="67" spans="1:12" x14ac:dyDescent="0.35">
      <c r="A67" s="4">
        <v>2</v>
      </c>
      <c r="B67">
        <v>8</v>
      </c>
      <c r="C67">
        <v>1</v>
      </c>
      <c r="D67">
        <v>159</v>
      </c>
      <c r="E67">
        <v>8</v>
      </c>
      <c r="L67">
        <v>176</v>
      </c>
    </row>
    <row r="68" spans="1:12" x14ac:dyDescent="0.35">
      <c r="A68" s="4">
        <v>3</v>
      </c>
      <c r="B68">
        <v>19</v>
      </c>
      <c r="D68">
        <v>12</v>
      </c>
      <c r="E68">
        <v>348</v>
      </c>
      <c r="F68">
        <v>11</v>
      </c>
      <c r="G68">
        <v>1</v>
      </c>
      <c r="L68">
        <v>391</v>
      </c>
    </row>
    <row r="69" spans="1:12" x14ac:dyDescent="0.35">
      <c r="A69" s="4">
        <v>4</v>
      </c>
      <c r="B69">
        <v>12</v>
      </c>
      <c r="E69">
        <v>13</v>
      </c>
      <c r="F69">
        <v>296</v>
      </c>
      <c r="G69">
        <v>15</v>
      </c>
      <c r="H69">
        <v>2</v>
      </c>
      <c r="L69">
        <v>338</v>
      </c>
    </row>
    <row r="70" spans="1:12" x14ac:dyDescent="0.35">
      <c r="A70" s="4">
        <v>5</v>
      </c>
      <c r="B70">
        <v>9</v>
      </c>
      <c r="E70">
        <v>2</v>
      </c>
      <c r="F70">
        <v>15</v>
      </c>
      <c r="G70">
        <v>105</v>
      </c>
      <c r="H70">
        <v>6</v>
      </c>
      <c r="I70">
        <v>1</v>
      </c>
      <c r="L70">
        <v>138</v>
      </c>
    </row>
    <row r="71" spans="1:12" x14ac:dyDescent="0.35">
      <c r="A71" s="4">
        <v>6</v>
      </c>
      <c r="B71">
        <v>3</v>
      </c>
      <c r="E71">
        <v>1</v>
      </c>
      <c r="F71">
        <v>2</v>
      </c>
      <c r="G71">
        <v>15</v>
      </c>
      <c r="H71">
        <v>107</v>
      </c>
      <c r="I71">
        <v>1</v>
      </c>
      <c r="J71">
        <v>1</v>
      </c>
      <c r="L71">
        <v>130</v>
      </c>
    </row>
    <row r="72" spans="1:12" x14ac:dyDescent="0.35">
      <c r="A72" s="4">
        <v>7</v>
      </c>
      <c r="B72">
        <v>4</v>
      </c>
      <c r="G72">
        <v>1</v>
      </c>
      <c r="H72">
        <v>5</v>
      </c>
      <c r="I72">
        <v>27</v>
      </c>
      <c r="J72">
        <v>1</v>
      </c>
      <c r="L72">
        <v>38</v>
      </c>
    </row>
    <row r="73" spans="1:12" x14ac:dyDescent="0.35">
      <c r="A73" s="4">
        <v>8</v>
      </c>
      <c r="J73">
        <v>58</v>
      </c>
      <c r="L73">
        <v>58</v>
      </c>
    </row>
    <row r="74" spans="1:12" x14ac:dyDescent="0.35">
      <c r="A74" s="4">
        <v>9</v>
      </c>
      <c r="B74">
        <v>27</v>
      </c>
      <c r="C74">
        <v>2</v>
      </c>
      <c r="D74">
        <v>19</v>
      </c>
      <c r="E74">
        <v>24</v>
      </c>
      <c r="F74">
        <v>40</v>
      </c>
      <c r="G74">
        <v>10</v>
      </c>
      <c r="H74">
        <v>6</v>
      </c>
      <c r="I74">
        <v>1</v>
      </c>
      <c r="J74">
        <v>1</v>
      </c>
      <c r="K74">
        <v>35</v>
      </c>
      <c r="L74">
        <v>165</v>
      </c>
    </row>
    <row r="75" spans="1:12" x14ac:dyDescent="0.35">
      <c r="A75" s="4" t="s">
        <v>6</v>
      </c>
      <c r="B75">
        <v>439</v>
      </c>
      <c r="C75">
        <v>34</v>
      </c>
      <c r="D75">
        <v>192</v>
      </c>
      <c r="E75">
        <v>397</v>
      </c>
      <c r="F75">
        <v>365</v>
      </c>
      <c r="G75">
        <v>147</v>
      </c>
      <c r="H75">
        <v>129</v>
      </c>
      <c r="I75">
        <v>30</v>
      </c>
      <c r="J75">
        <v>61</v>
      </c>
      <c r="K75">
        <v>35</v>
      </c>
      <c r="L75">
        <v>1829</v>
      </c>
    </row>
    <row r="78" spans="1:12" x14ac:dyDescent="0.35">
      <c r="A78" s="3" t="s">
        <v>12</v>
      </c>
      <c r="B78" s="3" t="s">
        <v>7</v>
      </c>
    </row>
    <row r="79" spans="1:12" x14ac:dyDescent="0.35">
      <c r="A79" s="3" t="s">
        <v>5</v>
      </c>
      <c r="B79">
        <v>0</v>
      </c>
      <c r="C79">
        <v>1</v>
      </c>
      <c r="D79">
        <v>2</v>
      </c>
      <c r="E79">
        <v>3</v>
      </c>
      <c r="F79">
        <v>4</v>
      </c>
      <c r="G79">
        <v>5</v>
      </c>
      <c r="H79">
        <v>6</v>
      </c>
      <c r="I79">
        <v>7</v>
      </c>
      <c r="J79">
        <v>8</v>
      </c>
      <c r="K79" t="s">
        <v>6</v>
      </c>
    </row>
    <row r="80" spans="1:12" x14ac:dyDescent="0.35">
      <c r="A80" s="4">
        <v>0</v>
      </c>
      <c r="B80">
        <v>438</v>
      </c>
      <c r="F80">
        <v>1</v>
      </c>
      <c r="K80">
        <v>439</v>
      </c>
    </row>
    <row r="81" spans="1:11" x14ac:dyDescent="0.35">
      <c r="A81" s="4">
        <v>1</v>
      </c>
      <c r="C81">
        <v>33</v>
      </c>
      <c r="D81">
        <v>1</v>
      </c>
      <c r="K81">
        <v>34</v>
      </c>
    </row>
    <row r="82" spans="1:11" x14ac:dyDescent="0.35">
      <c r="A82" s="4">
        <v>2</v>
      </c>
      <c r="D82">
        <v>192</v>
      </c>
      <c r="K82">
        <v>192</v>
      </c>
    </row>
    <row r="83" spans="1:11" x14ac:dyDescent="0.35">
      <c r="A83" s="4">
        <v>3</v>
      </c>
      <c r="B83">
        <v>10</v>
      </c>
      <c r="D83">
        <v>1</v>
      </c>
      <c r="E83">
        <v>383</v>
      </c>
      <c r="F83">
        <v>3</v>
      </c>
      <c r="K83">
        <v>397</v>
      </c>
    </row>
    <row r="84" spans="1:11" x14ac:dyDescent="0.35">
      <c r="A84" s="4">
        <v>4</v>
      </c>
      <c r="B84">
        <v>4</v>
      </c>
      <c r="E84">
        <v>7</v>
      </c>
      <c r="F84">
        <v>346</v>
      </c>
      <c r="G84">
        <v>8</v>
      </c>
      <c r="K84">
        <v>365</v>
      </c>
    </row>
    <row r="85" spans="1:11" x14ac:dyDescent="0.35">
      <c r="A85" s="4">
        <v>5</v>
      </c>
      <c r="B85">
        <v>3</v>
      </c>
      <c r="F85">
        <v>5</v>
      </c>
      <c r="G85">
        <v>135</v>
      </c>
      <c r="H85">
        <v>4</v>
      </c>
      <c r="K85">
        <v>147</v>
      </c>
    </row>
    <row r="86" spans="1:11" x14ac:dyDescent="0.35">
      <c r="A86" s="4">
        <v>6</v>
      </c>
      <c r="B86">
        <v>5</v>
      </c>
      <c r="G86">
        <v>5</v>
      </c>
      <c r="H86">
        <v>117</v>
      </c>
      <c r="I86">
        <v>2</v>
      </c>
      <c r="K86">
        <v>129</v>
      </c>
    </row>
    <row r="87" spans="1:11" x14ac:dyDescent="0.35">
      <c r="A87" s="4">
        <v>7</v>
      </c>
      <c r="B87">
        <v>1</v>
      </c>
      <c r="H87">
        <v>1</v>
      </c>
      <c r="I87">
        <v>27</v>
      </c>
      <c r="J87">
        <v>1</v>
      </c>
      <c r="K87">
        <v>30</v>
      </c>
    </row>
    <row r="88" spans="1:11" x14ac:dyDescent="0.35">
      <c r="A88" s="4">
        <v>8</v>
      </c>
      <c r="J88">
        <v>61</v>
      </c>
      <c r="K88">
        <v>61</v>
      </c>
    </row>
    <row r="89" spans="1:11" x14ac:dyDescent="0.35">
      <c r="A89" s="4">
        <v>9</v>
      </c>
      <c r="B89">
        <v>3</v>
      </c>
      <c r="D89">
        <v>11</v>
      </c>
      <c r="E89">
        <v>9</v>
      </c>
      <c r="F89">
        <v>7</v>
      </c>
      <c r="G89">
        <v>4</v>
      </c>
      <c r="H89">
        <v>1</v>
      </c>
      <c r="K89">
        <v>35</v>
      </c>
    </row>
    <row r="90" spans="1:11" x14ac:dyDescent="0.35">
      <c r="A90" s="4" t="s">
        <v>6</v>
      </c>
      <c r="B90">
        <v>464</v>
      </c>
      <c r="C90">
        <v>33</v>
      </c>
      <c r="D90">
        <v>205</v>
      </c>
      <c r="E90">
        <v>399</v>
      </c>
      <c r="F90">
        <v>362</v>
      </c>
      <c r="G90">
        <v>152</v>
      </c>
      <c r="H90">
        <v>123</v>
      </c>
      <c r="I90">
        <v>29</v>
      </c>
      <c r="J90">
        <v>62</v>
      </c>
      <c r="K90">
        <v>1829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5A37-50AE-4D7A-B7E0-82655FB4F8AB}">
  <dimension ref="A1:Y72"/>
  <sheetViews>
    <sheetView topLeftCell="A2" zoomScale="101" workbookViewId="0">
      <selection activeCell="Q13" sqref="Q13"/>
    </sheetView>
  </sheetViews>
  <sheetFormatPr defaultRowHeight="14.5" x14ac:dyDescent="0.35"/>
  <cols>
    <col min="1" max="1" width="12.54296875" bestFit="1" customWidth="1"/>
    <col min="2" max="2" width="15.26953125" bestFit="1" customWidth="1"/>
    <col min="3" max="3" width="2.81640625" bestFit="1" customWidth="1"/>
    <col min="4" max="8" width="3.81640625" bestFit="1" customWidth="1"/>
    <col min="9" max="10" width="2.81640625" bestFit="1" customWidth="1"/>
    <col min="11" max="12" width="10.7265625" bestFit="1" customWidth="1"/>
    <col min="13" max="13" width="3.81640625" bestFit="1" customWidth="1"/>
    <col min="14" max="16" width="4.81640625" bestFit="1" customWidth="1"/>
    <col min="17" max="17" width="9.26953125" customWidth="1"/>
    <col min="18" max="18" width="10.81640625" customWidth="1"/>
    <col min="19" max="19" width="7.81640625" customWidth="1"/>
    <col min="20" max="20" width="10.54296875" customWidth="1"/>
    <col min="21" max="22" width="12.36328125" customWidth="1"/>
    <col min="23" max="23" width="8.54296875" customWidth="1"/>
    <col min="24" max="24" width="19.90625" bestFit="1" customWidth="1"/>
  </cols>
  <sheetData>
    <row r="1" spans="1:25" x14ac:dyDescent="0.35">
      <c r="A1" s="3" t="s">
        <v>4</v>
      </c>
      <c r="B1" s="3" t="s">
        <v>7</v>
      </c>
    </row>
    <row r="2" spans="1:25" x14ac:dyDescent="0.35">
      <c r="A2" s="3" t="s">
        <v>5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 t="s">
        <v>6</v>
      </c>
      <c r="Q2">
        <v>1</v>
      </c>
      <c r="R2">
        <v>2</v>
      </c>
      <c r="S2">
        <v>3</v>
      </c>
      <c r="T2">
        <v>4</v>
      </c>
      <c r="U2">
        <v>5</v>
      </c>
      <c r="V2">
        <v>6</v>
      </c>
      <c r="W2">
        <v>7</v>
      </c>
      <c r="X2">
        <v>8</v>
      </c>
      <c r="Y2">
        <v>0</v>
      </c>
    </row>
    <row r="3" spans="1:25" x14ac:dyDescent="0.35">
      <c r="A3" s="4">
        <v>0</v>
      </c>
      <c r="B3">
        <v>53</v>
      </c>
      <c r="E3">
        <v>1</v>
      </c>
      <c r="F3">
        <v>1</v>
      </c>
      <c r="G3">
        <v>1</v>
      </c>
      <c r="L3">
        <v>56</v>
      </c>
      <c r="P3">
        <v>1</v>
      </c>
      <c r="Q3" s="5">
        <f>(C4+C19+C33+C48+C63)/($K$63+$L$48+$L$33+$L$19+$L$4)</f>
        <v>0.83333333333333337</v>
      </c>
      <c r="R3" s="5">
        <f>(D4+D19+D33+D48+D63)/(K63+L48+L33+L19+L4)</f>
        <v>3.125E-2</v>
      </c>
      <c r="S3" s="5">
        <f>(E4+E19+E33+E48+E63)/(K63+L48+L33+L19+L4)</f>
        <v>0</v>
      </c>
      <c r="T3" s="5">
        <f>(F4+F19+F33+F48+F63)/(K63+L48+L33+L19+L4)</f>
        <v>0</v>
      </c>
      <c r="U3" s="5">
        <f>(G4+G19+G33+G48+G63)/(K63+L48+L33+L19+L4)</f>
        <v>1.0416666666666666E-2</v>
      </c>
      <c r="V3" s="5">
        <f>(H4+H19+H33+H48+H63)/(K63+L48+L33+L19+L4)</f>
        <v>0</v>
      </c>
      <c r="W3" s="5">
        <f>(I4+I19+I33+I48+I63)/(K63+L48+L33+L19+L4)</f>
        <v>0</v>
      </c>
      <c r="X3" s="5">
        <f>(J4+J19+J33+J48+J63)/(K63+L48+L33+L19+L4)</f>
        <v>0</v>
      </c>
      <c r="Y3" s="5">
        <f>(B4+B19+B33+B48+B63)/(K63+L48+L33+L19+L4)</f>
        <v>0.125</v>
      </c>
    </row>
    <row r="4" spans="1:25" x14ac:dyDescent="0.35">
      <c r="A4" s="4">
        <v>1</v>
      </c>
      <c r="B4">
        <v>2</v>
      </c>
      <c r="C4">
        <v>5</v>
      </c>
      <c r="L4">
        <v>7</v>
      </c>
      <c r="P4">
        <v>2</v>
      </c>
      <c r="Q4" s="5">
        <f t="shared" ref="Q4:Q10" si="0">(C5+C20+C34+C49+C64)/(K64+L49+L34+L20+L5)</f>
        <v>2.7855153203342618E-2</v>
      </c>
      <c r="R4" s="5">
        <f t="shared" ref="R4:R10" si="1">(D5+D20+D34+D49+D64)/(K64+L49+L34+L20+L5)</f>
        <v>0.74651810584958223</v>
      </c>
      <c r="S4" s="5">
        <f t="shared" ref="S4:S10" si="2">(E5+E20+E34+E49+E64)/(K64+L49+L34+L20+L5)</f>
        <v>0.14066852367688024</v>
      </c>
      <c r="T4" s="5">
        <f t="shared" ref="T4:T10" si="3">(F5+F20+F34+F49+F64)/(K64+L49+L34+L20+L5)</f>
        <v>2.7855153203342618E-3</v>
      </c>
      <c r="U4" s="5">
        <f t="shared" ref="U4:U10" si="4">(G5+G20+G34+G49+G64)/(K64+L49+L34+L20+L5)</f>
        <v>0</v>
      </c>
      <c r="V4" s="5">
        <f t="shared" ref="V4:V10" si="5">(H5+H20+H34+H49+H64)/(K64+L49+L34+L20+L5)</f>
        <v>1.3927576601671309E-3</v>
      </c>
      <c r="W4" s="5">
        <f t="shared" ref="W4:W10" si="6">(I5+I20+I34+I49+I64)/(K64+L49+L34+L20+L5)</f>
        <v>0</v>
      </c>
      <c r="X4" s="5">
        <f t="shared" ref="X4:X10" si="7">(J5+J20+J34+J49+J64)/(K64+L49+L34+L20+L5)</f>
        <v>0</v>
      </c>
      <c r="Y4" s="5">
        <f t="shared" ref="Y4:Y10" si="8">(B5+B20+B34+B49+B64)/(K64+L49+L34+L20+L5)</f>
        <v>8.0779944289693595E-2</v>
      </c>
    </row>
    <row r="5" spans="1:25" x14ac:dyDescent="0.35">
      <c r="A5" s="4">
        <v>2</v>
      </c>
      <c r="D5">
        <v>42</v>
      </c>
      <c r="E5">
        <v>4</v>
      </c>
      <c r="L5">
        <v>46</v>
      </c>
      <c r="P5">
        <v>3</v>
      </c>
      <c r="Q5" s="5">
        <f t="shared" si="0"/>
        <v>1.3888888888888889E-3</v>
      </c>
      <c r="R5" s="5">
        <f t="shared" si="1"/>
        <v>4.4444444444444446E-2</v>
      </c>
      <c r="S5" s="5">
        <f t="shared" si="2"/>
        <v>0.78263888888888888</v>
      </c>
      <c r="T5" s="5">
        <f t="shared" si="3"/>
        <v>8.4027777777777785E-2</v>
      </c>
      <c r="U5" s="5">
        <f t="shared" si="4"/>
        <v>1.0416666666666666E-2</v>
      </c>
      <c r="V5" s="5">
        <f t="shared" si="5"/>
        <v>1.3888888888888889E-3</v>
      </c>
      <c r="W5" s="5">
        <f t="shared" si="6"/>
        <v>0</v>
      </c>
      <c r="X5" s="5">
        <f t="shared" si="7"/>
        <v>1.3888888888888889E-3</v>
      </c>
      <c r="Y5" s="5">
        <f t="shared" si="8"/>
        <v>7.4305555555555555E-2</v>
      </c>
    </row>
    <row r="6" spans="1:25" x14ac:dyDescent="0.35">
      <c r="A6" s="4">
        <v>3</v>
      </c>
      <c r="B6">
        <v>8</v>
      </c>
      <c r="D6">
        <v>10</v>
      </c>
      <c r="E6">
        <v>90</v>
      </c>
      <c r="F6">
        <v>9</v>
      </c>
      <c r="G6">
        <v>1</v>
      </c>
      <c r="L6">
        <v>118</v>
      </c>
      <c r="P6">
        <v>4</v>
      </c>
      <c r="Q6" s="5">
        <f t="shared" si="0"/>
        <v>0</v>
      </c>
      <c r="R6" s="5">
        <f t="shared" si="1"/>
        <v>0</v>
      </c>
      <c r="S6" s="5">
        <f t="shared" si="2"/>
        <v>5.8823529411764705E-2</v>
      </c>
      <c r="T6" s="5">
        <f t="shared" si="3"/>
        <v>0.76235294117647057</v>
      </c>
      <c r="U6" s="5">
        <f t="shared" si="4"/>
        <v>8.7058823529411758E-2</v>
      </c>
      <c r="V6" s="5">
        <f t="shared" si="5"/>
        <v>2.3529411764705882E-2</v>
      </c>
      <c r="W6" s="5">
        <f t="shared" si="6"/>
        <v>2.352941176470588E-3</v>
      </c>
      <c r="X6" s="5">
        <f t="shared" si="7"/>
        <v>4.7058823529411761E-3</v>
      </c>
      <c r="Y6" s="5">
        <f t="shared" si="8"/>
        <v>6.1176470588235297E-2</v>
      </c>
    </row>
    <row r="7" spans="1:25" x14ac:dyDescent="0.35">
      <c r="A7" s="4">
        <v>4</v>
      </c>
      <c r="B7">
        <v>10</v>
      </c>
      <c r="E7">
        <v>17</v>
      </c>
      <c r="F7">
        <v>101</v>
      </c>
      <c r="G7">
        <v>6</v>
      </c>
      <c r="H7">
        <v>3</v>
      </c>
      <c r="L7">
        <v>137</v>
      </c>
      <c r="P7">
        <v>5</v>
      </c>
      <c r="Q7" s="5">
        <f t="shared" si="0"/>
        <v>0</v>
      </c>
      <c r="R7" s="5">
        <f t="shared" si="1"/>
        <v>0</v>
      </c>
      <c r="S7" s="5">
        <f t="shared" si="2"/>
        <v>1.1608623548922056E-2</v>
      </c>
      <c r="T7" s="5">
        <f t="shared" si="3"/>
        <v>0.11940298507462686</v>
      </c>
      <c r="U7" s="5">
        <f t="shared" si="4"/>
        <v>0.5638474295190713</v>
      </c>
      <c r="V7" s="5">
        <f t="shared" si="5"/>
        <v>0.15091210613598674</v>
      </c>
      <c r="W7" s="5">
        <f t="shared" si="6"/>
        <v>2.3217247097844111E-2</v>
      </c>
      <c r="X7" s="5">
        <f t="shared" si="7"/>
        <v>1.3266998341625208E-2</v>
      </c>
      <c r="Y7" s="5">
        <f t="shared" si="8"/>
        <v>0.11774461028192372</v>
      </c>
    </row>
    <row r="8" spans="1:25" x14ac:dyDescent="0.35">
      <c r="A8" s="4">
        <v>5</v>
      </c>
      <c r="B8">
        <v>10</v>
      </c>
      <c r="E8">
        <v>2</v>
      </c>
      <c r="F8">
        <v>15</v>
      </c>
      <c r="G8">
        <v>46</v>
      </c>
      <c r="H8">
        <v>12</v>
      </c>
      <c r="I8">
        <v>3</v>
      </c>
      <c r="J8">
        <v>2</v>
      </c>
      <c r="L8">
        <v>90</v>
      </c>
      <c r="P8">
        <v>6</v>
      </c>
      <c r="Q8" s="5">
        <f t="shared" si="0"/>
        <v>0</v>
      </c>
      <c r="R8" s="5">
        <f t="shared" si="1"/>
        <v>1.9607843137254902E-3</v>
      </c>
      <c r="S8" s="5">
        <f t="shared" si="2"/>
        <v>1.9607843137254902E-3</v>
      </c>
      <c r="T8" s="5">
        <f t="shared" si="3"/>
        <v>1.3725490196078431E-2</v>
      </c>
      <c r="U8" s="5">
        <f t="shared" si="4"/>
        <v>0.12941176470588237</v>
      </c>
      <c r="V8" s="5">
        <f t="shared" si="5"/>
        <v>0.58823529411764708</v>
      </c>
      <c r="W8" s="5">
        <f t="shared" si="6"/>
        <v>0.10392156862745099</v>
      </c>
      <c r="X8" s="5">
        <f t="shared" si="7"/>
        <v>4.3137254901960784E-2</v>
      </c>
      <c r="Y8" s="5">
        <f t="shared" si="8"/>
        <v>0.11764705882352941</v>
      </c>
    </row>
    <row r="9" spans="1:25" x14ac:dyDescent="0.35">
      <c r="A9" s="4">
        <v>6</v>
      </c>
      <c r="B9">
        <v>12</v>
      </c>
      <c r="D9">
        <v>1</v>
      </c>
      <c r="F9">
        <v>1</v>
      </c>
      <c r="G9">
        <v>7</v>
      </c>
      <c r="H9">
        <v>44</v>
      </c>
      <c r="I9">
        <v>12</v>
      </c>
      <c r="J9">
        <v>4</v>
      </c>
      <c r="L9">
        <v>81</v>
      </c>
      <c r="P9">
        <v>7</v>
      </c>
      <c r="Q9" s="5">
        <f t="shared" si="0"/>
        <v>0</v>
      </c>
      <c r="R9" s="5">
        <f t="shared" si="1"/>
        <v>0</v>
      </c>
      <c r="S9" s="5">
        <f t="shared" si="2"/>
        <v>0</v>
      </c>
      <c r="T9" s="5">
        <f t="shared" si="3"/>
        <v>1.8404907975460124E-2</v>
      </c>
      <c r="U9" s="5">
        <f t="shared" si="4"/>
        <v>6.1349693251533744E-3</v>
      </c>
      <c r="V9" s="5">
        <f t="shared" si="5"/>
        <v>0.11042944785276074</v>
      </c>
      <c r="W9" s="5">
        <f t="shared" si="6"/>
        <v>0.43558282208588955</v>
      </c>
      <c r="X9" s="5">
        <f t="shared" si="7"/>
        <v>0.15337423312883436</v>
      </c>
      <c r="Y9" s="5">
        <f t="shared" si="8"/>
        <v>0.27607361963190186</v>
      </c>
    </row>
    <row r="10" spans="1:25" x14ac:dyDescent="0.35">
      <c r="A10" s="4">
        <v>7</v>
      </c>
      <c r="B10">
        <v>12</v>
      </c>
      <c r="H10">
        <v>3</v>
      </c>
      <c r="I10">
        <v>8</v>
      </c>
      <c r="J10">
        <v>2</v>
      </c>
      <c r="L10">
        <v>25</v>
      </c>
      <c r="P10">
        <v>8</v>
      </c>
      <c r="Q10" s="5">
        <f t="shared" si="0"/>
        <v>0</v>
      </c>
      <c r="R10" s="5">
        <f t="shared" si="1"/>
        <v>0</v>
      </c>
      <c r="S10" s="5">
        <f t="shared" si="2"/>
        <v>0</v>
      </c>
      <c r="T10" s="5">
        <f t="shared" si="3"/>
        <v>0</v>
      </c>
      <c r="U10" s="5">
        <f t="shared" si="4"/>
        <v>0</v>
      </c>
      <c r="V10" s="5">
        <f t="shared" si="5"/>
        <v>0</v>
      </c>
      <c r="W10" s="5">
        <f t="shared" si="6"/>
        <v>0</v>
      </c>
      <c r="X10" s="5">
        <f t="shared" si="7"/>
        <v>1</v>
      </c>
      <c r="Y10" s="5">
        <f t="shared" si="8"/>
        <v>0</v>
      </c>
    </row>
    <row r="11" spans="1:25" x14ac:dyDescent="0.35">
      <c r="A11" s="4">
        <v>8</v>
      </c>
      <c r="J11">
        <v>8</v>
      </c>
      <c r="L11">
        <v>8</v>
      </c>
    </row>
    <row r="12" spans="1:25" x14ac:dyDescent="0.35">
      <c r="A12" s="4">
        <v>9</v>
      </c>
      <c r="B12">
        <v>82</v>
      </c>
      <c r="C12">
        <v>11</v>
      </c>
      <c r="D12">
        <v>134</v>
      </c>
      <c r="E12">
        <v>194</v>
      </c>
      <c r="F12">
        <v>163</v>
      </c>
      <c r="G12">
        <v>55</v>
      </c>
      <c r="H12">
        <v>34</v>
      </c>
      <c r="I12">
        <v>13</v>
      </c>
      <c r="J12">
        <v>20</v>
      </c>
      <c r="K12">
        <v>555</v>
      </c>
      <c r="L12">
        <v>1261</v>
      </c>
      <c r="Q12">
        <v>1</v>
      </c>
      <c r="R12">
        <v>2</v>
      </c>
      <c r="S12">
        <v>3</v>
      </c>
      <c r="T12">
        <v>4</v>
      </c>
      <c r="U12">
        <v>5</v>
      </c>
      <c r="V12">
        <v>6</v>
      </c>
      <c r="W12">
        <v>7</v>
      </c>
      <c r="X12">
        <v>8</v>
      </c>
      <c r="Y12" t="s">
        <v>13</v>
      </c>
    </row>
    <row r="13" spans="1:25" x14ac:dyDescent="0.35">
      <c r="A13" s="4" t="s">
        <v>6</v>
      </c>
      <c r="B13">
        <v>189</v>
      </c>
      <c r="C13">
        <v>16</v>
      </c>
      <c r="D13">
        <v>187</v>
      </c>
      <c r="E13">
        <v>308</v>
      </c>
      <c r="F13">
        <v>290</v>
      </c>
      <c r="G13">
        <v>116</v>
      </c>
      <c r="H13">
        <v>96</v>
      </c>
      <c r="I13">
        <v>36</v>
      </c>
      <c r="J13">
        <v>36</v>
      </c>
      <c r="K13">
        <v>555</v>
      </c>
      <c r="L13">
        <v>1829</v>
      </c>
      <c r="P13">
        <v>1</v>
      </c>
      <c r="Q13" s="5">
        <f>Q3/Y13</f>
        <v>0.95238095238095244</v>
      </c>
      <c r="R13" s="5">
        <f>R3/Y13</f>
        <v>3.5714285714285712E-2</v>
      </c>
      <c r="S13" s="5">
        <f>S3/Y13</f>
        <v>0</v>
      </c>
      <c r="T13" s="5">
        <f>T3/Y13</f>
        <v>0</v>
      </c>
      <c r="U13" s="5">
        <f>U3/Y13</f>
        <v>1.1904761904761904E-2</v>
      </c>
      <c r="V13" s="5">
        <f>V3/Y13</f>
        <v>0</v>
      </c>
      <c r="W13" s="5">
        <f>W3/Y13</f>
        <v>0</v>
      </c>
      <c r="X13" s="5">
        <f>X3/Y13</f>
        <v>0</v>
      </c>
      <c r="Y13" s="5">
        <f>1-Y3</f>
        <v>0.875</v>
      </c>
    </row>
    <row r="14" spans="1:25" x14ac:dyDescent="0.35">
      <c r="P14">
        <v>2</v>
      </c>
      <c r="Q14" s="5">
        <f>Q4/$Y$14</f>
        <v>3.0303030303030304E-2</v>
      </c>
      <c r="R14" s="5">
        <f t="shared" ref="R14:R19" si="9">R4/Y14</f>
        <v>0.81212121212121213</v>
      </c>
      <c r="S14" s="5">
        <f t="shared" ref="S14:S19" si="10">S4/Y14</f>
        <v>0.15303030303030304</v>
      </c>
      <c r="T14" s="5">
        <f t="shared" ref="T14:T19" si="11">T4/Y14</f>
        <v>3.0303030303030303E-3</v>
      </c>
      <c r="U14" s="5">
        <f t="shared" ref="U14:U19" si="12">U4/Y14</f>
        <v>0</v>
      </c>
      <c r="V14" s="5">
        <f t="shared" ref="V14:V19" si="13">V4/Y14</f>
        <v>1.5151515151515152E-3</v>
      </c>
      <c r="W14" s="5">
        <f t="shared" ref="W14:W19" si="14">W4/Y14</f>
        <v>0</v>
      </c>
      <c r="X14" s="5">
        <f t="shared" ref="X14:X19" si="15">X4/Y14</f>
        <v>0</v>
      </c>
      <c r="Y14" s="5">
        <f t="shared" ref="Y14:Y19" si="16">1-Y4</f>
        <v>0.91922005571030641</v>
      </c>
    </row>
    <row r="15" spans="1:25" x14ac:dyDescent="0.35">
      <c r="P15">
        <v>3</v>
      </c>
      <c r="Q15" s="5">
        <f>Q5/Y15</f>
        <v>1.5003750937734434E-3</v>
      </c>
      <c r="R15" s="5">
        <f t="shared" si="9"/>
        <v>4.8012003000750189E-2</v>
      </c>
      <c r="S15" s="5">
        <f t="shared" si="10"/>
        <v>0.84546136534133531</v>
      </c>
      <c r="T15" s="5">
        <f t="shared" si="11"/>
        <v>9.0772693173293326E-2</v>
      </c>
      <c r="U15" s="5">
        <f t="shared" si="12"/>
        <v>1.1252813203300824E-2</v>
      </c>
      <c r="V15" s="5">
        <f t="shared" si="13"/>
        <v>1.5003750937734434E-3</v>
      </c>
      <c r="W15" s="5">
        <f t="shared" si="14"/>
        <v>0</v>
      </c>
      <c r="X15" s="5">
        <f t="shared" si="15"/>
        <v>1.5003750937734434E-3</v>
      </c>
      <c r="Y15" s="5">
        <f t="shared" si="16"/>
        <v>0.92569444444444449</v>
      </c>
    </row>
    <row r="16" spans="1:25" x14ac:dyDescent="0.35">
      <c r="A16" s="3" t="s">
        <v>8</v>
      </c>
      <c r="B16" s="3" t="s">
        <v>7</v>
      </c>
      <c r="P16">
        <v>4</v>
      </c>
      <c r="Q16" s="5">
        <f>Q6/Y16</f>
        <v>0</v>
      </c>
      <c r="R16" s="5">
        <f t="shared" si="9"/>
        <v>0</v>
      </c>
      <c r="S16" s="5">
        <f t="shared" si="10"/>
        <v>6.2656641604010022E-2</v>
      </c>
      <c r="T16" s="5">
        <f t="shared" si="11"/>
        <v>0.81203007518796988</v>
      </c>
      <c r="U16" s="5">
        <f t="shared" si="12"/>
        <v>9.2731829573934832E-2</v>
      </c>
      <c r="V16" s="5">
        <f t="shared" si="13"/>
        <v>2.5062656641604009E-2</v>
      </c>
      <c r="W16" s="5">
        <f t="shared" si="14"/>
        <v>2.5062656641604009E-3</v>
      </c>
      <c r="X16" s="5">
        <f t="shared" si="15"/>
        <v>5.0125313283208017E-3</v>
      </c>
      <c r="Y16" s="5">
        <f t="shared" si="16"/>
        <v>0.93882352941176472</v>
      </c>
    </row>
    <row r="17" spans="1:25" x14ac:dyDescent="0.35">
      <c r="A17" s="3" t="s">
        <v>5</v>
      </c>
      <c r="B17">
        <v>0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 t="s">
        <v>6</v>
      </c>
      <c r="P17">
        <v>5</v>
      </c>
      <c r="Q17" s="5">
        <f>Q7/Y17</f>
        <v>0</v>
      </c>
      <c r="R17" s="5">
        <f t="shared" si="9"/>
        <v>0</v>
      </c>
      <c r="S17" s="5">
        <f t="shared" si="10"/>
        <v>1.3157894736842105E-2</v>
      </c>
      <c r="T17" s="5">
        <f t="shared" si="11"/>
        <v>0.13533834586466165</v>
      </c>
      <c r="U17" s="5">
        <f t="shared" si="12"/>
        <v>0.63909774436090228</v>
      </c>
      <c r="V17" s="5">
        <f t="shared" si="13"/>
        <v>0.17105263157894737</v>
      </c>
      <c r="W17" s="5">
        <f t="shared" si="14"/>
        <v>2.6315789473684209E-2</v>
      </c>
      <c r="X17" s="5">
        <f t="shared" si="15"/>
        <v>1.5037593984962407E-2</v>
      </c>
      <c r="Y17" s="5">
        <f t="shared" si="16"/>
        <v>0.88225538971807627</v>
      </c>
    </row>
    <row r="18" spans="1:25" x14ac:dyDescent="0.35">
      <c r="A18" s="4">
        <v>0</v>
      </c>
      <c r="B18">
        <v>121</v>
      </c>
      <c r="D18">
        <v>1</v>
      </c>
      <c r="E18">
        <v>2</v>
      </c>
      <c r="F18">
        <v>2</v>
      </c>
      <c r="G18">
        <v>1</v>
      </c>
      <c r="H18">
        <v>2</v>
      </c>
      <c r="J18">
        <v>1</v>
      </c>
      <c r="L18">
        <v>130</v>
      </c>
      <c r="P18">
        <v>6</v>
      </c>
      <c r="Q18" s="5">
        <f>Q8/Y18</f>
        <v>0</v>
      </c>
      <c r="R18" s="5">
        <f t="shared" si="9"/>
        <v>2.2222222222222222E-3</v>
      </c>
      <c r="S18" s="5">
        <f t="shared" si="10"/>
        <v>2.2222222222222222E-3</v>
      </c>
      <c r="T18" s="5">
        <f t="shared" si="11"/>
        <v>1.5555555555555555E-2</v>
      </c>
      <c r="U18" s="5">
        <f t="shared" si="12"/>
        <v>0.1466666666666667</v>
      </c>
      <c r="V18" s="5">
        <f t="shared" si="13"/>
        <v>0.66666666666666674</v>
      </c>
      <c r="W18" s="5">
        <f t="shared" si="14"/>
        <v>0.11777777777777779</v>
      </c>
      <c r="X18" s="5">
        <f t="shared" si="15"/>
        <v>4.8888888888888891E-2</v>
      </c>
      <c r="Y18" s="5">
        <f t="shared" si="16"/>
        <v>0.88235294117647056</v>
      </c>
    </row>
    <row r="19" spans="1:25" x14ac:dyDescent="0.35">
      <c r="A19" s="4">
        <v>1</v>
      </c>
      <c r="B19">
        <v>2</v>
      </c>
      <c r="C19">
        <v>7</v>
      </c>
      <c r="L19">
        <v>9</v>
      </c>
      <c r="P19">
        <v>7</v>
      </c>
      <c r="Q19" s="5">
        <f>Q9/Y19</f>
        <v>0</v>
      </c>
      <c r="R19" s="5">
        <f t="shared" si="9"/>
        <v>0</v>
      </c>
      <c r="S19" s="5">
        <f t="shared" si="10"/>
        <v>0</v>
      </c>
      <c r="T19" s="5">
        <f t="shared" si="11"/>
        <v>2.5423728813559324E-2</v>
      </c>
      <c r="U19" s="5">
        <f t="shared" si="12"/>
        <v>8.4745762711864406E-3</v>
      </c>
      <c r="V19" s="5">
        <f t="shared" si="13"/>
        <v>0.15254237288135591</v>
      </c>
      <c r="W19" s="5">
        <f t="shared" si="14"/>
        <v>0.60169491525423724</v>
      </c>
      <c r="X19" s="5">
        <f t="shared" si="15"/>
        <v>0.21186440677966101</v>
      </c>
      <c r="Y19" s="5">
        <f t="shared" si="16"/>
        <v>0.7239263803680982</v>
      </c>
    </row>
    <row r="20" spans="1:25" x14ac:dyDescent="0.35">
      <c r="A20" s="4">
        <v>2</v>
      </c>
      <c r="B20">
        <v>8</v>
      </c>
      <c r="C20">
        <v>9</v>
      </c>
      <c r="D20">
        <v>85</v>
      </c>
      <c r="E20">
        <v>24</v>
      </c>
      <c r="F20">
        <v>2</v>
      </c>
      <c r="L20">
        <v>128</v>
      </c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5">
      <c r="A21" s="4">
        <v>3</v>
      </c>
      <c r="B21">
        <v>14</v>
      </c>
      <c r="D21">
        <v>13</v>
      </c>
      <c r="E21">
        <v>182</v>
      </c>
      <c r="F21">
        <v>32</v>
      </c>
      <c r="G21">
        <v>7</v>
      </c>
      <c r="H21">
        <v>1</v>
      </c>
      <c r="J21">
        <v>1</v>
      </c>
      <c r="L21">
        <v>250</v>
      </c>
    </row>
    <row r="22" spans="1:25" x14ac:dyDescent="0.35">
      <c r="A22" s="4">
        <v>4</v>
      </c>
      <c r="B22">
        <v>11</v>
      </c>
      <c r="E22">
        <v>13</v>
      </c>
      <c r="F22">
        <v>138</v>
      </c>
      <c r="G22">
        <v>28</v>
      </c>
      <c r="H22">
        <v>3</v>
      </c>
      <c r="J22">
        <v>4</v>
      </c>
      <c r="L22">
        <v>197</v>
      </c>
    </row>
    <row r="23" spans="1:25" x14ac:dyDescent="0.35">
      <c r="A23" s="4">
        <v>5</v>
      </c>
      <c r="B23">
        <v>11</v>
      </c>
      <c r="E23">
        <v>1</v>
      </c>
      <c r="F23">
        <v>13</v>
      </c>
      <c r="G23">
        <v>54</v>
      </c>
      <c r="H23">
        <v>17</v>
      </c>
      <c r="I23">
        <v>4</v>
      </c>
      <c r="J23">
        <v>2</v>
      </c>
      <c r="L23">
        <v>102</v>
      </c>
    </row>
    <row r="24" spans="1:25" x14ac:dyDescent="0.35">
      <c r="A24" s="4">
        <v>6</v>
      </c>
      <c r="B24">
        <v>11</v>
      </c>
      <c r="F24">
        <v>1</v>
      </c>
      <c r="G24">
        <v>12</v>
      </c>
      <c r="H24">
        <v>48</v>
      </c>
      <c r="I24">
        <v>11</v>
      </c>
      <c r="J24">
        <v>9</v>
      </c>
      <c r="L24">
        <v>92</v>
      </c>
    </row>
    <row r="25" spans="1:25" x14ac:dyDescent="0.35">
      <c r="A25" s="4">
        <v>7</v>
      </c>
      <c r="B25">
        <v>9</v>
      </c>
      <c r="H25">
        <v>1</v>
      </c>
      <c r="I25">
        <v>13</v>
      </c>
      <c r="J25">
        <v>6</v>
      </c>
      <c r="L25">
        <v>29</v>
      </c>
    </row>
    <row r="26" spans="1:25" x14ac:dyDescent="0.35">
      <c r="A26" s="4">
        <v>8</v>
      </c>
      <c r="J26">
        <v>18</v>
      </c>
      <c r="L26">
        <v>18</v>
      </c>
    </row>
    <row r="27" spans="1:25" x14ac:dyDescent="0.35">
      <c r="A27" s="4">
        <v>9</v>
      </c>
      <c r="B27">
        <v>83</v>
      </c>
      <c r="C27">
        <v>15</v>
      </c>
      <c r="D27">
        <v>82</v>
      </c>
      <c r="E27">
        <v>151</v>
      </c>
      <c r="F27">
        <v>125</v>
      </c>
      <c r="G27">
        <v>55</v>
      </c>
      <c r="H27">
        <v>39</v>
      </c>
      <c r="I27">
        <v>7</v>
      </c>
      <c r="J27">
        <v>8</v>
      </c>
      <c r="K27">
        <v>309</v>
      </c>
      <c r="L27">
        <v>874</v>
      </c>
    </row>
    <row r="28" spans="1:25" x14ac:dyDescent="0.35">
      <c r="A28" s="4" t="s">
        <v>6</v>
      </c>
      <c r="B28">
        <v>270</v>
      </c>
      <c r="C28">
        <v>31</v>
      </c>
      <c r="D28">
        <v>181</v>
      </c>
      <c r="E28">
        <v>373</v>
      </c>
      <c r="F28">
        <v>313</v>
      </c>
      <c r="G28">
        <v>157</v>
      </c>
      <c r="H28">
        <v>111</v>
      </c>
      <c r="I28">
        <v>35</v>
      </c>
      <c r="J28">
        <v>49</v>
      </c>
      <c r="K28">
        <v>309</v>
      </c>
      <c r="L28">
        <v>1829</v>
      </c>
    </row>
    <row r="30" spans="1:25" x14ac:dyDescent="0.35">
      <c r="A30" s="3" t="s">
        <v>9</v>
      </c>
      <c r="B30" s="3" t="s">
        <v>7</v>
      </c>
    </row>
    <row r="31" spans="1:25" x14ac:dyDescent="0.35">
      <c r="A31" s="3" t="s">
        <v>5</v>
      </c>
      <c r="B31">
        <v>0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  <c r="L31" t="s">
        <v>6</v>
      </c>
    </row>
    <row r="32" spans="1:25" x14ac:dyDescent="0.35">
      <c r="A32" s="4">
        <v>0</v>
      </c>
      <c r="B32">
        <v>178</v>
      </c>
      <c r="D32">
        <v>3</v>
      </c>
      <c r="E32">
        <v>1</v>
      </c>
      <c r="F32">
        <v>2</v>
      </c>
      <c r="G32">
        <v>1</v>
      </c>
      <c r="H32">
        <v>3</v>
      </c>
      <c r="J32">
        <v>1</v>
      </c>
      <c r="L32">
        <v>189</v>
      </c>
    </row>
    <row r="33" spans="1:12" x14ac:dyDescent="0.35">
      <c r="A33" s="4">
        <v>1</v>
      </c>
      <c r="B33">
        <v>3</v>
      </c>
      <c r="C33">
        <v>12</v>
      </c>
      <c r="G33">
        <v>1</v>
      </c>
      <c r="L33">
        <v>16</v>
      </c>
    </row>
    <row r="34" spans="1:12" x14ac:dyDescent="0.35">
      <c r="A34" s="4">
        <v>2</v>
      </c>
      <c r="B34">
        <v>24</v>
      </c>
      <c r="C34">
        <v>9</v>
      </c>
      <c r="D34">
        <v>115</v>
      </c>
      <c r="E34">
        <v>38</v>
      </c>
      <c r="H34">
        <v>1</v>
      </c>
      <c r="L34">
        <v>187</v>
      </c>
    </row>
    <row r="35" spans="1:12" x14ac:dyDescent="0.35">
      <c r="A35" s="4">
        <v>3</v>
      </c>
      <c r="B35">
        <v>25</v>
      </c>
      <c r="C35">
        <v>1</v>
      </c>
      <c r="D35">
        <v>8</v>
      </c>
      <c r="E35">
        <v>226</v>
      </c>
      <c r="F35">
        <v>43</v>
      </c>
      <c r="G35">
        <v>3</v>
      </c>
      <c r="H35">
        <v>1</v>
      </c>
      <c r="J35">
        <v>1</v>
      </c>
      <c r="L35">
        <v>308</v>
      </c>
    </row>
    <row r="36" spans="1:12" x14ac:dyDescent="0.35">
      <c r="A36" s="4">
        <v>4</v>
      </c>
      <c r="B36">
        <v>21</v>
      </c>
      <c r="E36">
        <v>13</v>
      </c>
      <c r="F36">
        <v>201</v>
      </c>
      <c r="G36">
        <v>33</v>
      </c>
      <c r="H36">
        <v>17</v>
      </c>
      <c r="I36">
        <v>3</v>
      </c>
      <c r="J36">
        <v>2</v>
      </c>
      <c r="L36">
        <v>290</v>
      </c>
    </row>
    <row r="37" spans="1:12" x14ac:dyDescent="0.35">
      <c r="A37" s="4">
        <v>5</v>
      </c>
      <c r="B37">
        <v>16</v>
      </c>
      <c r="F37">
        <v>8</v>
      </c>
      <c r="G37">
        <v>61</v>
      </c>
      <c r="H37">
        <v>27</v>
      </c>
      <c r="I37">
        <v>3</v>
      </c>
      <c r="J37">
        <v>1</v>
      </c>
      <c r="L37">
        <v>116</v>
      </c>
    </row>
    <row r="38" spans="1:12" x14ac:dyDescent="0.35">
      <c r="A38" s="4">
        <v>6</v>
      </c>
      <c r="B38">
        <v>16</v>
      </c>
      <c r="F38">
        <v>2</v>
      </c>
      <c r="G38">
        <v>8</v>
      </c>
      <c r="H38">
        <v>48</v>
      </c>
      <c r="I38">
        <v>15</v>
      </c>
      <c r="J38">
        <v>7</v>
      </c>
      <c r="L38">
        <v>96</v>
      </c>
    </row>
    <row r="39" spans="1:12" x14ac:dyDescent="0.35">
      <c r="A39" s="4">
        <v>7</v>
      </c>
      <c r="B39">
        <v>11</v>
      </c>
      <c r="F39">
        <v>1</v>
      </c>
      <c r="H39">
        <v>3</v>
      </c>
      <c r="I39">
        <v>12</v>
      </c>
      <c r="J39">
        <v>9</v>
      </c>
      <c r="L39">
        <v>36</v>
      </c>
    </row>
    <row r="40" spans="1:12" x14ac:dyDescent="0.35">
      <c r="A40" s="4">
        <v>8</v>
      </c>
      <c r="J40">
        <v>36</v>
      </c>
      <c r="L40">
        <v>36</v>
      </c>
    </row>
    <row r="41" spans="1:12" x14ac:dyDescent="0.35">
      <c r="A41" s="4">
        <v>9</v>
      </c>
      <c r="B41">
        <v>68</v>
      </c>
      <c r="C41">
        <v>11</v>
      </c>
      <c r="D41">
        <v>50</v>
      </c>
      <c r="E41">
        <v>113</v>
      </c>
      <c r="F41">
        <v>81</v>
      </c>
      <c r="G41">
        <v>31</v>
      </c>
      <c r="H41">
        <v>30</v>
      </c>
      <c r="I41">
        <v>5</v>
      </c>
      <c r="J41">
        <v>1</v>
      </c>
      <c r="K41">
        <v>165</v>
      </c>
      <c r="L41">
        <v>555</v>
      </c>
    </row>
    <row r="42" spans="1:12" x14ac:dyDescent="0.35">
      <c r="A42" s="4" t="s">
        <v>6</v>
      </c>
      <c r="B42">
        <v>362</v>
      </c>
      <c r="C42">
        <v>33</v>
      </c>
      <c r="D42">
        <v>176</v>
      </c>
      <c r="E42">
        <v>391</v>
      </c>
      <c r="F42">
        <v>338</v>
      </c>
      <c r="G42">
        <v>138</v>
      </c>
      <c r="H42">
        <v>130</v>
      </c>
      <c r="I42">
        <v>38</v>
      </c>
      <c r="J42">
        <v>58</v>
      </c>
      <c r="K42">
        <v>165</v>
      </c>
      <c r="L42">
        <v>1829</v>
      </c>
    </row>
    <row r="45" spans="1:12" x14ac:dyDescent="0.35">
      <c r="A45" s="3" t="s">
        <v>10</v>
      </c>
      <c r="B45" s="3" t="s">
        <v>7</v>
      </c>
    </row>
    <row r="46" spans="1:12" x14ac:dyDescent="0.35">
      <c r="A46" s="3" t="s">
        <v>5</v>
      </c>
      <c r="B46">
        <v>0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7</v>
      </c>
      <c r="J46">
        <v>8</v>
      </c>
      <c r="K46">
        <v>9</v>
      </c>
      <c r="L46" t="s">
        <v>6</v>
      </c>
    </row>
    <row r="47" spans="1:12" x14ac:dyDescent="0.35">
      <c r="A47" s="4">
        <v>0</v>
      </c>
      <c r="B47">
        <v>260</v>
      </c>
      <c r="D47">
        <v>1</v>
      </c>
      <c r="G47">
        <v>1</v>
      </c>
      <c r="H47">
        <v>7</v>
      </c>
      <c r="J47">
        <v>1</v>
      </c>
      <c r="L47">
        <v>270</v>
      </c>
    </row>
    <row r="48" spans="1:12" x14ac:dyDescent="0.35">
      <c r="A48" s="4">
        <v>1</v>
      </c>
      <c r="B48">
        <v>4</v>
      </c>
      <c r="C48">
        <v>26</v>
      </c>
      <c r="D48">
        <v>1</v>
      </c>
      <c r="L48">
        <v>31</v>
      </c>
    </row>
    <row r="49" spans="1:12" x14ac:dyDescent="0.35">
      <c r="A49" s="4">
        <v>2</v>
      </c>
      <c r="B49">
        <v>18</v>
      </c>
      <c r="C49">
        <v>1</v>
      </c>
      <c r="D49">
        <v>135</v>
      </c>
      <c r="E49">
        <v>27</v>
      </c>
      <c r="L49">
        <v>181</v>
      </c>
    </row>
    <row r="50" spans="1:12" x14ac:dyDescent="0.35">
      <c r="A50" s="4">
        <v>3</v>
      </c>
      <c r="B50">
        <v>33</v>
      </c>
      <c r="C50">
        <v>1</v>
      </c>
      <c r="D50">
        <v>20</v>
      </c>
      <c r="E50">
        <v>293</v>
      </c>
      <c r="F50">
        <v>23</v>
      </c>
      <c r="G50">
        <v>3</v>
      </c>
      <c r="L50">
        <v>373</v>
      </c>
    </row>
    <row r="51" spans="1:12" x14ac:dyDescent="0.35">
      <c r="A51" s="4">
        <v>4</v>
      </c>
      <c r="B51">
        <v>19</v>
      </c>
      <c r="E51">
        <v>15</v>
      </c>
      <c r="F51">
        <v>251</v>
      </c>
      <c r="G51">
        <v>22</v>
      </c>
      <c r="H51">
        <v>6</v>
      </c>
      <c r="L51">
        <v>313</v>
      </c>
    </row>
    <row r="52" spans="1:12" x14ac:dyDescent="0.35">
      <c r="A52" s="4">
        <v>5</v>
      </c>
      <c r="B52">
        <v>20</v>
      </c>
      <c r="E52">
        <v>1</v>
      </c>
      <c r="F52">
        <v>20</v>
      </c>
      <c r="G52">
        <v>81</v>
      </c>
      <c r="H52">
        <v>28</v>
      </c>
      <c r="I52">
        <v>4</v>
      </c>
      <c r="J52">
        <v>3</v>
      </c>
      <c r="L52">
        <v>157</v>
      </c>
    </row>
    <row r="53" spans="1:12" x14ac:dyDescent="0.35">
      <c r="A53" s="4">
        <v>6</v>
      </c>
      <c r="B53">
        <v>15</v>
      </c>
      <c r="F53">
        <v>1</v>
      </c>
      <c r="G53">
        <v>20</v>
      </c>
      <c r="H53">
        <v>62</v>
      </c>
      <c r="I53">
        <v>12</v>
      </c>
      <c r="J53">
        <v>1</v>
      </c>
      <c r="L53">
        <v>111</v>
      </c>
    </row>
    <row r="54" spans="1:12" x14ac:dyDescent="0.35">
      <c r="A54" s="4">
        <v>7</v>
      </c>
      <c r="B54">
        <v>9</v>
      </c>
      <c r="F54">
        <v>1</v>
      </c>
      <c r="G54">
        <v>1</v>
      </c>
      <c r="H54">
        <v>5</v>
      </c>
      <c r="I54">
        <v>13</v>
      </c>
      <c r="J54">
        <v>6</v>
      </c>
      <c r="L54">
        <v>35</v>
      </c>
    </row>
    <row r="55" spans="1:12" x14ac:dyDescent="0.35">
      <c r="A55" s="4">
        <v>8</v>
      </c>
      <c r="J55">
        <v>49</v>
      </c>
      <c r="L55">
        <v>49</v>
      </c>
    </row>
    <row r="56" spans="1:12" x14ac:dyDescent="0.35">
      <c r="A56" s="4">
        <v>9</v>
      </c>
      <c r="B56">
        <v>61</v>
      </c>
      <c r="C56">
        <v>6</v>
      </c>
      <c r="D56">
        <v>35</v>
      </c>
      <c r="E56">
        <v>61</v>
      </c>
      <c r="F56">
        <v>69</v>
      </c>
      <c r="G56">
        <v>19</v>
      </c>
      <c r="H56">
        <v>21</v>
      </c>
      <c r="I56">
        <v>1</v>
      </c>
      <c r="J56">
        <v>1</v>
      </c>
      <c r="K56">
        <v>35</v>
      </c>
      <c r="L56">
        <v>309</v>
      </c>
    </row>
    <row r="57" spans="1:12" x14ac:dyDescent="0.35">
      <c r="A57" s="4" t="s">
        <v>6</v>
      </c>
      <c r="B57">
        <v>439</v>
      </c>
      <c r="C57">
        <v>34</v>
      </c>
      <c r="D57">
        <v>192</v>
      </c>
      <c r="E57">
        <v>397</v>
      </c>
      <c r="F57">
        <v>365</v>
      </c>
      <c r="G57">
        <v>147</v>
      </c>
      <c r="H57">
        <v>129</v>
      </c>
      <c r="I57">
        <v>30</v>
      </c>
      <c r="J57">
        <v>61</v>
      </c>
      <c r="K57">
        <v>35</v>
      </c>
      <c r="L57">
        <v>1829</v>
      </c>
    </row>
    <row r="60" spans="1:12" x14ac:dyDescent="0.35">
      <c r="A60" s="3" t="s">
        <v>11</v>
      </c>
      <c r="B60" s="3" t="s">
        <v>7</v>
      </c>
    </row>
    <row r="61" spans="1:12" x14ac:dyDescent="0.35">
      <c r="A61" s="3" t="s">
        <v>5</v>
      </c>
      <c r="B61">
        <v>0</v>
      </c>
      <c r="C61">
        <v>1</v>
      </c>
      <c r="D61">
        <v>2</v>
      </c>
      <c r="E61">
        <v>3</v>
      </c>
      <c r="F61">
        <v>4</v>
      </c>
      <c r="G61">
        <v>5</v>
      </c>
      <c r="H61">
        <v>6</v>
      </c>
      <c r="I61">
        <v>7</v>
      </c>
      <c r="J61">
        <v>8</v>
      </c>
      <c r="K61" t="s">
        <v>6</v>
      </c>
    </row>
    <row r="62" spans="1:12" x14ac:dyDescent="0.35">
      <c r="A62" s="4">
        <v>0</v>
      </c>
      <c r="B62">
        <v>355</v>
      </c>
      <c r="D62">
        <v>1</v>
      </c>
      <c r="E62">
        <v>1</v>
      </c>
      <c r="F62">
        <v>2</v>
      </c>
      <c r="H62">
        <v>3</v>
      </c>
      <c r="K62">
        <v>362</v>
      </c>
    </row>
    <row r="63" spans="1:12" x14ac:dyDescent="0.35">
      <c r="A63" s="4">
        <v>1</v>
      </c>
      <c r="B63">
        <v>1</v>
      </c>
      <c r="C63">
        <v>30</v>
      </c>
      <c r="D63">
        <v>2</v>
      </c>
      <c r="K63">
        <v>33</v>
      </c>
    </row>
    <row r="64" spans="1:12" x14ac:dyDescent="0.35">
      <c r="A64" s="4">
        <v>2</v>
      </c>
      <c r="B64">
        <v>8</v>
      </c>
      <c r="C64">
        <v>1</v>
      </c>
      <c r="D64">
        <v>159</v>
      </c>
      <c r="E64">
        <v>8</v>
      </c>
      <c r="K64">
        <v>176</v>
      </c>
    </row>
    <row r="65" spans="1:11" x14ac:dyDescent="0.35">
      <c r="A65" s="4">
        <v>3</v>
      </c>
      <c r="B65">
        <v>27</v>
      </c>
      <c r="D65">
        <v>13</v>
      </c>
      <c r="E65">
        <v>336</v>
      </c>
      <c r="F65">
        <v>14</v>
      </c>
      <c r="G65">
        <v>1</v>
      </c>
      <c r="K65">
        <v>391</v>
      </c>
    </row>
    <row r="66" spans="1:11" x14ac:dyDescent="0.35">
      <c r="A66" s="4">
        <v>4</v>
      </c>
      <c r="B66">
        <v>17</v>
      </c>
      <c r="E66">
        <v>17</v>
      </c>
      <c r="F66">
        <v>281</v>
      </c>
      <c r="G66">
        <v>22</v>
      </c>
      <c r="H66">
        <v>1</v>
      </c>
      <c r="K66">
        <v>338</v>
      </c>
    </row>
    <row r="67" spans="1:11" x14ac:dyDescent="0.35">
      <c r="A67" s="4">
        <v>5</v>
      </c>
      <c r="B67">
        <v>14</v>
      </c>
      <c r="E67">
        <v>3</v>
      </c>
      <c r="F67">
        <v>16</v>
      </c>
      <c r="G67">
        <v>98</v>
      </c>
      <c r="H67">
        <v>7</v>
      </c>
      <c r="K67">
        <v>138</v>
      </c>
    </row>
    <row r="68" spans="1:11" x14ac:dyDescent="0.35">
      <c r="A68" s="4">
        <v>6</v>
      </c>
      <c r="B68">
        <v>6</v>
      </c>
      <c r="E68">
        <v>1</v>
      </c>
      <c r="F68">
        <v>2</v>
      </c>
      <c r="G68">
        <v>19</v>
      </c>
      <c r="H68">
        <v>98</v>
      </c>
      <c r="I68">
        <v>3</v>
      </c>
      <c r="J68">
        <v>1</v>
      </c>
      <c r="K68">
        <v>130</v>
      </c>
    </row>
    <row r="69" spans="1:11" x14ac:dyDescent="0.35">
      <c r="A69" s="4">
        <v>7</v>
      </c>
      <c r="B69">
        <v>4</v>
      </c>
      <c r="F69">
        <v>1</v>
      </c>
      <c r="H69">
        <v>6</v>
      </c>
      <c r="I69">
        <v>25</v>
      </c>
      <c r="J69">
        <v>2</v>
      </c>
      <c r="K69">
        <v>38</v>
      </c>
    </row>
    <row r="70" spans="1:11" x14ac:dyDescent="0.35">
      <c r="A70" s="4">
        <v>8</v>
      </c>
      <c r="J70">
        <v>58</v>
      </c>
      <c r="K70">
        <v>58</v>
      </c>
    </row>
    <row r="71" spans="1:11" x14ac:dyDescent="0.35">
      <c r="A71" s="4">
        <v>9</v>
      </c>
      <c r="B71">
        <v>32</v>
      </c>
      <c r="C71">
        <v>2</v>
      </c>
      <c r="D71">
        <v>30</v>
      </c>
      <c r="E71">
        <v>33</v>
      </c>
      <c r="F71">
        <v>46</v>
      </c>
      <c r="G71">
        <v>12</v>
      </c>
      <c r="H71">
        <v>8</v>
      </c>
      <c r="I71">
        <v>1</v>
      </c>
      <c r="J71">
        <v>1</v>
      </c>
      <c r="K71">
        <v>165</v>
      </c>
    </row>
    <row r="72" spans="1:11" x14ac:dyDescent="0.35">
      <c r="A72" s="4" t="s">
        <v>6</v>
      </c>
      <c r="B72">
        <v>464</v>
      </c>
      <c r="C72">
        <v>33</v>
      </c>
      <c r="D72">
        <v>205</v>
      </c>
      <c r="E72">
        <v>399</v>
      </c>
      <c r="F72">
        <v>362</v>
      </c>
      <c r="G72">
        <v>152</v>
      </c>
      <c r="H72">
        <v>123</v>
      </c>
      <c r="I72">
        <v>29</v>
      </c>
      <c r="J72">
        <v>62</v>
      </c>
      <c r="K72">
        <v>1829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1B94-AC80-4227-8D82-CD66457ADC3A}">
  <dimension ref="A1:R21"/>
  <sheetViews>
    <sheetView tabSelected="1" zoomScale="79" workbookViewId="0">
      <selection activeCell="V11" sqref="V11"/>
    </sheetView>
  </sheetViews>
  <sheetFormatPr defaultRowHeight="14.5" x14ac:dyDescent="0.35"/>
  <cols>
    <col min="9" max="9" width="9.81640625" bestFit="1" customWidth="1"/>
  </cols>
  <sheetData>
    <row r="1" spans="1:18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 s="22"/>
      <c r="K1" s="22" t="s">
        <v>14</v>
      </c>
      <c r="L1" s="22"/>
      <c r="M1" s="22"/>
      <c r="N1" s="22"/>
      <c r="O1" s="22"/>
      <c r="P1" s="22"/>
      <c r="Q1" s="22"/>
      <c r="R1" s="22"/>
    </row>
    <row r="2" spans="1:18" x14ac:dyDescent="0.35">
      <c r="A2">
        <v>1</v>
      </c>
      <c r="B2" s="5">
        <v>0.983012</v>
      </c>
      <c r="C2" s="5">
        <v>1.6383999999999999E-2</v>
      </c>
      <c r="D2" s="5">
        <v>1.01E-4</v>
      </c>
      <c r="E2" s="5">
        <v>1.01E-4</v>
      </c>
      <c r="F2" s="5">
        <v>1.01E-4</v>
      </c>
      <c r="G2" s="5">
        <v>1.01E-4</v>
      </c>
      <c r="H2" s="5">
        <v>1.01E-4</v>
      </c>
      <c r="I2" s="5">
        <v>1.01E-4</v>
      </c>
      <c r="J2" s="22"/>
      <c r="K2" s="22">
        <v>1</v>
      </c>
      <c r="L2" s="22">
        <v>2</v>
      </c>
      <c r="M2" s="22">
        <v>3</v>
      </c>
      <c r="N2" s="22">
        <v>4</v>
      </c>
      <c r="O2" s="22">
        <v>5</v>
      </c>
      <c r="P2" s="22">
        <v>6</v>
      </c>
      <c r="Q2" s="22">
        <v>7</v>
      </c>
      <c r="R2" s="22">
        <v>8</v>
      </c>
    </row>
    <row r="3" spans="1:18" x14ac:dyDescent="0.35">
      <c r="A3">
        <v>2</v>
      </c>
      <c r="B3" s="5">
        <v>1.2508999999999999E-2</v>
      </c>
      <c r="C3" s="5">
        <v>0.91544700000000001</v>
      </c>
      <c r="D3" s="5">
        <v>7.0505999999999999E-2</v>
      </c>
      <c r="E3" s="5">
        <v>1.137E-3</v>
      </c>
      <c r="F3" s="5">
        <v>1E-4</v>
      </c>
      <c r="G3" s="5">
        <v>1E-4</v>
      </c>
      <c r="H3" s="5">
        <v>1E-4</v>
      </c>
      <c r="I3" s="5">
        <v>1E-4</v>
      </c>
      <c r="J3" s="22">
        <v>1</v>
      </c>
      <c r="K3" s="23" cm="1">
        <f t="array" ref="K3:R10">MMULT(B2:I9,B2:I9)</f>
        <v>0.96651770433099971</v>
      </c>
      <c r="L3" s="23">
        <v>3.1107073195999996E-2</v>
      </c>
      <c r="M3" s="23">
        <v>1.35197648E-3</v>
      </c>
      <c r="N3" s="23">
        <v>2.21839093E-4</v>
      </c>
      <c r="O3" s="23">
        <v>1.9666485500000001E-4</v>
      </c>
      <c r="P3" s="23">
        <v>2.0399684899999999E-4</v>
      </c>
      <c r="Q3" s="23">
        <v>1.8847668400000001E-4</v>
      </c>
      <c r="R3" s="23">
        <v>2.1627865100000003E-4</v>
      </c>
    </row>
    <row r="4" spans="1:18" x14ac:dyDescent="0.35">
      <c r="A4">
        <v>3</v>
      </c>
      <c r="B4" s="5">
        <v>1.1310000000000001E-3</v>
      </c>
      <c r="C4" s="5">
        <v>2.4882000000000001E-2</v>
      </c>
      <c r="D4" s="5">
        <v>0.92176100000000005</v>
      </c>
      <c r="E4" s="5">
        <v>4.8066999999999999E-2</v>
      </c>
      <c r="F4" s="5">
        <v>2.8270000000000001E-3</v>
      </c>
      <c r="G4" s="5">
        <v>1.1310000000000001E-3</v>
      </c>
      <c r="H4" s="5">
        <v>1E-4</v>
      </c>
      <c r="I4" s="5">
        <v>1E-4</v>
      </c>
      <c r="J4" s="22">
        <v>2</v>
      </c>
      <c r="K4" s="23">
        <v>2.3827719617E-2</v>
      </c>
      <c r="L4" s="23">
        <v>0.84000279705700009</v>
      </c>
      <c r="M4" s="23">
        <v>0.12957571737899998</v>
      </c>
      <c r="N4" s="23">
        <v>5.4642339780000002E-3</v>
      </c>
      <c r="O4" s="23">
        <v>4.4275327799999997E-4</v>
      </c>
      <c r="P4" s="23">
        <v>2.8297365499999999E-4</v>
      </c>
      <c r="Q4" s="23">
        <v>1.87188182E-4</v>
      </c>
      <c r="R4" s="23">
        <v>2.1471488200000002E-4</v>
      </c>
    </row>
    <row r="5" spans="1:18" x14ac:dyDescent="0.35">
      <c r="A5">
        <v>4</v>
      </c>
      <c r="B5" s="5">
        <v>1E-4</v>
      </c>
      <c r="C5" s="5">
        <v>1E-4</v>
      </c>
      <c r="D5" s="5">
        <v>3.4605999999999998E-2</v>
      </c>
      <c r="E5" s="5">
        <v>0.901644</v>
      </c>
      <c r="F5" s="5">
        <v>5.4110999999999999E-2</v>
      </c>
      <c r="G5" s="5">
        <v>8.1799999999999998E-3</v>
      </c>
      <c r="H5" s="5">
        <v>6.29E-4</v>
      </c>
      <c r="I5" s="5">
        <v>6.29E-4</v>
      </c>
      <c r="J5" s="22">
        <v>3</v>
      </c>
      <c r="K5" s="23">
        <v>2.4707697010000001E-3</v>
      </c>
      <c r="L5" s="23">
        <v>4.5738924358000005E-2</v>
      </c>
      <c r="M5" s="23">
        <v>0.85308102282900022</v>
      </c>
      <c r="N5" s="23">
        <v>8.7886291906000003E-2</v>
      </c>
      <c r="O5" s="23">
        <v>7.5562496600000001E-3</v>
      </c>
      <c r="P5" s="23">
        <v>2.6648750170000001E-3</v>
      </c>
      <c r="Q5" s="23">
        <v>3.2215982299999999E-4</v>
      </c>
      <c r="R5" s="23">
        <v>2.7777708500000003E-4</v>
      </c>
    </row>
    <row r="6" spans="1:18" x14ac:dyDescent="0.35">
      <c r="A6">
        <v>5</v>
      </c>
      <c r="B6" s="5">
        <v>1E-4</v>
      </c>
      <c r="C6" s="5">
        <v>1E-4</v>
      </c>
      <c r="D6" s="5">
        <v>5.6810000000000003E-3</v>
      </c>
      <c r="E6" s="5">
        <v>7.2428999999999993E-2</v>
      </c>
      <c r="F6" s="5">
        <v>0.80097600000000002</v>
      </c>
      <c r="G6" s="5">
        <v>9.7991999999999996E-2</v>
      </c>
      <c r="H6" s="5">
        <v>1.4201999999999999E-2</v>
      </c>
      <c r="I6" s="5">
        <v>8.5210000000000008E-3</v>
      </c>
      <c r="J6" s="22">
        <v>4</v>
      </c>
      <c r="K6" s="23">
        <v>2.3521078600000005E-4</v>
      </c>
      <c r="L6" s="23">
        <v>1.0635133319999996E-3</v>
      </c>
      <c r="M6" s="23">
        <v>6.3442469400999998E-2</v>
      </c>
      <c r="N6" s="23">
        <v>0.81859902249700001</v>
      </c>
      <c r="O6" s="23">
        <v>9.2823359275999995E-2</v>
      </c>
      <c r="P6" s="23">
        <v>1.9577087675E-2</v>
      </c>
      <c r="Q6" s="23">
        <v>2.4008594819999998E-3</v>
      </c>
      <c r="R6" s="23">
        <v>1.8569729119999997E-3</v>
      </c>
    </row>
    <row r="7" spans="1:18" x14ac:dyDescent="0.35">
      <c r="A7">
        <v>6</v>
      </c>
      <c r="B7" s="5">
        <v>1E-4</v>
      </c>
      <c r="C7" s="5">
        <v>1.658E-3</v>
      </c>
      <c r="D7" s="5">
        <v>3.3159999999999999E-3</v>
      </c>
      <c r="E7" s="5">
        <v>6.633E-3</v>
      </c>
      <c r="F7" s="5">
        <v>7.1303000000000005E-2</v>
      </c>
      <c r="G7" s="5">
        <v>0.83242099999999997</v>
      </c>
      <c r="H7" s="5">
        <v>6.9644999999999999E-2</v>
      </c>
      <c r="I7" s="5">
        <v>1.4924E-2</v>
      </c>
      <c r="J7" s="22">
        <v>5</v>
      </c>
      <c r="K7" s="23">
        <v>2.0538931100000003E-4</v>
      </c>
      <c r="L7" s="23">
        <v>4.8662127799999999E-4</v>
      </c>
      <c r="M7" s="23">
        <v>1.2627621343E-2</v>
      </c>
      <c r="N7" s="23">
        <v>0.12424450964299999</v>
      </c>
      <c r="O7" s="23">
        <v>0.65275034061000003</v>
      </c>
      <c r="P7" s="23">
        <v>0.161805891481</v>
      </c>
      <c r="Q7" s="23">
        <v>2.9356427824999996E-2</v>
      </c>
      <c r="R7" s="23">
        <v>1.8530034075E-2</v>
      </c>
    </row>
    <row r="8" spans="1:18" x14ac:dyDescent="0.35">
      <c r="A8">
        <v>7</v>
      </c>
      <c r="B8" s="5">
        <v>1E-4</v>
      </c>
      <c r="C8" s="5">
        <v>1E-4</v>
      </c>
      <c r="D8" s="5">
        <v>1E-4</v>
      </c>
      <c r="E8" s="5">
        <v>1E-4</v>
      </c>
      <c r="F8" s="5">
        <v>1.8626E-2</v>
      </c>
      <c r="G8" s="5">
        <v>8.0712999999999993E-2</v>
      </c>
      <c r="H8" s="5">
        <v>0.78229599999999999</v>
      </c>
      <c r="I8" s="5">
        <v>0.117965</v>
      </c>
      <c r="J8" s="22">
        <v>6</v>
      </c>
      <c r="K8" s="23">
        <v>2.2228411799999999E-4</v>
      </c>
      <c r="L8" s="23">
        <v>2.9983627560000001E-3</v>
      </c>
      <c r="M8" s="23">
        <v>6.5768474009999999E-3</v>
      </c>
      <c r="N8" s="23">
        <v>1.6836200450000002E-2</v>
      </c>
      <c r="O8" s="23">
        <v>0.11813327495600001</v>
      </c>
      <c r="P8" s="23">
        <v>0.70559277833799994</v>
      </c>
      <c r="Q8" s="23">
        <v>0.11347429032799999</v>
      </c>
      <c r="R8" s="23">
        <v>3.6174975949000002E-2</v>
      </c>
    </row>
    <row r="9" spans="1:18" x14ac:dyDescent="0.35">
      <c r="A9">
        <v>8</v>
      </c>
      <c r="B9" s="5">
        <v>1E-4</v>
      </c>
      <c r="C9" s="5">
        <v>1E-4</v>
      </c>
      <c r="D9" s="5">
        <v>1E-4</v>
      </c>
      <c r="E9" s="5">
        <v>1E-4</v>
      </c>
      <c r="F9" s="5">
        <v>1E-4</v>
      </c>
      <c r="G9" s="5">
        <v>1E-4</v>
      </c>
      <c r="H9" s="5">
        <v>0</v>
      </c>
      <c r="I9" s="5">
        <v>1</v>
      </c>
      <c r="J9" s="22">
        <v>7</v>
      </c>
      <c r="K9" s="23">
        <v>1.996352E-4</v>
      </c>
      <c r="L9" s="23">
        <v>3.2139215400000002E-4</v>
      </c>
      <c r="M9" s="23">
        <v>5.661821139999999E-4</v>
      </c>
      <c r="N9" s="23">
        <v>2.0695528829999996E-3</v>
      </c>
      <c r="O9" s="23">
        <v>3.5262613711E-2</v>
      </c>
      <c r="P9" s="23">
        <v>0.13216659991299998</v>
      </c>
      <c r="Q9" s="23">
        <v>0.61787290795299998</v>
      </c>
      <c r="R9" s="23">
        <v>0.21161191359800002</v>
      </c>
    </row>
    <row r="10" spans="1:18" x14ac:dyDescent="0.35">
      <c r="J10" s="22">
        <v>8</v>
      </c>
      <c r="K10" s="23">
        <v>1.9969519999999999E-4</v>
      </c>
      <c r="L10" s="23">
        <v>1.958571E-4</v>
      </c>
      <c r="M10" s="23">
        <v>2.035971E-4</v>
      </c>
      <c r="N10" s="23">
        <v>2.030011E-4</v>
      </c>
      <c r="O10" s="23">
        <v>1.9294180000000002E-4</v>
      </c>
      <c r="P10" s="23">
        <v>1.9399250000000002E-4</v>
      </c>
      <c r="Q10" s="23">
        <v>8.4777000000000002E-6</v>
      </c>
      <c r="R10" s="23">
        <v>1.0000024375000001</v>
      </c>
    </row>
    <row r="12" spans="1:18" x14ac:dyDescent="0.35">
      <c r="K12" t="s">
        <v>36</v>
      </c>
    </row>
    <row r="13" spans="1:18" x14ac:dyDescent="0.35">
      <c r="K13">
        <v>1</v>
      </c>
      <c r="L13">
        <v>2</v>
      </c>
      <c r="M13">
        <v>3</v>
      </c>
      <c r="N13">
        <v>4</v>
      </c>
      <c r="O13">
        <v>5</v>
      </c>
      <c r="P13">
        <v>6</v>
      </c>
      <c r="Q13">
        <v>7</v>
      </c>
      <c r="R13">
        <v>8</v>
      </c>
    </row>
    <row r="14" spans="1:18" x14ac:dyDescent="0.35">
      <c r="J14">
        <v>1</v>
      </c>
      <c r="K14" s="5" cm="1">
        <f t="array" ref="K14:R21">MMULT(B2:I9,_xlfn.ANCHORARRAY(K3))</f>
        <v>0.95048925175944543</v>
      </c>
      <c r="L14" s="5">
        <v>4.4346363335297019E-2</v>
      </c>
      <c r="M14" s="5">
        <v>3.5465639288542834E-3</v>
      </c>
      <c r="N14" s="5">
        <v>4.1363019641004709E-4</v>
      </c>
      <c r="O14" s="5">
        <v>2.9215657893132504E-4</v>
      </c>
      <c r="P14" s="5">
        <v>3.0838971461003196E-4</v>
      </c>
      <c r="Q14" s="5">
        <v>2.6544868070030699E-4</v>
      </c>
      <c r="R14" s="5">
        <v>3.4423626312651899E-4</v>
      </c>
    </row>
    <row r="15" spans="1:18" x14ac:dyDescent="0.35">
      <c r="J15">
        <v>2</v>
      </c>
      <c r="K15" s="5">
        <v>3.4077738627285567E-2</v>
      </c>
      <c r="L15" s="5">
        <v>0.77259363697482086</v>
      </c>
      <c r="M15" s="5">
        <v>0.17885807572932794</v>
      </c>
      <c r="N15" s="5">
        <v>1.2146584899783628E-2</v>
      </c>
      <c r="O15" s="5">
        <v>1.1267122558889326E-3</v>
      </c>
      <c r="P15" s="5">
        <v>5.7172393299120296E-4</v>
      </c>
      <c r="Q15" s="5">
        <v>2.7523370257958197E-4</v>
      </c>
      <c r="R15" s="5">
        <v>3.4759378969576705E-4</v>
      </c>
    </row>
    <row r="16" spans="1:18" x14ac:dyDescent="0.35">
      <c r="J16">
        <v>3</v>
      </c>
      <c r="K16" s="5">
        <v>3.9756498422823337E-3</v>
      </c>
      <c r="L16" s="5">
        <v>6.3152426798195979E-2</v>
      </c>
      <c r="M16" s="5">
        <v>0.79265515162367184</v>
      </c>
      <c r="N16" s="5">
        <v>0.12086447572465255</v>
      </c>
      <c r="O16" s="5">
        <v>1.3420515170615762E-2</v>
      </c>
      <c r="P16" s="5">
        <v>4.673348151497456E-3</v>
      </c>
      <c r="Q16" s="5">
        <v>6.9034543919126818E-4</v>
      </c>
      <c r="R16" s="5">
        <v>5.6535008669413814E-4</v>
      </c>
    </row>
    <row r="17" spans="10:18" x14ac:dyDescent="0.35">
      <c r="J17">
        <v>4</v>
      </c>
      <c r="K17" s="5">
        <v>4.0979767651415101E-4</v>
      </c>
      <c r="L17" s="5">
        <v>2.6800461391747596E-3</v>
      </c>
      <c r="M17" s="5">
        <v>8.7474912547358383E-2</v>
      </c>
      <c r="N17" s="5">
        <v>0.74798900288271997</v>
      </c>
      <c r="O17" s="5">
        <v>0.12026478588290121</v>
      </c>
      <c r="P17" s="5">
        <v>3.2354315334887411E-2</v>
      </c>
      <c r="Q17" s="5">
        <v>5.0812795286070975E-3</v>
      </c>
      <c r="R17" s="5">
        <v>3.7446797413599247E-3</v>
      </c>
    </row>
    <row r="18" spans="10:18" x14ac:dyDescent="0.35">
      <c r="J18">
        <v>5</v>
      </c>
      <c r="K18" s="5">
        <v>3.2093786305356702E-4</v>
      </c>
      <c r="L18" s="5">
        <v>1.113803861100014E-3</v>
      </c>
      <c r="M18" s="5">
        <v>2.0223196508944163E-2</v>
      </c>
      <c r="N18" s="5">
        <v>0.16098796410478569</v>
      </c>
      <c r="O18" s="5">
        <v>0.54168201048205844</v>
      </c>
      <c r="P18" s="5">
        <v>0.20205690306707422</v>
      </c>
      <c r="Q18" s="5">
        <v>4.3584229676471624E-2</v>
      </c>
      <c r="R18" s="5">
        <v>3.0049423825324335E-2</v>
      </c>
    </row>
    <row r="19" spans="10:18" x14ac:dyDescent="0.35">
      <c r="J19">
        <v>6</v>
      </c>
      <c r="K19" s="5">
        <v>3.6247404153085097E-4</v>
      </c>
      <c r="L19" s="5">
        <v>4.1104639105656298E-3</v>
      </c>
      <c r="M19" s="5">
        <v>9.8821657197578593E-3</v>
      </c>
      <c r="N19" s="5">
        <v>2.8751256828844933E-2</v>
      </c>
      <c r="O19" s="5">
        <v>0.1479799282213598</v>
      </c>
      <c r="P19" s="5">
        <v>0.60823431073028644</v>
      </c>
      <c r="Q19" s="5">
        <v>0.13960079118650287</v>
      </c>
      <c r="R19" s="5">
        <v>6.1109420809153575E-2</v>
      </c>
    </row>
    <row r="20" spans="10:18" x14ac:dyDescent="0.35">
      <c r="J20">
        <v>7</v>
      </c>
      <c r="K20" s="5">
        <v>3.0080280245352E-4</v>
      </c>
      <c r="L20" s="5">
        <v>6.173899711504401E-4</v>
      </c>
      <c r="M20" s="5">
        <v>1.337723612975775E-3</v>
      </c>
      <c r="N20" s="5">
        <v>5.407245589199635E-3</v>
      </c>
      <c r="O20" s="5">
        <v>4.9311682803529842E-2</v>
      </c>
      <c r="P20" s="5">
        <v>0.16338286611684241</v>
      </c>
      <c r="Q20" s="5">
        <v>0.49306645756020995</v>
      </c>
      <c r="R20" s="5">
        <v>0.28677362892255409</v>
      </c>
    </row>
    <row r="21" spans="10:18" x14ac:dyDescent="0.35">
      <c r="J21">
        <v>8</v>
      </c>
      <c r="K21" s="5">
        <v>2.9904310778639995E-4</v>
      </c>
      <c r="L21" s="5">
        <v>2.8799682919770003E-4</v>
      </c>
      <c r="M21" s="5">
        <v>3.1026266548330004E-4</v>
      </c>
      <c r="N21" s="5">
        <v>3.0832630975669999E-4</v>
      </c>
      <c r="O21" s="5">
        <v>2.8013206426350001E-4</v>
      </c>
      <c r="P21" s="5">
        <v>2.8300526030149999E-4</v>
      </c>
      <c r="Q21" s="5">
        <v>2.3070640232400001E-5</v>
      </c>
      <c r="R21" s="5">
        <v>1.0000081645753556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AD56-A664-4043-B312-2E321B8DC176}">
  <dimension ref="B1:L9"/>
  <sheetViews>
    <sheetView topLeftCell="A7" zoomScale="82" workbookViewId="0">
      <selection activeCell="C11" sqref="C11"/>
    </sheetView>
  </sheetViews>
  <sheetFormatPr defaultRowHeight="14.5" x14ac:dyDescent="0.35"/>
  <cols>
    <col min="2" max="2" width="15.81640625" customWidth="1"/>
    <col min="3" max="3" width="14.26953125" customWidth="1"/>
    <col min="4" max="4" width="14.6328125" customWidth="1"/>
    <col min="6" max="6" width="13.6328125" customWidth="1"/>
    <col min="7" max="7" width="10.54296875" customWidth="1"/>
    <col min="8" max="8" width="9.6328125" customWidth="1"/>
    <col min="11" max="11" width="14.08984375" customWidth="1"/>
    <col min="12" max="12" width="8.7265625" customWidth="1"/>
  </cols>
  <sheetData>
    <row r="1" spans="2:12" x14ac:dyDescent="0.35">
      <c r="B1" t="s">
        <v>15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24</v>
      </c>
    </row>
    <row r="2" spans="2:12" x14ac:dyDescent="0.35">
      <c r="B2" s="5">
        <v>1.01E-4</v>
      </c>
      <c r="C2" s="5">
        <v>1.01E-4</v>
      </c>
      <c r="D2" s="5">
        <f>C2</f>
        <v>1.01E-4</v>
      </c>
      <c r="E2" s="5">
        <f>1-D2</f>
        <v>0.99989899999999998</v>
      </c>
      <c r="F2" s="5">
        <f>AVERAGE($B$2:$B$9)</f>
        <v>0.14279249999999999</v>
      </c>
      <c r="G2">
        <f>_xlfn.NORM.S.INV(B2)</f>
        <v>-3.7165020536151836</v>
      </c>
      <c r="H2">
        <f>($L$5-G2*SQRT(1-$L$4))/SQRT($L$4)</f>
        <v>0.85291530870533072</v>
      </c>
      <c r="K2" t="s">
        <v>20</v>
      </c>
      <c r="L2">
        <f>AVERAGE(G2:G8)</f>
        <v>-2.8747215484501578</v>
      </c>
    </row>
    <row r="3" spans="2:12" x14ac:dyDescent="0.35">
      <c r="B3" s="5">
        <v>1E-4</v>
      </c>
      <c r="C3" s="5">
        <v>1E-4</v>
      </c>
      <c r="D3" s="5">
        <f>C3*E2</f>
        <v>9.9989900000000003E-5</v>
      </c>
      <c r="E3" s="5">
        <f>1-SUM(D2:D3)</f>
        <v>0.99979901010000005</v>
      </c>
      <c r="F3" s="5">
        <f t="shared" ref="F3:F9" si="0">AVERAGE($B$2:$B$9)</f>
        <v>0.14279249999999999</v>
      </c>
      <c r="G3">
        <f t="shared" ref="G3:G8" si="1">_xlfn.NORM.S.INV(B3)</f>
        <v>-3.71901648545568</v>
      </c>
      <c r="H3">
        <f t="shared" ref="H3:H9" si="2">($L$5-G3*SQRT(1-$L$4))/SQRT($L$4)</f>
        <v>0.85546300064675329</v>
      </c>
      <c r="K3" t="s">
        <v>21</v>
      </c>
      <c r="L3">
        <f>_xlfn.STDEV.S(G2:G8)</f>
        <v>0.98694500681760955</v>
      </c>
    </row>
    <row r="4" spans="2:12" x14ac:dyDescent="0.35">
      <c r="B4" s="5">
        <v>1E-4</v>
      </c>
      <c r="C4" s="5">
        <v>1E-4</v>
      </c>
      <c r="D4" s="5">
        <f>C4*E3</f>
        <v>9.9979901010000007E-5</v>
      </c>
      <c r="E4" s="5">
        <f>1-SUM(D2:D4)</f>
        <v>0.99969903019898998</v>
      </c>
      <c r="F4" s="5">
        <f t="shared" si="0"/>
        <v>0.14279249999999999</v>
      </c>
      <c r="G4">
        <f t="shared" si="1"/>
        <v>-3.71901648545568</v>
      </c>
      <c r="H4">
        <f t="shared" si="2"/>
        <v>0.85546300064675329</v>
      </c>
      <c r="K4" t="s">
        <v>22</v>
      </c>
      <c r="L4">
        <f>L3^2/(1+L3^2)</f>
        <v>0.49342989887568711</v>
      </c>
    </row>
    <row r="5" spans="2:12" x14ac:dyDescent="0.35">
      <c r="B5" s="5">
        <v>6.29E-4</v>
      </c>
      <c r="C5" s="5">
        <v>6.29E-4</v>
      </c>
      <c r="D5" s="5">
        <f>C5*E4</f>
        <v>6.2881068999516467E-4</v>
      </c>
      <c r="E5" s="5">
        <f>1-SUM(D2:D5)</f>
        <v>0.99907021950899488</v>
      </c>
      <c r="F5" s="5">
        <f t="shared" si="0"/>
        <v>0.14279249999999999</v>
      </c>
      <c r="G5">
        <f t="shared" si="1"/>
        <v>-3.2253926592135667</v>
      </c>
      <c r="H5">
        <f t="shared" si="2"/>
        <v>0.3553096761633594</v>
      </c>
      <c r="K5" t="s">
        <v>23</v>
      </c>
      <c r="L5">
        <f>L2*SQRT(1-L4)</f>
        <v>-2.0460467892527689</v>
      </c>
    </row>
    <row r="6" spans="2:12" x14ac:dyDescent="0.35">
      <c r="B6" s="5">
        <v>8.5210000000000008E-3</v>
      </c>
      <c r="C6" s="5">
        <v>8.5210000000000008E-3</v>
      </c>
      <c r="D6" s="5">
        <f>C6*E5</f>
        <v>8.5130773404361454E-3</v>
      </c>
      <c r="E6" s="5">
        <f>1-SUM(D2:D6)</f>
        <v>0.99055714216855872</v>
      </c>
      <c r="F6" s="5">
        <f t="shared" si="0"/>
        <v>0.14279249999999999</v>
      </c>
      <c r="G6">
        <f t="shared" si="1"/>
        <v>-2.3858003511690917</v>
      </c>
      <c r="H6">
        <f t="shared" si="2"/>
        <v>-0.49538849064912505</v>
      </c>
    </row>
    <row r="7" spans="2:12" x14ac:dyDescent="0.35">
      <c r="B7" s="5">
        <v>1.4924E-2</v>
      </c>
      <c r="C7" s="5">
        <v>1.4924E-2</v>
      </c>
      <c r="D7" s="5">
        <f t="shared" ref="D7" si="3">C7*E6</f>
        <v>1.478307478972357E-2</v>
      </c>
      <c r="E7" s="5">
        <f t="shared" ref="E7" si="4">1-SUM(D6:D7)</f>
        <v>0.97670384786984032</v>
      </c>
      <c r="F7" s="5">
        <f t="shared" si="0"/>
        <v>0.14279249999999999</v>
      </c>
      <c r="G7">
        <f t="shared" si="1"/>
        <v>-2.172101604355313</v>
      </c>
      <c r="H7">
        <f t="shared" si="2"/>
        <v>-0.71191397620059194</v>
      </c>
    </row>
    <row r="8" spans="2:12" x14ac:dyDescent="0.35">
      <c r="B8" s="5">
        <v>0.117965</v>
      </c>
      <c r="C8" s="5">
        <v>0.117965</v>
      </c>
      <c r="D8" s="5">
        <f>C8*E7</f>
        <v>0.11521686941396571</v>
      </c>
      <c r="E8" s="5">
        <f>1-SUM(D2:D8)</f>
        <v>0.8605571979648694</v>
      </c>
      <c r="F8" s="5">
        <f t="shared" si="0"/>
        <v>0.14279249999999999</v>
      </c>
      <c r="G8">
        <f t="shared" si="1"/>
        <v>-1.1852211998865905</v>
      </c>
      <c r="H8">
        <f t="shared" si="2"/>
        <v>-1.7118485193124768</v>
      </c>
    </row>
    <row r="9" spans="2:12" x14ac:dyDescent="0.35">
      <c r="B9" s="5">
        <v>1</v>
      </c>
      <c r="C9" s="5">
        <v>1</v>
      </c>
      <c r="D9" s="5">
        <f t="shared" ref="D9" si="5">C9*E8</f>
        <v>0.8605571979648694</v>
      </c>
      <c r="E9" s="5">
        <f>1-SUM(D2:D9)</f>
        <v>0</v>
      </c>
      <c r="F9" s="5">
        <f t="shared" si="0"/>
        <v>0.14279249999999999</v>
      </c>
      <c r="H9">
        <f t="shared" si="2"/>
        <v>-2.912747446506323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C0EC-40D8-4A63-80FD-93F219B4285D}">
  <dimension ref="A1:M33"/>
  <sheetViews>
    <sheetView zoomScale="81" workbookViewId="0">
      <selection activeCell="C16" sqref="C16"/>
    </sheetView>
  </sheetViews>
  <sheetFormatPr defaultRowHeight="14.5" x14ac:dyDescent="0.35"/>
  <cols>
    <col min="1" max="1" width="11.08984375" customWidth="1"/>
    <col min="2" max="2" width="11.81640625" bestFit="1" customWidth="1"/>
    <col min="3" max="3" width="14.453125" customWidth="1"/>
    <col min="10" max="10" width="13.6328125" customWidth="1"/>
    <col min="11" max="11" width="12.08984375" customWidth="1"/>
    <col min="12" max="12" width="23.6328125" customWidth="1"/>
    <col min="13" max="13" width="25.26953125" customWidth="1"/>
  </cols>
  <sheetData>
    <row r="1" spans="1:13" x14ac:dyDescent="0.35">
      <c r="A1" s="8" t="s">
        <v>37</v>
      </c>
      <c r="B1" s="8"/>
    </row>
    <row r="2" spans="1:13" x14ac:dyDescent="0.35">
      <c r="A2" t="s">
        <v>38</v>
      </c>
    </row>
    <row r="4" spans="1:13" x14ac:dyDescent="0.35">
      <c r="A4" s="9" t="s">
        <v>39</v>
      </c>
      <c r="B4" s="5">
        <v>1.01E-4</v>
      </c>
      <c r="I4" s="12" t="s">
        <v>57</v>
      </c>
      <c r="J4" s="12" t="s">
        <v>58</v>
      </c>
      <c r="K4" s="12" t="s">
        <v>59</v>
      </c>
      <c r="L4" s="12" t="s">
        <v>60</v>
      </c>
      <c r="M4" s="12" t="s">
        <v>61</v>
      </c>
    </row>
    <row r="5" spans="1:13" x14ac:dyDescent="0.35">
      <c r="A5" s="9" t="s">
        <v>40</v>
      </c>
      <c r="B5" s="6">
        <f>_xlfn.NORM.S.INV(B4)</f>
        <v>-3.7165020536151836</v>
      </c>
      <c r="I5" s="12" t="s">
        <v>62</v>
      </c>
      <c r="J5" s="12" t="s">
        <v>63</v>
      </c>
      <c r="K5" s="12" t="s">
        <v>64</v>
      </c>
      <c r="L5" s="12" t="s">
        <v>65</v>
      </c>
      <c r="M5" s="12" t="s">
        <v>66</v>
      </c>
    </row>
    <row r="6" spans="1:13" x14ac:dyDescent="0.35">
      <c r="A6" s="9" t="s">
        <v>41</v>
      </c>
      <c r="B6" s="10">
        <v>0.2</v>
      </c>
    </row>
    <row r="7" spans="1:13" x14ac:dyDescent="0.35">
      <c r="A7" s="9" t="s">
        <v>42</v>
      </c>
      <c r="B7" s="6">
        <f>SQRT(B6)</f>
        <v>0.44721359549995793</v>
      </c>
    </row>
    <row r="8" spans="1:13" x14ac:dyDescent="0.35">
      <c r="A8" s="9" t="s">
        <v>43</v>
      </c>
      <c r="B8" s="6">
        <v>0.85291530870533072</v>
      </c>
    </row>
    <row r="9" spans="1:13" x14ac:dyDescent="0.35">
      <c r="A9" s="9" t="s">
        <v>44</v>
      </c>
      <c r="B9" s="6">
        <f>SQRT(1-B6)</f>
        <v>0.89442719099991586</v>
      </c>
    </row>
    <row r="10" spans="1:13" x14ac:dyDescent="0.35">
      <c r="A10" s="9" t="s">
        <v>45</v>
      </c>
      <c r="B10" s="6">
        <f>B5-B8*B7</f>
        <v>-4.0979373754782511</v>
      </c>
    </row>
    <row r="11" spans="1:13" x14ac:dyDescent="0.35">
      <c r="A11" s="9" t="s">
        <v>46</v>
      </c>
      <c r="B11" s="6">
        <f>B9</f>
        <v>0.89442719099991586</v>
      </c>
    </row>
    <row r="12" spans="1:13" x14ac:dyDescent="0.35">
      <c r="A12" s="9" t="s">
        <v>47</v>
      </c>
      <c r="B12" s="6">
        <f>B10/B11</f>
        <v>-4.5816332695532251</v>
      </c>
    </row>
    <row r="13" spans="1:13" x14ac:dyDescent="0.35">
      <c r="A13" s="9" t="s">
        <v>48</v>
      </c>
      <c r="B13" s="6">
        <f>_xlfn.NORM.S.DIST(B12,TRUE)</f>
        <v>2.3067922132423358E-6</v>
      </c>
    </row>
    <row r="15" spans="1:13" x14ac:dyDescent="0.35">
      <c r="B15" s="11" t="s">
        <v>49</v>
      </c>
      <c r="C15" s="11" t="s">
        <v>50</v>
      </c>
      <c r="D15" s="11" t="s">
        <v>51</v>
      </c>
      <c r="E15" s="11" t="s">
        <v>52</v>
      </c>
      <c r="F15" s="11" t="s">
        <v>53</v>
      </c>
      <c r="G15" s="11" t="s">
        <v>54</v>
      </c>
      <c r="H15" s="11" t="s">
        <v>55</v>
      </c>
      <c r="I15" s="13" t="s">
        <v>56</v>
      </c>
      <c r="J15" s="8"/>
    </row>
    <row r="16" spans="1:13" x14ac:dyDescent="0.35">
      <c r="A16" s="11" t="s">
        <v>49</v>
      </c>
      <c r="B16" s="5">
        <v>0.983012</v>
      </c>
      <c r="C16" s="5">
        <v>1.6383999999999999E-2</v>
      </c>
      <c r="D16" s="5">
        <v>1.01E-4</v>
      </c>
      <c r="E16" s="5">
        <v>1.01E-4</v>
      </c>
      <c r="F16" s="5">
        <v>1.01E-4</v>
      </c>
      <c r="G16" s="5">
        <v>1.01E-4</v>
      </c>
      <c r="H16" s="5">
        <v>1.01E-4</v>
      </c>
      <c r="I16" s="5">
        <v>1.01E-4</v>
      </c>
    </row>
    <row r="17" spans="1:9" x14ac:dyDescent="0.35">
      <c r="A17" s="11" t="s">
        <v>50</v>
      </c>
      <c r="B17" s="5">
        <v>1.2508999999999999E-2</v>
      </c>
      <c r="C17" s="5">
        <v>0.91544700000000001</v>
      </c>
      <c r="D17" s="5">
        <v>7.0505999999999999E-2</v>
      </c>
      <c r="E17" s="5">
        <v>1.137E-3</v>
      </c>
      <c r="F17" s="5">
        <v>1E-4</v>
      </c>
      <c r="G17" s="5">
        <v>1E-4</v>
      </c>
      <c r="H17" s="5">
        <v>1E-4</v>
      </c>
      <c r="I17" s="5">
        <v>1E-4</v>
      </c>
    </row>
    <row r="18" spans="1:9" x14ac:dyDescent="0.35">
      <c r="A18" s="11" t="s">
        <v>51</v>
      </c>
      <c r="B18" s="5">
        <v>1.1310000000000001E-3</v>
      </c>
      <c r="C18" s="5">
        <v>2.4882000000000001E-2</v>
      </c>
      <c r="D18" s="5">
        <v>0.92176100000000005</v>
      </c>
      <c r="E18" s="5">
        <v>4.8066999999999999E-2</v>
      </c>
      <c r="F18" s="5">
        <v>2.8270000000000001E-3</v>
      </c>
      <c r="G18" s="5">
        <v>1.1310000000000001E-3</v>
      </c>
      <c r="H18" s="5">
        <v>1E-4</v>
      </c>
      <c r="I18" s="5">
        <v>1E-4</v>
      </c>
    </row>
    <row r="19" spans="1:9" x14ac:dyDescent="0.35">
      <c r="A19" s="11" t="s">
        <v>52</v>
      </c>
      <c r="B19" s="5">
        <v>1E-4</v>
      </c>
      <c r="C19" s="5">
        <v>1E-4</v>
      </c>
      <c r="D19" s="5">
        <v>3.4605999999999998E-2</v>
      </c>
      <c r="E19" s="5">
        <v>0.901644</v>
      </c>
      <c r="F19" s="5">
        <v>5.4110999999999999E-2</v>
      </c>
      <c r="G19" s="5">
        <v>8.1799999999999998E-3</v>
      </c>
      <c r="H19" s="5">
        <v>6.29E-4</v>
      </c>
      <c r="I19" s="5">
        <v>6.29E-4</v>
      </c>
    </row>
    <row r="20" spans="1:9" x14ac:dyDescent="0.35">
      <c r="A20" s="11" t="s">
        <v>53</v>
      </c>
      <c r="B20" s="5">
        <v>1E-4</v>
      </c>
      <c r="C20" s="5">
        <v>1E-4</v>
      </c>
      <c r="D20" s="5">
        <v>5.6810000000000003E-3</v>
      </c>
      <c r="E20" s="5">
        <v>7.2428999999999993E-2</v>
      </c>
      <c r="F20" s="5">
        <v>0.80097600000000002</v>
      </c>
      <c r="G20" s="5">
        <v>9.7991999999999996E-2</v>
      </c>
      <c r="H20" s="5">
        <v>1.4201999999999999E-2</v>
      </c>
      <c r="I20" s="5">
        <v>8.5210000000000008E-3</v>
      </c>
    </row>
    <row r="21" spans="1:9" x14ac:dyDescent="0.35">
      <c r="A21" s="11" t="s">
        <v>54</v>
      </c>
      <c r="B21" s="5">
        <v>1E-4</v>
      </c>
      <c r="C21" s="5">
        <v>1.658E-3</v>
      </c>
      <c r="D21" s="5">
        <v>3.3159999999999999E-3</v>
      </c>
      <c r="E21" s="5">
        <v>6.633E-3</v>
      </c>
      <c r="F21" s="5">
        <v>7.1303000000000005E-2</v>
      </c>
      <c r="G21" s="5">
        <v>0.83242099999999997</v>
      </c>
      <c r="H21" s="5">
        <v>6.9644999999999999E-2</v>
      </c>
      <c r="I21" s="5">
        <v>1.4924E-2</v>
      </c>
    </row>
    <row r="22" spans="1:9" x14ac:dyDescent="0.35">
      <c r="A22" s="11" t="s">
        <v>55</v>
      </c>
      <c r="B22" s="5">
        <v>1E-4</v>
      </c>
      <c r="C22" s="5">
        <v>1E-4</v>
      </c>
      <c r="D22" s="5">
        <v>1E-4</v>
      </c>
      <c r="E22" s="5">
        <v>1E-4</v>
      </c>
      <c r="F22" s="5">
        <v>1.8626E-2</v>
      </c>
      <c r="G22" s="5">
        <v>8.0712999999999993E-2</v>
      </c>
      <c r="H22" s="5">
        <v>0.78229599999999999</v>
      </c>
      <c r="I22" s="5">
        <v>0.117965</v>
      </c>
    </row>
    <row r="23" spans="1:9" x14ac:dyDescent="0.35">
      <c r="A23" s="14" t="s">
        <v>56</v>
      </c>
      <c r="B23" s="5">
        <v>1E-4</v>
      </c>
      <c r="C23" s="5">
        <v>1E-4</v>
      </c>
      <c r="D23" s="5">
        <v>1E-4</v>
      </c>
      <c r="E23" s="5">
        <v>1E-4</v>
      </c>
      <c r="F23" s="5">
        <v>1E-4</v>
      </c>
      <c r="G23" s="5">
        <v>1E-4</v>
      </c>
      <c r="H23" s="5">
        <v>0</v>
      </c>
      <c r="I23" s="5">
        <v>1</v>
      </c>
    </row>
    <row r="24" spans="1:9" x14ac:dyDescent="0.35">
      <c r="A24" s="8"/>
    </row>
    <row r="25" spans="1:9" x14ac:dyDescent="0.35">
      <c r="C25" s="8" t="s">
        <v>67</v>
      </c>
      <c r="D25" s="8" t="s">
        <v>68</v>
      </c>
    </row>
    <row r="26" spans="1:9" x14ac:dyDescent="0.35">
      <c r="B26" s="11" t="s">
        <v>56</v>
      </c>
      <c r="C26" s="5">
        <f>I22</f>
        <v>0.117965</v>
      </c>
      <c r="D26" s="5"/>
    </row>
    <row r="27" spans="1:9" x14ac:dyDescent="0.35">
      <c r="B27" s="11" t="s">
        <v>55</v>
      </c>
      <c r="C27" s="5">
        <f>H22</f>
        <v>0.78229599999999999</v>
      </c>
      <c r="D27" s="5"/>
    </row>
    <row r="28" spans="1:9" x14ac:dyDescent="0.35">
      <c r="B28" s="11" t="s">
        <v>54</v>
      </c>
      <c r="C28" s="5">
        <f>G22</f>
        <v>8.0712999999999993E-2</v>
      </c>
      <c r="D28" s="5"/>
    </row>
    <row r="29" spans="1:9" x14ac:dyDescent="0.35">
      <c r="B29" s="11" t="s">
        <v>53</v>
      </c>
      <c r="C29" s="5">
        <f>F22</f>
        <v>1.8626E-2</v>
      </c>
      <c r="D29" s="5"/>
    </row>
    <row r="30" spans="1:9" x14ac:dyDescent="0.35">
      <c r="B30" s="11" t="s">
        <v>52</v>
      </c>
      <c r="C30" s="5">
        <f>E22</f>
        <v>1E-4</v>
      </c>
      <c r="D30" s="5"/>
    </row>
    <row r="31" spans="1:9" x14ac:dyDescent="0.35">
      <c r="B31" s="11" t="s">
        <v>51</v>
      </c>
      <c r="C31" s="5">
        <f>D22</f>
        <v>1E-4</v>
      </c>
      <c r="D31" s="5"/>
    </row>
    <row r="32" spans="1:9" x14ac:dyDescent="0.35">
      <c r="B32" s="11" t="s">
        <v>50</v>
      </c>
      <c r="C32" s="5">
        <f>C22</f>
        <v>1E-4</v>
      </c>
      <c r="D32" s="5"/>
    </row>
    <row r="33" spans="2:4" x14ac:dyDescent="0.35">
      <c r="B33" s="11" t="s">
        <v>49</v>
      </c>
      <c r="C33" s="5">
        <f>B22</f>
        <v>1E-4</v>
      </c>
      <c r="D3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7CC9-7081-4CD4-9CC7-0AC24B0FB2DB}">
  <dimension ref="A1:O21"/>
  <sheetViews>
    <sheetView zoomScale="81" workbookViewId="0">
      <selection activeCell="M17" sqref="M17"/>
    </sheetView>
  </sheetViews>
  <sheetFormatPr defaultRowHeight="14.5" x14ac:dyDescent="0.35"/>
  <cols>
    <col min="13" max="13" width="14.7265625" customWidth="1"/>
    <col min="14" max="14" width="10.36328125" bestFit="1" customWidth="1"/>
    <col min="15" max="15" width="9.36328125" bestFit="1" customWidth="1"/>
  </cols>
  <sheetData>
    <row r="1" spans="1:15" x14ac:dyDescent="0.35">
      <c r="A1" s="15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</row>
    <row r="2" spans="1:15" x14ac:dyDescent="0.35">
      <c r="A2" s="15">
        <v>1</v>
      </c>
      <c r="B2" s="16">
        <v>0.983012</v>
      </c>
      <c r="C2" s="16">
        <v>1.6383999999999999E-2</v>
      </c>
      <c r="D2" s="16">
        <v>1.01E-4</v>
      </c>
      <c r="E2" s="16">
        <v>1.01E-4</v>
      </c>
      <c r="F2" s="16">
        <v>1.01E-4</v>
      </c>
      <c r="G2" s="16">
        <v>1.01E-4</v>
      </c>
      <c r="H2" s="16">
        <v>1.01E-4</v>
      </c>
      <c r="I2" s="16">
        <v>1.01E-4</v>
      </c>
      <c r="M2" s="18" t="s">
        <v>26</v>
      </c>
    </row>
    <row r="3" spans="1:15" x14ac:dyDescent="0.35">
      <c r="A3" s="15">
        <v>2</v>
      </c>
      <c r="B3" s="16">
        <v>1.2508999999999999E-2</v>
      </c>
      <c r="C3" s="16">
        <v>0.91544700000000001</v>
      </c>
      <c r="D3" s="16">
        <v>7.0505999999999999E-2</v>
      </c>
      <c r="E3" s="16">
        <v>1.137E-3</v>
      </c>
      <c r="F3" s="16">
        <v>1E-4</v>
      </c>
      <c r="G3" s="16">
        <v>1E-4</v>
      </c>
      <c r="H3" s="16">
        <v>1E-4</v>
      </c>
      <c r="I3" s="16">
        <v>1E-4</v>
      </c>
      <c r="M3" t="s">
        <v>27</v>
      </c>
      <c r="N3" s="5">
        <f>B2+C3+D4+E5+F6+G7+H8+I9</f>
        <v>7.1375570000000002</v>
      </c>
    </row>
    <row r="4" spans="1:15" x14ac:dyDescent="0.35">
      <c r="A4" s="15">
        <v>3</v>
      </c>
      <c r="B4" s="16">
        <v>1.1310000000000001E-3</v>
      </c>
      <c r="C4" s="16">
        <v>2.4882000000000001E-2</v>
      </c>
      <c r="D4" s="16">
        <v>0.92176100000000005</v>
      </c>
      <c r="E4" s="16">
        <v>4.8066999999999999E-2</v>
      </c>
      <c r="F4" s="16">
        <v>2.8270000000000001E-3</v>
      </c>
      <c r="G4" s="16">
        <v>1.1310000000000001E-3</v>
      </c>
      <c r="H4" s="16">
        <v>1E-4</v>
      </c>
      <c r="I4" s="16">
        <v>1E-4</v>
      </c>
      <c r="M4" t="s">
        <v>27</v>
      </c>
      <c r="N4" s="6">
        <f>N3</f>
        <v>7.1375570000000002</v>
      </c>
    </row>
    <row r="5" spans="1:15" x14ac:dyDescent="0.35">
      <c r="A5" s="15">
        <v>4</v>
      </c>
      <c r="B5" s="16">
        <v>1E-4</v>
      </c>
      <c r="C5" s="16">
        <v>1E-4</v>
      </c>
      <c r="D5" s="16">
        <v>3.4605999999999998E-2</v>
      </c>
      <c r="E5" s="16">
        <v>0.901644</v>
      </c>
      <c r="F5" s="16">
        <v>5.4110999999999999E-2</v>
      </c>
      <c r="G5" s="16">
        <v>8.1799999999999998E-3</v>
      </c>
      <c r="H5" s="16">
        <v>6.29E-4</v>
      </c>
      <c r="I5" s="16">
        <v>6.29E-4</v>
      </c>
      <c r="M5" t="s">
        <v>28</v>
      </c>
      <c r="N5">
        <v>8</v>
      </c>
    </row>
    <row r="6" spans="1:15" x14ac:dyDescent="0.35">
      <c r="A6" s="15">
        <v>5</v>
      </c>
      <c r="B6" s="16">
        <v>1E-4</v>
      </c>
      <c r="C6" s="16">
        <v>1E-4</v>
      </c>
      <c r="D6" s="16">
        <v>5.6810000000000003E-3</v>
      </c>
      <c r="E6" s="16">
        <v>7.2428999999999993E-2</v>
      </c>
      <c r="F6" s="16">
        <v>0.80097600000000002</v>
      </c>
      <c r="G6" s="16">
        <v>9.7991999999999996E-2</v>
      </c>
      <c r="H6" s="16">
        <v>1.4201999999999999E-2</v>
      </c>
      <c r="I6" s="16">
        <v>8.5210000000000008E-3</v>
      </c>
      <c r="M6" t="s">
        <v>29</v>
      </c>
      <c r="N6">
        <f>(N5-N4)/(N5-1)</f>
        <v>0.12320614285714283</v>
      </c>
    </row>
    <row r="7" spans="1:15" x14ac:dyDescent="0.35">
      <c r="A7" s="15">
        <v>6</v>
      </c>
      <c r="B7" s="16">
        <v>1E-4</v>
      </c>
      <c r="C7" s="16">
        <v>1.658E-3</v>
      </c>
      <c r="D7" s="16">
        <v>3.3159999999999999E-3</v>
      </c>
      <c r="E7" s="16">
        <v>6.633E-3</v>
      </c>
      <c r="F7" s="16">
        <v>7.1303000000000005E-2</v>
      </c>
      <c r="G7" s="16">
        <v>0.83242099999999997</v>
      </c>
      <c r="H7" s="16">
        <v>6.9644999999999999E-2</v>
      </c>
      <c r="I7" s="16">
        <v>1.4924E-2</v>
      </c>
    </row>
    <row r="8" spans="1:15" x14ac:dyDescent="0.35">
      <c r="A8" s="15">
        <v>7</v>
      </c>
      <c r="B8" s="16">
        <v>1E-4</v>
      </c>
      <c r="C8" s="16">
        <v>1E-4</v>
      </c>
      <c r="D8" s="16">
        <v>1E-4</v>
      </c>
      <c r="E8" s="16">
        <v>1E-4</v>
      </c>
      <c r="F8" s="16">
        <v>1.8626E-2</v>
      </c>
      <c r="G8" s="16">
        <v>8.0712999999999993E-2</v>
      </c>
      <c r="H8" s="16">
        <v>0.78229599999999999</v>
      </c>
      <c r="I8" s="16">
        <v>0.117965</v>
      </c>
      <c r="M8" s="19" t="s">
        <v>30</v>
      </c>
    </row>
    <row r="9" spans="1:15" x14ac:dyDescent="0.35">
      <c r="A9" s="15">
        <v>8</v>
      </c>
      <c r="B9" s="16">
        <v>1E-4</v>
      </c>
      <c r="C9" s="16">
        <v>1E-4</v>
      </c>
      <c r="D9" s="16">
        <v>1E-4</v>
      </c>
      <c r="E9" s="16">
        <v>1E-4</v>
      </c>
      <c r="F9" s="16">
        <v>1E-4</v>
      </c>
      <c r="G9" s="16">
        <v>1E-4</v>
      </c>
      <c r="H9" s="16">
        <v>0</v>
      </c>
      <c r="I9" s="16">
        <v>1</v>
      </c>
      <c r="M9" t="s">
        <v>31</v>
      </c>
      <c r="N9">
        <f>MDETERM(B2:I9)</f>
        <v>0.37892220696259921</v>
      </c>
    </row>
    <row r="10" spans="1:15" x14ac:dyDescent="0.35">
      <c r="M10" t="s">
        <v>29</v>
      </c>
      <c r="N10">
        <f>1-N9</f>
        <v>0.62107779303740074</v>
      </c>
    </row>
    <row r="12" spans="1:15" x14ac:dyDescent="0.35">
      <c r="M12" s="20" t="s">
        <v>32</v>
      </c>
    </row>
    <row r="13" spans="1:15" x14ac:dyDescent="0.35">
      <c r="A13" s="17"/>
      <c r="B13" s="17">
        <v>1</v>
      </c>
      <c r="C13" s="17">
        <v>2</v>
      </c>
      <c r="D13" s="17">
        <v>3</v>
      </c>
      <c r="E13" s="17">
        <v>4</v>
      </c>
      <c r="F13" s="17">
        <v>5</v>
      </c>
      <c r="G13" s="17">
        <v>6</v>
      </c>
      <c r="H13" s="17">
        <v>7</v>
      </c>
      <c r="I13" s="17">
        <v>8</v>
      </c>
      <c r="M13" t="s">
        <v>33</v>
      </c>
      <c r="N13" cm="1">
        <f t="array" ref="N13">SUM((B2:I9-B14:I21)^2)</f>
        <v>0.19699954039399997</v>
      </c>
      <c r="O13" s="7"/>
    </row>
    <row r="14" spans="1:15" x14ac:dyDescent="0.35">
      <c r="A14" s="17">
        <v>1</v>
      </c>
      <c r="B14" s="17">
        <v>1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M14" t="s">
        <v>34</v>
      </c>
      <c r="N14">
        <f>SQRT(N13)</f>
        <v>0.44384630267019232</v>
      </c>
    </row>
    <row r="15" spans="1:15" x14ac:dyDescent="0.35">
      <c r="A15" s="17">
        <v>2</v>
      </c>
      <c r="B15" s="17">
        <v>0</v>
      </c>
      <c r="C15" s="17">
        <v>1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M15" t="s">
        <v>29</v>
      </c>
      <c r="N15">
        <f>(SQRT(7)/7)*N14</f>
        <v>0.16775813388583322</v>
      </c>
    </row>
    <row r="16" spans="1:15" x14ac:dyDescent="0.35">
      <c r="A16" s="17">
        <v>3</v>
      </c>
      <c r="B16" s="17">
        <v>0</v>
      </c>
      <c r="C16" s="17">
        <v>0</v>
      </c>
      <c r="D16" s="17">
        <v>1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K16" t="s">
        <v>25</v>
      </c>
    </row>
    <row r="17" spans="1:14" x14ac:dyDescent="0.35">
      <c r="A17" s="17">
        <v>4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  <c r="G17" s="17">
        <v>0</v>
      </c>
      <c r="H17" s="17">
        <v>0</v>
      </c>
      <c r="I17" s="17">
        <v>0</v>
      </c>
      <c r="M17" s="21" t="s">
        <v>35</v>
      </c>
    </row>
    <row r="18" spans="1:14" x14ac:dyDescent="0.35">
      <c r="A18" s="17">
        <v>5</v>
      </c>
      <c r="B18" s="17">
        <v>0</v>
      </c>
      <c r="C18" s="17">
        <v>0</v>
      </c>
      <c r="D18" s="17">
        <v>0</v>
      </c>
      <c r="E18" s="17">
        <v>0</v>
      </c>
      <c r="F18" s="17">
        <v>1</v>
      </c>
      <c r="G18" s="17">
        <v>0</v>
      </c>
      <c r="H18" s="17">
        <v>0</v>
      </c>
      <c r="I18" s="17">
        <v>0</v>
      </c>
      <c r="M18" t="s">
        <v>33</v>
      </c>
      <c r="N18" cm="1">
        <f t="array" ref="N18">SUM(ABS(B2:I9-B14:I21))</f>
        <v>1.7254859999999999</v>
      </c>
    </row>
    <row r="19" spans="1:14" x14ac:dyDescent="0.35">
      <c r="A19" s="17">
        <v>6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1</v>
      </c>
      <c r="H19" s="17">
        <v>0</v>
      </c>
      <c r="I19" s="17">
        <v>0</v>
      </c>
      <c r="M19" t="s">
        <v>29</v>
      </c>
      <c r="N19">
        <f>(1/16)*N18</f>
        <v>0.10784287499999999</v>
      </c>
    </row>
    <row r="20" spans="1:14" x14ac:dyDescent="0.35">
      <c r="A20" s="17">
        <v>7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1</v>
      </c>
      <c r="I20" s="17">
        <v>0</v>
      </c>
    </row>
    <row r="21" spans="1:14" x14ac:dyDescent="0.35">
      <c r="A21" s="17">
        <v>8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PIVOT 1YR</vt:lpstr>
      <vt:lpstr>PIVOT 2 Yr</vt:lpstr>
      <vt:lpstr>Smoothened odr</vt:lpstr>
      <vt:lpstr>Conditional</vt:lpstr>
      <vt:lpstr>PIT PD TM</vt:lpstr>
      <vt:lpstr>Mobility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Jishana T</dc:creator>
  <cp:lastModifiedBy>Jishana T</cp:lastModifiedBy>
  <dcterms:created xsi:type="dcterms:W3CDTF">2025-06-03T06:13:38Z</dcterms:created>
  <dcterms:modified xsi:type="dcterms:W3CDTF">2025-08-12T06:09:41Z</dcterms:modified>
</cp:coreProperties>
</file>